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lf-Cup\reference\"/>
    </mc:Choice>
  </mc:AlternateContent>
  <xr:revisionPtr revIDLastSave="0" documentId="13_ncr:1_{533D6146-16F2-4E78-9158-D4BD6E9BDA2E}" xr6:coauthVersionLast="47" xr6:coauthVersionMax="47" xr10:uidLastSave="{00000000-0000-0000-0000-000000000000}"/>
  <bookViews>
    <workbookView xWindow="3150" yWindow="1680" windowWidth="33630" windowHeight="18540" xr2:uid="{00000000-000D-0000-FFFF-FFFF00000000}"/>
  </bookViews>
  <sheets>
    <sheet name="Standings" sheetId="9" r:id="rId1"/>
    <sheet name="Printable" sheetId="6" r:id="rId2"/>
    <sheet name="Pairings" sheetId="27" r:id="rId3"/>
    <sheet name="Tee Sheet" sheetId="4" r:id="rId4"/>
    <sheet name="Sub list" sheetId="10" r:id="rId5"/>
    <sheet name="Playoffs" sheetId="28" r:id="rId6"/>
    <sheet name="Money" sheetId="22" r:id="rId7"/>
    <sheet name="2016 Playoffs" sheetId="25" r:id="rId8"/>
    <sheet name="2016 Pairings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9" l="1"/>
  <c r="AK43" i="9"/>
  <c r="AK40" i="9"/>
  <c r="AK37" i="9"/>
  <c r="AK34" i="9"/>
  <c r="AK31" i="9"/>
  <c r="AK28" i="9"/>
  <c r="AK25" i="9"/>
  <c r="AK22" i="9"/>
  <c r="AK19" i="9"/>
  <c r="AK16" i="9"/>
  <c r="AK13" i="9"/>
  <c r="AK10" i="9"/>
  <c r="AK7" i="9"/>
  <c r="C19" i="22" l="1"/>
  <c r="P12" i="28" l="1"/>
  <c r="P6" i="28"/>
  <c r="P3" i="28"/>
  <c r="P9" i="28"/>
  <c r="N3" i="28" l="1"/>
  <c r="N9" i="28"/>
  <c r="N6" i="28"/>
  <c r="N12" i="28"/>
  <c r="G21" i="28" l="1"/>
  <c r="G12" i="28"/>
  <c r="G18" i="28"/>
  <c r="G24" i="28"/>
  <c r="G9" i="28"/>
  <c r="G15" i="28"/>
  <c r="G6" i="28"/>
  <c r="G3" i="28"/>
  <c r="E12" i="28" l="1"/>
  <c r="E21" i="28"/>
  <c r="E18" i="28"/>
  <c r="E9" i="28"/>
  <c r="E6" i="28"/>
  <c r="E3" i="28"/>
  <c r="E24" i="28"/>
  <c r="E15" i="28"/>
  <c r="E28" i="28" l="1"/>
  <c r="AJ31" i="9"/>
  <c r="AI82" i="9"/>
  <c r="AI86" i="9"/>
  <c r="AH81" i="9"/>
  <c r="AI81" i="9" s="1"/>
  <c r="AF72" i="9" l="1"/>
  <c r="AF78" i="9"/>
  <c r="AF57" i="9"/>
  <c r="J21" i="4"/>
  <c r="X19" i="4"/>
  <c r="X18" i="4"/>
  <c r="W18" i="4"/>
  <c r="X17" i="4"/>
  <c r="W17" i="4"/>
  <c r="V17" i="4"/>
  <c r="X16" i="4"/>
  <c r="W16" i="4"/>
  <c r="V16" i="4"/>
  <c r="U16" i="4"/>
  <c r="X15" i="4"/>
  <c r="W15" i="4"/>
  <c r="V15" i="4"/>
  <c r="U15" i="4"/>
  <c r="T15" i="4"/>
  <c r="X14" i="4"/>
  <c r="W14" i="4"/>
  <c r="V14" i="4"/>
  <c r="U14" i="4"/>
  <c r="T14" i="4"/>
  <c r="S14" i="4"/>
  <c r="X13" i="4"/>
  <c r="W13" i="4"/>
  <c r="V13" i="4"/>
  <c r="U13" i="4"/>
  <c r="T13" i="4"/>
  <c r="S13" i="4"/>
  <c r="R13" i="4"/>
  <c r="X12" i="4"/>
  <c r="W12" i="4"/>
  <c r="V12" i="4"/>
  <c r="U12" i="4"/>
  <c r="T12" i="4"/>
  <c r="S12" i="4"/>
  <c r="R12" i="4"/>
  <c r="Q12" i="4"/>
  <c r="X11" i="4"/>
  <c r="W11" i="4"/>
  <c r="V11" i="4"/>
  <c r="U11" i="4"/>
  <c r="T11" i="4"/>
  <c r="S11" i="4"/>
  <c r="R11" i="4"/>
  <c r="Q11" i="4"/>
  <c r="P11" i="4"/>
  <c r="X10" i="4"/>
  <c r="W10" i="4"/>
  <c r="V10" i="4"/>
  <c r="U10" i="4"/>
  <c r="T10" i="4"/>
  <c r="S10" i="4"/>
  <c r="R10" i="4"/>
  <c r="R21" i="4" s="1"/>
  <c r="Q10" i="4"/>
  <c r="P10" i="4"/>
  <c r="O10" i="4"/>
  <c r="X9" i="4"/>
  <c r="W9" i="4"/>
  <c r="V9" i="4"/>
  <c r="U9" i="4"/>
  <c r="T9" i="4"/>
  <c r="S9" i="4"/>
  <c r="R9" i="4"/>
  <c r="Q9" i="4"/>
  <c r="P9" i="4"/>
  <c r="O9" i="4"/>
  <c r="N9" i="4"/>
  <c r="X8" i="4"/>
  <c r="W8" i="4"/>
  <c r="V8" i="4"/>
  <c r="U8" i="4"/>
  <c r="T8" i="4"/>
  <c r="S8" i="4"/>
  <c r="R8" i="4"/>
  <c r="Q8" i="4"/>
  <c r="P8" i="4"/>
  <c r="O8" i="4"/>
  <c r="N8" i="4"/>
  <c r="M8" i="4"/>
  <c r="X7" i="4"/>
  <c r="W7" i="4"/>
  <c r="V7" i="4"/>
  <c r="U7" i="4"/>
  <c r="T7" i="4"/>
  <c r="S7" i="4"/>
  <c r="R7" i="4"/>
  <c r="Q7" i="4"/>
  <c r="P7" i="4"/>
  <c r="O7" i="4"/>
  <c r="O21" i="4" s="1"/>
  <c r="N7" i="4"/>
  <c r="M7" i="4"/>
  <c r="L7" i="4"/>
  <c r="X6" i="4"/>
  <c r="W6" i="4"/>
  <c r="V6" i="4"/>
  <c r="U6" i="4"/>
  <c r="T6" i="4"/>
  <c r="S6" i="4"/>
  <c r="R6" i="4"/>
  <c r="Q6" i="4"/>
  <c r="P6" i="4"/>
  <c r="O6" i="4"/>
  <c r="N6" i="4"/>
  <c r="N21" i="4" s="1"/>
  <c r="M6" i="4"/>
  <c r="L6" i="4"/>
  <c r="L21" i="4" s="1"/>
  <c r="K6" i="4"/>
  <c r="K21" i="4" s="1"/>
  <c r="W21" i="4" l="1"/>
  <c r="T21" i="4"/>
  <c r="S21" i="4"/>
  <c r="Q21" i="4"/>
  <c r="P21" i="4"/>
  <c r="U21" i="4"/>
  <c r="X21" i="4"/>
  <c r="V21" i="4"/>
  <c r="M21" i="4"/>
  <c r="Y25" i="4"/>
  <c r="Y23" i="4"/>
  <c r="AD66" i="9" l="1"/>
  <c r="AD63" i="9"/>
  <c r="AJ33" i="9" l="1"/>
  <c r="AI74" i="9" l="1"/>
  <c r="AI73" i="9"/>
  <c r="AI72" i="9"/>
  <c r="AI80" i="9"/>
  <c r="AI79" i="9"/>
  <c r="AI78" i="9"/>
  <c r="AI71" i="9"/>
  <c r="AI70" i="9"/>
  <c r="AI85" i="9"/>
  <c r="AI84" i="9"/>
  <c r="AI77" i="9"/>
  <c r="AI76" i="9"/>
  <c r="AI68" i="9"/>
  <c r="AI67" i="9"/>
  <c r="AI65" i="9"/>
  <c r="AI64" i="9"/>
  <c r="AI62" i="9"/>
  <c r="AI61" i="9"/>
  <c r="AI59" i="9"/>
  <c r="AI58" i="9"/>
  <c r="AJ49" i="9"/>
  <c r="AI49" i="9"/>
  <c r="AJ48" i="9"/>
  <c r="AI48" i="9"/>
  <c r="AJ46" i="9"/>
  <c r="AI46" i="9"/>
  <c r="AJ45" i="9"/>
  <c r="AI45" i="9"/>
  <c r="AJ43" i="9"/>
  <c r="AI43" i="9"/>
  <c r="AJ42" i="9"/>
  <c r="AI42" i="9"/>
  <c r="AJ34" i="9"/>
  <c r="AI34" i="9"/>
  <c r="AI33" i="9"/>
  <c r="AJ25" i="9"/>
  <c r="AI25" i="9"/>
  <c r="AJ24" i="9"/>
  <c r="AI24" i="9"/>
  <c r="AJ40" i="9"/>
  <c r="AI40" i="9"/>
  <c r="AJ39" i="9"/>
  <c r="AI39" i="9"/>
  <c r="AJ37" i="9"/>
  <c r="AI37" i="9"/>
  <c r="AJ36" i="9"/>
  <c r="AI36" i="9"/>
  <c r="AI31" i="9"/>
  <c r="AJ30" i="9"/>
  <c r="AI30" i="9"/>
  <c r="AJ28" i="9"/>
  <c r="AI28" i="9"/>
  <c r="AJ27" i="9"/>
  <c r="AI27" i="9"/>
  <c r="AJ7" i="9"/>
  <c r="AI7" i="9"/>
  <c r="AJ6" i="9"/>
  <c r="AI6" i="9"/>
  <c r="AJ19" i="9"/>
  <c r="AI19" i="9"/>
  <c r="AJ18" i="9"/>
  <c r="AI18" i="9"/>
  <c r="AJ10" i="9"/>
  <c r="AI10" i="9"/>
  <c r="AJ9" i="9"/>
  <c r="AI9" i="9"/>
  <c r="AJ16" i="9"/>
  <c r="AI16" i="9"/>
  <c r="AJ15" i="9"/>
  <c r="AI15" i="9"/>
  <c r="AJ22" i="9"/>
  <c r="AI22" i="9"/>
  <c r="AJ21" i="9"/>
  <c r="AI21" i="9"/>
  <c r="AJ13" i="9"/>
  <c r="AJ12" i="9"/>
  <c r="AI13" i="9"/>
  <c r="AI12" i="9"/>
  <c r="X57" i="9" l="1"/>
  <c r="X69" i="9"/>
  <c r="AI69" i="9" s="1"/>
  <c r="T63" i="9" l="1"/>
  <c r="T57" i="9"/>
  <c r="P60" i="9" l="1"/>
  <c r="N66" i="9" l="1"/>
  <c r="L83" i="9" l="1"/>
  <c r="AI83" i="9" s="1"/>
  <c r="L57" i="9"/>
  <c r="J57" i="9" l="1"/>
  <c r="H57" i="9" l="1"/>
  <c r="AI57" i="9" s="1"/>
  <c r="H63" i="9"/>
  <c r="F60" i="9" l="1"/>
  <c r="AI60" i="9" s="1"/>
  <c r="F66" i="9"/>
  <c r="AI66" i="9" s="1"/>
  <c r="F75" i="9"/>
  <c r="AI75" i="9" s="1"/>
  <c r="AH38" i="9" l="1"/>
  <c r="AD38" i="9"/>
  <c r="X38" i="9"/>
  <c r="V38" i="9"/>
  <c r="P38" i="9"/>
  <c r="L38" i="9"/>
  <c r="F38" i="9"/>
  <c r="AH29" i="9"/>
  <c r="AF29" i="9"/>
  <c r="AB29" i="9"/>
  <c r="X29" i="9"/>
  <c r="V29" i="9"/>
  <c r="T29" i="9"/>
  <c r="N29" i="9"/>
  <c r="L29" i="9"/>
  <c r="H29" i="9"/>
  <c r="F29" i="9"/>
  <c r="AF20" i="9"/>
  <c r="AD20" i="9"/>
  <c r="AB20" i="9"/>
  <c r="X20" i="9"/>
  <c r="V20" i="9"/>
  <c r="T20" i="9"/>
  <c r="P20" i="9"/>
  <c r="N20" i="9"/>
  <c r="J20" i="9"/>
  <c r="H20" i="9"/>
  <c r="F20" i="9"/>
  <c r="AH32" i="9"/>
  <c r="AF32" i="9"/>
  <c r="AD32" i="9"/>
  <c r="AB32" i="9"/>
  <c r="V32" i="9"/>
  <c r="T32" i="9"/>
  <c r="P32" i="9"/>
  <c r="N32" i="9"/>
  <c r="L32" i="9"/>
  <c r="H32" i="9"/>
  <c r="F32" i="9"/>
  <c r="AH35" i="9"/>
  <c r="AF35" i="9"/>
  <c r="AD35" i="9"/>
  <c r="AB35" i="9"/>
  <c r="X35" i="9"/>
  <c r="V35" i="9"/>
  <c r="T35" i="9"/>
  <c r="P35" i="9"/>
  <c r="J35" i="9"/>
  <c r="H35" i="9"/>
  <c r="F35" i="9"/>
  <c r="AH47" i="9"/>
  <c r="AF47" i="9"/>
  <c r="AD47" i="9"/>
  <c r="AB47" i="9"/>
  <c r="Z47" i="9"/>
  <c r="X47" i="9"/>
  <c r="V47" i="9"/>
  <c r="T47" i="9"/>
  <c r="AH8" i="9"/>
  <c r="AF8" i="9"/>
  <c r="AB8" i="9"/>
  <c r="Z8" i="9"/>
  <c r="X8" i="9"/>
  <c r="V8" i="9"/>
  <c r="T8" i="9"/>
  <c r="P8" i="9"/>
  <c r="N8" i="9"/>
  <c r="L8" i="9"/>
  <c r="H8" i="9"/>
  <c r="F8" i="9"/>
  <c r="AB41" i="9"/>
  <c r="Z41" i="9"/>
  <c r="V41" i="9"/>
  <c r="P41" i="9"/>
  <c r="N41" i="9"/>
  <c r="J41" i="9"/>
  <c r="H41" i="9"/>
  <c r="F41" i="9"/>
  <c r="AJ41" i="9" s="1"/>
  <c r="AH5" i="9"/>
  <c r="AF5" i="9"/>
  <c r="AD5" i="9"/>
  <c r="AB5" i="9"/>
  <c r="Z5" i="9"/>
  <c r="V5" i="9"/>
  <c r="T5" i="9"/>
  <c r="P5" i="9"/>
  <c r="N5" i="9"/>
  <c r="L5" i="9"/>
  <c r="J5" i="9"/>
  <c r="F5" i="9"/>
  <c r="AF44" i="9"/>
  <c r="AD44" i="9"/>
  <c r="X44" i="9"/>
  <c r="L44" i="9"/>
  <c r="J44" i="9"/>
  <c r="F44" i="9"/>
  <c r="AH26" i="9"/>
  <c r="AF26" i="9"/>
  <c r="AD26" i="9"/>
  <c r="AB26" i="9"/>
  <c r="Z26" i="9"/>
  <c r="X26" i="9"/>
  <c r="V26" i="9"/>
  <c r="T26" i="9"/>
  <c r="P26" i="9"/>
  <c r="N26" i="9"/>
  <c r="H26" i="9"/>
  <c r="F26" i="9"/>
  <c r="AH17" i="9"/>
  <c r="AF17" i="9"/>
  <c r="AB17" i="9"/>
  <c r="Z17" i="9"/>
  <c r="X17" i="9"/>
  <c r="V17" i="9"/>
  <c r="T17" i="9"/>
  <c r="P17" i="9"/>
  <c r="N17" i="9"/>
  <c r="L17" i="9"/>
  <c r="F17" i="9"/>
  <c r="AH11" i="9"/>
  <c r="AD11" i="9"/>
  <c r="AB11" i="9"/>
  <c r="Z11" i="9"/>
  <c r="X11" i="9"/>
  <c r="T11" i="9"/>
  <c r="P11" i="9"/>
  <c r="N11" i="9"/>
  <c r="L11" i="9"/>
  <c r="J11" i="9"/>
  <c r="H11" i="9"/>
  <c r="F11" i="9"/>
  <c r="AH23" i="9"/>
  <c r="AD23" i="9"/>
  <c r="AB23" i="9"/>
  <c r="Z23" i="9"/>
  <c r="X23" i="9"/>
  <c r="V23" i="9"/>
  <c r="N23" i="9"/>
  <c r="L23" i="9"/>
  <c r="J23" i="9"/>
  <c r="H23" i="9"/>
  <c r="AH14" i="9"/>
  <c r="AD14" i="9"/>
  <c r="AB14" i="9"/>
  <c r="Z14" i="9"/>
  <c r="V14" i="9"/>
  <c r="T14" i="9"/>
  <c r="P14" i="9"/>
  <c r="N14" i="9"/>
  <c r="L14" i="9"/>
  <c r="H14" i="9"/>
  <c r="F14" i="9"/>
  <c r="AJ8" i="9" l="1"/>
  <c r="AJ32" i="9"/>
  <c r="AI29" i="9"/>
  <c r="AI32" i="9"/>
  <c r="AI8" i="9"/>
  <c r="AI41" i="9"/>
  <c r="AJ47" i="9"/>
  <c r="AI47" i="9"/>
  <c r="F53" i="9"/>
  <c r="D63" i="9"/>
  <c r="AI63" i="9" s="1"/>
  <c r="D38" i="9"/>
  <c r="AJ38" i="9" s="1"/>
  <c r="D29" i="9"/>
  <c r="AJ29" i="9" s="1"/>
  <c r="D20" i="9"/>
  <c r="AJ20" i="9" s="1"/>
  <c r="D35" i="9"/>
  <c r="AJ35" i="9" s="1"/>
  <c r="D5" i="9"/>
  <c r="AJ5" i="9" s="1"/>
  <c r="D44" i="9"/>
  <c r="AJ44" i="9" s="1"/>
  <c r="D26" i="9"/>
  <c r="AJ26" i="9" s="1"/>
  <c r="D17" i="9"/>
  <c r="AJ17" i="9" s="1"/>
  <c r="D11" i="9"/>
  <c r="AJ11" i="9" s="1"/>
  <c r="D23" i="9"/>
  <c r="AJ23" i="9" s="1"/>
  <c r="D14" i="9"/>
  <c r="AJ14" i="9" s="1"/>
  <c r="BL5" i="27"/>
  <c r="AI35" i="9" l="1"/>
  <c r="AI14" i="9"/>
  <c r="AI17" i="9"/>
  <c r="AI26" i="9"/>
  <c r="AI5" i="9"/>
  <c r="AI20" i="9"/>
  <c r="AI23" i="9"/>
  <c r="AI11" i="9"/>
  <c r="AI38" i="9"/>
  <c r="AI44" i="9"/>
  <c r="G30" i="28"/>
  <c r="E30" i="28"/>
  <c r="H21" i="28"/>
  <c r="H18" i="28"/>
  <c r="H9" i="28"/>
  <c r="Q3" i="28"/>
  <c r="H6" i="28"/>
  <c r="Q9" i="28"/>
  <c r="H3" i="28"/>
  <c r="Q6" i="28"/>
  <c r="H24" i="28"/>
  <c r="Q12" i="28"/>
  <c r="G28" i="28"/>
  <c r="BD19" i="27"/>
  <c r="BR17" i="27"/>
  <c r="BR16" i="27"/>
  <c r="BQ16" i="27"/>
  <c r="BR15" i="27"/>
  <c r="BQ15" i="27"/>
  <c r="BP15" i="27"/>
  <c r="BR14" i="27"/>
  <c r="BQ14" i="27"/>
  <c r="BP14" i="27"/>
  <c r="BO14" i="27"/>
  <c r="BR13" i="27"/>
  <c r="BQ13" i="27"/>
  <c r="BP13" i="27"/>
  <c r="BO13" i="27"/>
  <c r="BN13" i="27"/>
  <c r="BR12" i="27"/>
  <c r="BQ12" i="27"/>
  <c r="BP12" i="27"/>
  <c r="BO12" i="27"/>
  <c r="BN12" i="27"/>
  <c r="BM12" i="27"/>
  <c r="BR11" i="27"/>
  <c r="BQ11" i="27"/>
  <c r="BP11" i="27"/>
  <c r="BO11" i="27"/>
  <c r="BN11" i="27"/>
  <c r="BM11" i="27"/>
  <c r="BL11" i="27"/>
  <c r="BR10" i="27"/>
  <c r="BQ10" i="27"/>
  <c r="BP10" i="27"/>
  <c r="BO10" i="27"/>
  <c r="BN10" i="27"/>
  <c r="BM10" i="27"/>
  <c r="BL10" i="27"/>
  <c r="BK10" i="27"/>
  <c r="BR9" i="27"/>
  <c r="BQ9" i="27"/>
  <c r="BP9" i="27"/>
  <c r="BO9" i="27"/>
  <c r="BN9" i="27"/>
  <c r="BM9" i="27"/>
  <c r="BL9" i="27"/>
  <c r="BK9" i="27"/>
  <c r="BJ9" i="27"/>
  <c r="BR8" i="27"/>
  <c r="BQ8" i="27"/>
  <c r="BP8" i="27"/>
  <c r="BO8" i="27"/>
  <c r="BN8" i="27"/>
  <c r="BM8" i="27"/>
  <c r="BL8" i="27"/>
  <c r="BK8" i="27"/>
  <c r="BJ8" i="27"/>
  <c r="BI8" i="27"/>
  <c r="BR7" i="27"/>
  <c r="BQ7" i="27"/>
  <c r="BP7" i="27"/>
  <c r="BO7" i="27"/>
  <c r="BN7" i="27"/>
  <c r="BM7" i="27"/>
  <c r="BL7" i="27"/>
  <c r="BK7" i="27"/>
  <c r="BJ7" i="27"/>
  <c r="BI7" i="27"/>
  <c r="BH7" i="27"/>
  <c r="BR6" i="27"/>
  <c r="BQ6" i="27"/>
  <c r="BP6" i="27"/>
  <c r="BO6" i="27"/>
  <c r="BN6" i="27"/>
  <c r="BM6" i="27"/>
  <c r="BL6" i="27"/>
  <c r="BK6" i="27"/>
  <c r="BJ6" i="27"/>
  <c r="BI6" i="27"/>
  <c r="BH6" i="27"/>
  <c r="BG6" i="27"/>
  <c r="BR5" i="27"/>
  <c r="BQ5" i="27"/>
  <c r="BP5" i="27"/>
  <c r="BO5" i="27"/>
  <c r="BN5" i="27"/>
  <c r="BM5" i="27"/>
  <c r="BK5" i="27"/>
  <c r="BJ5" i="27"/>
  <c r="BI5" i="27"/>
  <c r="BH5" i="27"/>
  <c r="BG5" i="27"/>
  <c r="BF5" i="27"/>
  <c r="BR4" i="27"/>
  <c r="BQ4" i="27"/>
  <c r="BP4" i="27"/>
  <c r="BO4" i="27"/>
  <c r="BN4" i="27"/>
  <c r="BM4" i="27"/>
  <c r="BL4" i="27"/>
  <c r="BK4" i="27"/>
  <c r="BJ4" i="27"/>
  <c r="BI4" i="27"/>
  <c r="BH4" i="27"/>
  <c r="BG4" i="27"/>
  <c r="BF4" i="27"/>
  <c r="BF19" i="27" s="1"/>
  <c r="BE4" i="27"/>
  <c r="BE19" i="27" s="1"/>
  <c r="BK19" i="27" l="1"/>
  <c r="H15" i="28"/>
  <c r="H12" i="28"/>
  <c r="BJ19" i="27"/>
  <c r="BN19" i="27"/>
  <c r="BR19" i="27"/>
  <c r="BG19" i="27"/>
  <c r="BO19" i="27"/>
  <c r="BH19" i="27"/>
  <c r="BQ19" i="27"/>
  <c r="BL19" i="27"/>
  <c r="BP19" i="27"/>
  <c r="BI19" i="27"/>
  <c r="BM19" i="27"/>
  <c r="P3" i="25"/>
  <c r="P9" i="25"/>
  <c r="P6" i="25"/>
  <c r="P12" i="25"/>
  <c r="N6" i="25" l="1"/>
  <c r="N3" i="25"/>
  <c r="N9" i="25"/>
  <c r="N12" i="25"/>
  <c r="G24" i="25" l="1"/>
  <c r="E24" i="25"/>
  <c r="G21" i="25"/>
  <c r="E21" i="25"/>
  <c r="G18" i="25"/>
  <c r="E18" i="25"/>
  <c r="G12" i="25"/>
  <c r="E12" i="25"/>
  <c r="G9" i="25"/>
  <c r="E9" i="25"/>
  <c r="G6" i="25"/>
  <c r="E6" i="25"/>
  <c r="G15" i="25"/>
  <c r="G3" i="25"/>
  <c r="E3" i="25"/>
  <c r="G28" i="25" l="1"/>
  <c r="H6" i="25"/>
  <c r="H12" i="25"/>
  <c r="Q12" i="25" s="1"/>
  <c r="H18" i="25"/>
  <c r="H15" i="25"/>
  <c r="H9" i="25"/>
  <c r="H21" i="25"/>
  <c r="E30" i="25"/>
  <c r="E28" i="25"/>
  <c r="G30" i="25"/>
  <c r="H3" i="25"/>
  <c r="H24" i="25"/>
  <c r="Q3" i="25" l="1"/>
  <c r="Q9" i="25"/>
  <c r="Q6" i="25"/>
  <c r="BD19" i="2" l="1"/>
  <c r="BR17" i="2" l="1"/>
  <c r="BR16" i="2"/>
  <c r="BR15" i="2"/>
  <c r="BR14" i="2"/>
  <c r="BR13" i="2"/>
  <c r="BR12" i="2"/>
  <c r="BR11" i="2"/>
  <c r="BR10" i="2"/>
  <c r="BR9" i="2"/>
  <c r="BR8" i="2"/>
  <c r="BR7" i="2"/>
  <c r="BR6" i="2"/>
  <c r="BR5" i="2"/>
  <c r="BR4" i="2"/>
  <c r="BR19" i="2" l="1"/>
  <c r="BQ16" i="2" l="1"/>
  <c r="BQ15" i="2"/>
  <c r="BQ14" i="2"/>
  <c r="BQ13" i="2"/>
  <c r="BQ12" i="2"/>
  <c r="BQ11" i="2"/>
  <c r="BQ10" i="2"/>
  <c r="BQ9" i="2"/>
  <c r="BQ8" i="2"/>
  <c r="BQ7" i="2"/>
  <c r="BQ6" i="2"/>
  <c r="BQ5" i="2"/>
  <c r="BQ4" i="2"/>
  <c r="BQ19" i="2" l="1"/>
  <c r="BP15" i="2" l="1"/>
  <c r="BP14" i="2"/>
  <c r="BP13" i="2"/>
  <c r="BP12" i="2"/>
  <c r="BP11" i="2"/>
  <c r="BP10" i="2"/>
  <c r="BP9" i="2"/>
  <c r="BP8" i="2"/>
  <c r="BP7" i="2"/>
  <c r="BP6" i="2"/>
  <c r="BP5" i="2"/>
  <c r="BP4" i="2"/>
  <c r="BP19" i="2" l="1"/>
  <c r="N14" i="10" l="1"/>
  <c r="N6" i="10"/>
  <c r="N3" i="10"/>
  <c r="N31" i="10"/>
  <c r="N13" i="10"/>
  <c r="N35" i="10"/>
  <c r="N34" i="10"/>
  <c r="N33" i="10"/>
  <c r="N11" i="10"/>
  <c r="N23" i="10"/>
  <c r="N32" i="10"/>
  <c r="N10" i="10"/>
  <c r="N4" i="10"/>
  <c r="G15" i="22"/>
  <c r="G3" i="22" l="1"/>
  <c r="G17" i="22" s="1"/>
  <c r="G21" i="22" s="1"/>
  <c r="BN13" i="2" l="1"/>
  <c r="BM12" i="2"/>
  <c r="BE4" i="2"/>
  <c r="BE19" i="2" s="1"/>
  <c r="BF4" i="2"/>
  <c r="BG4" i="2"/>
  <c r="BH4" i="2"/>
  <c r="BI4" i="2"/>
  <c r="BJ4" i="2"/>
  <c r="BK4" i="2"/>
  <c r="BL4" i="2"/>
  <c r="BM4" i="2"/>
  <c r="BN4" i="2"/>
  <c r="BO4" i="2"/>
  <c r="BF5" i="2"/>
  <c r="BG5" i="2"/>
  <c r="BH5" i="2"/>
  <c r="BI5" i="2"/>
  <c r="BJ5" i="2"/>
  <c r="BK5" i="2"/>
  <c r="BM5" i="2"/>
  <c r="BN5" i="2"/>
  <c r="BO5" i="2"/>
  <c r="BG6" i="2"/>
  <c r="BH6" i="2"/>
  <c r="BI6" i="2"/>
  <c r="BJ6" i="2"/>
  <c r="BK6" i="2"/>
  <c r="BL6" i="2"/>
  <c r="BM6" i="2"/>
  <c r="BN6" i="2"/>
  <c r="BO6" i="2"/>
  <c r="BH7" i="2"/>
  <c r="BI7" i="2"/>
  <c r="BJ7" i="2"/>
  <c r="BK7" i="2"/>
  <c r="BL7" i="2"/>
  <c r="BM7" i="2"/>
  <c r="BN7" i="2"/>
  <c r="BO7" i="2"/>
  <c r="BI8" i="2"/>
  <c r="BJ8" i="2"/>
  <c r="BK8" i="2"/>
  <c r="BL8" i="2"/>
  <c r="BM8" i="2"/>
  <c r="BN8" i="2"/>
  <c r="BO8" i="2"/>
  <c r="BJ9" i="2"/>
  <c r="BK9" i="2"/>
  <c r="BL9" i="2"/>
  <c r="BM9" i="2"/>
  <c r="BN9" i="2"/>
  <c r="BO9" i="2"/>
  <c r="BK10" i="2"/>
  <c r="BL10" i="2"/>
  <c r="BM10" i="2"/>
  <c r="BN10" i="2"/>
  <c r="BO10" i="2"/>
  <c r="BL11" i="2"/>
  <c r="BM11" i="2"/>
  <c r="BN11" i="2"/>
  <c r="BO11" i="2"/>
  <c r="BN12" i="2"/>
  <c r="BO12" i="2"/>
  <c r="BO13" i="2"/>
  <c r="BO14" i="2"/>
  <c r="BF19" i="2" l="1"/>
  <c r="BK19" i="2"/>
  <c r="BN19" i="2"/>
  <c r="BH19" i="2"/>
  <c r="BI19" i="2"/>
  <c r="BL19" i="2"/>
  <c r="BG19" i="2"/>
  <c r="BO19" i="2"/>
  <c r="BJ19" i="2"/>
  <c r="BM19" i="2"/>
  <c r="T53" i="9"/>
  <c r="H53" i="9"/>
  <c r="AB53" i="9"/>
  <c r="H51" i="9"/>
  <c r="N53" i="9"/>
  <c r="L51" i="9"/>
  <c r="J51" i="9"/>
  <c r="Z51" i="9"/>
  <c r="J53" i="9"/>
  <c r="AD53" i="9"/>
  <c r="N51" i="9"/>
  <c r="AD51" i="9"/>
  <c r="P53" i="9"/>
  <c r="AH53" i="9"/>
  <c r="AF53" i="9"/>
  <c r="P51" i="9"/>
  <c r="AB51" i="9"/>
  <c r="AF51" i="9"/>
  <c r="T51" i="9"/>
  <c r="AH51" i="9"/>
  <c r="X53" i="9"/>
  <c r="L53" i="9"/>
  <c r="V53" i="9"/>
  <c r="V51" i="9"/>
  <c r="F51" i="9"/>
  <c r="X51" i="9"/>
  <c r="Z53" i="9"/>
  <c r="N9" i="10" l="1"/>
  <c r="N30" i="10"/>
  <c r="N29" i="10"/>
  <c r="N28" i="10"/>
  <c r="N27" i="10"/>
  <c r="N26" i="10"/>
  <c r="N25" i="10"/>
  <c r="N24" i="10"/>
  <c r="N5" i="10"/>
  <c r="N22" i="10"/>
  <c r="N21" i="10"/>
  <c r="D53" i="9" l="1"/>
  <c r="D51" i="9"/>
  <c r="AI53" i="9" l="1"/>
  <c r="AI51" i="9"/>
</calcChain>
</file>

<file path=xl/sharedStrings.xml><?xml version="1.0" encoding="utf-8"?>
<sst xmlns="http://schemas.openxmlformats.org/spreadsheetml/2006/main" count="971" uniqueCount="185">
  <si>
    <t>matt white</t>
  </si>
  <si>
    <t>BDM</t>
  </si>
  <si>
    <t>Chris McNeely</t>
  </si>
  <si>
    <t>Chris Preston</t>
  </si>
  <si>
    <t>Steve Flesher</t>
  </si>
  <si>
    <t>matt jaquint</t>
  </si>
  <si>
    <t>cash +/-</t>
  </si>
  <si>
    <t>Group A</t>
  </si>
  <si>
    <t>Group B</t>
  </si>
  <si>
    <t>Brian White</t>
  </si>
  <si>
    <t>Matt White</t>
  </si>
  <si>
    <t>Matt Jaquint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</si>
  <si>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</si>
  <si>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</si>
  <si>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</si>
  <si>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</si>
  <si>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</si>
  <si>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</si>
  <si>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</si>
  <si>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</si>
  <si>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</si>
  <si>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</si>
  <si>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BW</t>
  </si>
  <si>
    <t>MW</t>
  </si>
  <si>
    <t>MJ</t>
  </si>
  <si>
    <t>CP</t>
  </si>
  <si>
    <t>X</t>
  </si>
  <si>
    <t>Sam Miller</t>
  </si>
  <si>
    <t>Ben Hardman</t>
  </si>
  <si>
    <t>AVG</t>
  </si>
  <si>
    <t>Nick Goff</t>
  </si>
  <si>
    <t>Nick Mayo</t>
  </si>
  <si>
    <t>Sid Torlone</t>
  </si>
  <si>
    <t>Andrew Dawson</t>
  </si>
  <si>
    <t>Skins</t>
  </si>
  <si>
    <t>Net Pars</t>
  </si>
  <si>
    <t>Group C</t>
  </si>
  <si>
    <t>1:20 pm Group</t>
  </si>
  <si>
    <t>AD</t>
  </si>
  <si>
    <t>ST</t>
  </si>
  <si>
    <t>Bagger</t>
  </si>
  <si>
    <t>Jason Moses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</si>
  <si>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</si>
  <si>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</si>
  <si>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</si>
  <si>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</si>
  <si>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</si>
  <si>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</si>
  <si>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</si>
  <si>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Stan Tao</t>
  </si>
  <si>
    <t>Don Ray</t>
  </si>
  <si>
    <t>Ryan Keaton</t>
  </si>
  <si>
    <t>304.654.0983</t>
  </si>
  <si>
    <t>Mark Cross</t>
  </si>
  <si>
    <t>Monte Ward</t>
  </si>
  <si>
    <t>Bryan Vance</t>
  </si>
  <si>
    <t>John Short</t>
  </si>
  <si>
    <t>JDS</t>
  </si>
  <si>
    <t>Ronnie Adkins</t>
  </si>
  <si>
    <t>CK</t>
  </si>
  <si>
    <t>Kurt Fleckenstein</t>
  </si>
  <si>
    <t>kurt@wvperio.com</t>
  </si>
  <si>
    <t>Robbie Simmons</t>
  </si>
  <si>
    <t>Tony McQuaid</t>
  </si>
  <si>
    <t>Scott Crouch</t>
  </si>
  <si>
    <t>A. Dawson</t>
  </si>
  <si>
    <t>Reggie Opimo</t>
  </si>
  <si>
    <t>Matt Boggs</t>
  </si>
  <si>
    <t>Jay Patterson</t>
  </si>
  <si>
    <t>Jim Freeman</t>
  </si>
  <si>
    <t>go aggressive on Subs early in the year and have 3 foursomes for the most part.  See if any of the subs become full timers</t>
  </si>
  <si>
    <t>PLAYOFFS</t>
  </si>
  <si>
    <t>Round</t>
  </si>
  <si>
    <t>FINAL</t>
  </si>
  <si>
    <t>Todd Williams</t>
  </si>
  <si>
    <t>Revenue</t>
  </si>
  <si>
    <t>Expenses</t>
  </si>
  <si>
    <t>Weekly Cash prize</t>
  </si>
  <si>
    <t>plaque</t>
  </si>
  <si>
    <t>Wolf Jacket</t>
  </si>
  <si>
    <t>2nd place</t>
  </si>
  <si>
    <t>3rd place</t>
  </si>
  <si>
    <t>Total</t>
  </si>
  <si>
    <t>Remaining</t>
  </si>
  <si>
    <t>Brandon Cline</t>
  </si>
  <si>
    <t>Ian Wiley</t>
  </si>
  <si>
    <t>Adam Yeager</t>
  </si>
  <si>
    <t>Marc Hettlinger</t>
  </si>
  <si>
    <t>Chuck Romine</t>
  </si>
  <si>
    <t>turned down invites</t>
  </si>
  <si>
    <t>Bagger McNeely</t>
  </si>
  <si>
    <t>Jeff Madden</t>
  </si>
  <si>
    <t>chris keaton</t>
  </si>
  <si>
    <t>jeff madden</t>
  </si>
  <si>
    <t>john short</t>
  </si>
  <si>
    <t>JEFF</t>
  </si>
  <si>
    <t>JAY</t>
  </si>
  <si>
    <t>Allan Thacker</t>
  </si>
  <si>
    <t>David Sheils</t>
  </si>
  <si>
    <t>Tim Eves</t>
  </si>
  <si>
    <t>Group D</t>
  </si>
  <si>
    <t>Scott crouch</t>
  </si>
  <si>
    <t>Paul Turman</t>
  </si>
  <si>
    <t>Sid torlone</t>
  </si>
  <si>
    <t>?</t>
  </si>
  <si>
    <t>Side Game</t>
  </si>
  <si>
    <t>Winners</t>
  </si>
  <si>
    <t>Rounds</t>
  </si>
  <si>
    <t>SC</t>
  </si>
  <si>
    <t>chris preston</t>
  </si>
  <si>
    <t>josh stoll</t>
  </si>
  <si>
    <t>andrew dawson</t>
  </si>
  <si>
    <t>sid torlone</t>
  </si>
  <si>
    <t>Will</t>
  </si>
  <si>
    <t>EVES</t>
  </si>
  <si>
    <t>Joe McDonie</t>
  </si>
  <si>
    <t>Chris Tatum</t>
  </si>
  <si>
    <t>Sean Wilson</t>
  </si>
  <si>
    <t>group 1</t>
  </si>
  <si>
    <t>group 3</t>
  </si>
  <si>
    <t>group 2</t>
  </si>
  <si>
    <t>pods</t>
  </si>
  <si>
    <t>top3</t>
  </si>
  <si>
    <t>plays</t>
  </si>
  <si>
    <t>1:30 pm Group</t>
  </si>
  <si>
    <t>McBagger</t>
  </si>
  <si>
    <t>carryover from '16</t>
  </si>
  <si>
    <t>plus embroidery</t>
  </si>
  <si>
    <t>May 5th</t>
  </si>
  <si>
    <t>May 19th</t>
  </si>
  <si>
    <t>May 26th</t>
  </si>
  <si>
    <t>June 2nd</t>
  </si>
  <si>
    <t>June 16th</t>
  </si>
  <si>
    <t>June 23rd</t>
  </si>
  <si>
    <t>June 30th</t>
  </si>
  <si>
    <t>July 7th</t>
  </si>
  <si>
    <t>July 14th</t>
  </si>
  <si>
    <t>July 21st</t>
  </si>
  <si>
    <t>Aug 4th</t>
  </si>
  <si>
    <t>Aug 11th</t>
  </si>
  <si>
    <t>Aug 18th</t>
  </si>
  <si>
    <t>Aug 25th</t>
  </si>
  <si>
    <t>Sept 1st</t>
  </si>
  <si>
    <t>Close2Pin</t>
  </si>
  <si>
    <t>Least Putts</t>
  </si>
  <si>
    <t>Most &lt;Par</t>
  </si>
  <si>
    <t>Ronnie A.</t>
  </si>
  <si>
    <t>RA</t>
  </si>
  <si>
    <t>Matt Wedge</t>
  </si>
  <si>
    <t>Mike Insco</t>
  </si>
  <si>
    <t>Joe White</t>
  </si>
  <si>
    <t>turn downs</t>
  </si>
  <si>
    <t>JM, CP, RA, AD</t>
  </si>
  <si>
    <t>Mike Barbera</t>
  </si>
  <si>
    <t>Paul Jacobsen</t>
  </si>
  <si>
    <t>Bagger, CP</t>
  </si>
  <si>
    <t>Madden</t>
  </si>
  <si>
    <t>TE, JPx2,JM, STx2</t>
  </si>
  <si>
    <t>MJ x2, MW, CP</t>
  </si>
  <si>
    <t>Patterson</t>
  </si>
  <si>
    <t>Sid &amp; Jay</t>
  </si>
  <si>
    <t>tim eves</t>
  </si>
  <si>
    <t>Sid Torlon</t>
  </si>
  <si>
    <t>Sid &amp; Jeff</t>
  </si>
  <si>
    <t>Henry Kayes</t>
  </si>
  <si>
    <t>SW</t>
  </si>
  <si>
    <t>Ronnie</t>
  </si>
  <si>
    <t>Jeff,TE,CPx2,JP,ST,RA,CM</t>
  </si>
  <si>
    <t>JS,JP, JM, MW</t>
  </si>
  <si>
    <t>SUBS:</t>
  </si>
  <si>
    <t>Chris keaton</t>
  </si>
  <si>
    <t>Joe</t>
  </si>
  <si>
    <t>Chris Smith</t>
  </si>
  <si>
    <t>JD Short</t>
  </si>
  <si>
    <t>sean wilson</t>
  </si>
  <si>
    <t>ronnie adkins</t>
  </si>
  <si>
    <t>mark newfeld</t>
  </si>
  <si>
    <t>Mark Newfeld</t>
  </si>
  <si>
    <t>JSx2, CP, CK, ST</t>
  </si>
  <si>
    <t>Jeff, JM, AD</t>
  </si>
  <si>
    <t>banquet</t>
  </si>
  <si>
    <t>yes</t>
  </si>
  <si>
    <t>Jacket ceremony</t>
  </si>
  <si>
    <t>carryover from '17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</si>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</sst>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5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9"/>
      <color rgb="FF000000"/>
      <name val="Arial"/>
      <family val="2"/>
    </font>
    <font>
      <u/>
      <sz val="11"/>
      <color theme="10"/>
      <name val="Georgia"/>
      <family val="2"/>
      <scheme val="minor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  <font>
      <b/>
      <sz val="9"/>
      <color theme="1"/>
      <name val="Georgia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0" fillId="0" borderId="10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10" fillId="0" borderId="0" xfId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2" fillId="0" borderId="6" xfId="0" applyFont="1" applyBorder="1" applyAlignment="1">
      <alignment horizontal="right"/>
    </xf>
    <xf numFmtId="164" fontId="2" fillId="0" borderId="6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/>
    </xf>
    <xf numFmtId="165" fontId="4" fillId="0" borderId="0" xfId="0" applyNumberFormat="1" applyFont="1"/>
    <xf numFmtId="0" fontId="4" fillId="0" borderId="6" xfId="0" applyFont="1" applyBorder="1"/>
    <xf numFmtId="165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4" fillId="0" borderId="6" xfId="0" applyNumberFormat="1" applyFont="1" applyBorder="1"/>
    <xf numFmtId="165" fontId="4" fillId="0" borderId="6" xfId="0" applyNumberFormat="1" applyFont="1" applyBorder="1"/>
    <xf numFmtId="164" fontId="4" fillId="0" borderId="0" xfId="0" applyNumberFormat="1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6" fontId="0" fillId="0" borderId="0" xfId="0" applyNumberFormat="1"/>
    <xf numFmtId="44" fontId="0" fillId="0" borderId="0" xfId="2" applyFont="1"/>
    <xf numFmtId="6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6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4" fillId="0" borderId="5" xfId="0" applyFont="1" applyBorder="1"/>
    <xf numFmtId="6" fontId="4" fillId="0" borderId="0" xfId="0" applyNumberFormat="1" applyFont="1"/>
    <xf numFmtId="165" fontId="13" fillId="0" borderId="0" xfId="0" applyNumberFormat="1" applyFont="1" applyAlignment="1">
      <alignment horizontal="center"/>
    </xf>
    <xf numFmtId="165" fontId="13" fillId="0" borderId="0" xfId="0" applyNumberFormat="1" applyFont="1"/>
    <xf numFmtId="0" fontId="13" fillId="0" borderId="0" xfId="0" applyFont="1"/>
    <xf numFmtId="0" fontId="11" fillId="2" borderId="0" xfId="0" applyFont="1" applyFill="1" applyAlignment="1">
      <alignment horizontal="left"/>
    </xf>
    <xf numFmtId="6" fontId="0" fillId="2" borderId="0" xfId="0" applyNumberFormat="1" applyFill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64" fontId="0" fillId="0" borderId="6" xfId="0" applyNumberFormat="1" applyBorder="1"/>
    <xf numFmtId="165" fontId="0" fillId="0" borderId="6" xfId="0" applyNumberFormat="1" applyBorder="1"/>
    <xf numFmtId="6" fontId="4" fillId="0" borderId="0" xfId="0" applyNumberFormat="1" applyFont="1" applyAlignment="1">
      <alignment horizontal="right"/>
    </xf>
    <xf numFmtId="165" fontId="4" fillId="2" borderId="0" xfId="0" applyNumberFormat="1" applyFont="1" applyFill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4" fillId="0" borderId="0" xfId="0" applyNumberFormat="1" applyFont="1"/>
    <xf numFmtId="1" fontId="14" fillId="0" borderId="0" xfId="0" applyNumberFormat="1" applyFont="1"/>
    <xf numFmtId="165" fontId="14" fillId="0" borderId="0" xfId="0" applyNumberFormat="1" applyFont="1"/>
    <xf numFmtId="4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textRotation="255" wrapText="1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urt@wvperi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86"/>
  <sheetViews>
    <sheetView tabSelected="1" zoomScale="90" zoomScaleNormal="90" workbookViewId="0">
      <selection activeCell="AK6" sqref="AK6"/>
    </sheetView>
  </sheetViews>
  <sheetFormatPr defaultColWidth="8.88671875" defaultRowHeight="14.25" outlineLevelRow="1" x14ac:dyDescent="0.2"/>
  <cols>
    <col min="1" max="1" width="2.21875" style="35" customWidth="1"/>
    <col min="2" max="2" width="10" customWidth="1"/>
    <col min="3" max="3" width="4" customWidth="1"/>
    <col min="4" max="4" width="4.33203125" bestFit="1" customWidth="1"/>
    <col min="5" max="5" width="4" customWidth="1"/>
    <col min="6" max="6" width="4.5546875" bestFit="1" customWidth="1"/>
    <col min="7" max="7" width="4" customWidth="1"/>
    <col min="8" max="8" width="4.5546875" bestFit="1" customWidth="1"/>
    <col min="9" max="11" width="4" customWidth="1"/>
    <col min="12" max="12" width="4.44140625" bestFit="1" customWidth="1"/>
    <col min="13" max="13" width="4" customWidth="1"/>
    <col min="14" max="14" width="4.44140625" bestFit="1" customWidth="1"/>
    <col min="15" max="15" width="4" customWidth="1"/>
    <col min="16" max="16" width="4.33203125" bestFit="1" customWidth="1"/>
    <col min="17" max="17" width="3.21875" customWidth="1"/>
    <col min="18" max="18" width="1.77734375" customWidth="1"/>
    <col min="19" max="19" width="4" customWidth="1"/>
    <col min="20" max="20" width="4.44140625" bestFit="1" customWidth="1"/>
    <col min="21" max="21" width="4" customWidth="1"/>
    <col min="22" max="22" width="4.5546875" bestFit="1" customWidth="1"/>
    <col min="23" max="23" width="3.77734375" customWidth="1"/>
    <col min="24" max="24" width="4.44140625" customWidth="1"/>
    <col min="25" max="25" width="4.21875" bestFit="1" customWidth="1"/>
    <col min="26" max="26" width="4.33203125" bestFit="1" customWidth="1"/>
    <col min="27" max="27" width="3.77734375" customWidth="1"/>
    <col min="28" max="28" width="4.5546875" bestFit="1" customWidth="1"/>
    <col min="29" max="29" width="4.21875" bestFit="1" customWidth="1"/>
    <col min="30" max="30" width="4.33203125" bestFit="1" customWidth="1"/>
    <col min="31" max="31" width="3.77734375" customWidth="1"/>
    <col min="32" max="32" width="4.109375" bestFit="1" customWidth="1"/>
    <col min="33" max="34" width="3.77734375" customWidth="1"/>
    <col min="35" max="35" width="5.33203125" customWidth="1"/>
    <col min="36" max="36" width="4.33203125" customWidth="1"/>
  </cols>
  <sheetData>
    <row r="1" spans="1:37" s="5" customFormat="1" ht="14.25" customHeight="1" x14ac:dyDescent="0.2">
      <c r="A1" s="36"/>
      <c r="B1" s="27"/>
      <c r="C1" s="107" t="s">
        <v>128</v>
      </c>
      <c r="D1" s="107"/>
      <c r="E1" s="107" t="s">
        <v>129</v>
      </c>
      <c r="F1" s="107"/>
      <c r="G1" s="107" t="s">
        <v>130</v>
      </c>
      <c r="H1" s="107"/>
      <c r="I1" s="107" t="s">
        <v>131</v>
      </c>
      <c r="J1" s="107"/>
      <c r="K1" s="107" t="s">
        <v>132</v>
      </c>
      <c r="L1" s="107"/>
      <c r="M1" s="107" t="s">
        <v>133</v>
      </c>
      <c r="N1" s="107"/>
      <c r="O1" s="107" t="s">
        <v>134</v>
      </c>
      <c r="P1" s="107"/>
      <c r="Q1" s="96"/>
      <c r="R1" s="96"/>
      <c r="S1" s="107" t="s">
        <v>135</v>
      </c>
      <c r="T1" s="107"/>
      <c r="U1" s="107" t="s">
        <v>136</v>
      </c>
      <c r="V1" s="107"/>
      <c r="W1" s="107" t="s">
        <v>137</v>
      </c>
      <c r="X1" s="107"/>
      <c r="Y1" s="107" t="s">
        <v>138</v>
      </c>
      <c r="Z1" s="107"/>
      <c r="AA1" s="107" t="s">
        <v>139</v>
      </c>
      <c r="AB1" s="107"/>
      <c r="AC1" s="107" t="s">
        <v>140</v>
      </c>
      <c r="AD1" s="107"/>
      <c r="AE1" s="107" t="s">
        <v>141</v>
      </c>
      <c r="AF1" s="107"/>
      <c r="AG1" s="107" t="s">
        <v>142</v>
      </c>
      <c r="AH1" s="107"/>
      <c r="AI1" s="27"/>
      <c r="AJ1" s="27"/>
    </row>
    <row r="2" spans="1:37" x14ac:dyDescent="0.2">
      <c r="B2" s="28" t="s">
        <v>15</v>
      </c>
      <c r="C2" s="106">
        <v>1</v>
      </c>
      <c r="D2" s="106"/>
      <c r="E2" s="106">
        <v>2</v>
      </c>
      <c r="F2" s="106"/>
      <c r="G2" s="106">
        <v>3</v>
      </c>
      <c r="H2" s="106"/>
      <c r="I2" s="106">
        <v>4</v>
      </c>
      <c r="J2" s="106"/>
      <c r="K2" s="106">
        <v>5</v>
      </c>
      <c r="L2" s="106"/>
      <c r="M2" s="106">
        <v>6</v>
      </c>
      <c r="N2" s="106"/>
      <c r="O2" s="106">
        <v>7</v>
      </c>
      <c r="P2" s="106"/>
      <c r="Q2" s="88"/>
      <c r="R2" s="88"/>
      <c r="S2" s="106">
        <v>8</v>
      </c>
      <c r="T2" s="106"/>
      <c r="U2" s="106">
        <v>9</v>
      </c>
      <c r="V2" s="106"/>
      <c r="W2" s="106">
        <v>10</v>
      </c>
      <c r="X2" s="106"/>
      <c r="Y2" s="106">
        <v>11</v>
      </c>
      <c r="Z2" s="106"/>
      <c r="AA2" s="106">
        <v>12</v>
      </c>
      <c r="AB2" s="106"/>
      <c r="AC2" s="106">
        <v>13</v>
      </c>
      <c r="AD2" s="106"/>
      <c r="AE2" s="106">
        <v>14</v>
      </c>
      <c r="AF2" s="106"/>
      <c r="AG2" s="106">
        <v>15</v>
      </c>
      <c r="AH2" s="106"/>
      <c r="AI2" s="29" t="s">
        <v>14</v>
      </c>
      <c r="AJ2" s="29" t="s">
        <v>29</v>
      </c>
    </row>
    <row r="3" spans="1:37" x14ac:dyDescent="0.2">
      <c r="B3" s="28"/>
      <c r="C3" s="105" t="s">
        <v>143</v>
      </c>
      <c r="D3" s="105"/>
      <c r="E3" s="105" t="s">
        <v>35</v>
      </c>
      <c r="F3" s="105"/>
      <c r="G3" s="105" t="s">
        <v>144</v>
      </c>
      <c r="H3" s="105"/>
      <c r="I3" s="105" t="s">
        <v>34</v>
      </c>
      <c r="J3" s="105"/>
      <c r="K3" s="105" t="s">
        <v>145</v>
      </c>
      <c r="L3" s="105"/>
      <c r="M3" s="105" t="s">
        <v>143</v>
      </c>
      <c r="N3" s="105"/>
      <c r="O3" s="105" t="s">
        <v>35</v>
      </c>
      <c r="P3" s="105"/>
      <c r="Q3" s="35"/>
      <c r="R3" s="35"/>
      <c r="S3" s="105" t="s">
        <v>144</v>
      </c>
      <c r="T3" s="105"/>
      <c r="U3" s="105" t="s">
        <v>34</v>
      </c>
      <c r="V3" s="105"/>
      <c r="W3" s="105" t="s">
        <v>145</v>
      </c>
      <c r="X3" s="105"/>
      <c r="Y3" s="105" t="s">
        <v>35</v>
      </c>
      <c r="Z3" s="105"/>
      <c r="AA3" s="105" t="s">
        <v>143</v>
      </c>
      <c r="AB3" s="105"/>
      <c r="AC3" s="105" t="s">
        <v>144</v>
      </c>
      <c r="AD3" s="105"/>
      <c r="AE3" s="105" t="s">
        <v>34</v>
      </c>
      <c r="AF3" s="105"/>
      <c r="AG3" s="105" t="s">
        <v>145</v>
      </c>
      <c r="AH3" s="105"/>
      <c r="AI3" s="29"/>
      <c r="AJ3" s="29"/>
    </row>
    <row r="4" spans="1:37" s="34" customFormat="1" ht="32.25" customHeight="1" x14ac:dyDescent="0.2">
      <c r="A4" s="35"/>
      <c r="B4" s="33"/>
      <c r="C4" s="108" t="s">
        <v>152</v>
      </c>
      <c r="D4" s="108"/>
      <c r="E4" s="108" t="s">
        <v>155</v>
      </c>
      <c r="F4" s="108"/>
      <c r="G4" s="108" t="s">
        <v>156</v>
      </c>
      <c r="H4" s="108"/>
      <c r="I4" s="108" t="s">
        <v>157</v>
      </c>
      <c r="J4" s="108"/>
      <c r="K4" s="108" t="s">
        <v>147</v>
      </c>
      <c r="L4" s="108"/>
      <c r="M4" s="108" t="s">
        <v>158</v>
      </c>
      <c r="N4" s="108"/>
      <c r="O4" s="108" t="s">
        <v>160</v>
      </c>
      <c r="P4" s="108"/>
      <c r="Q4" s="95"/>
      <c r="R4" s="95"/>
      <c r="S4" s="108" t="s">
        <v>163</v>
      </c>
      <c r="T4" s="108"/>
      <c r="U4" s="108" t="s">
        <v>167</v>
      </c>
      <c r="V4" s="108"/>
      <c r="W4" s="108" t="s">
        <v>166</v>
      </c>
      <c r="X4" s="108"/>
      <c r="Y4" s="108" t="s">
        <v>10</v>
      </c>
      <c r="Z4" s="108"/>
      <c r="AA4" s="108" t="s">
        <v>168</v>
      </c>
      <c r="AB4" s="108"/>
      <c r="AC4" s="108" t="s">
        <v>23</v>
      </c>
      <c r="AD4" s="108"/>
      <c r="AE4" s="108" t="s">
        <v>178</v>
      </c>
      <c r="AF4" s="108"/>
      <c r="AG4" s="108" t="s">
        <v>179</v>
      </c>
      <c r="AH4" s="108"/>
    </row>
    <row r="5" spans="1:37" x14ac:dyDescent="0.2">
      <c r="A5" s="35">
        <v>1</v>
      </c>
      <c r="B5" s="29" t="s">
        <v>32</v>
      </c>
      <c r="C5" s="8">
        <v>96</v>
      </c>
      <c r="D5" s="94">
        <f>D6+D7</f>
        <v>19.5</v>
      </c>
      <c r="E5" s="8">
        <v>99</v>
      </c>
      <c r="F5" s="94">
        <f>F6+F7</f>
        <v>12.5</v>
      </c>
      <c r="G5" s="8"/>
      <c r="H5" s="38"/>
      <c r="I5" s="8">
        <v>94</v>
      </c>
      <c r="J5" s="94">
        <f>J6+J7</f>
        <v>18</v>
      </c>
      <c r="K5" s="8">
        <v>102</v>
      </c>
      <c r="L5" s="38">
        <f>L6+L7</f>
        <v>7</v>
      </c>
      <c r="M5" s="8">
        <v>95</v>
      </c>
      <c r="N5" s="94">
        <f>N6+N7</f>
        <v>19</v>
      </c>
      <c r="O5" s="8">
        <v>101</v>
      </c>
      <c r="P5" s="38">
        <f>P6+P7</f>
        <v>10</v>
      </c>
      <c r="Q5" s="38"/>
      <c r="R5" s="38"/>
      <c r="S5" s="8">
        <v>96</v>
      </c>
      <c r="T5" s="94">
        <f>T6+T7</f>
        <v>18</v>
      </c>
      <c r="U5" s="8">
        <v>101</v>
      </c>
      <c r="V5" s="38">
        <f>V6+V7</f>
        <v>8.5</v>
      </c>
      <c r="W5" s="8"/>
      <c r="X5" s="38"/>
      <c r="Y5" s="8">
        <v>94</v>
      </c>
      <c r="Z5" s="94">
        <f>Z6+Z7</f>
        <v>19</v>
      </c>
      <c r="AA5" s="8">
        <v>96</v>
      </c>
      <c r="AB5" s="94">
        <f>AB6+AB7</f>
        <v>17.5</v>
      </c>
      <c r="AC5" s="8">
        <v>99</v>
      </c>
      <c r="AD5" s="94">
        <f>AD6+AD7</f>
        <v>11.5</v>
      </c>
      <c r="AE5" s="8">
        <v>90</v>
      </c>
      <c r="AF5" s="94">
        <f>AF6+AF7</f>
        <v>24</v>
      </c>
      <c r="AG5" s="8">
        <v>100</v>
      </c>
      <c r="AH5" s="94">
        <f>AH6+AH7</f>
        <v>17.5</v>
      </c>
      <c r="AI5" s="40">
        <f>D5+F5+H5+J5+N5+T5+X5+Z5+AB5+AD5+AF5+AH5</f>
        <v>176.5</v>
      </c>
      <c r="AJ5" s="30">
        <f>AVERAGE(D5,F5,H5,J5,L5,N5,P5,T5,V5,X5,Z5,AB5,AD5,AF5,AH5)</f>
        <v>15.538461538461538</v>
      </c>
      <c r="AK5" t="s">
        <v>184</v>
      </c>
    </row>
    <row r="6" spans="1:37" outlineLevel="1" x14ac:dyDescent="0.2">
      <c r="B6" s="28" t="s">
        <v>43</v>
      </c>
      <c r="C6" s="8">
        <v>37</v>
      </c>
      <c r="D6" s="8">
        <v>11</v>
      </c>
      <c r="E6" s="8">
        <v>34</v>
      </c>
      <c r="F6" s="38">
        <v>11</v>
      </c>
      <c r="G6" s="8"/>
      <c r="H6" s="38"/>
      <c r="I6" s="8">
        <v>41</v>
      </c>
      <c r="J6" s="38">
        <v>9.5</v>
      </c>
      <c r="K6" s="8">
        <v>32</v>
      </c>
      <c r="L6" s="38">
        <v>5</v>
      </c>
      <c r="M6" s="8">
        <v>39</v>
      </c>
      <c r="N6" s="38">
        <v>10</v>
      </c>
      <c r="O6" s="8">
        <v>34</v>
      </c>
      <c r="P6" s="38">
        <v>7</v>
      </c>
      <c r="Q6" s="38"/>
      <c r="R6" s="38"/>
      <c r="S6" s="8">
        <v>38</v>
      </c>
      <c r="T6" s="38">
        <v>11</v>
      </c>
      <c r="U6" s="8">
        <v>33</v>
      </c>
      <c r="V6" s="38">
        <v>5.5</v>
      </c>
      <c r="W6" s="8"/>
      <c r="X6" s="38"/>
      <c r="Y6" s="8">
        <v>39</v>
      </c>
      <c r="Z6" s="38">
        <v>9</v>
      </c>
      <c r="AA6" s="8">
        <v>37</v>
      </c>
      <c r="AB6" s="38">
        <v>9.5</v>
      </c>
      <c r="AC6" s="8">
        <v>33</v>
      </c>
      <c r="AD6" s="38">
        <v>5.5</v>
      </c>
      <c r="AE6" s="8">
        <v>42</v>
      </c>
      <c r="AF6" s="38">
        <v>12</v>
      </c>
      <c r="AG6" s="8">
        <v>31</v>
      </c>
      <c r="AH6" s="38">
        <v>5.5</v>
      </c>
      <c r="AI6" s="44">
        <f>D6+F6+H6+J6+L6+N6+P6+T6+V6+X6+Z6+AB6+AD6+AF6+AH6</f>
        <v>111.5</v>
      </c>
      <c r="AJ6" s="29">
        <f>AVERAGE(C6,E6,G6,I6,K6,M6,O6,S6,U6,W6,Y6,AA6,AC6,AE6,AG6,)</f>
        <v>33.571428571428569</v>
      </c>
    </row>
    <row r="7" spans="1:37" outlineLevel="1" x14ac:dyDescent="0.2">
      <c r="A7" s="37"/>
      <c r="B7" s="31" t="s">
        <v>6</v>
      </c>
      <c r="C7" s="46">
        <v>8</v>
      </c>
      <c r="D7" s="47">
        <v>8.5</v>
      </c>
      <c r="E7" s="46">
        <v>-27</v>
      </c>
      <c r="F7" s="47">
        <v>1.5</v>
      </c>
      <c r="G7" s="46"/>
      <c r="H7" s="47"/>
      <c r="I7" s="46">
        <v>15</v>
      </c>
      <c r="J7" s="39">
        <v>8.5</v>
      </c>
      <c r="K7" s="46">
        <v>-20</v>
      </c>
      <c r="L7" s="47">
        <v>2</v>
      </c>
      <c r="M7" s="46">
        <v>9</v>
      </c>
      <c r="N7" s="47">
        <v>9</v>
      </c>
      <c r="O7" s="46">
        <v>-7</v>
      </c>
      <c r="P7" s="47">
        <v>3</v>
      </c>
      <c r="Q7" s="47"/>
      <c r="R7" s="47"/>
      <c r="S7" s="46">
        <v>12</v>
      </c>
      <c r="T7" s="47">
        <v>7</v>
      </c>
      <c r="U7" s="46">
        <v>-9</v>
      </c>
      <c r="V7" s="47">
        <v>3</v>
      </c>
      <c r="W7" s="46"/>
      <c r="X7" s="47"/>
      <c r="Y7" s="46">
        <v>18</v>
      </c>
      <c r="Z7" s="47">
        <v>10</v>
      </c>
      <c r="AA7" s="46">
        <v>4</v>
      </c>
      <c r="AB7" s="47">
        <v>8</v>
      </c>
      <c r="AC7" s="46">
        <v>1</v>
      </c>
      <c r="AD7" s="47">
        <v>6</v>
      </c>
      <c r="AE7" s="46">
        <v>25</v>
      </c>
      <c r="AF7" s="47">
        <v>12</v>
      </c>
      <c r="AG7" s="46">
        <v>17</v>
      </c>
      <c r="AH7" s="47">
        <v>12</v>
      </c>
      <c r="AI7" s="45">
        <f>D7+F7+H7+J7+L7+N7+P7+T7+V7+X7+Z7+AB7+AD7+AF7+AH7</f>
        <v>90.5</v>
      </c>
      <c r="AJ7" s="32">
        <f>AVERAGE(C7,E7,G7,I7,K7,M7,O7,S7,U7,W7,Y7,AA7,AC7,AE7,AG7)</f>
        <v>3.5384615384615383</v>
      </c>
      <c r="AK7" s="129">
        <f>C7+E7+G7+I7+K7+M7+O7+S7+U7+W7+Y7+AA7+AC7+AE7+AG7</f>
        <v>46</v>
      </c>
    </row>
    <row r="8" spans="1:37" x14ac:dyDescent="0.2">
      <c r="A8" s="35">
        <v>2</v>
      </c>
      <c r="B8" s="50" t="s">
        <v>91</v>
      </c>
      <c r="C8" s="8"/>
      <c r="D8" s="38"/>
      <c r="E8" s="8">
        <v>90</v>
      </c>
      <c r="F8" s="94">
        <f>F9+F10</f>
        <v>18</v>
      </c>
      <c r="G8" s="8">
        <v>86</v>
      </c>
      <c r="H8" s="94">
        <f>H9+H10</f>
        <v>18.5</v>
      </c>
      <c r="I8" s="8"/>
      <c r="J8" s="38"/>
      <c r="K8" s="8">
        <v>85</v>
      </c>
      <c r="L8" s="94">
        <f>L9+L10</f>
        <v>13.5</v>
      </c>
      <c r="M8" s="8">
        <v>88</v>
      </c>
      <c r="N8" s="94">
        <f>N9+N10</f>
        <v>11</v>
      </c>
      <c r="O8" s="8">
        <v>79</v>
      </c>
      <c r="P8" s="94">
        <f>P9+P10</f>
        <v>20</v>
      </c>
      <c r="Q8" s="38"/>
      <c r="R8" s="38"/>
      <c r="S8" s="8">
        <v>83</v>
      </c>
      <c r="T8" s="38">
        <f>T9+T10</f>
        <v>11</v>
      </c>
      <c r="U8" s="8">
        <v>78</v>
      </c>
      <c r="V8" s="94">
        <f>V9+V10</f>
        <v>17</v>
      </c>
      <c r="W8" s="8">
        <v>82</v>
      </c>
      <c r="X8" s="94">
        <f>X9+X10</f>
        <v>15</v>
      </c>
      <c r="Y8" s="8">
        <v>82</v>
      </c>
      <c r="Z8" s="38">
        <f>Z9+Z10</f>
        <v>8</v>
      </c>
      <c r="AA8" s="8">
        <v>77</v>
      </c>
      <c r="AB8" s="94">
        <f>AB9+AB10</f>
        <v>23</v>
      </c>
      <c r="AC8" s="8"/>
      <c r="AD8" s="38"/>
      <c r="AE8" s="8">
        <v>80</v>
      </c>
      <c r="AF8" s="94">
        <f>AF9+AF10</f>
        <v>19.5</v>
      </c>
      <c r="AG8" s="8">
        <v>78</v>
      </c>
      <c r="AH8" s="94">
        <f>AH9+AH10</f>
        <v>18</v>
      </c>
      <c r="AI8" s="40">
        <f>D8+F8+H8+J8+L8+N8+P8+V8+X8+AB8+AD8+AF8+AH8</f>
        <v>173.5</v>
      </c>
      <c r="AJ8" s="30">
        <f>AVERAGE(D8,F8,H8,J8,L8,N8,P8,T8,V8,X8,Z8,AB8,AD8,AF8,AH8)</f>
        <v>16.041666666666668</v>
      </c>
    </row>
    <row r="9" spans="1:37" outlineLevel="1" collapsed="1" x14ac:dyDescent="0.2">
      <c r="B9" s="28" t="s">
        <v>43</v>
      </c>
      <c r="C9" s="8"/>
      <c r="D9" s="8"/>
      <c r="E9" s="8">
        <v>31</v>
      </c>
      <c r="F9" s="38">
        <v>8</v>
      </c>
      <c r="G9" s="8">
        <v>34</v>
      </c>
      <c r="H9" s="38">
        <v>9.5</v>
      </c>
      <c r="I9" s="8"/>
      <c r="J9" s="38"/>
      <c r="K9" s="8">
        <v>33</v>
      </c>
      <c r="L9" s="38">
        <v>6.5</v>
      </c>
      <c r="M9" s="8">
        <v>30</v>
      </c>
      <c r="N9" s="38">
        <v>4</v>
      </c>
      <c r="O9" s="8">
        <v>39</v>
      </c>
      <c r="P9" s="38">
        <v>10</v>
      </c>
      <c r="Q9" s="38"/>
      <c r="R9" s="38"/>
      <c r="S9" s="8">
        <v>34</v>
      </c>
      <c r="T9" s="38">
        <v>8</v>
      </c>
      <c r="U9" s="8">
        <v>39</v>
      </c>
      <c r="V9" s="38">
        <v>11.5</v>
      </c>
      <c r="W9" s="8">
        <v>33</v>
      </c>
      <c r="X9" s="38">
        <v>9</v>
      </c>
      <c r="Y9" s="8">
        <v>33</v>
      </c>
      <c r="Z9" s="38">
        <v>3.5</v>
      </c>
      <c r="AA9" s="8">
        <v>38</v>
      </c>
      <c r="AB9" s="38">
        <v>11</v>
      </c>
      <c r="AC9" s="8"/>
      <c r="AD9" s="38"/>
      <c r="AE9" s="8">
        <v>36</v>
      </c>
      <c r="AF9" s="38">
        <v>8.5</v>
      </c>
      <c r="AG9" s="8">
        <v>38</v>
      </c>
      <c r="AH9" s="38">
        <v>11</v>
      </c>
      <c r="AI9" s="44">
        <f>D9+F9+H9+J9+L9+N9+P9+T9+V9+X9+Z9+AB9+AD9+AF9+AH9</f>
        <v>100.5</v>
      </c>
      <c r="AJ9" s="29">
        <f>AVERAGE(C9,E9,G9,I9,K9,M9,O9,S9,U9,W9,Y9,AA9,AC9,AE9,AG9,)</f>
        <v>32.153846153846153</v>
      </c>
    </row>
    <row r="10" spans="1:37" outlineLevel="1" x14ac:dyDescent="0.2">
      <c r="A10" s="37"/>
      <c r="B10" s="31" t="s">
        <v>6</v>
      </c>
      <c r="C10" s="46"/>
      <c r="D10" s="47"/>
      <c r="E10" s="46">
        <v>3</v>
      </c>
      <c r="F10" s="47">
        <v>10</v>
      </c>
      <c r="G10" s="46">
        <v>16</v>
      </c>
      <c r="H10" s="47">
        <v>9</v>
      </c>
      <c r="I10" s="46"/>
      <c r="J10" s="47"/>
      <c r="K10" s="46">
        <v>2</v>
      </c>
      <c r="L10" s="47">
        <v>7</v>
      </c>
      <c r="M10" s="46">
        <v>4</v>
      </c>
      <c r="N10" s="47">
        <v>7</v>
      </c>
      <c r="O10" s="46">
        <v>12</v>
      </c>
      <c r="P10" s="47">
        <v>10</v>
      </c>
      <c r="Q10" s="47"/>
      <c r="R10" s="47"/>
      <c r="S10" s="46">
        <v>-30</v>
      </c>
      <c r="T10" s="47">
        <v>3</v>
      </c>
      <c r="U10" s="46">
        <v>-3</v>
      </c>
      <c r="V10" s="47">
        <v>5.5</v>
      </c>
      <c r="W10" s="46">
        <v>-2</v>
      </c>
      <c r="X10" s="47">
        <v>6</v>
      </c>
      <c r="Y10" s="46">
        <v>-9</v>
      </c>
      <c r="Z10" s="47">
        <v>4.5</v>
      </c>
      <c r="AA10" s="46">
        <v>25</v>
      </c>
      <c r="AB10" s="47">
        <v>12</v>
      </c>
      <c r="AC10" s="46"/>
      <c r="AD10" s="47"/>
      <c r="AE10" s="46">
        <v>23</v>
      </c>
      <c r="AF10" s="47">
        <v>11</v>
      </c>
      <c r="AG10" s="46">
        <v>7</v>
      </c>
      <c r="AH10" s="47">
        <v>7</v>
      </c>
      <c r="AI10" s="45">
        <f>D10+F10+H10+J10+L10+N10+P10+T10+V10+X10+Z10+AB10+AD10+AF10+AH10</f>
        <v>92</v>
      </c>
      <c r="AJ10" s="32">
        <f>AVERAGE(C10,E10,G10,I10,K10,M10,O10,S10,U10,W10,Y10,AA10,AC10,AE10,AG10)</f>
        <v>4</v>
      </c>
      <c r="AK10" s="129">
        <f>C10+E10+G10+I10+K10+M10+O10+S10+U10+W10+Y10+AA10+AC10+AE10+AG10</f>
        <v>48</v>
      </c>
    </row>
    <row r="11" spans="1:37" x14ac:dyDescent="0.2">
      <c r="A11" s="35">
        <v>3</v>
      </c>
      <c r="B11" s="29" t="s">
        <v>10</v>
      </c>
      <c r="C11" s="8">
        <v>85</v>
      </c>
      <c r="D11" s="94">
        <f>D12+D13</f>
        <v>18.5</v>
      </c>
      <c r="E11" s="8">
        <v>85</v>
      </c>
      <c r="F11" s="94">
        <f>F12+F13</f>
        <v>19</v>
      </c>
      <c r="G11" s="8">
        <v>91</v>
      </c>
      <c r="H11" s="38">
        <f>H12+H13</f>
        <v>8</v>
      </c>
      <c r="I11" s="8">
        <v>81</v>
      </c>
      <c r="J11" s="94">
        <f>J12+J13</f>
        <v>17</v>
      </c>
      <c r="K11" s="8">
        <v>86</v>
      </c>
      <c r="L11" s="94">
        <f>L12+L13</f>
        <v>15</v>
      </c>
      <c r="M11" s="8">
        <v>81</v>
      </c>
      <c r="N11" s="94">
        <f>N12+N13</f>
        <v>16.5</v>
      </c>
      <c r="O11" s="8">
        <v>77</v>
      </c>
      <c r="P11" s="94">
        <f>P12+P13</f>
        <v>20</v>
      </c>
      <c r="Q11" s="38"/>
      <c r="R11" s="38"/>
      <c r="S11" s="8">
        <v>80</v>
      </c>
      <c r="T11" s="94">
        <f>T12+T13</f>
        <v>20.5</v>
      </c>
      <c r="U11" s="8"/>
      <c r="V11" s="38"/>
      <c r="W11" s="8">
        <v>83</v>
      </c>
      <c r="X11" s="94">
        <f>X12+X13</f>
        <v>17</v>
      </c>
      <c r="Y11" s="8">
        <v>80</v>
      </c>
      <c r="Z11" s="94">
        <f>Z12+Z13</f>
        <v>14</v>
      </c>
      <c r="AA11" s="8">
        <v>85</v>
      </c>
      <c r="AB11" s="38">
        <f>AB12+AB13</f>
        <v>9.5</v>
      </c>
      <c r="AC11" s="8">
        <v>83</v>
      </c>
      <c r="AD11" s="94">
        <f>AD12+AD13</f>
        <v>14.5</v>
      </c>
      <c r="AE11" s="8"/>
      <c r="AF11" s="38"/>
      <c r="AG11" s="8">
        <v>79</v>
      </c>
      <c r="AH11" s="38">
        <f>AH12+AH13</f>
        <v>12</v>
      </c>
      <c r="AI11" s="40">
        <f>D11+F11+J11+L11+N11+P11+T11+V11+X11+Z11+AD11+AF11</f>
        <v>172</v>
      </c>
      <c r="AJ11" s="30">
        <f>AVERAGE(D11,F11,H11,J11,L11,N11,P11,T11,V11,X11,Z11,AB11,AD11,AF11,AH11)</f>
        <v>15.5</v>
      </c>
    </row>
    <row r="12" spans="1:37" outlineLevel="1" x14ac:dyDescent="0.2">
      <c r="B12" s="28" t="s">
        <v>43</v>
      </c>
      <c r="C12" s="8">
        <v>31</v>
      </c>
      <c r="D12" s="8">
        <v>8.5</v>
      </c>
      <c r="E12" s="8">
        <v>30</v>
      </c>
      <c r="F12" s="38">
        <v>6.5</v>
      </c>
      <c r="G12" s="8">
        <v>25</v>
      </c>
      <c r="H12" s="38">
        <v>4</v>
      </c>
      <c r="I12" s="8">
        <v>36</v>
      </c>
      <c r="J12" s="38">
        <v>7</v>
      </c>
      <c r="K12" s="8">
        <v>31</v>
      </c>
      <c r="L12" s="38">
        <v>4</v>
      </c>
      <c r="M12" s="8">
        <v>36</v>
      </c>
      <c r="N12" s="38">
        <v>8.5</v>
      </c>
      <c r="O12" s="8">
        <v>40</v>
      </c>
      <c r="P12" s="38">
        <v>11</v>
      </c>
      <c r="Q12" s="38"/>
      <c r="R12" s="38"/>
      <c r="S12" s="8">
        <v>36</v>
      </c>
      <c r="T12" s="38">
        <v>9.5</v>
      </c>
      <c r="U12" s="8"/>
      <c r="V12" s="38"/>
      <c r="W12" s="8">
        <v>33</v>
      </c>
      <c r="X12" s="38">
        <v>9</v>
      </c>
      <c r="Y12" s="8">
        <v>36</v>
      </c>
      <c r="Z12" s="38">
        <v>6</v>
      </c>
      <c r="AA12" s="8">
        <v>32</v>
      </c>
      <c r="AB12" s="38">
        <v>4</v>
      </c>
      <c r="AC12" s="8">
        <v>33</v>
      </c>
      <c r="AD12" s="38">
        <v>5.5</v>
      </c>
      <c r="AE12" s="8"/>
      <c r="AF12" s="38"/>
      <c r="AG12" s="8">
        <v>37</v>
      </c>
      <c r="AH12" s="38">
        <v>10</v>
      </c>
      <c r="AI12" s="44">
        <f>D12+F12+H12+J12+L12+N12+P12+T12+V12+X12+Z12+AB12+AD12+AF12+AH12</f>
        <v>93.5</v>
      </c>
      <c r="AJ12" s="29">
        <f>AVERAGE(C12,E12,G12,I12,K12,M12,O12,S12,U12,W12,Y12,AA12,AC12,AE12,AG12,)</f>
        <v>31.142857142857142</v>
      </c>
    </row>
    <row r="13" spans="1:37" outlineLevel="1" collapsed="1" x14ac:dyDescent="0.2">
      <c r="A13" s="37"/>
      <c r="B13" s="31" t="s">
        <v>6</v>
      </c>
      <c r="C13" s="46">
        <v>10</v>
      </c>
      <c r="D13" s="47">
        <v>10</v>
      </c>
      <c r="E13" s="46">
        <v>13</v>
      </c>
      <c r="F13" s="47">
        <v>12.5</v>
      </c>
      <c r="G13" s="46">
        <v>-10</v>
      </c>
      <c r="H13" s="47">
        <v>4</v>
      </c>
      <c r="I13" s="46">
        <v>16</v>
      </c>
      <c r="J13" s="47">
        <v>10</v>
      </c>
      <c r="K13" s="46">
        <v>17</v>
      </c>
      <c r="L13" s="47">
        <v>11</v>
      </c>
      <c r="M13" s="46">
        <v>8</v>
      </c>
      <c r="N13" s="47">
        <v>8</v>
      </c>
      <c r="O13" s="46">
        <v>10</v>
      </c>
      <c r="P13" s="47">
        <v>9</v>
      </c>
      <c r="Q13" s="47"/>
      <c r="R13" s="47"/>
      <c r="S13" s="46">
        <v>20</v>
      </c>
      <c r="T13" s="47">
        <v>11</v>
      </c>
      <c r="U13" s="46"/>
      <c r="V13" s="47"/>
      <c r="W13" s="46">
        <v>6</v>
      </c>
      <c r="X13" s="47">
        <v>8</v>
      </c>
      <c r="Y13" s="46">
        <v>14</v>
      </c>
      <c r="Z13" s="47">
        <v>8</v>
      </c>
      <c r="AA13" s="46">
        <v>-6</v>
      </c>
      <c r="AB13" s="47">
        <v>5.5</v>
      </c>
      <c r="AC13" s="46">
        <v>10</v>
      </c>
      <c r="AD13" s="47">
        <v>9</v>
      </c>
      <c r="AE13" s="46"/>
      <c r="AF13" s="47"/>
      <c r="AG13" s="46">
        <v>-21</v>
      </c>
      <c r="AH13" s="47">
        <v>2</v>
      </c>
      <c r="AI13" s="45">
        <f>D13+F13+H13+J13+L13+N13+P13+T13+V13+X13+Z13+AB13+AD13+AF13+AH13</f>
        <v>108</v>
      </c>
      <c r="AJ13" s="32">
        <f>AVERAGE(C13,E13,G13,I13,K13,M13,O13,S13,U13,W13,Y13,AA13,AC13,AE13,AG13)</f>
        <v>6.6923076923076925</v>
      </c>
      <c r="AK13" s="129">
        <f>C13+E13+G13+I13+K13+M13+O13+S13+U13+W13+Y13+AA13+AC13+AE13+AG13</f>
        <v>87</v>
      </c>
    </row>
    <row r="14" spans="1:37" x14ac:dyDescent="0.2">
      <c r="A14" s="35">
        <v>4</v>
      </c>
      <c r="B14" s="29" t="s">
        <v>5</v>
      </c>
      <c r="C14" s="8">
        <v>91</v>
      </c>
      <c r="D14" s="94">
        <f>D15+D16</f>
        <v>16</v>
      </c>
      <c r="E14" s="8">
        <v>92</v>
      </c>
      <c r="F14" s="94">
        <f>F15+F16</f>
        <v>24</v>
      </c>
      <c r="G14" s="8">
        <v>87</v>
      </c>
      <c r="H14" s="94">
        <f>H15+H16</f>
        <v>23</v>
      </c>
      <c r="I14" s="8"/>
      <c r="J14" s="38"/>
      <c r="K14" s="8">
        <v>87</v>
      </c>
      <c r="L14" s="94">
        <f>L15+L16</f>
        <v>20</v>
      </c>
      <c r="M14" s="8">
        <v>91</v>
      </c>
      <c r="N14" s="94">
        <f>N15+N16</f>
        <v>11.5</v>
      </c>
      <c r="O14" s="8">
        <v>95</v>
      </c>
      <c r="P14" s="94">
        <f>P15+P16</f>
        <v>16</v>
      </c>
      <c r="Q14" s="38"/>
      <c r="R14" s="38"/>
      <c r="S14" s="8">
        <v>96</v>
      </c>
      <c r="T14" s="38">
        <f>T15+T16</f>
        <v>7</v>
      </c>
      <c r="U14" s="8">
        <v>92</v>
      </c>
      <c r="V14" s="94">
        <f>V15+V16</f>
        <v>13</v>
      </c>
      <c r="W14" s="8"/>
      <c r="X14" s="38"/>
      <c r="Y14" s="8">
        <v>85</v>
      </c>
      <c r="Z14" s="94">
        <f>Z15+Z16</f>
        <v>13</v>
      </c>
      <c r="AA14" s="8">
        <v>86</v>
      </c>
      <c r="AB14" s="94">
        <f>AB15+AB16</f>
        <v>18</v>
      </c>
      <c r="AC14" s="8">
        <v>98</v>
      </c>
      <c r="AD14" s="38">
        <f>AD15+AD16</f>
        <v>2.5</v>
      </c>
      <c r="AE14" s="8"/>
      <c r="AF14" s="38"/>
      <c r="AG14" s="8">
        <v>94</v>
      </c>
      <c r="AH14" s="94">
        <f>AH15+AH16</f>
        <v>14.5</v>
      </c>
      <c r="AI14" s="40">
        <f>D14+F14+H14+J14+L14+N14+P14+V14+X14+Z14+AB14+AF14+AH14</f>
        <v>169</v>
      </c>
      <c r="AJ14" s="30">
        <f>AVERAGE(D14,F14,H14,J14,L14,N14,P14,T14,V14,X14,Z14,AB14,AD14,AF14,AH14)</f>
        <v>14.875</v>
      </c>
    </row>
    <row r="15" spans="1:37" outlineLevel="1" x14ac:dyDescent="0.2">
      <c r="B15" s="28" t="s">
        <v>43</v>
      </c>
      <c r="C15" s="8">
        <v>35</v>
      </c>
      <c r="D15" s="38">
        <v>10</v>
      </c>
      <c r="E15" s="8">
        <v>33</v>
      </c>
      <c r="F15" s="38">
        <v>10</v>
      </c>
      <c r="G15" s="8">
        <v>38</v>
      </c>
      <c r="H15" s="38">
        <v>11</v>
      </c>
      <c r="I15" s="8"/>
      <c r="J15" s="38"/>
      <c r="K15" s="8">
        <v>37</v>
      </c>
      <c r="L15" s="38">
        <v>10.5</v>
      </c>
      <c r="M15" s="8">
        <v>33</v>
      </c>
      <c r="N15" s="38">
        <v>6.5</v>
      </c>
      <c r="O15" s="8">
        <v>31</v>
      </c>
      <c r="P15" s="38">
        <v>4</v>
      </c>
      <c r="Q15" s="38"/>
      <c r="R15" s="38"/>
      <c r="S15" s="8">
        <v>29</v>
      </c>
      <c r="T15" s="38">
        <v>5</v>
      </c>
      <c r="U15" s="8">
        <v>32</v>
      </c>
      <c r="V15" s="38">
        <v>4</v>
      </c>
      <c r="W15" s="8"/>
      <c r="X15" s="38"/>
      <c r="Y15" s="8">
        <v>37</v>
      </c>
      <c r="Z15" s="38">
        <v>7</v>
      </c>
      <c r="AA15" s="8">
        <v>36</v>
      </c>
      <c r="AB15" s="38">
        <v>8</v>
      </c>
      <c r="AC15" s="8">
        <v>24</v>
      </c>
      <c r="AD15" s="38">
        <v>1</v>
      </c>
      <c r="AE15" s="8"/>
      <c r="AF15" s="38"/>
      <c r="AG15" s="8">
        <v>30</v>
      </c>
      <c r="AH15" s="38">
        <v>4</v>
      </c>
      <c r="AI15" s="44">
        <f>D15+F15+H15+J15+L15+N15+P15+T15+V15+X15+Z15+AB15+AD15+AF15+AH15</f>
        <v>81</v>
      </c>
      <c r="AJ15" s="29">
        <f>AVERAGE(C15,E15,G15,I15,K15,M15,O15,S15,U15,W15,Y15,AA15,AC15,AE15,AG15,)</f>
        <v>30.384615384615383</v>
      </c>
    </row>
    <row r="16" spans="1:37" outlineLevel="1" x14ac:dyDescent="0.2">
      <c r="A16" s="37"/>
      <c r="B16" s="31" t="s">
        <v>6</v>
      </c>
      <c r="C16" s="46">
        <v>2</v>
      </c>
      <c r="D16" s="47">
        <v>6</v>
      </c>
      <c r="E16" s="46">
        <v>17</v>
      </c>
      <c r="F16" s="47">
        <v>14</v>
      </c>
      <c r="G16" s="46">
        <v>27</v>
      </c>
      <c r="H16" s="47">
        <v>12</v>
      </c>
      <c r="I16" s="46"/>
      <c r="J16" s="47"/>
      <c r="K16" s="46">
        <v>6</v>
      </c>
      <c r="L16" s="47">
        <v>9.5</v>
      </c>
      <c r="M16" s="46">
        <v>-3</v>
      </c>
      <c r="N16" s="47">
        <v>5</v>
      </c>
      <c r="O16" s="46">
        <v>20</v>
      </c>
      <c r="P16" s="47">
        <v>12</v>
      </c>
      <c r="Q16" s="47"/>
      <c r="R16" s="47"/>
      <c r="S16" s="46">
        <v>-31</v>
      </c>
      <c r="T16" s="47">
        <v>2</v>
      </c>
      <c r="U16" s="46">
        <v>13</v>
      </c>
      <c r="V16" s="47">
        <v>9</v>
      </c>
      <c r="W16" s="46"/>
      <c r="X16" s="47"/>
      <c r="Y16" s="46">
        <v>3</v>
      </c>
      <c r="Z16" s="47">
        <v>6</v>
      </c>
      <c r="AA16" s="46">
        <v>14</v>
      </c>
      <c r="AB16" s="47">
        <v>10</v>
      </c>
      <c r="AC16" s="46">
        <v>-34</v>
      </c>
      <c r="AD16" s="47">
        <v>1.5</v>
      </c>
      <c r="AE16" s="46"/>
      <c r="AF16" s="47"/>
      <c r="AG16" s="46">
        <v>15</v>
      </c>
      <c r="AH16" s="47">
        <v>10.5</v>
      </c>
      <c r="AI16" s="45">
        <f>D16+F16+H16+J16+L16+N16+P16+T16+V16+X16+Z16+AB16+AD16+AF16+AH16</f>
        <v>97.5</v>
      </c>
      <c r="AJ16" s="32">
        <f>AVERAGE(C16,E16,G16,I16,K16,M16,O16,S16,U16,W16,Y16,AA16,AC16,AE16,AG16)</f>
        <v>4.083333333333333</v>
      </c>
      <c r="AK16" s="129">
        <f>C16+E16+G16+I16+K16+M16+O16+S16+U16+W16+Y16+AA16+AC16+AE16+AG16</f>
        <v>49</v>
      </c>
    </row>
    <row r="17" spans="1:37" x14ac:dyDescent="0.2">
      <c r="A17" s="35">
        <v>5</v>
      </c>
      <c r="B17" s="29" t="s">
        <v>65</v>
      </c>
      <c r="C17" s="8">
        <v>103</v>
      </c>
      <c r="D17" s="94">
        <f>D18+D19</f>
        <v>18.5</v>
      </c>
      <c r="E17" s="8">
        <v>95</v>
      </c>
      <c r="F17" s="94">
        <f>F18+F19</f>
        <v>22.5</v>
      </c>
      <c r="G17" s="8"/>
      <c r="H17" s="38"/>
      <c r="I17" s="8"/>
      <c r="J17" s="38"/>
      <c r="K17" s="8">
        <v>97</v>
      </c>
      <c r="L17" s="94">
        <f>L18+L19</f>
        <v>14</v>
      </c>
      <c r="M17" s="8">
        <v>92</v>
      </c>
      <c r="N17" s="94">
        <f>N18+N19</f>
        <v>23</v>
      </c>
      <c r="O17" s="8">
        <v>100</v>
      </c>
      <c r="P17" s="94">
        <f>P18+P19</f>
        <v>10.5</v>
      </c>
      <c r="Q17" s="38"/>
      <c r="R17" s="38"/>
      <c r="S17" s="8">
        <v>107</v>
      </c>
      <c r="T17" s="94">
        <f>T18+T19</f>
        <v>3</v>
      </c>
      <c r="U17" s="8">
        <v>94</v>
      </c>
      <c r="V17" s="94">
        <f>V18+V19</f>
        <v>23</v>
      </c>
      <c r="W17" s="8">
        <v>101</v>
      </c>
      <c r="X17" s="94">
        <f>X18+X19</f>
        <v>8</v>
      </c>
      <c r="Y17" s="8">
        <v>99</v>
      </c>
      <c r="Z17" s="94">
        <f>Z18+Z19</f>
        <v>6.5</v>
      </c>
      <c r="AA17" s="8">
        <v>105</v>
      </c>
      <c r="AB17" s="38">
        <f>AB18+AB19</f>
        <v>3</v>
      </c>
      <c r="AC17" s="8"/>
      <c r="AD17" s="38"/>
      <c r="AE17" s="8">
        <v>92</v>
      </c>
      <c r="AF17" s="94">
        <f>AF18+AF19</f>
        <v>21</v>
      </c>
      <c r="AG17" s="8">
        <v>97</v>
      </c>
      <c r="AH17" s="94">
        <f>AH18+AH19</f>
        <v>19</v>
      </c>
      <c r="AI17" s="40">
        <f>D17+F17+H17+J17+L17+N17+P17+V17+X17+Z17+AD17+AF17+AH17</f>
        <v>166</v>
      </c>
      <c r="AJ17" s="30">
        <f>AVERAGE(D17,F17,H17,J17,L17,N17,P17,T17,V17,X17,Z17,AB17,AD17,AF17,AH17)</f>
        <v>14.333333333333334</v>
      </c>
    </row>
    <row r="18" spans="1:37" outlineLevel="1" x14ac:dyDescent="0.2">
      <c r="B18" s="28" t="s">
        <v>43</v>
      </c>
      <c r="C18" s="8">
        <v>30</v>
      </c>
      <c r="D18" s="8">
        <v>6.5</v>
      </c>
      <c r="E18" s="8">
        <v>37</v>
      </c>
      <c r="F18" s="38">
        <v>14.5</v>
      </c>
      <c r="G18" s="8"/>
      <c r="H18" s="38"/>
      <c r="I18" s="8"/>
      <c r="J18" s="38"/>
      <c r="K18" s="8">
        <v>36</v>
      </c>
      <c r="L18" s="38">
        <v>9</v>
      </c>
      <c r="M18" s="8">
        <v>41</v>
      </c>
      <c r="N18" s="38">
        <v>11</v>
      </c>
      <c r="O18" s="8">
        <v>33</v>
      </c>
      <c r="P18" s="38">
        <v>6</v>
      </c>
      <c r="Q18" s="38"/>
      <c r="R18" s="38"/>
      <c r="S18" s="8">
        <v>26</v>
      </c>
      <c r="T18" s="38">
        <v>2</v>
      </c>
      <c r="U18" s="8">
        <v>39</v>
      </c>
      <c r="V18" s="38">
        <v>11.5</v>
      </c>
      <c r="W18" s="8">
        <v>31</v>
      </c>
      <c r="X18" s="38">
        <v>5.5</v>
      </c>
      <c r="Y18" s="8">
        <v>33</v>
      </c>
      <c r="Z18" s="38">
        <v>3.5</v>
      </c>
      <c r="AA18" s="8">
        <v>27</v>
      </c>
      <c r="AB18" s="38">
        <v>2</v>
      </c>
      <c r="AC18" s="8"/>
      <c r="AD18" s="38"/>
      <c r="AE18" s="8">
        <v>40</v>
      </c>
      <c r="AF18" s="38">
        <v>11</v>
      </c>
      <c r="AG18" s="8">
        <v>36</v>
      </c>
      <c r="AH18" s="38">
        <v>8.5</v>
      </c>
      <c r="AI18" s="44">
        <f>D18+F18+H18+J18+L18+N18+P18+T18+V18+X18+Z18+AB18+AD18+AF18+AH18</f>
        <v>91</v>
      </c>
      <c r="AJ18" s="29">
        <f>AVERAGE(C18,E18,G18,I18,K18,M18,O18,S18,U18,W18,Y18,AA18,AC18,AE18,AG18,)</f>
        <v>31.46153846153846</v>
      </c>
    </row>
    <row r="19" spans="1:37" outlineLevel="1" x14ac:dyDescent="0.2">
      <c r="A19" s="37"/>
      <c r="B19" s="31" t="s">
        <v>6</v>
      </c>
      <c r="C19" s="46">
        <v>18</v>
      </c>
      <c r="D19" s="47">
        <v>12</v>
      </c>
      <c r="E19" s="46">
        <v>-1</v>
      </c>
      <c r="F19" s="47">
        <v>8</v>
      </c>
      <c r="G19" s="46"/>
      <c r="H19" s="47"/>
      <c r="I19" s="46"/>
      <c r="J19" s="47"/>
      <c r="K19" s="46">
        <v>-10</v>
      </c>
      <c r="L19" s="47">
        <v>5</v>
      </c>
      <c r="M19" s="46">
        <v>18</v>
      </c>
      <c r="N19" s="47">
        <v>12</v>
      </c>
      <c r="O19" s="46">
        <v>-6</v>
      </c>
      <c r="P19" s="47">
        <v>4.5</v>
      </c>
      <c r="Q19" s="47"/>
      <c r="R19" s="47"/>
      <c r="S19" s="46">
        <v>-36</v>
      </c>
      <c r="T19" s="47">
        <v>1</v>
      </c>
      <c r="U19" s="46">
        <v>19</v>
      </c>
      <c r="V19" s="47">
        <v>11.5</v>
      </c>
      <c r="W19" s="46">
        <v>-15</v>
      </c>
      <c r="X19" s="47">
        <v>2.5</v>
      </c>
      <c r="Y19" s="46">
        <v>-44</v>
      </c>
      <c r="Z19" s="47">
        <v>3</v>
      </c>
      <c r="AA19" s="46">
        <v>-21</v>
      </c>
      <c r="AB19" s="47">
        <v>1</v>
      </c>
      <c r="AC19" s="46"/>
      <c r="AD19" s="47"/>
      <c r="AE19" s="46">
        <v>21</v>
      </c>
      <c r="AF19" s="47">
        <v>10</v>
      </c>
      <c r="AG19" s="46">
        <v>15</v>
      </c>
      <c r="AH19" s="47">
        <v>10.5</v>
      </c>
      <c r="AI19" s="45">
        <f>D19+F19+H19+J19+L19+N19+P19+T19+V19+X19+Z19+AB19+AD19+AF19+AH19</f>
        <v>81</v>
      </c>
      <c r="AJ19" s="32">
        <f>AVERAGE(C19,E19,G19,I19,K19,M19,O19,S19,U19,W19,Y19,AA19,AC19,AE19,AG19)</f>
        <v>-3.5</v>
      </c>
      <c r="AK19" s="129">
        <f>C19+E19+G19+I19+K19+M19+O19+S19+U19+W19+Y19+AA19+AC19+AE19+AG19</f>
        <v>-42</v>
      </c>
    </row>
    <row r="20" spans="1:37" x14ac:dyDescent="0.2">
      <c r="A20" s="35">
        <v>6</v>
      </c>
      <c r="B20" s="50" t="s">
        <v>68</v>
      </c>
      <c r="C20" s="8">
        <v>95</v>
      </c>
      <c r="D20" s="94">
        <f>D21+D22</f>
        <v>15.5</v>
      </c>
      <c r="E20" s="8">
        <v>90</v>
      </c>
      <c r="F20" s="94">
        <f>F21+F22</f>
        <v>27.5</v>
      </c>
      <c r="G20" s="8">
        <v>86</v>
      </c>
      <c r="H20" s="94">
        <f>H21+H22</f>
        <v>19.5</v>
      </c>
      <c r="I20" s="8">
        <v>89</v>
      </c>
      <c r="J20" s="94">
        <f>J21+J22</f>
        <v>10</v>
      </c>
      <c r="K20" s="8"/>
      <c r="L20" s="38"/>
      <c r="M20" s="8">
        <v>94</v>
      </c>
      <c r="N20" s="38">
        <f>N21+N22</f>
        <v>7</v>
      </c>
      <c r="O20" s="8">
        <v>90</v>
      </c>
      <c r="P20" s="94">
        <f>P21+P22</f>
        <v>10</v>
      </c>
      <c r="Q20" s="38"/>
      <c r="R20" s="38"/>
      <c r="S20" s="8">
        <v>84</v>
      </c>
      <c r="T20" s="94">
        <f>T21+T22</f>
        <v>24</v>
      </c>
      <c r="U20" s="8">
        <v>92</v>
      </c>
      <c r="V20" s="94">
        <f>V21+V22</f>
        <v>13</v>
      </c>
      <c r="W20" s="8">
        <v>94</v>
      </c>
      <c r="X20" s="94">
        <f>X21+X22</f>
        <v>12</v>
      </c>
      <c r="Y20" s="8"/>
      <c r="Z20" s="38"/>
      <c r="AA20" s="8">
        <v>90</v>
      </c>
      <c r="AB20" s="38">
        <f>AB21+AB22</f>
        <v>9</v>
      </c>
      <c r="AC20" s="8">
        <v>88</v>
      </c>
      <c r="AD20" s="94">
        <f>AD21+AD22</f>
        <v>19.5</v>
      </c>
      <c r="AE20" s="8">
        <v>85</v>
      </c>
      <c r="AF20" s="94">
        <f>AF21+AF22</f>
        <v>14</v>
      </c>
      <c r="AG20" s="8"/>
      <c r="AH20" s="38"/>
      <c r="AI20" s="40">
        <f>D20+F20+H20+J20+L20+P20+T20+V20+X20+Z20+AD20+AF20+AH20</f>
        <v>165</v>
      </c>
      <c r="AJ20" s="30">
        <f>AVERAGE(D20,F20,H20,J20,L20,N20,P20,T20,V20,X20,Z20,AB20,AD20,AF20,AH20)</f>
        <v>15.083333333333334</v>
      </c>
    </row>
    <row r="21" spans="1:37" outlineLevel="1" collapsed="1" x14ac:dyDescent="0.2">
      <c r="B21" s="28" t="s">
        <v>43</v>
      </c>
      <c r="C21" s="8">
        <v>31</v>
      </c>
      <c r="D21" s="8">
        <v>8.5</v>
      </c>
      <c r="E21" s="8">
        <v>35</v>
      </c>
      <c r="F21" s="38">
        <v>12.5</v>
      </c>
      <c r="G21" s="8">
        <v>39</v>
      </c>
      <c r="H21" s="38">
        <v>12</v>
      </c>
      <c r="I21" s="8">
        <v>36</v>
      </c>
      <c r="J21" s="38">
        <v>7</v>
      </c>
      <c r="K21" s="8"/>
      <c r="L21" s="38"/>
      <c r="M21" s="8">
        <v>31</v>
      </c>
      <c r="N21" s="38">
        <v>5</v>
      </c>
      <c r="O21" s="8">
        <v>35</v>
      </c>
      <c r="P21" s="38">
        <v>8</v>
      </c>
      <c r="Q21" s="38"/>
      <c r="R21" s="38"/>
      <c r="S21" s="8">
        <v>41</v>
      </c>
      <c r="T21" s="38">
        <v>12</v>
      </c>
      <c r="U21" s="8">
        <v>33</v>
      </c>
      <c r="V21" s="38">
        <v>5.5</v>
      </c>
      <c r="W21" s="8">
        <v>30</v>
      </c>
      <c r="X21" s="38">
        <v>3</v>
      </c>
      <c r="Y21" s="8"/>
      <c r="Z21" s="38"/>
      <c r="AA21" s="8">
        <v>33</v>
      </c>
      <c r="AB21" s="38">
        <v>5</v>
      </c>
      <c r="AC21" s="8">
        <v>36</v>
      </c>
      <c r="AD21" s="38">
        <v>9.5</v>
      </c>
      <c r="AE21" s="8">
        <v>39</v>
      </c>
      <c r="AF21" s="38">
        <v>10</v>
      </c>
      <c r="AG21" s="8"/>
      <c r="AH21" s="38"/>
      <c r="AI21" s="44">
        <f>D21+F21+H21+J21+L21+N21+P21+T21+V21+X21+Z21+AB21+AD21+AF21+AH21</f>
        <v>98</v>
      </c>
      <c r="AJ21" s="29">
        <f>AVERAGE(C21,E21,G21,I21,K21,M21,O21,S21,U21,W21,Y21,AA21,AC21,AE21,AG21,)</f>
        <v>32.230769230769234</v>
      </c>
    </row>
    <row r="22" spans="1:37" outlineLevel="1" x14ac:dyDescent="0.2">
      <c r="A22" s="37"/>
      <c r="B22" s="31" t="s">
        <v>6</v>
      </c>
      <c r="C22" s="46">
        <v>6</v>
      </c>
      <c r="D22" s="47">
        <v>7</v>
      </c>
      <c r="E22" s="46">
        <v>19</v>
      </c>
      <c r="F22" s="47">
        <v>15</v>
      </c>
      <c r="G22" s="46">
        <v>14</v>
      </c>
      <c r="H22" s="47">
        <v>7.5</v>
      </c>
      <c r="I22" s="46">
        <v>-27</v>
      </c>
      <c r="J22" s="47">
        <v>3</v>
      </c>
      <c r="K22" s="46"/>
      <c r="L22" s="47"/>
      <c r="M22" s="46">
        <v>-10</v>
      </c>
      <c r="N22" s="47">
        <v>2</v>
      </c>
      <c r="O22" s="46">
        <v>-8</v>
      </c>
      <c r="P22" s="47">
        <v>2</v>
      </c>
      <c r="Q22" s="47"/>
      <c r="R22" s="47"/>
      <c r="S22" s="46">
        <v>36</v>
      </c>
      <c r="T22" s="47">
        <v>12</v>
      </c>
      <c r="U22" s="46">
        <v>11</v>
      </c>
      <c r="V22" s="47">
        <v>7.5</v>
      </c>
      <c r="W22" s="46">
        <v>7</v>
      </c>
      <c r="X22" s="47">
        <v>9</v>
      </c>
      <c r="Y22" s="46"/>
      <c r="Z22" s="47"/>
      <c r="AA22" s="46">
        <v>-8</v>
      </c>
      <c r="AB22" s="47">
        <v>4</v>
      </c>
      <c r="AC22" s="46">
        <v>16</v>
      </c>
      <c r="AD22" s="47">
        <v>10</v>
      </c>
      <c r="AE22" s="46">
        <v>-7</v>
      </c>
      <c r="AF22" s="47">
        <v>4</v>
      </c>
      <c r="AG22" s="46"/>
      <c r="AH22" s="47"/>
      <c r="AI22" s="45">
        <f>D22+F22+H22+J22+L22+N22+P22+T22+V22+X22+Z22+AB22+AD22+AF22+AH22</f>
        <v>83</v>
      </c>
      <c r="AJ22" s="32">
        <f>AVERAGE(C22,E22,G22,I22,K22,M22,O22,S22,U22,W22,Y22,AA22,AC22,AE22,AG22)</f>
        <v>4.083333333333333</v>
      </c>
      <c r="AK22" s="129">
        <f>C22+E22+G22+I22+K22+M22+O22+S22+U22+W22+Y22+AA22+AC22+AE22+AG22</f>
        <v>49</v>
      </c>
    </row>
    <row r="23" spans="1:37" x14ac:dyDescent="0.2">
      <c r="A23" s="35">
        <v>7</v>
      </c>
      <c r="B23" s="29" t="s">
        <v>46</v>
      </c>
      <c r="C23" s="8">
        <v>86</v>
      </c>
      <c r="D23" s="94">
        <f>D24+D25</f>
        <v>7.5</v>
      </c>
      <c r="E23" s="8"/>
      <c r="F23" s="38"/>
      <c r="G23" s="8">
        <v>86</v>
      </c>
      <c r="H23" s="94">
        <f>H24+H25</f>
        <v>17</v>
      </c>
      <c r="I23" s="8">
        <v>81</v>
      </c>
      <c r="J23" s="94">
        <f>J24+J25</f>
        <v>10</v>
      </c>
      <c r="K23" s="8">
        <v>80</v>
      </c>
      <c r="L23" s="94">
        <f>L24+L25</f>
        <v>12</v>
      </c>
      <c r="M23" s="8">
        <v>79</v>
      </c>
      <c r="N23" s="94">
        <f>N24+N25</f>
        <v>19.5</v>
      </c>
      <c r="O23" s="8"/>
      <c r="P23" s="38"/>
      <c r="Q23" s="38"/>
      <c r="R23" s="38"/>
      <c r="S23" s="8"/>
      <c r="T23" s="38"/>
      <c r="U23" s="8">
        <v>94</v>
      </c>
      <c r="V23" s="94">
        <f>V24+V25</f>
        <v>7.5</v>
      </c>
      <c r="W23" s="8">
        <v>83</v>
      </c>
      <c r="X23" s="94">
        <f>X24+X25</f>
        <v>11</v>
      </c>
      <c r="Y23" s="8">
        <v>74</v>
      </c>
      <c r="Z23" s="94">
        <f>Z24+Z25</f>
        <v>19</v>
      </c>
      <c r="AA23" s="8">
        <v>76</v>
      </c>
      <c r="AB23" s="94">
        <f>AB24+AB25</f>
        <v>17.5</v>
      </c>
      <c r="AC23" s="8">
        <v>91</v>
      </c>
      <c r="AD23" s="38">
        <f>AD24+AD25</f>
        <v>5</v>
      </c>
      <c r="AE23" s="8"/>
      <c r="AF23" s="38"/>
      <c r="AG23" s="8">
        <v>76</v>
      </c>
      <c r="AH23" s="94">
        <f>AH24+AH25</f>
        <v>20.5</v>
      </c>
      <c r="AI23" s="40">
        <f>D23+F23+H23+J23+L23+N23+P23+T23+V23+X23+Z23+AB23+AF23+AH23</f>
        <v>141.5</v>
      </c>
      <c r="AJ23" s="30">
        <f>AVERAGE(D23,F23,H23,J23,L23,N23,P23,T23,V23,X23,Z23,AB23,AD23,AF23,AH23)</f>
        <v>13.318181818181818</v>
      </c>
    </row>
    <row r="24" spans="1:37" outlineLevel="1" x14ac:dyDescent="0.2">
      <c r="B24" s="28" t="s">
        <v>43</v>
      </c>
      <c r="C24" s="8">
        <v>30</v>
      </c>
      <c r="D24" s="8">
        <v>6.5</v>
      </c>
      <c r="E24" s="8"/>
      <c r="F24" s="38"/>
      <c r="G24" s="8">
        <v>31</v>
      </c>
      <c r="H24" s="38">
        <v>7</v>
      </c>
      <c r="I24" s="8">
        <v>34</v>
      </c>
      <c r="J24" s="38">
        <v>4</v>
      </c>
      <c r="K24" s="8">
        <v>35</v>
      </c>
      <c r="L24" s="38">
        <v>8</v>
      </c>
      <c r="M24" s="8">
        <v>36</v>
      </c>
      <c r="N24" s="38">
        <v>8.5</v>
      </c>
      <c r="O24" s="8"/>
      <c r="P24" s="38"/>
      <c r="Q24" s="38"/>
      <c r="R24" s="38"/>
      <c r="S24" s="8"/>
      <c r="T24" s="38"/>
      <c r="U24" s="8">
        <v>25</v>
      </c>
      <c r="V24" s="38">
        <v>2</v>
      </c>
      <c r="W24" s="8">
        <v>32</v>
      </c>
      <c r="X24" s="38">
        <v>7</v>
      </c>
      <c r="Y24" s="8">
        <v>42</v>
      </c>
      <c r="Z24" s="38">
        <v>10</v>
      </c>
      <c r="AA24" s="8">
        <v>40</v>
      </c>
      <c r="AB24" s="38">
        <v>12</v>
      </c>
      <c r="AC24" s="8">
        <v>26</v>
      </c>
      <c r="AD24" s="38">
        <v>2</v>
      </c>
      <c r="AE24" s="8"/>
      <c r="AF24" s="38"/>
      <c r="AG24" s="8">
        <v>39</v>
      </c>
      <c r="AH24" s="38">
        <v>12</v>
      </c>
      <c r="AI24" s="44">
        <f>D24+F24+H24+J24+L24+N24+P24+T24+V24+X24+Z24+AB24+AD24+AF24+AH24</f>
        <v>79</v>
      </c>
      <c r="AJ24" s="29">
        <f>AVERAGE(C24,E24,G24,I24,K24,M24,O24,S24,U24,W24,Y24,AA24,AC24,AE24,AG24,)</f>
        <v>30.833333333333332</v>
      </c>
    </row>
    <row r="25" spans="1:37" outlineLevel="1" collapsed="1" x14ac:dyDescent="0.2">
      <c r="A25" s="37"/>
      <c r="B25" s="31" t="s">
        <v>6</v>
      </c>
      <c r="C25" s="46">
        <v>-28</v>
      </c>
      <c r="D25" s="47">
        <v>1</v>
      </c>
      <c r="E25" s="46"/>
      <c r="F25" s="47"/>
      <c r="G25" s="46">
        <v>17</v>
      </c>
      <c r="H25" s="47">
        <v>10</v>
      </c>
      <c r="I25" s="46">
        <v>-3</v>
      </c>
      <c r="J25" s="47">
        <v>6</v>
      </c>
      <c r="K25" s="46">
        <v>-12</v>
      </c>
      <c r="L25" s="47">
        <v>4</v>
      </c>
      <c r="M25" s="46">
        <v>12</v>
      </c>
      <c r="N25" s="47">
        <v>11</v>
      </c>
      <c r="O25" s="46"/>
      <c r="P25" s="47"/>
      <c r="Q25" s="47"/>
      <c r="R25" s="47"/>
      <c r="S25" s="46"/>
      <c r="T25" s="47"/>
      <c r="U25" s="46">
        <v>-3</v>
      </c>
      <c r="V25" s="47">
        <v>5.5</v>
      </c>
      <c r="W25" s="46">
        <v>-9</v>
      </c>
      <c r="X25" s="47">
        <v>4</v>
      </c>
      <c r="Y25" s="46">
        <v>15</v>
      </c>
      <c r="Z25" s="47">
        <v>9</v>
      </c>
      <c r="AA25" s="46">
        <v>-6</v>
      </c>
      <c r="AB25" s="47">
        <v>5.5</v>
      </c>
      <c r="AC25" s="46">
        <v>-4</v>
      </c>
      <c r="AD25" s="47">
        <v>3</v>
      </c>
      <c r="AE25" s="46"/>
      <c r="AF25" s="47"/>
      <c r="AG25" s="46">
        <v>9</v>
      </c>
      <c r="AH25" s="47">
        <v>8.5</v>
      </c>
      <c r="AI25" s="45">
        <f>D25+F25+H25+J25+L25+N25+P25+T25+V25+X25+Z25+AB25+AD25+AF25+AH25</f>
        <v>67.5</v>
      </c>
      <c r="AJ25" s="32">
        <f>AVERAGE(C25,E25,G25,I25,K25,M25,O25,S25,U25,W25,Y25,AA25,AC25,AE25,AG25)</f>
        <v>-1.0909090909090908</v>
      </c>
      <c r="AK25" s="129">
        <f>C25+E25+G25+I25+K25+M25+O25+S25+U25+W25+Y25+AA25+AC25+AE25+AG25</f>
        <v>-12</v>
      </c>
    </row>
    <row r="26" spans="1:37" x14ac:dyDescent="0.2">
      <c r="A26" s="35">
        <v>8</v>
      </c>
      <c r="B26" s="29" t="s">
        <v>3</v>
      </c>
      <c r="C26" s="8">
        <v>76</v>
      </c>
      <c r="D26" s="94">
        <f>D27+D28</f>
        <v>23</v>
      </c>
      <c r="E26" s="8">
        <v>84</v>
      </c>
      <c r="F26" s="94">
        <f>F27+F28</f>
        <v>12</v>
      </c>
      <c r="G26" s="8">
        <v>83</v>
      </c>
      <c r="H26" s="94">
        <f>H27+H28</f>
        <v>11</v>
      </c>
      <c r="I26" s="8"/>
      <c r="J26" s="38"/>
      <c r="K26" s="8"/>
      <c r="L26" s="38"/>
      <c r="M26" s="8">
        <v>79</v>
      </c>
      <c r="N26" s="94">
        <f>N27+N28</f>
        <v>10.5</v>
      </c>
      <c r="O26" s="8">
        <v>83</v>
      </c>
      <c r="P26" s="38">
        <f>P27+P28</f>
        <v>9</v>
      </c>
      <c r="Q26" s="38"/>
      <c r="R26" s="38"/>
      <c r="S26" s="8">
        <v>82</v>
      </c>
      <c r="T26" s="94">
        <f>T27+T28</f>
        <v>12</v>
      </c>
      <c r="U26" s="8">
        <v>77</v>
      </c>
      <c r="V26" s="94">
        <f>V27+V28</f>
        <v>18</v>
      </c>
      <c r="W26" s="8">
        <v>81</v>
      </c>
      <c r="X26" s="94">
        <f>X27+X28</f>
        <v>16.5</v>
      </c>
      <c r="Y26" s="8">
        <v>74</v>
      </c>
      <c r="Z26" s="94">
        <f>Z27+Z28</f>
        <v>12.5</v>
      </c>
      <c r="AA26" s="8">
        <v>81</v>
      </c>
      <c r="AB26" s="38">
        <f>AB27+AB28</f>
        <v>5</v>
      </c>
      <c r="AC26" s="8">
        <v>81</v>
      </c>
      <c r="AD26" s="94">
        <f>AD27+AD28</f>
        <v>10</v>
      </c>
      <c r="AE26" s="8">
        <v>77</v>
      </c>
      <c r="AF26" s="94">
        <f>AF27+AF28</f>
        <v>15</v>
      </c>
      <c r="AG26" s="8">
        <v>85</v>
      </c>
      <c r="AH26" s="38">
        <f>AH27+AH28</f>
        <v>6.5</v>
      </c>
      <c r="AI26" s="40">
        <f>D26+F26+H26+J26+L26+N26+T26+V26+X26+Z26+AD26+AF26</f>
        <v>140.5</v>
      </c>
      <c r="AJ26" s="30">
        <f>AVERAGE(D26,F26,H26,J26,L26,N26,P26,T26,V26,X26,Z26,AB26,AD26,AF26,AH26)</f>
        <v>12.384615384615385</v>
      </c>
    </row>
    <row r="27" spans="1:37" outlineLevel="1" x14ac:dyDescent="0.2">
      <c r="B27" s="28" t="s">
        <v>43</v>
      </c>
      <c r="C27" s="8">
        <v>38</v>
      </c>
      <c r="D27" s="8">
        <v>12</v>
      </c>
      <c r="E27" s="8">
        <v>30</v>
      </c>
      <c r="F27" s="38">
        <v>6.5</v>
      </c>
      <c r="G27" s="8">
        <v>29</v>
      </c>
      <c r="H27" s="38">
        <v>6</v>
      </c>
      <c r="I27" s="8"/>
      <c r="J27" s="38"/>
      <c r="K27" s="8"/>
      <c r="L27" s="38"/>
      <c r="M27" s="8">
        <v>33</v>
      </c>
      <c r="N27" s="38">
        <v>6.5</v>
      </c>
      <c r="O27" s="8">
        <v>29</v>
      </c>
      <c r="P27" s="38">
        <v>2</v>
      </c>
      <c r="Q27" s="38"/>
      <c r="R27" s="38"/>
      <c r="S27" s="8">
        <v>30</v>
      </c>
      <c r="T27" s="38">
        <v>6</v>
      </c>
      <c r="U27" s="8">
        <v>34</v>
      </c>
      <c r="V27" s="38">
        <v>8</v>
      </c>
      <c r="W27" s="8">
        <v>31</v>
      </c>
      <c r="X27" s="38">
        <v>5.5</v>
      </c>
      <c r="Y27" s="8">
        <v>38</v>
      </c>
      <c r="Z27" s="38">
        <v>8</v>
      </c>
      <c r="AA27" s="8">
        <v>31</v>
      </c>
      <c r="AB27" s="38">
        <v>3</v>
      </c>
      <c r="AC27" s="8">
        <v>32</v>
      </c>
      <c r="AD27" s="38">
        <v>4</v>
      </c>
      <c r="AE27" s="8">
        <v>36</v>
      </c>
      <c r="AF27" s="38">
        <v>8.5</v>
      </c>
      <c r="AG27" s="8">
        <v>29</v>
      </c>
      <c r="AH27" s="38">
        <v>2.5</v>
      </c>
      <c r="AI27" s="44">
        <f>D27+F27+H27+J27+L27+N27+P27+T27+V27+X27+Z27+AB27+AD27+AF27+AH27</f>
        <v>78.5</v>
      </c>
      <c r="AJ27" s="29">
        <f>AVERAGE(C27,E27,G27,I27,K27,M27,O27,S27,U27,W27,Y27,AA27,AC27,AE27,AG27,)</f>
        <v>30</v>
      </c>
    </row>
    <row r="28" spans="1:37" outlineLevel="1" x14ac:dyDescent="0.2">
      <c r="A28" s="37"/>
      <c r="B28" s="31" t="s">
        <v>6</v>
      </c>
      <c r="C28" s="46">
        <v>16</v>
      </c>
      <c r="D28" s="47">
        <v>11</v>
      </c>
      <c r="E28" s="46">
        <v>-5</v>
      </c>
      <c r="F28" s="47">
        <v>5.5</v>
      </c>
      <c r="G28" s="46">
        <v>-2</v>
      </c>
      <c r="H28" s="47">
        <v>5</v>
      </c>
      <c r="I28" s="46"/>
      <c r="J28" s="47"/>
      <c r="K28" s="46"/>
      <c r="L28" s="47"/>
      <c r="M28" s="46">
        <v>-5</v>
      </c>
      <c r="N28" s="47">
        <v>4</v>
      </c>
      <c r="O28" s="46">
        <v>5</v>
      </c>
      <c r="P28" s="47">
        <v>7</v>
      </c>
      <c r="Q28" s="47"/>
      <c r="R28" s="47"/>
      <c r="S28" s="46">
        <v>0</v>
      </c>
      <c r="T28" s="47">
        <v>6</v>
      </c>
      <c r="U28" s="46">
        <v>17</v>
      </c>
      <c r="V28" s="47">
        <v>10</v>
      </c>
      <c r="W28" s="46">
        <v>15</v>
      </c>
      <c r="X28" s="47">
        <v>11</v>
      </c>
      <c r="Y28" s="46">
        <v>-9</v>
      </c>
      <c r="Z28" s="47">
        <v>4.5</v>
      </c>
      <c r="AA28" s="46">
        <v>-17</v>
      </c>
      <c r="AB28" s="47">
        <v>2</v>
      </c>
      <c r="AC28" s="46">
        <v>1</v>
      </c>
      <c r="AD28" s="47">
        <v>6</v>
      </c>
      <c r="AE28" s="46">
        <v>4</v>
      </c>
      <c r="AF28" s="47">
        <v>6.5</v>
      </c>
      <c r="AG28" s="46">
        <v>-5</v>
      </c>
      <c r="AH28" s="47">
        <v>4</v>
      </c>
      <c r="AI28" s="45">
        <f>D28+F28+H28+J28+L28+N28+P28+T28+V28+X28+Z28+AB28+AD28+AF28+AH28</f>
        <v>82.5</v>
      </c>
      <c r="AJ28" s="32">
        <f>AVERAGE(C28,E28,G28,I28,K28,M28,O28,S28,U28,W28,Y28,AA28,AC28,AE28,AG28)</f>
        <v>1.1538461538461537</v>
      </c>
      <c r="AK28" s="129">
        <f>C28+E28+G28+I28+K28+M28+O28+S28+U28+W28+Y28+AA28+AC28+AE28+AG28</f>
        <v>15</v>
      </c>
    </row>
    <row r="29" spans="1:37" x14ac:dyDescent="0.2">
      <c r="A29" s="35">
        <v>9</v>
      </c>
      <c r="B29" s="29" t="s">
        <v>42</v>
      </c>
      <c r="C29" s="8">
        <v>102</v>
      </c>
      <c r="D29" s="38">
        <f>D30+D31</f>
        <v>4</v>
      </c>
      <c r="E29" s="8">
        <v>91</v>
      </c>
      <c r="F29" s="94">
        <f>F30+F31</f>
        <v>18</v>
      </c>
      <c r="G29" s="8">
        <v>93</v>
      </c>
      <c r="H29" s="94">
        <f>H30+H31</f>
        <v>20.5</v>
      </c>
      <c r="I29" s="8"/>
      <c r="J29" s="38"/>
      <c r="K29" s="8">
        <v>87</v>
      </c>
      <c r="L29" s="94">
        <f>L30+L31</f>
        <v>20</v>
      </c>
      <c r="M29" s="8">
        <v>82</v>
      </c>
      <c r="N29" s="94">
        <f>N30+N31</f>
        <v>22</v>
      </c>
      <c r="O29" s="8"/>
      <c r="P29" s="38"/>
      <c r="Q29" s="38"/>
      <c r="R29" s="38"/>
      <c r="S29" s="8">
        <v>97</v>
      </c>
      <c r="T29" s="94">
        <f>T30+T31</f>
        <v>13</v>
      </c>
      <c r="U29" s="8">
        <v>101</v>
      </c>
      <c r="V29" s="94">
        <f>V30+V31</f>
        <v>8.5</v>
      </c>
      <c r="W29" s="8">
        <v>95</v>
      </c>
      <c r="X29" s="94">
        <f>X30+X31</f>
        <v>5.5</v>
      </c>
      <c r="Y29" s="8"/>
      <c r="Z29" s="38"/>
      <c r="AA29" s="8">
        <v>99</v>
      </c>
      <c r="AB29" s="94">
        <f>AB30+AB31</f>
        <v>8</v>
      </c>
      <c r="AC29" s="8"/>
      <c r="AD29" s="38"/>
      <c r="AE29" s="8">
        <v>87</v>
      </c>
      <c r="AF29" s="94">
        <f>AF30+AF31</f>
        <v>8.5</v>
      </c>
      <c r="AG29" s="8">
        <v>88</v>
      </c>
      <c r="AH29" s="94">
        <f>AH30+AH31</f>
        <v>14.5</v>
      </c>
      <c r="AI29" s="40">
        <f>F29+H29+J29+L29+N29+P29+T29+V29+X29+Z29+AB29+AD29+AF29+AH29</f>
        <v>138.5</v>
      </c>
      <c r="AJ29" s="30">
        <f>AVERAGE(D29,F29,H29,J29,L29,N29,P29,T29,V29,X29,Z29,AB29,AD29,AF29,AH29)</f>
        <v>12.954545454545455</v>
      </c>
    </row>
    <row r="30" spans="1:37" outlineLevel="1" x14ac:dyDescent="0.2">
      <c r="B30" s="28" t="s">
        <v>43</v>
      </c>
      <c r="C30" s="8">
        <v>23</v>
      </c>
      <c r="D30" s="8">
        <v>1</v>
      </c>
      <c r="E30" s="8">
        <v>35</v>
      </c>
      <c r="F30" s="38">
        <v>12.5</v>
      </c>
      <c r="G30" s="8">
        <v>34</v>
      </c>
      <c r="H30" s="38">
        <v>9.5</v>
      </c>
      <c r="I30" s="8"/>
      <c r="J30" s="38"/>
      <c r="K30" s="8">
        <v>37</v>
      </c>
      <c r="L30" s="38">
        <v>10.5</v>
      </c>
      <c r="M30" s="8">
        <v>42</v>
      </c>
      <c r="N30" s="38">
        <v>12</v>
      </c>
      <c r="O30" s="8"/>
      <c r="P30" s="38"/>
      <c r="Q30" s="38"/>
      <c r="R30" s="38"/>
      <c r="S30" s="8">
        <v>27</v>
      </c>
      <c r="T30" s="38">
        <v>3.5</v>
      </c>
      <c r="U30" s="8">
        <v>23</v>
      </c>
      <c r="V30" s="38">
        <v>1</v>
      </c>
      <c r="W30" s="8">
        <v>30</v>
      </c>
      <c r="X30" s="38">
        <v>3</v>
      </c>
      <c r="Y30" s="8"/>
      <c r="Z30" s="38"/>
      <c r="AA30" s="8">
        <v>26</v>
      </c>
      <c r="AB30" s="38">
        <v>1</v>
      </c>
      <c r="AC30" s="8"/>
      <c r="AD30" s="38"/>
      <c r="AE30" s="8">
        <v>35</v>
      </c>
      <c r="AF30" s="38">
        <v>6.5</v>
      </c>
      <c r="AG30" s="8">
        <v>36</v>
      </c>
      <c r="AH30" s="38">
        <v>8.5</v>
      </c>
      <c r="AI30" s="44">
        <f>D30+F30+H30+J30+L30+N30+P30+T30+V30+X30+Z30+AB30+AD30+AF30+AH30</f>
        <v>69</v>
      </c>
      <c r="AJ30" s="29">
        <f>AVERAGE(C30,E30,G30,I30,K30,M30,O30,S30,U30,W30,Y30,AA30,AC30,AE30,AG30,)</f>
        <v>29</v>
      </c>
    </row>
    <row r="31" spans="1:37" outlineLevel="1" x14ac:dyDescent="0.2">
      <c r="A31" s="37"/>
      <c r="B31" s="31" t="s">
        <v>6</v>
      </c>
      <c r="C31" s="46">
        <v>-10</v>
      </c>
      <c r="D31" s="47">
        <v>3</v>
      </c>
      <c r="E31" s="46">
        <v>-5</v>
      </c>
      <c r="F31" s="47">
        <v>5.5</v>
      </c>
      <c r="G31" s="46">
        <v>22</v>
      </c>
      <c r="H31" s="47">
        <v>11</v>
      </c>
      <c r="I31" s="46"/>
      <c r="J31" s="47"/>
      <c r="K31" s="46">
        <v>6</v>
      </c>
      <c r="L31" s="47">
        <v>9.5</v>
      </c>
      <c r="M31" s="46">
        <v>10</v>
      </c>
      <c r="N31" s="47">
        <v>10</v>
      </c>
      <c r="O31" s="46"/>
      <c r="P31" s="47"/>
      <c r="Q31" s="47"/>
      <c r="R31" s="47"/>
      <c r="S31" s="46">
        <v>19</v>
      </c>
      <c r="T31" s="47">
        <v>9.5</v>
      </c>
      <c r="U31" s="46">
        <v>11</v>
      </c>
      <c r="V31" s="47">
        <v>7.5</v>
      </c>
      <c r="W31" s="46">
        <v>-15</v>
      </c>
      <c r="X31" s="47">
        <v>2.5</v>
      </c>
      <c r="Y31" s="46"/>
      <c r="Z31" s="47"/>
      <c r="AA31" s="46">
        <v>-2</v>
      </c>
      <c r="AB31" s="47">
        <v>7</v>
      </c>
      <c r="AC31" s="46"/>
      <c r="AD31" s="47"/>
      <c r="AE31" s="46">
        <v>-23</v>
      </c>
      <c r="AF31" s="47">
        <v>2</v>
      </c>
      <c r="AG31" s="46">
        <v>2</v>
      </c>
      <c r="AH31" s="47">
        <v>6</v>
      </c>
      <c r="AI31" s="45">
        <f>D31+F31+H31+J31+L31+N31+P31+T31+V31+X31+Z31+AB31+AD31+AF31+AH31</f>
        <v>73.5</v>
      </c>
      <c r="AJ31" s="32">
        <f>AVERAGE(C31,E31,G31,I31,K31,M31,O31,S31,U31,W31,Y31,AA31,AC31,AE31,AG31)</f>
        <v>1.3636363636363635</v>
      </c>
      <c r="AK31" s="129">
        <f>C31+E31+G31+I31+K31+M31+O31+S31+U31+W31+Y31+AA31+AC31+AE31+AG31</f>
        <v>15</v>
      </c>
    </row>
    <row r="32" spans="1:37" x14ac:dyDescent="0.2">
      <c r="A32" s="35">
        <v>10</v>
      </c>
      <c r="B32" s="49" t="s">
        <v>45</v>
      </c>
      <c r="C32" s="8"/>
      <c r="D32" s="38"/>
      <c r="E32" s="8">
        <v>113</v>
      </c>
      <c r="F32" s="94">
        <f>F33+F34</f>
        <v>6</v>
      </c>
      <c r="G32" s="8">
        <v>114</v>
      </c>
      <c r="H32" s="94">
        <f>H33+H34</f>
        <v>7</v>
      </c>
      <c r="I32" s="8"/>
      <c r="J32" s="38"/>
      <c r="K32" s="8">
        <v>102</v>
      </c>
      <c r="L32" s="94">
        <f>L33+L34</f>
        <v>9</v>
      </c>
      <c r="M32" s="8">
        <v>107</v>
      </c>
      <c r="N32" s="38">
        <f>N33+N34</f>
        <v>4</v>
      </c>
      <c r="O32" s="8">
        <v>96</v>
      </c>
      <c r="P32" s="94">
        <f>P33+P34</f>
        <v>17</v>
      </c>
      <c r="Q32" s="38"/>
      <c r="R32" s="38"/>
      <c r="S32" s="8">
        <v>106</v>
      </c>
      <c r="T32" s="94">
        <f>T33+T34</f>
        <v>13</v>
      </c>
      <c r="U32" s="8">
        <v>98</v>
      </c>
      <c r="V32" s="94">
        <f>V33+V34</f>
        <v>20.5</v>
      </c>
      <c r="W32" s="8"/>
      <c r="X32" s="38"/>
      <c r="Y32" s="8"/>
      <c r="Z32" s="38"/>
      <c r="AA32" s="8">
        <v>99</v>
      </c>
      <c r="AB32" s="94">
        <f>AB33+AB34</f>
        <v>15</v>
      </c>
      <c r="AC32" s="8">
        <v>95</v>
      </c>
      <c r="AD32" s="94">
        <f>AD33+AD34</f>
        <v>22.5</v>
      </c>
      <c r="AE32" s="8">
        <v>102</v>
      </c>
      <c r="AF32" s="94">
        <f>AF33+AF34</f>
        <v>8</v>
      </c>
      <c r="AG32" s="8">
        <v>99</v>
      </c>
      <c r="AH32" s="94">
        <f>AH33+AH34</f>
        <v>15.5</v>
      </c>
      <c r="AI32" s="40">
        <f>D32+F32+H32+J32+L32++P32+T32+V32+X32+Z32+AB32+AD32+AF32+AH32</f>
        <v>133.5</v>
      </c>
      <c r="AJ32" s="30">
        <f>AVERAGE(D32,F32,H32,J32,L32,N32,P32,T32,V32,X32,Z32,AB32,AD32,AF32,AH32)</f>
        <v>12.5</v>
      </c>
    </row>
    <row r="33" spans="1:37" outlineLevel="1" x14ac:dyDescent="0.2">
      <c r="B33" s="28" t="s">
        <v>43</v>
      </c>
      <c r="C33" s="8"/>
      <c r="D33" s="8"/>
      <c r="E33" s="8">
        <v>22</v>
      </c>
      <c r="F33" s="38">
        <v>2</v>
      </c>
      <c r="G33" s="8">
        <v>18</v>
      </c>
      <c r="H33" s="38">
        <v>1</v>
      </c>
      <c r="I33" s="8"/>
      <c r="J33" s="38"/>
      <c r="K33" s="8">
        <v>30</v>
      </c>
      <c r="L33" s="38">
        <v>3</v>
      </c>
      <c r="M33" s="8">
        <v>27</v>
      </c>
      <c r="N33" s="38">
        <v>1</v>
      </c>
      <c r="O33" s="8">
        <v>36</v>
      </c>
      <c r="P33" s="38">
        <v>9</v>
      </c>
      <c r="Q33" s="38"/>
      <c r="R33" s="38"/>
      <c r="S33" s="8">
        <v>27</v>
      </c>
      <c r="T33" s="38">
        <v>3.5</v>
      </c>
      <c r="U33" s="8">
        <v>36</v>
      </c>
      <c r="V33" s="38">
        <v>9</v>
      </c>
      <c r="W33" s="8"/>
      <c r="X33" s="38"/>
      <c r="Y33" s="8"/>
      <c r="Z33" s="38"/>
      <c r="AA33" s="8">
        <v>34</v>
      </c>
      <c r="AB33" s="38">
        <v>6</v>
      </c>
      <c r="AC33" s="8">
        <v>38</v>
      </c>
      <c r="AD33" s="38">
        <v>11.5</v>
      </c>
      <c r="AE33" s="8">
        <v>31</v>
      </c>
      <c r="AF33" s="38">
        <v>1.5</v>
      </c>
      <c r="AG33" s="8">
        <v>34</v>
      </c>
      <c r="AH33" s="38">
        <v>7</v>
      </c>
      <c r="AI33" s="44">
        <f>D33+F33+H33+J33+L33+N33+P33+T33+V33+X33+Z33+AB33+AD33+AF33+AH33</f>
        <v>54.5</v>
      </c>
      <c r="AJ33" s="29">
        <f>AVERAGE(C33,E33,G33,I33,K33,M33,O33,S33,U33,W33,Y33,AA33,AC33,AE33,AG33,)</f>
        <v>27.75</v>
      </c>
    </row>
    <row r="34" spans="1:37" outlineLevel="1" x14ac:dyDescent="0.2">
      <c r="A34" s="37"/>
      <c r="B34" s="31" t="s">
        <v>6</v>
      </c>
      <c r="C34" s="46"/>
      <c r="D34" s="47"/>
      <c r="E34" s="46">
        <v>-13</v>
      </c>
      <c r="F34" s="47">
        <v>4</v>
      </c>
      <c r="G34" s="46">
        <v>-1</v>
      </c>
      <c r="H34" s="47">
        <v>6</v>
      </c>
      <c r="I34" s="46"/>
      <c r="J34" s="47"/>
      <c r="K34" s="46">
        <v>-2</v>
      </c>
      <c r="L34" s="47">
        <v>6</v>
      </c>
      <c r="M34" s="46">
        <v>-8</v>
      </c>
      <c r="N34" s="47">
        <v>3</v>
      </c>
      <c r="O34" s="46">
        <v>7</v>
      </c>
      <c r="P34" s="47">
        <v>8</v>
      </c>
      <c r="Q34" s="47"/>
      <c r="R34" s="47"/>
      <c r="S34" s="46">
        <v>19</v>
      </c>
      <c r="T34" s="47">
        <v>9.5</v>
      </c>
      <c r="U34" s="46">
        <v>19</v>
      </c>
      <c r="V34" s="47">
        <v>11.5</v>
      </c>
      <c r="W34" s="46"/>
      <c r="X34" s="47"/>
      <c r="Y34" s="46"/>
      <c r="Z34" s="47"/>
      <c r="AA34" s="46">
        <v>13</v>
      </c>
      <c r="AB34" s="47">
        <v>9</v>
      </c>
      <c r="AC34" s="46">
        <v>18</v>
      </c>
      <c r="AD34" s="47">
        <v>11</v>
      </c>
      <c r="AE34" s="46">
        <v>4</v>
      </c>
      <c r="AF34" s="47">
        <v>6.5</v>
      </c>
      <c r="AG34" s="46">
        <v>9</v>
      </c>
      <c r="AH34" s="47">
        <v>8.5</v>
      </c>
      <c r="AI34" s="45">
        <f>D34+F34+H34+J34+L34+N34+P34+T34+V34+X34+Z34+AB34+AD34+AF34+AH34</f>
        <v>83</v>
      </c>
      <c r="AJ34" s="32">
        <f>AVERAGE(C34,E34,G34,I34,K34,M34,O34,S34,U34,W34,Y34,AA34,AC34,AE34,AG34)</f>
        <v>5.9090909090909092</v>
      </c>
      <c r="AK34" s="129">
        <f>C34+E34+G34+I34+K34+M34+O34+S34+U34+W34+Y34+AA34+AC34+AE34+AG34</f>
        <v>65</v>
      </c>
    </row>
    <row r="35" spans="1:37" x14ac:dyDescent="0.2">
      <c r="A35" s="35">
        <v>11</v>
      </c>
      <c r="B35" s="50" t="s">
        <v>99</v>
      </c>
      <c r="C35" s="8">
        <v>101</v>
      </c>
      <c r="D35" s="94">
        <f>D36+D37</f>
        <v>7</v>
      </c>
      <c r="E35" s="8">
        <v>94</v>
      </c>
      <c r="F35" s="94">
        <f>F36+F37</f>
        <v>25</v>
      </c>
      <c r="G35" s="8">
        <v>94</v>
      </c>
      <c r="H35" s="94">
        <f>H36+H37</f>
        <v>9</v>
      </c>
      <c r="I35" s="8">
        <v>91</v>
      </c>
      <c r="J35" s="94">
        <f>J36+J37</f>
        <v>14</v>
      </c>
      <c r="K35" s="8"/>
      <c r="L35" s="38"/>
      <c r="M35" s="8"/>
      <c r="N35" s="38"/>
      <c r="O35" s="8">
        <v>101</v>
      </c>
      <c r="P35" s="94">
        <f>P36+P37</f>
        <v>7</v>
      </c>
      <c r="Q35" s="38"/>
      <c r="R35" s="38"/>
      <c r="S35" s="8">
        <v>91</v>
      </c>
      <c r="T35" s="94">
        <f>T36+T37</f>
        <v>14.5</v>
      </c>
      <c r="U35" s="8">
        <v>90</v>
      </c>
      <c r="V35" s="94">
        <f>V36+V37</f>
        <v>12</v>
      </c>
      <c r="W35" s="8">
        <v>97</v>
      </c>
      <c r="X35" s="38">
        <f>X36+X37</f>
        <v>4</v>
      </c>
      <c r="Y35" s="8"/>
      <c r="Z35" s="38"/>
      <c r="AA35" s="8">
        <v>90</v>
      </c>
      <c r="AB35" s="94">
        <f>AB36+AB37</f>
        <v>12.5</v>
      </c>
      <c r="AC35" s="8">
        <v>91</v>
      </c>
      <c r="AD35" s="94">
        <f>AD36+AD37</f>
        <v>11</v>
      </c>
      <c r="AE35" s="8">
        <v>94</v>
      </c>
      <c r="AF35" s="38">
        <f>AF36+AF37</f>
        <v>5</v>
      </c>
      <c r="AG35" s="8">
        <v>97</v>
      </c>
      <c r="AH35" s="94">
        <f>AH36+AH37</f>
        <v>8.5</v>
      </c>
      <c r="AI35" s="40">
        <f>D35+F35+H35+J35+L35+N35+P35+T35+V35+Z35+AB35+AD35+AH35</f>
        <v>120.5</v>
      </c>
      <c r="AJ35" s="30">
        <f>AVERAGE(D35,F35,H35,J35,L35,N35,P35,T35,V35,X35,Z35,AB35,AD35,AF35,AH35)</f>
        <v>10.791666666666666</v>
      </c>
    </row>
    <row r="36" spans="1:37" outlineLevel="1" x14ac:dyDescent="0.2">
      <c r="B36" s="28" t="s">
        <v>43</v>
      </c>
      <c r="C36" s="8">
        <v>25</v>
      </c>
      <c r="D36" s="8">
        <v>2</v>
      </c>
      <c r="E36" s="8">
        <v>32</v>
      </c>
      <c r="F36" s="38">
        <v>9</v>
      </c>
      <c r="G36" s="8">
        <v>33</v>
      </c>
      <c r="H36" s="38">
        <v>8</v>
      </c>
      <c r="I36" s="8">
        <v>36</v>
      </c>
      <c r="J36" s="38">
        <v>7</v>
      </c>
      <c r="K36" s="8"/>
      <c r="L36" s="38"/>
      <c r="M36" s="8"/>
      <c r="N36" s="38"/>
      <c r="O36" s="8">
        <v>27</v>
      </c>
      <c r="P36" s="38">
        <v>1</v>
      </c>
      <c r="Q36" s="38"/>
      <c r="R36" s="38"/>
      <c r="S36" s="8">
        <v>36</v>
      </c>
      <c r="T36" s="38">
        <v>9.5</v>
      </c>
      <c r="U36" s="8">
        <v>37</v>
      </c>
      <c r="V36" s="38">
        <v>10</v>
      </c>
      <c r="W36" s="8">
        <v>30</v>
      </c>
      <c r="X36" s="38">
        <v>3</v>
      </c>
      <c r="Y36" s="8"/>
      <c r="Z36" s="38"/>
      <c r="AA36" s="8">
        <v>37</v>
      </c>
      <c r="AB36" s="38">
        <v>9.5</v>
      </c>
      <c r="AC36" s="8">
        <v>36</v>
      </c>
      <c r="AD36" s="38">
        <v>9.5</v>
      </c>
      <c r="AE36" s="8">
        <v>33</v>
      </c>
      <c r="AF36" s="38">
        <v>4</v>
      </c>
      <c r="AG36" s="8">
        <v>31</v>
      </c>
      <c r="AH36" s="38">
        <v>5.5</v>
      </c>
      <c r="AI36" s="44">
        <f t="shared" ref="AI36:AI46" si="0">D36+F36+H36+J36+L36+N36+P36+T36+V36+X36+Z36+AB36+AD36+AF36+AH36</f>
        <v>78</v>
      </c>
      <c r="AJ36" s="29">
        <f>AVERAGE(C36,E36,G36,I36,K36,M36,O36,S36,U36,W36,Y36,AA36,AC36,AE36,AG36,)</f>
        <v>30.23076923076923</v>
      </c>
    </row>
    <row r="37" spans="1:37" outlineLevel="1" x14ac:dyDescent="0.2">
      <c r="A37" s="37"/>
      <c r="B37" s="78" t="s">
        <v>6</v>
      </c>
      <c r="C37" s="46">
        <v>-6</v>
      </c>
      <c r="D37" s="39">
        <v>5</v>
      </c>
      <c r="E37" s="46">
        <v>25</v>
      </c>
      <c r="F37" s="47">
        <v>16</v>
      </c>
      <c r="G37" s="46">
        <v>-43</v>
      </c>
      <c r="H37" s="47">
        <v>1</v>
      </c>
      <c r="I37" s="46">
        <v>0</v>
      </c>
      <c r="J37" s="47">
        <v>7</v>
      </c>
      <c r="K37" s="46"/>
      <c r="L37" s="47"/>
      <c r="M37" s="46"/>
      <c r="N37" s="47"/>
      <c r="O37" s="46">
        <v>-5</v>
      </c>
      <c r="P37" s="47">
        <v>6</v>
      </c>
      <c r="Q37" s="47"/>
      <c r="R37" s="47"/>
      <c r="S37" s="46">
        <v>-7</v>
      </c>
      <c r="T37" s="47">
        <v>5</v>
      </c>
      <c r="U37" s="46">
        <v>-25</v>
      </c>
      <c r="V37" s="47">
        <v>2</v>
      </c>
      <c r="W37" s="46">
        <v>-16</v>
      </c>
      <c r="X37" s="47">
        <v>1</v>
      </c>
      <c r="Y37" s="46"/>
      <c r="Z37" s="47"/>
      <c r="AA37" s="46">
        <v>-16</v>
      </c>
      <c r="AB37" s="47">
        <v>3</v>
      </c>
      <c r="AC37" s="46">
        <v>-34</v>
      </c>
      <c r="AD37" s="47">
        <v>1.5</v>
      </c>
      <c r="AE37" s="46">
        <v>-57</v>
      </c>
      <c r="AF37" s="47">
        <v>1</v>
      </c>
      <c r="AG37" s="46">
        <v>-20</v>
      </c>
      <c r="AH37" s="47">
        <v>3</v>
      </c>
      <c r="AI37" s="45">
        <f t="shared" si="0"/>
        <v>51.5</v>
      </c>
      <c r="AJ37" s="32">
        <f>AVERAGE(C37,E37,G37,I37,K37,M37,O37,S37,U37,W37,Y37,AA37,AC37,AE37,AG37)</f>
        <v>-17</v>
      </c>
      <c r="AK37" s="129">
        <f>C37+E37+G37+I37+K37+M37+O37+S37+U37+W37+Y37+AA37+AC37+AE37+AG37</f>
        <v>-204</v>
      </c>
    </row>
    <row r="38" spans="1:37" x14ac:dyDescent="0.2">
      <c r="A38" s="35">
        <v>12</v>
      </c>
      <c r="B38" s="88" t="s">
        <v>146</v>
      </c>
      <c r="C38" s="8">
        <v>90</v>
      </c>
      <c r="D38" s="38">
        <f>D39+D40</f>
        <v>7</v>
      </c>
      <c r="E38" s="8">
        <v>79</v>
      </c>
      <c r="F38" s="38">
        <f>F39+F40</f>
        <v>28.5</v>
      </c>
      <c r="G38" s="8"/>
      <c r="H38" s="38"/>
      <c r="I38" s="8"/>
      <c r="J38" s="38"/>
      <c r="K38" s="8">
        <v>76</v>
      </c>
      <c r="L38" s="38">
        <f>L39+L40</f>
        <v>24</v>
      </c>
      <c r="M38" s="8"/>
      <c r="N38" s="38"/>
      <c r="O38" s="8">
        <v>86</v>
      </c>
      <c r="P38" s="38">
        <f>P39+P40</f>
        <v>6</v>
      </c>
      <c r="Q38" s="38"/>
      <c r="R38" s="38"/>
      <c r="S38" s="8"/>
      <c r="T38" s="38"/>
      <c r="U38" s="8">
        <v>86</v>
      </c>
      <c r="V38" s="38">
        <f>V39+V40</f>
        <v>4</v>
      </c>
      <c r="W38" s="8">
        <v>76</v>
      </c>
      <c r="X38" s="38">
        <f>X39+X40</f>
        <v>21.5</v>
      </c>
      <c r="Y38" s="8"/>
      <c r="Z38" s="38"/>
      <c r="AA38" s="8"/>
      <c r="AB38" s="38"/>
      <c r="AC38" s="8">
        <v>78</v>
      </c>
      <c r="AD38" s="38">
        <f>AD39+AD40</f>
        <v>17.5</v>
      </c>
      <c r="AE38" s="8"/>
      <c r="AF38" s="38"/>
      <c r="AG38" s="8">
        <v>88</v>
      </c>
      <c r="AH38" s="38">
        <f>AH39+AH40</f>
        <v>3.5</v>
      </c>
      <c r="AI38" s="40">
        <f t="shared" si="0"/>
        <v>112</v>
      </c>
      <c r="AJ38" s="30">
        <f>AVERAGE(D38,F38,H38,J38,L38,N38,P38,T38,V38,X38,Z38,AB38,AD38,AF38,AH38)</f>
        <v>14</v>
      </c>
    </row>
    <row r="39" spans="1:37" outlineLevel="1" x14ac:dyDescent="0.2">
      <c r="B39" s="28" t="s">
        <v>43</v>
      </c>
      <c r="C39" s="8">
        <v>29</v>
      </c>
      <c r="D39" s="8">
        <v>5</v>
      </c>
      <c r="E39" s="8">
        <v>40</v>
      </c>
      <c r="F39" s="38">
        <v>16</v>
      </c>
      <c r="G39" s="8"/>
      <c r="H39" s="38"/>
      <c r="I39" s="8"/>
      <c r="J39" s="38"/>
      <c r="K39" s="8">
        <v>42</v>
      </c>
      <c r="L39" s="38">
        <v>12</v>
      </c>
      <c r="M39" s="8"/>
      <c r="N39" s="38"/>
      <c r="O39" s="8">
        <v>32</v>
      </c>
      <c r="P39" s="38">
        <v>5</v>
      </c>
      <c r="Q39" s="38"/>
      <c r="R39" s="38"/>
      <c r="S39" s="8"/>
      <c r="T39" s="38"/>
      <c r="U39" s="8">
        <v>31</v>
      </c>
      <c r="V39" s="38">
        <v>3</v>
      </c>
      <c r="W39" s="8">
        <v>41</v>
      </c>
      <c r="X39" s="38">
        <v>11.5</v>
      </c>
      <c r="Y39" s="8"/>
      <c r="Z39" s="38"/>
      <c r="AA39" s="8"/>
      <c r="AB39" s="38"/>
      <c r="AC39" s="8">
        <v>38</v>
      </c>
      <c r="AD39" s="38">
        <v>11.5</v>
      </c>
      <c r="AE39" s="8"/>
      <c r="AF39" s="38"/>
      <c r="AG39" s="8">
        <v>29</v>
      </c>
      <c r="AH39" s="38">
        <v>2.5</v>
      </c>
      <c r="AI39" s="44">
        <f t="shared" si="0"/>
        <v>66.5</v>
      </c>
      <c r="AJ39" s="29">
        <f>AVERAGE(C39,E39,G39,I39,K39,M39,O39,S39,U39,W39,Y39,AA39,AC39,AE39,AG39,)</f>
        <v>31.333333333333332</v>
      </c>
    </row>
    <row r="40" spans="1:37" outlineLevel="1" x14ac:dyDescent="0.2">
      <c r="A40" s="37"/>
      <c r="B40" s="31" t="s">
        <v>6</v>
      </c>
      <c r="C40" s="46">
        <v>-16</v>
      </c>
      <c r="D40" s="47">
        <v>2</v>
      </c>
      <c r="E40" s="46">
        <v>13</v>
      </c>
      <c r="F40" s="47">
        <v>12.5</v>
      </c>
      <c r="G40" s="46"/>
      <c r="H40" s="47"/>
      <c r="I40" s="46"/>
      <c r="J40" s="47"/>
      <c r="K40" s="46">
        <v>44</v>
      </c>
      <c r="L40" s="47">
        <v>12</v>
      </c>
      <c r="M40" s="46"/>
      <c r="N40" s="47"/>
      <c r="O40" s="46">
        <v>-38</v>
      </c>
      <c r="P40" s="47">
        <v>1</v>
      </c>
      <c r="Q40" s="47"/>
      <c r="R40" s="47"/>
      <c r="S40" s="46"/>
      <c r="T40" s="47"/>
      <c r="U40" s="46">
        <v>-43</v>
      </c>
      <c r="V40" s="47">
        <v>1</v>
      </c>
      <c r="W40" s="46">
        <v>12</v>
      </c>
      <c r="X40" s="47">
        <v>10</v>
      </c>
      <c r="Y40" s="46"/>
      <c r="Z40" s="47"/>
      <c r="AA40" s="46"/>
      <c r="AB40" s="47"/>
      <c r="AC40" s="46">
        <v>1</v>
      </c>
      <c r="AD40" s="47">
        <v>6</v>
      </c>
      <c r="AE40" s="46"/>
      <c r="AF40" s="47"/>
      <c r="AG40" s="46">
        <v>-25</v>
      </c>
      <c r="AH40" s="47">
        <v>1</v>
      </c>
      <c r="AI40" s="45">
        <f t="shared" si="0"/>
        <v>45.5</v>
      </c>
      <c r="AJ40" s="32">
        <f>AVERAGE(C40,E40,G40,I40,K40,M40,O40,S40,U40,W40,Y40,AA40,AC40,AE40,AG40)</f>
        <v>-6.5</v>
      </c>
      <c r="AK40" s="129">
        <f>C40+E40+G40+I40+K40+M40+O40+S40+U40+W40+Y40+AA40+AC40+AE40+AG40</f>
        <v>-52</v>
      </c>
    </row>
    <row r="41" spans="1:37" x14ac:dyDescent="0.2">
      <c r="A41" s="35">
        <v>13</v>
      </c>
      <c r="B41" s="29" t="s">
        <v>2</v>
      </c>
      <c r="C41" s="8"/>
      <c r="D41" s="38"/>
      <c r="E41" s="8">
        <v>103</v>
      </c>
      <c r="F41" s="38">
        <f>F42+F43</f>
        <v>13.5</v>
      </c>
      <c r="G41" s="8">
        <v>107</v>
      </c>
      <c r="H41" s="38">
        <f>H42+H43</f>
        <v>6</v>
      </c>
      <c r="I41" s="8">
        <v>94</v>
      </c>
      <c r="J41" s="38">
        <f>J42+J43</f>
        <v>9</v>
      </c>
      <c r="K41" s="8"/>
      <c r="L41" s="38"/>
      <c r="M41" s="8">
        <v>99</v>
      </c>
      <c r="N41" s="38">
        <f>N42+N43</f>
        <v>8</v>
      </c>
      <c r="O41" s="8">
        <v>98</v>
      </c>
      <c r="P41" s="38">
        <f>P42+P43</f>
        <v>7.5</v>
      </c>
      <c r="Q41" s="38"/>
      <c r="R41" s="38"/>
      <c r="S41" s="8"/>
      <c r="T41" s="38"/>
      <c r="U41" s="8">
        <v>94</v>
      </c>
      <c r="V41" s="38">
        <f>V42+V43</f>
        <v>11</v>
      </c>
      <c r="W41" s="8"/>
      <c r="X41" s="38"/>
      <c r="Y41" s="8">
        <v>94</v>
      </c>
      <c r="Z41" s="38">
        <f>Z42+Z43</f>
        <v>12</v>
      </c>
      <c r="AA41" s="8">
        <v>96</v>
      </c>
      <c r="AB41" s="38">
        <f>AB42+AB43</f>
        <v>18</v>
      </c>
      <c r="AC41" s="8"/>
      <c r="AD41" s="38"/>
      <c r="AE41" s="8"/>
      <c r="AF41" s="38"/>
      <c r="AG41" s="8"/>
      <c r="AH41" s="38"/>
      <c r="AI41" s="40">
        <f t="shared" si="0"/>
        <v>85</v>
      </c>
      <c r="AJ41" s="30">
        <f>AVERAGE(D41,F41,H41,J41,L41,N41,P41,T41,V41,X41,Z41,AB41,AD41,AF41,AH41)</f>
        <v>10.625</v>
      </c>
    </row>
    <row r="42" spans="1:37" outlineLevel="1" x14ac:dyDescent="0.2">
      <c r="B42" s="28" t="s">
        <v>43</v>
      </c>
      <c r="C42" s="8"/>
      <c r="D42" s="8"/>
      <c r="E42" s="8">
        <v>25</v>
      </c>
      <c r="F42" s="38">
        <v>4.5</v>
      </c>
      <c r="G42" s="8">
        <v>23</v>
      </c>
      <c r="H42" s="38">
        <v>3</v>
      </c>
      <c r="I42" s="8">
        <v>34</v>
      </c>
      <c r="J42" s="38">
        <v>4</v>
      </c>
      <c r="K42" s="8"/>
      <c r="L42" s="38"/>
      <c r="M42" s="8">
        <v>28</v>
      </c>
      <c r="N42" s="38">
        <v>2</v>
      </c>
      <c r="O42" s="8">
        <v>30</v>
      </c>
      <c r="P42" s="38">
        <v>3</v>
      </c>
      <c r="Q42" s="38"/>
      <c r="R42" s="38"/>
      <c r="S42" s="8"/>
      <c r="T42" s="38"/>
      <c r="U42" s="8">
        <v>34</v>
      </c>
      <c r="V42" s="38">
        <v>7</v>
      </c>
      <c r="W42" s="8"/>
      <c r="X42" s="38"/>
      <c r="Y42" s="8">
        <v>35</v>
      </c>
      <c r="Z42" s="38">
        <v>5</v>
      </c>
      <c r="AA42" s="8">
        <v>35</v>
      </c>
      <c r="AB42" s="38">
        <v>7</v>
      </c>
      <c r="AC42" s="8"/>
      <c r="AD42" s="38"/>
      <c r="AE42" s="8"/>
      <c r="AF42" s="38"/>
      <c r="AG42" s="8"/>
      <c r="AH42" s="38"/>
      <c r="AI42" s="44">
        <f t="shared" si="0"/>
        <v>35.5</v>
      </c>
      <c r="AJ42" s="29">
        <f>AVERAGE(C42,E42,G42,I42,K42,M42,O42,S42,U42,W42,Y42,AA42,AC42,AE42,AG42,)</f>
        <v>27.111111111111111</v>
      </c>
    </row>
    <row r="43" spans="1:37" outlineLevel="1" x14ac:dyDescent="0.2">
      <c r="A43" s="37"/>
      <c r="B43" s="31" t="s">
        <v>6</v>
      </c>
      <c r="C43" s="46"/>
      <c r="D43" s="47"/>
      <c r="E43" s="46">
        <v>1</v>
      </c>
      <c r="F43" s="47">
        <v>9</v>
      </c>
      <c r="G43" s="46">
        <v>-26</v>
      </c>
      <c r="H43" s="47">
        <v>3</v>
      </c>
      <c r="I43" s="46">
        <v>-4</v>
      </c>
      <c r="J43" s="47">
        <v>5</v>
      </c>
      <c r="K43" s="46"/>
      <c r="L43" s="47"/>
      <c r="M43" s="46">
        <v>-1</v>
      </c>
      <c r="N43" s="47">
        <v>6</v>
      </c>
      <c r="O43" s="46">
        <v>-6</v>
      </c>
      <c r="P43" s="47">
        <v>4.5</v>
      </c>
      <c r="Q43" s="47"/>
      <c r="R43" s="47"/>
      <c r="S43" s="46"/>
      <c r="T43" s="47"/>
      <c r="U43" s="46">
        <v>-7</v>
      </c>
      <c r="V43" s="47">
        <v>4</v>
      </c>
      <c r="W43" s="46"/>
      <c r="X43" s="47"/>
      <c r="Y43" s="46">
        <v>12</v>
      </c>
      <c r="Z43" s="47">
        <v>7</v>
      </c>
      <c r="AA43" s="46">
        <v>20</v>
      </c>
      <c r="AB43" s="47">
        <v>11</v>
      </c>
      <c r="AC43" s="46"/>
      <c r="AD43" s="47"/>
      <c r="AE43" s="46"/>
      <c r="AF43" s="47"/>
      <c r="AG43" s="46"/>
      <c r="AH43" s="47"/>
      <c r="AI43" s="45">
        <f t="shared" si="0"/>
        <v>49.5</v>
      </c>
      <c r="AJ43" s="32">
        <f>AVERAGE(C43,E43,G43,I43,K43,M43,O43,S43,U43,W43,Y43,AA43,AC43,AE43,AG43)</f>
        <v>-1.375</v>
      </c>
      <c r="AK43" s="129">
        <f>C43+E43+G43+I43+K43+M43+O43+S43+U43+W43+Y43+AA43+AC43+AE43+AG43</f>
        <v>-11</v>
      </c>
    </row>
    <row r="44" spans="1:37" x14ac:dyDescent="0.2">
      <c r="A44" s="35">
        <v>14</v>
      </c>
      <c r="B44" s="29" t="s">
        <v>56</v>
      </c>
      <c r="C44" s="8">
        <v>99</v>
      </c>
      <c r="D44" s="38">
        <f>D45+D46</f>
        <v>8</v>
      </c>
      <c r="E44" s="8">
        <v>103</v>
      </c>
      <c r="F44" s="38">
        <f>F45+F46</f>
        <v>7.5</v>
      </c>
      <c r="G44" s="8"/>
      <c r="H44" s="38"/>
      <c r="I44" s="8">
        <v>93</v>
      </c>
      <c r="J44" s="38">
        <f>J45+J46</f>
        <v>8</v>
      </c>
      <c r="K44" s="8">
        <v>93</v>
      </c>
      <c r="L44" s="38">
        <f>L45+L46</f>
        <v>9.5</v>
      </c>
      <c r="M44" s="8"/>
      <c r="N44" s="38"/>
      <c r="O44" s="8"/>
      <c r="P44" s="38"/>
      <c r="Q44" s="38"/>
      <c r="R44" s="38"/>
      <c r="S44" s="8"/>
      <c r="T44" s="38"/>
      <c r="U44" s="8"/>
      <c r="V44" s="38"/>
      <c r="W44" s="8">
        <v>94</v>
      </c>
      <c r="X44" s="38">
        <f>X45+X46</f>
        <v>16</v>
      </c>
      <c r="Y44" s="8"/>
      <c r="Z44" s="38"/>
      <c r="AA44" s="8"/>
      <c r="AB44" s="38"/>
      <c r="AC44" s="8">
        <v>92</v>
      </c>
      <c r="AD44" s="38">
        <f>AD45+AD46</f>
        <v>12</v>
      </c>
      <c r="AE44" s="8">
        <v>94</v>
      </c>
      <c r="AF44" s="38">
        <f>AF45+AF46</f>
        <v>7</v>
      </c>
      <c r="AG44" s="8"/>
      <c r="AH44" s="38"/>
      <c r="AI44" s="40">
        <f t="shared" si="0"/>
        <v>68</v>
      </c>
      <c r="AJ44" s="30">
        <f>AVERAGE(D44,F44,H44,J44,L44,N44,P44,T44,V44,X44,Z44,AB44,AD44,AF44,AH44)</f>
        <v>9.7142857142857135</v>
      </c>
    </row>
    <row r="45" spans="1:37" outlineLevel="1" x14ac:dyDescent="0.2">
      <c r="B45" s="28" t="s">
        <v>43</v>
      </c>
      <c r="C45" s="8">
        <v>28</v>
      </c>
      <c r="D45" s="8">
        <v>4</v>
      </c>
      <c r="E45" s="8">
        <v>25</v>
      </c>
      <c r="F45" s="38">
        <v>4.5</v>
      </c>
      <c r="G45" s="8"/>
      <c r="H45" s="38"/>
      <c r="I45" s="8">
        <v>34</v>
      </c>
      <c r="J45" s="38">
        <v>4</v>
      </c>
      <c r="K45" s="8">
        <v>33</v>
      </c>
      <c r="L45" s="38">
        <v>6.5</v>
      </c>
      <c r="M45" s="8"/>
      <c r="N45" s="38"/>
      <c r="O45" s="8"/>
      <c r="P45" s="38"/>
      <c r="Q45" s="38"/>
      <c r="R45" s="38"/>
      <c r="S45" s="8"/>
      <c r="T45" s="38"/>
      <c r="U45" s="8"/>
      <c r="V45" s="38"/>
      <c r="W45" s="8">
        <v>33</v>
      </c>
      <c r="X45" s="38">
        <v>9</v>
      </c>
      <c r="Y45" s="8"/>
      <c r="Z45" s="38"/>
      <c r="AA45" s="8"/>
      <c r="AB45" s="38"/>
      <c r="AC45" s="8">
        <v>35</v>
      </c>
      <c r="AD45" s="38">
        <v>8</v>
      </c>
      <c r="AE45" s="8">
        <v>33</v>
      </c>
      <c r="AF45" s="38">
        <v>4</v>
      </c>
      <c r="AG45" s="8"/>
      <c r="AH45" s="38"/>
      <c r="AI45" s="44">
        <f t="shared" si="0"/>
        <v>40</v>
      </c>
      <c r="AJ45" s="29">
        <f>AVERAGE(C45,E45,G45,I45,K45,M45,O45,S45,U45,W45,Y45,AA45,AC45,AE45,AG45,)</f>
        <v>27.625</v>
      </c>
    </row>
    <row r="46" spans="1:37" outlineLevel="1" x14ac:dyDescent="0.2">
      <c r="A46" s="37"/>
      <c r="B46" s="31" t="s">
        <v>6</v>
      </c>
      <c r="C46" s="46">
        <v>-8</v>
      </c>
      <c r="D46" s="47">
        <v>4</v>
      </c>
      <c r="E46" s="46">
        <v>-19</v>
      </c>
      <c r="F46" s="47">
        <v>3</v>
      </c>
      <c r="G46" s="46"/>
      <c r="H46" s="47"/>
      <c r="I46" s="46">
        <v>-12</v>
      </c>
      <c r="J46" s="47">
        <v>4</v>
      </c>
      <c r="K46" s="46">
        <v>-14</v>
      </c>
      <c r="L46" s="47">
        <v>3</v>
      </c>
      <c r="M46" s="46"/>
      <c r="N46" s="47"/>
      <c r="O46" s="46"/>
      <c r="P46" s="47"/>
      <c r="Q46" s="47"/>
      <c r="R46" s="47"/>
      <c r="S46" s="46"/>
      <c r="T46" s="47"/>
      <c r="U46" s="46"/>
      <c r="V46" s="47"/>
      <c r="W46" s="46">
        <v>3</v>
      </c>
      <c r="X46" s="47">
        <v>7</v>
      </c>
      <c r="Y46" s="46"/>
      <c r="Z46" s="47"/>
      <c r="AA46" s="46"/>
      <c r="AB46" s="47"/>
      <c r="AC46" s="46">
        <v>-3</v>
      </c>
      <c r="AD46" s="47">
        <v>4</v>
      </c>
      <c r="AE46" s="46">
        <v>-8</v>
      </c>
      <c r="AF46" s="47">
        <v>3</v>
      </c>
      <c r="AG46" s="46"/>
      <c r="AH46" s="47"/>
      <c r="AI46" s="45">
        <f t="shared" si="0"/>
        <v>28</v>
      </c>
      <c r="AJ46" s="32">
        <f>AVERAGE(C46,E46,G46,I46,K46,M46,O46,S46,U46,W46,Y46,AA46,AC46,AE46,AG46)</f>
        <v>-8.7142857142857135</v>
      </c>
      <c r="AK46" s="129">
        <f>C46+E46+G46+I46+K46+M46+O46+S46+U46+W46+Y46+AA46+AC46+AE46+AG46</f>
        <v>-61</v>
      </c>
    </row>
    <row r="47" spans="1:37" collapsed="1" x14ac:dyDescent="0.2">
      <c r="A47" s="35">
        <v>15</v>
      </c>
      <c r="B47" s="29"/>
      <c r="C47" s="8"/>
      <c r="D47" s="38"/>
      <c r="E47" s="8"/>
      <c r="F47" s="38"/>
      <c r="G47" s="8"/>
      <c r="H47" s="38"/>
      <c r="I47" s="8"/>
      <c r="J47" s="38"/>
      <c r="K47" s="8"/>
      <c r="L47" s="38"/>
      <c r="M47" s="8"/>
      <c r="N47" s="38"/>
      <c r="O47" s="8"/>
      <c r="P47" s="38"/>
      <c r="Q47" s="38"/>
      <c r="R47" s="38"/>
      <c r="S47" s="8"/>
      <c r="T47" s="38">
        <f>T48+T49</f>
        <v>0</v>
      </c>
      <c r="U47" s="8"/>
      <c r="V47" s="38">
        <f>V48+V49</f>
        <v>0</v>
      </c>
      <c r="W47" s="8"/>
      <c r="X47" s="38">
        <f>X48+X49</f>
        <v>0</v>
      </c>
      <c r="Y47" s="8"/>
      <c r="Z47" s="38">
        <f>Z48+Z49</f>
        <v>0</v>
      </c>
      <c r="AA47" s="8"/>
      <c r="AB47" s="38">
        <f>AB48+AB49</f>
        <v>0</v>
      </c>
      <c r="AC47" s="8"/>
      <c r="AD47" s="38">
        <f>AD48+AD49</f>
        <v>0</v>
      </c>
      <c r="AE47" s="8"/>
      <c r="AF47" s="38">
        <f>AF48+AF49</f>
        <v>0</v>
      </c>
      <c r="AG47" s="8"/>
      <c r="AH47" s="38">
        <f>AH48+AH49</f>
        <v>0</v>
      </c>
      <c r="AI47" s="40">
        <f>D47+F47+H47+J47+L47+N47+P47+T47+V47+X47+Z47+AB47+AD47+AF47+AH47</f>
        <v>0</v>
      </c>
      <c r="AJ47" s="30">
        <f>AVERAGE(D47,F47,H47,J47,L47,N47,P47,T47,V47,X47)</f>
        <v>0</v>
      </c>
    </row>
    <row r="48" spans="1:37" hidden="1" outlineLevel="1" x14ac:dyDescent="0.2">
      <c r="B48" s="28" t="s">
        <v>43</v>
      </c>
      <c r="C48" s="8"/>
      <c r="D48" s="8"/>
      <c r="E48" s="8"/>
      <c r="F48" s="38"/>
      <c r="G48" s="8"/>
      <c r="H48" s="38"/>
      <c r="I48" s="8"/>
      <c r="J48" s="38"/>
      <c r="K48" s="8"/>
      <c r="L48" s="38"/>
      <c r="M48" s="8"/>
      <c r="N48" s="38"/>
      <c r="O48" s="8"/>
      <c r="P48" s="38"/>
      <c r="Q48" s="38"/>
      <c r="R48" s="38"/>
      <c r="S48" s="8"/>
      <c r="T48" s="38"/>
      <c r="U48" s="8"/>
      <c r="V48" s="38"/>
      <c r="W48" s="8"/>
      <c r="X48" s="38"/>
      <c r="Y48" s="8"/>
      <c r="Z48" s="38"/>
      <c r="AA48" s="8"/>
      <c r="AB48" s="38"/>
      <c r="AC48" s="8"/>
      <c r="AD48" s="38"/>
      <c r="AE48" s="8"/>
      <c r="AF48" s="38"/>
      <c r="AG48" s="8"/>
      <c r="AH48" s="38"/>
      <c r="AI48" s="44">
        <f>D48+F48+H48+J48+L48+N48+P48+T48+V48+X48+Z48+AB48+AD48+AF48+AH48</f>
        <v>0</v>
      </c>
      <c r="AJ48" s="29">
        <f>AVERAGE(C48,E48,G48,I48,K48,M48,O48,S48,U48,W48,Y48,AA48,AC48,AE48,AG48,)</f>
        <v>0</v>
      </c>
    </row>
    <row r="49" spans="1:36" hidden="1" outlineLevel="1" x14ac:dyDescent="0.2">
      <c r="A49" s="37"/>
      <c r="B49" s="31" t="s">
        <v>6</v>
      </c>
      <c r="C49" s="46"/>
      <c r="D49" s="47"/>
      <c r="E49" s="46"/>
      <c r="F49" s="47"/>
      <c r="G49" s="46"/>
      <c r="H49" s="47"/>
      <c r="I49" s="46"/>
      <c r="J49" s="47"/>
      <c r="K49" s="46"/>
      <c r="L49" s="47"/>
      <c r="M49" s="46"/>
      <c r="N49" s="47"/>
      <c r="O49" s="46"/>
      <c r="P49" s="47"/>
      <c r="Q49" s="47"/>
      <c r="R49" s="47"/>
      <c r="S49" s="46"/>
      <c r="T49" s="47"/>
      <c r="U49" s="46"/>
      <c r="V49" s="47"/>
      <c r="W49" s="46"/>
      <c r="X49" s="47"/>
      <c r="Y49" s="46"/>
      <c r="Z49" s="47"/>
      <c r="AA49" s="46"/>
      <c r="AB49" s="47"/>
      <c r="AC49" s="46"/>
      <c r="AD49" s="47"/>
      <c r="AE49" s="46"/>
      <c r="AF49" s="47"/>
      <c r="AG49" s="46"/>
      <c r="AH49" s="47"/>
      <c r="AI49" s="45">
        <f>D49+F49+H49+J49+L49+N49+P49+T49+V49+X49+Z49+AB49+AD49+AF49+AH49</f>
        <v>0</v>
      </c>
      <c r="AJ49" s="32" t="e">
        <f>AVERAGE(C49,E49,G49,I49,K49,M49,O49,S49,U49,W49,Y49,AA49,AC49,AE49,AG49)</f>
        <v>#DIV/0!</v>
      </c>
    </row>
    <row r="50" spans="1:36" ht="5.25" customHeight="1" x14ac:dyDescent="0.2"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36" collapsed="1" x14ac:dyDescent="0.2">
      <c r="B51" t="s">
        <v>16</v>
      </c>
      <c r="D51" s="22">
        <f>AVERAGE(D5,D8,D11,D14,D17,D20,D23,D26,D29,D32,D35,D38,D41,D44,D47)</f>
        <v>13.136363636363637</v>
      </c>
      <c r="F51" s="22">
        <f>AVERAGE(F5,F8,F11,F14,F17,F20,F23,F26,F29,F32,F35,F38,F41,F44,F47)</f>
        <v>18</v>
      </c>
      <c r="H51" s="22">
        <f>AVERAGE(H5,H8,H11,H14,H17,H20,H23,H26,H29,H32,H35,H38,H41,H44,H47)</f>
        <v>13.95</v>
      </c>
      <c r="J51" s="22">
        <f>AVERAGE(J5,J8,J11,J14,J17,J20,J23,J26,J29,J32,J35,J38,J41,J44,J47)</f>
        <v>12.285714285714286</v>
      </c>
      <c r="L51" s="22">
        <f>AVERAGE(L5,L8,L11,L14,L17,L20,L23,L26,L29,L32,L35,L38,L41,L44,L47)</f>
        <v>14.4</v>
      </c>
      <c r="N51" s="22">
        <f>AVERAGE(N5,N8,N11,N14,N17,N20,N23,N26,N29,N32,N35,N38,N41,N44,N47)</f>
        <v>13.818181818181818</v>
      </c>
      <c r="P51" s="22">
        <f>AVERAGE(P5,P8,P11,P14,P17,P20,P23,P26,P29,P32,P35,P38,P41,P44,P47)</f>
        <v>12.090909090909092</v>
      </c>
      <c r="Q51" s="22"/>
      <c r="R51" s="22"/>
      <c r="T51" s="22">
        <f>AVERAGE(T5,T8,T11,T14,T17,T20,T23,T26,T29,T32,T35,T38,T41,T44,T47)</f>
        <v>12.363636363636363</v>
      </c>
      <c r="V51" s="22">
        <f>AVERAGE(V5,V8,V11,V14,V17,V20,V23,V26,V29,V32,V35,V38,V41,V44,V47)</f>
        <v>12</v>
      </c>
      <c r="X51" s="22">
        <f>AVERAGE(X5,X8,X11,X14,X17,X20,X23,X26,X29,X32,X35,X38,X41,X44,X47)</f>
        <v>11.5</v>
      </c>
      <c r="Z51" s="22">
        <f>AVERAGE(Z5,Z8,Z11,Z14,Z17,Z20,Z23,Z26,Z29,Z32,Z35,Z38,Z41,Z44,Z47)</f>
        <v>11.555555555555555</v>
      </c>
      <c r="AB51" s="22">
        <f>AVERAGE(AB5,AB8,AB11,AB14,AB17,AB20,AB23,AB26,AB29,AB32,AB35,AB38,AB41,AB44,AB47)</f>
        <v>12</v>
      </c>
      <c r="AD51" s="22">
        <f>AVERAGE(AD5,AD8,AD11,AD14,AD17,AD20,AD23,AD26,AD29,AD32,AD35,AD38,AD41,AD44,AD47)</f>
        <v>11.454545454545455</v>
      </c>
      <c r="AF51" s="22">
        <f>AVERAGE(AF5,AF8,AF11,AF14,AF17,AF20,AF23,AF26,AF29,AF32,AF35,AF38,AF41,AF44,AF47)</f>
        <v>12.2</v>
      </c>
      <c r="AH51" s="22">
        <f>AVERAGE(AH5,AH8,AH11,AH14,AH17,AH20,AH23,AH26,AH29,AH32,AH35,AH38,AH41,AH44,AH47)</f>
        <v>12.5</v>
      </c>
      <c r="AI51" s="22">
        <f>AVERAGE(AI5,AI8,AI11,AI14,AI17,AI20,AI23,AI26,AI29,AI32,AI35,AI38,AI41,AI44,AI47)</f>
        <v>130.76666666666668</v>
      </c>
    </row>
    <row r="52" spans="1:36" ht="6" customHeight="1" x14ac:dyDescent="0.2">
      <c r="C52" s="2"/>
    </row>
    <row r="53" spans="1:36" x14ac:dyDescent="0.2">
      <c r="B53" t="s">
        <v>14</v>
      </c>
      <c r="C53" s="2"/>
      <c r="D53" s="23">
        <f>D29+D26+D23+D20+D17+D14+D11+D8+D5+D32+D35+D38+D41+D44+D47</f>
        <v>144.5</v>
      </c>
      <c r="F53" s="23">
        <f>F29+F26+F23+F20+F17+F14+F11+F8+F5+F32+F35+F38+F41+F44+F47</f>
        <v>234</v>
      </c>
      <c r="H53" s="23">
        <f>H29+H26+H23+H20+H17+H14+H11+H8+H5+H32+H35+H38+H41+H44+H47</f>
        <v>139.5</v>
      </c>
      <c r="J53" s="23">
        <f>J29+J26+J23+J20+J17+J14+J11+J8+J5+J32+J35+J38+J41+J44+J47</f>
        <v>86</v>
      </c>
      <c r="L53" s="23">
        <f>L29+L26+L23+L20+L17+L14+L11+L8+L5+L32+L35+L38+L41+L44+L47</f>
        <v>144</v>
      </c>
      <c r="N53" s="23">
        <f>N29+N26+N23+N20+N17+N14+N11+N8+N5+N32+N35+N38+N41+N44+N47</f>
        <v>152</v>
      </c>
      <c r="P53" s="23">
        <f>P29+P26+P23+P20+P17+P14+P11+P8+P5+P32+P35+P38+P41+P44+P47</f>
        <v>133</v>
      </c>
      <c r="Q53" s="23"/>
      <c r="R53" s="23"/>
      <c r="T53" s="23">
        <f>T29+T26+T23+T20+T17+T14+T11+T8+T5+T32+T35+T38+T41+T44+T47</f>
        <v>136</v>
      </c>
      <c r="V53" s="23">
        <f>V29+V26+V23+V20+V17+V14+V11+V8+V5+V32+V35+V38+V41+V44+V47</f>
        <v>156</v>
      </c>
      <c r="X53" s="23">
        <f>X29+X26+X23+X20+X17+X14+X11+X8+X5+X32+X35+X38+X41+X44+X47</f>
        <v>126.5</v>
      </c>
      <c r="Z53" s="23">
        <f>Z29+Z26+Z23+Z20+Z17+Z14+Z11+Z8+Z5+Z32+Z35+Z38+Z41+Z44+Z47</f>
        <v>104</v>
      </c>
      <c r="AB53" s="23">
        <f>AB29+AB26+AB23+AB20+AB17+AB14+AB11+AB8+AB5+AB32+AB35+AB38+AB41+AB44+AB47</f>
        <v>156</v>
      </c>
      <c r="AD53" s="23">
        <f>AD29+AD26+AD23+AD20+AD17+AD14+AD11+AD8+AD5+AD32+AD35+AD38+AD41+AD44+AD47</f>
        <v>126</v>
      </c>
      <c r="AF53" s="23">
        <f>AF29+AF26+AF23+AF20+AF17+AF14+AF11+AF8+AF5+AF32+AF35+AF38+AF41+AF44+AF47</f>
        <v>122</v>
      </c>
      <c r="AH53" s="23">
        <f>AH29+AH26+AH23+AH20+AH17+AH14+AH11+AH8+AH5+AH32+AH35+AH38+AH41+AH44+AH47</f>
        <v>150</v>
      </c>
      <c r="AI53" s="23">
        <f>AI29+AI26+AI23+AI20+AI17+AI14+AI11+AI8+AI5+AI32+AI35+AI38+AI41+AI44+AI47</f>
        <v>1961.5</v>
      </c>
    </row>
    <row r="54" spans="1:36" ht="9.75" customHeight="1" x14ac:dyDescent="0.2">
      <c r="C54" s="2"/>
    </row>
    <row r="55" spans="1:36" x14ac:dyDescent="0.2">
      <c r="B55" s="3" t="s">
        <v>17</v>
      </c>
      <c r="C55" s="2"/>
    </row>
    <row r="56" spans="1:36" ht="6" customHeight="1" x14ac:dyDescent="0.2">
      <c r="C56" s="2"/>
    </row>
    <row r="57" spans="1:36" x14ac:dyDescent="0.2">
      <c r="B57" s="24" t="s">
        <v>117</v>
      </c>
      <c r="C57" s="8"/>
      <c r="D57" s="8"/>
      <c r="E57" s="8"/>
      <c r="F57" s="8"/>
      <c r="G57" s="8">
        <v>102</v>
      </c>
      <c r="H57" s="38">
        <f>H58+H59</f>
        <v>12.5</v>
      </c>
      <c r="I57" s="8">
        <v>92</v>
      </c>
      <c r="J57" s="38">
        <f>J58+J59</f>
        <v>18</v>
      </c>
      <c r="K57" s="8">
        <v>111</v>
      </c>
      <c r="L57" s="38">
        <f>L58+L59</f>
        <v>10</v>
      </c>
      <c r="M57" s="8"/>
      <c r="N57" s="8"/>
      <c r="O57" s="8"/>
      <c r="P57" s="8"/>
      <c r="Q57" s="8"/>
      <c r="R57" s="8"/>
      <c r="S57" s="8">
        <v>100</v>
      </c>
      <c r="T57" s="38">
        <f>T58+T59</f>
        <v>15</v>
      </c>
      <c r="U57" s="8"/>
      <c r="V57" s="8"/>
      <c r="W57" s="8">
        <v>107</v>
      </c>
      <c r="X57" s="38">
        <f>X58+X59</f>
        <v>6</v>
      </c>
      <c r="Y57" s="8"/>
      <c r="Z57" s="8"/>
      <c r="AA57" s="8"/>
      <c r="AB57" s="8"/>
      <c r="AC57" s="8"/>
      <c r="AD57" s="8"/>
      <c r="AE57" s="8">
        <v>100</v>
      </c>
      <c r="AF57" s="38">
        <f>AF58+AF59</f>
        <v>13</v>
      </c>
      <c r="AG57" s="8"/>
      <c r="AH57" s="8"/>
      <c r="AI57" s="40">
        <f>D57+F57+H57+J57+L57+N57+P57+T57+V57+X57+Z57+AB57+AD57+AF57+AH57</f>
        <v>74.5</v>
      </c>
    </row>
    <row r="58" spans="1:36" outlineLevel="1" x14ac:dyDescent="0.2">
      <c r="B58" s="28" t="s">
        <v>43</v>
      </c>
      <c r="C58" s="8"/>
      <c r="D58" s="8"/>
      <c r="E58" s="8"/>
      <c r="F58" s="8"/>
      <c r="G58" s="8">
        <v>28</v>
      </c>
      <c r="H58" s="8">
        <v>5</v>
      </c>
      <c r="I58" s="8">
        <v>41</v>
      </c>
      <c r="J58" s="8">
        <v>9.5</v>
      </c>
      <c r="K58" s="8">
        <v>25</v>
      </c>
      <c r="L58" s="8">
        <v>2</v>
      </c>
      <c r="M58" s="8"/>
      <c r="N58" s="8"/>
      <c r="O58" s="8"/>
      <c r="P58" s="8"/>
      <c r="Q58" s="8"/>
      <c r="R58" s="8"/>
      <c r="S58" s="8">
        <v>33</v>
      </c>
      <c r="T58" s="8">
        <v>7</v>
      </c>
      <c r="U58" s="8"/>
      <c r="V58" s="8"/>
      <c r="W58" s="8">
        <v>26</v>
      </c>
      <c r="X58" s="8">
        <v>1</v>
      </c>
      <c r="Y58" s="8"/>
      <c r="Z58" s="8"/>
      <c r="AA58" s="8"/>
      <c r="AB58" s="8"/>
      <c r="AC58" s="8"/>
      <c r="AD58" s="8"/>
      <c r="AE58" s="8">
        <v>33</v>
      </c>
      <c r="AF58" s="8">
        <v>4</v>
      </c>
      <c r="AG58" s="8"/>
      <c r="AH58" s="8"/>
      <c r="AI58" s="44">
        <f>D58+F58+H58+J58+L58+N58+P58+T58+V58+X58++Z58+AB58+AD58+AF58+AH58</f>
        <v>28.5</v>
      </c>
    </row>
    <row r="59" spans="1:36" outlineLevel="1" x14ac:dyDescent="0.2">
      <c r="B59" s="6" t="s">
        <v>6</v>
      </c>
      <c r="C59" s="8"/>
      <c r="D59" s="8"/>
      <c r="E59" s="8"/>
      <c r="F59" s="8"/>
      <c r="G59" s="48">
        <v>14</v>
      </c>
      <c r="H59" s="8">
        <v>7.5</v>
      </c>
      <c r="I59" s="48">
        <v>15</v>
      </c>
      <c r="J59" s="8">
        <v>8.5</v>
      </c>
      <c r="K59" s="48">
        <v>5</v>
      </c>
      <c r="L59" s="8">
        <v>8</v>
      </c>
      <c r="M59" s="8"/>
      <c r="N59" s="8"/>
      <c r="O59" s="8"/>
      <c r="P59" s="8"/>
      <c r="Q59" s="8"/>
      <c r="R59" s="8"/>
      <c r="S59" s="48">
        <v>16</v>
      </c>
      <c r="T59" s="8">
        <v>8</v>
      </c>
      <c r="U59" s="8"/>
      <c r="V59" s="8"/>
      <c r="W59" s="48">
        <v>-7</v>
      </c>
      <c r="X59" s="8">
        <v>5</v>
      </c>
      <c r="Y59" s="48"/>
      <c r="Z59" s="8"/>
      <c r="AA59" s="8"/>
      <c r="AB59" s="8"/>
      <c r="AC59" s="8"/>
      <c r="AD59" s="8"/>
      <c r="AE59" s="8">
        <v>13</v>
      </c>
      <c r="AF59" s="8">
        <v>9</v>
      </c>
      <c r="AG59" s="8"/>
      <c r="AH59" s="8"/>
      <c r="AI59" s="44">
        <f>D59+F59+H59+J59+L59+N59+P59+T59+V59+X59+Z59+AB59+AD59+AF59+AH59</f>
        <v>46</v>
      </c>
    </row>
    <row r="60" spans="1:36" x14ac:dyDescent="0.2">
      <c r="B60" s="24" t="s">
        <v>84</v>
      </c>
      <c r="C60" s="8"/>
      <c r="D60" s="8"/>
      <c r="E60" s="8">
        <v>74</v>
      </c>
      <c r="F60" s="38">
        <f>F61+F62</f>
        <v>25.5</v>
      </c>
      <c r="G60" s="8"/>
      <c r="H60" s="8"/>
      <c r="I60" s="8"/>
      <c r="J60" s="8"/>
      <c r="K60" s="8"/>
      <c r="L60" s="8"/>
      <c r="M60" s="8"/>
      <c r="N60" s="8"/>
      <c r="O60" s="8">
        <v>70</v>
      </c>
      <c r="P60" s="38">
        <f>P61+P62</f>
        <v>23</v>
      </c>
      <c r="Q60" s="38"/>
      <c r="R60" s="38"/>
      <c r="S60" s="8"/>
      <c r="T60" s="8"/>
      <c r="U60" s="8"/>
      <c r="V60" s="3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0">
        <f>D60+F60+H60+J60+L60+N60+P60+T60+V60+X60+Z60+AB60+AD60+AF60+AH60</f>
        <v>48.5</v>
      </c>
    </row>
    <row r="61" spans="1:36" outlineLevel="1" x14ac:dyDescent="0.2">
      <c r="B61" s="28" t="s">
        <v>43</v>
      </c>
      <c r="C61" s="8"/>
      <c r="D61" s="8"/>
      <c r="E61" s="8">
        <v>37</v>
      </c>
      <c r="F61" s="38">
        <v>14.5</v>
      </c>
      <c r="G61" s="8"/>
      <c r="H61" s="8"/>
      <c r="I61" s="8"/>
      <c r="J61" s="8"/>
      <c r="K61" s="8"/>
      <c r="L61" s="8"/>
      <c r="M61" s="8"/>
      <c r="N61" s="8"/>
      <c r="O61" s="8">
        <v>41</v>
      </c>
      <c r="P61" s="8">
        <v>12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4">
        <f>D61+F61+H61+J61+L61+N61+P61+T61+V61+X61++Z61+AB61+AD61+AF61+AH61</f>
        <v>26.5</v>
      </c>
    </row>
    <row r="62" spans="1:36" outlineLevel="1" x14ac:dyDescent="0.2">
      <c r="B62" s="6" t="s">
        <v>6</v>
      </c>
      <c r="C62" s="8"/>
      <c r="D62" s="8"/>
      <c r="E62" s="48">
        <v>9</v>
      </c>
      <c r="F62" s="8">
        <v>11</v>
      </c>
      <c r="G62" s="8"/>
      <c r="H62" s="8"/>
      <c r="I62" s="8"/>
      <c r="J62" s="8"/>
      <c r="K62" s="8"/>
      <c r="L62" s="8"/>
      <c r="M62" s="8"/>
      <c r="N62" s="8"/>
      <c r="O62" s="48">
        <v>16</v>
      </c>
      <c r="P62" s="8">
        <v>11</v>
      </c>
      <c r="Q62" s="8"/>
      <c r="R62" s="8"/>
      <c r="S62" s="8"/>
      <c r="T62" s="8"/>
      <c r="U62" s="4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4">
        <f>D62+F62+H62+J62+L62+N62+P62+T62+V62+X62+Z62+AB62+AD62+AF62+AH62</f>
        <v>22</v>
      </c>
    </row>
    <row r="63" spans="1:36" x14ac:dyDescent="0.2">
      <c r="B63" s="24" t="s">
        <v>115</v>
      </c>
      <c r="C63" s="8">
        <v>108</v>
      </c>
      <c r="D63" s="38">
        <f>D64+D65</f>
        <v>11.5</v>
      </c>
      <c r="E63" s="8"/>
      <c r="F63" s="8"/>
      <c r="G63" s="8">
        <v>119</v>
      </c>
      <c r="H63" s="38">
        <f>H64+H65</f>
        <v>4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>
        <v>111</v>
      </c>
      <c r="T63" s="38">
        <f>T64+T65</f>
        <v>5</v>
      </c>
      <c r="U63" s="8"/>
      <c r="V63" s="8"/>
      <c r="W63" s="8"/>
      <c r="X63" s="8"/>
      <c r="Y63" s="8"/>
      <c r="Z63" s="8"/>
      <c r="AA63" s="8"/>
      <c r="AB63" s="8"/>
      <c r="AC63" s="8">
        <v>110</v>
      </c>
      <c r="AD63" s="38">
        <f>AD64+AD65</f>
        <v>11</v>
      </c>
      <c r="AE63" s="8"/>
      <c r="AF63" s="8"/>
      <c r="AG63" s="8"/>
      <c r="AH63" s="8"/>
      <c r="AI63" s="40">
        <f>D63+F63+H63+J63+L63+N63+P63+T63+V63+X63+Z63+AB63+AD63+AF63+AH63</f>
        <v>31.5</v>
      </c>
    </row>
    <row r="64" spans="1:36" outlineLevel="1" x14ac:dyDescent="0.2">
      <c r="B64" s="28" t="s">
        <v>43</v>
      </c>
      <c r="C64" s="8">
        <v>27</v>
      </c>
      <c r="D64" s="8">
        <v>3</v>
      </c>
      <c r="E64" s="8"/>
      <c r="F64" s="8"/>
      <c r="G64" s="8">
        <v>20</v>
      </c>
      <c r="H64" s="8">
        <v>2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>
        <v>24</v>
      </c>
      <c r="T64" s="8">
        <v>1</v>
      </c>
      <c r="U64" s="8"/>
      <c r="V64" s="8"/>
      <c r="W64" s="8"/>
      <c r="X64" s="8"/>
      <c r="Y64" s="8"/>
      <c r="Z64" s="8"/>
      <c r="AA64" s="8"/>
      <c r="AB64" s="8"/>
      <c r="AC64" s="8">
        <v>29</v>
      </c>
      <c r="AD64" s="8">
        <v>3</v>
      </c>
      <c r="AE64" s="8"/>
      <c r="AF64" s="8"/>
      <c r="AG64" s="8"/>
      <c r="AH64" s="8"/>
      <c r="AI64" s="44">
        <f>D64+F64+H64+J64+L64+N64+P64+T64+V64+X64++Z64+AB64+AD64+AF64+AH64</f>
        <v>9</v>
      </c>
    </row>
    <row r="65" spans="2:35" outlineLevel="1" x14ac:dyDescent="0.2">
      <c r="B65" s="6" t="s">
        <v>6</v>
      </c>
      <c r="C65" s="48">
        <v>8</v>
      </c>
      <c r="D65" s="8">
        <v>8.5</v>
      </c>
      <c r="E65" s="8"/>
      <c r="F65" s="8"/>
      <c r="G65" s="48">
        <v>-28</v>
      </c>
      <c r="H65" s="8">
        <v>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48">
        <v>-18</v>
      </c>
      <c r="T65" s="8">
        <v>4</v>
      </c>
      <c r="U65" s="8"/>
      <c r="V65" s="8"/>
      <c r="W65" s="8"/>
      <c r="X65" s="8"/>
      <c r="Y65" s="8"/>
      <c r="Z65" s="8"/>
      <c r="AA65" s="48"/>
      <c r="AB65" s="8"/>
      <c r="AC65" s="48">
        <v>8</v>
      </c>
      <c r="AD65" s="8">
        <v>8</v>
      </c>
      <c r="AE65" s="8"/>
      <c r="AF65" s="8"/>
      <c r="AG65" s="48"/>
      <c r="AH65" s="8"/>
      <c r="AI65" s="44">
        <f>D65+F65+H65+J65+L65+N65+P65+T65+V65+X65+Z65+AB65+AD65+AF65+AH65</f>
        <v>22.5</v>
      </c>
    </row>
    <row r="66" spans="2:35" x14ac:dyDescent="0.2">
      <c r="B66" s="6" t="s">
        <v>153</v>
      </c>
      <c r="C66" s="8"/>
      <c r="D66" s="8"/>
      <c r="E66" s="8">
        <v>94</v>
      </c>
      <c r="F66" s="38">
        <f>F67+F68</f>
        <v>4.5</v>
      </c>
      <c r="G66" s="8"/>
      <c r="H66" s="38"/>
      <c r="I66" s="8"/>
      <c r="J66" s="8"/>
      <c r="K66" s="8"/>
      <c r="L66" s="8"/>
      <c r="M66" s="8">
        <v>85</v>
      </c>
      <c r="N66" s="38">
        <f>N67+N68</f>
        <v>4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>
        <v>80</v>
      </c>
      <c r="AD66" s="38">
        <f>AD67+AD68</f>
        <v>19</v>
      </c>
      <c r="AE66" s="8"/>
      <c r="AF66" s="8"/>
      <c r="AG66" s="8"/>
      <c r="AH66" s="8"/>
      <c r="AI66" s="40">
        <f>D66+F66+H66+J66+L66+N66+P66+T66+V66+X66+Z66+AB66+AD66+AF66+AH66</f>
        <v>27.5</v>
      </c>
    </row>
    <row r="67" spans="2:35" outlineLevel="1" x14ac:dyDescent="0.2">
      <c r="B67" s="28" t="s">
        <v>43</v>
      </c>
      <c r="C67" s="8"/>
      <c r="D67" s="8"/>
      <c r="E67" s="8">
        <v>23</v>
      </c>
      <c r="F67" s="8">
        <v>3</v>
      </c>
      <c r="G67" s="8"/>
      <c r="H67" s="8"/>
      <c r="I67" s="8"/>
      <c r="J67" s="8"/>
      <c r="K67" s="8"/>
      <c r="L67" s="8"/>
      <c r="M67" s="8">
        <v>29</v>
      </c>
      <c r="N67" s="8">
        <v>3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>
        <v>34</v>
      </c>
      <c r="AD67" s="8">
        <v>7</v>
      </c>
      <c r="AE67" s="8"/>
      <c r="AF67" s="8"/>
      <c r="AG67" s="8"/>
      <c r="AH67" s="8"/>
      <c r="AI67" s="44">
        <f>D67+F67+H67+J67+L67+N67+P67+T67+V67+X67++Z67+AB67+AD67+AF67+AH67</f>
        <v>13</v>
      </c>
    </row>
    <row r="68" spans="2:35" outlineLevel="1" x14ac:dyDescent="0.2">
      <c r="B68" s="6" t="s">
        <v>6</v>
      </c>
      <c r="C68" s="8"/>
      <c r="D68" s="8"/>
      <c r="E68" s="48">
        <v>-27</v>
      </c>
      <c r="F68" s="38">
        <v>1.5</v>
      </c>
      <c r="G68" s="48"/>
      <c r="H68" s="8"/>
      <c r="I68" s="48"/>
      <c r="J68" s="8"/>
      <c r="K68" s="8"/>
      <c r="L68" s="8"/>
      <c r="M68" s="48">
        <v>-34</v>
      </c>
      <c r="N68" s="8">
        <v>1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48">
        <v>20</v>
      </c>
      <c r="AD68" s="8">
        <v>12</v>
      </c>
      <c r="AE68" s="8"/>
      <c r="AF68" s="8"/>
      <c r="AG68" s="8"/>
      <c r="AH68" s="8"/>
      <c r="AI68" s="44">
        <f>D68+F68+H68+J68+L68+N68+P68+T68+V68+X68+Z68+AB68+AD68+AF68+AH68</f>
        <v>14.5</v>
      </c>
    </row>
    <row r="69" spans="2:35" x14ac:dyDescent="0.2">
      <c r="B69" s="50" t="s">
        <v>164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>
        <v>73</v>
      </c>
      <c r="X69" s="38">
        <f>X70+X71</f>
        <v>23.5</v>
      </c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0">
        <f>D69+F69+H69+J69+L69+N69+P69+T69+V69+X69+Z69+AB69+AD69+AF69+AH69</f>
        <v>23.5</v>
      </c>
    </row>
    <row r="70" spans="2:35" outlineLevel="1" x14ac:dyDescent="0.2">
      <c r="B70" s="28" t="s">
        <v>43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>
        <v>41</v>
      </c>
      <c r="X70" s="8">
        <v>11.5</v>
      </c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4">
        <f>D70+F70+H70+J70+L70+N70+P70+T70+V70+X70++Z70+AB70+AD70+AF70+AH70</f>
        <v>11.5</v>
      </c>
    </row>
    <row r="71" spans="2:35" outlineLevel="1" x14ac:dyDescent="0.2">
      <c r="B71" s="6" t="s">
        <v>6</v>
      </c>
      <c r="C71" s="8"/>
      <c r="D71" s="8"/>
      <c r="E71" s="4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3">
        <v>21</v>
      </c>
      <c r="X71" s="8">
        <v>12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4">
        <f>D71+F71+H71+J71+L71+N71+P71+T71+V71+X71+Z71+AB71+AD71+AF71+AH71</f>
        <v>12</v>
      </c>
    </row>
    <row r="72" spans="2:35" x14ac:dyDescent="0.2">
      <c r="B72" t="s">
        <v>98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>
        <v>93</v>
      </c>
      <c r="AF72" s="38">
        <f>AF73+AF74</f>
        <v>14.5</v>
      </c>
      <c r="AG72" s="8"/>
      <c r="AH72" s="8"/>
      <c r="AI72" s="40">
        <f>D72+F72+H72+J72+L72+N72+P72+T72+V72+X72+Z72+AB72+AD72+AF72+AH72</f>
        <v>14.5</v>
      </c>
    </row>
    <row r="73" spans="2:35" outlineLevel="1" x14ac:dyDescent="0.2">
      <c r="B73" s="28" t="s">
        <v>43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>
        <v>35</v>
      </c>
      <c r="AF73" s="8">
        <v>6.5</v>
      </c>
      <c r="AG73" s="8"/>
      <c r="AH73" s="8"/>
      <c r="AI73" s="44">
        <f>D73+F73+H73+J73+L73+N73+P73+T73+V73+X73++Z73+AB73+AD73+AF73+AH73</f>
        <v>6.5</v>
      </c>
    </row>
    <row r="74" spans="2:35" outlineLevel="1" x14ac:dyDescent="0.2">
      <c r="B74" s="6" t="s">
        <v>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>
        <v>5</v>
      </c>
      <c r="AF74" s="8">
        <v>8</v>
      </c>
      <c r="AG74" s="8"/>
      <c r="AH74" s="8"/>
      <c r="AI74" s="44">
        <f>D74+F74+H74+J74+L74+N74+P74+T74+V74+X74+Z74+AB74+AD74+AF74+AH74</f>
        <v>8</v>
      </c>
    </row>
    <row r="75" spans="2:35" x14ac:dyDescent="0.2">
      <c r="B75" s="6" t="s">
        <v>31</v>
      </c>
      <c r="C75" s="8"/>
      <c r="D75" s="8"/>
      <c r="E75" s="8">
        <v>108</v>
      </c>
      <c r="F75" s="38">
        <f>F76+F77</f>
        <v>8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38"/>
      <c r="AA75" s="8"/>
      <c r="AB75" s="8"/>
      <c r="AC75" s="8"/>
      <c r="AD75" s="8"/>
      <c r="AE75" s="8"/>
      <c r="AF75" s="8"/>
      <c r="AG75" s="8"/>
      <c r="AH75" s="8"/>
      <c r="AI75" s="40">
        <f>D75+F75+H75+J75+L75+N75+P75+T75+V75+X75+Z75+AB75+AD75+AF75+AH75</f>
        <v>8</v>
      </c>
    </row>
    <row r="76" spans="2:35" outlineLevel="1" x14ac:dyDescent="0.2">
      <c r="B76" s="28" t="s">
        <v>43</v>
      </c>
      <c r="C76" s="8"/>
      <c r="D76" s="8"/>
      <c r="E76" s="8">
        <v>19</v>
      </c>
      <c r="F76" s="8">
        <v>1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4">
        <f>D76+F76+H76+J76+L76+N76+P76+T76+V76+X76++Z76+AB76+AD76+AF76+AH76</f>
        <v>1</v>
      </c>
    </row>
    <row r="77" spans="2:35" outlineLevel="1" x14ac:dyDescent="0.2">
      <c r="B77" s="6" t="s">
        <v>6</v>
      </c>
      <c r="C77" s="8"/>
      <c r="D77" s="8"/>
      <c r="E77" s="48">
        <v>-3</v>
      </c>
      <c r="F77" s="8">
        <v>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48"/>
      <c r="Z77" s="8"/>
      <c r="AA77" s="8"/>
      <c r="AB77" s="8"/>
      <c r="AC77" s="8"/>
      <c r="AD77" s="8"/>
      <c r="AE77" s="8"/>
      <c r="AF77" s="8"/>
      <c r="AG77" s="48"/>
      <c r="AH77" s="8"/>
      <c r="AI77" s="44">
        <f>D77+F77+H77+J77+L77+N77+P77+T77+V77+X77+Z77+AB77+AD77+AF77+AH77</f>
        <v>7</v>
      </c>
    </row>
    <row r="78" spans="2:35" x14ac:dyDescent="0.2">
      <c r="B78" t="s">
        <v>172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>
        <v>90</v>
      </c>
      <c r="AF78" s="38">
        <f>AF79+AF80</f>
        <v>6.5</v>
      </c>
      <c r="AG78" s="8"/>
      <c r="AH78" s="8"/>
      <c r="AI78" s="40">
        <f>D78+F78+H78+J78+L78+N78+P78+T78+V78+X78+Z78+AB78+AD78+AF78+AH78</f>
        <v>6.5</v>
      </c>
    </row>
    <row r="79" spans="2:35" outlineLevel="1" x14ac:dyDescent="0.2">
      <c r="B79" s="28" t="s">
        <v>43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>
        <v>31</v>
      </c>
      <c r="AF79" s="8">
        <v>1.5</v>
      </c>
      <c r="AG79" s="8"/>
      <c r="AH79" s="8"/>
      <c r="AI79" s="44">
        <f>D79+F79+H79+J79+L79+N79+P79+T79+V79+X79++Z79+AB79+AD79+AF79+AH79</f>
        <v>1.5</v>
      </c>
    </row>
    <row r="80" spans="2:35" outlineLevel="1" x14ac:dyDescent="0.2">
      <c r="B80" s="6" t="s">
        <v>6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>
        <v>0</v>
      </c>
      <c r="AF80" s="8">
        <v>5</v>
      </c>
      <c r="AG80" s="8"/>
      <c r="AH80" s="8"/>
      <c r="AI80" s="44">
        <f>D80+F80+H80+J80+L80+N80+P80+T80+V80+X80+Z80+AB80+AD80+AF80+AH80</f>
        <v>5</v>
      </c>
    </row>
    <row r="81" spans="2:35" x14ac:dyDescent="0.2">
      <c r="B81" t="s">
        <v>177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>
        <v>90</v>
      </c>
      <c r="AH81" s="38">
        <f>AH82+AH83</f>
        <v>5</v>
      </c>
      <c r="AI81" s="40">
        <f>D81+F81+H81+J81+L81+N81+P81+T81+V81+X81+Z81+AB81+AD81+AF81+AH81</f>
        <v>5</v>
      </c>
    </row>
    <row r="82" spans="2:35" x14ac:dyDescent="0.2">
      <c r="B82" s="6" t="s">
        <v>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>
        <v>-3</v>
      </c>
      <c r="AH82" s="8">
        <v>5</v>
      </c>
      <c r="AI82" s="44">
        <f>D82+F82+H82+J82+L82+N82+P82+T82+V82+X82+Z82+AB82+AD82+AF82+AH82</f>
        <v>5</v>
      </c>
    </row>
    <row r="83" spans="2:35" x14ac:dyDescent="0.2">
      <c r="B83" s="24" t="s">
        <v>66</v>
      </c>
      <c r="C83" s="8"/>
      <c r="D83" s="8"/>
      <c r="E83" s="8"/>
      <c r="F83" s="8"/>
      <c r="G83" s="8"/>
      <c r="H83" s="8"/>
      <c r="I83" s="8"/>
      <c r="J83" s="8"/>
      <c r="K83" s="8">
        <v>103</v>
      </c>
      <c r="L83" s="38">
        <f>L84+L85</f>
        <v>2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0">
        <f>D83+F83+H83+J83+L83+N83+P83+T83+V83+X83+Z83+AB83+AD83+AF83+AH83</f>
        <v>2</v>
      </c>
    </row>
    <row r="84" spans="2:35" outlineLevel="1" x14ac:dyDescent="0.2">
      <c r="B84" s="28" t="s">
        <v>43</v>
      </c>
      <c r="C84" s="8"/>
      <c r="D84" s="8"/>
      <c r="E84" s="8"/>
      <c r="F84" s="8"/>
      <c r="G84" s="8"/>
      <c r="H84" s="8"/>
      <c r="I84" s="8"/>
      <c r="J84" s="8"/>
      <c r="K84" s="8">
        <v>20</v>
      </c>
      <c r="L84" s="8">
        <v>1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4">
        <f>D84+F84+H84+J84+L84+N84+P84+T84+V84+X84++Z84+AB84+AD84+AF84+AH84</f>
        <v>1</v>
      </c>
    </row>
    <row r="85" spans="2:35" outlineLevel="1" x14ac:dyDescent="0.2">
      <c r="B85" s="6" t="s">
        <v>6</v>
      </c>
      <c r="C85" s="8"/>
      <c r="D85" s="8"/>
      <c r="E85" s="8"/>
      <c r="F85" s="8"/>
      <c r="G85" s="8"/>
      <c r="H85" s="8"/>
      <c r="I85" s="8"/>
      <c r="J85" s="8"/>
      <c r="K85" s="48">
        <v>-22</v>
      </c>
      <c r="L85" s="8">
        <v>1</v>
      </c>
      <c r="M85" s="8"/>
      <c r="N85" s="8"/>
      <c r="O85" s="8"/>
      <c r="P85" s="8"/>
      <c r="Q85" s="8"/>
      <c r="R85" s="8"/>
      <c r="S85" s="8"/>
      <c r="T85" s="8"/>
      <c r="U85" s="4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4">
        <f>D85+F85+H85+J85+L85+N85+P85+T85+V85+X85+Z85+AB85+AD85+AF85+AH85</f>
        <v>1</v>
      </c>
    </row>
    <row r="86" spans="2:35" x14ac:dyDescent="0.2">
      <c r="B86" s="28" t="s">
        <v>43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>
        <v>25</v>
      </c>
      <c r="AH86" s="8">
        <v>1</v>
      </c>
      <c r="AI86" s="44">
        <f>D86+F86+H86+J86+L86+N86+P86+T86+V86+X86++Z86+AB86+AD86+AF86+AH86</f>
        <v>1</v>
      </c>
    </row>
  </sheetData>
  <sortState xmlns:xlrd2="http://schemas.microsoft.com/office/spreadsheetml/2017/richdata2" ref="B5:AJ46">
    <sortCondition descending="1" ref="AI5:AI46"/>
  </sortState>
  <dataConsolidate/>
  <mergeCells count="60">
    <mergeCell ref="AG4:AH4"/>
    <mergeCell ref="AG2:AH2"/>
    <mergeCell ref="AG3:AH3"/>
    <mergeCell ref="Y4:Z4"/>
    <mergeCell ref="AA4:AB4"/>
    <mergeCell ref="AC4:AD4"/>
    <mergeCell ref="AE4:AF4"/>
    <mergeCell ref="AE2:AF2"/>
    <mergeCell ref="AE3:AF3"/>
    <mergeCell ref="AC3:AD3"/>
    <mergeCell ref="AA3:AB3"/>
    <mergeCell ref="Y3:Z3"/>
    <mergeCell ref="Y2:Z2"/>
    <mergeCell ref="AA2:AB2"/>
    <mergeCell ref="AC2:AD2"/>
    <mergeCell ref="M4:N4"/>
    <mergeCell ref="O4:P4"/>
    <mergeCell ref="S4:T4"/>
    <mergeCell ref="U4:V4"/>
    <mergeCell ref="W4:X4"/>
    <mergeCell ref="C4:D4"/>
    <mergeCell ref="E4:F4"/>
    <mergeCell ref="G4:H4"/>
    <mergeCell ref="I4:J4"/>
    <mergeCell ref="K4:L4"/>
    <mergeCell ref="AE1:AF1"/>
    <mergeCell ref="AG1:AH1"/>
    <mergeCell ref="AA1:AB1"/>
    <mergeCell ref="C1:D1"/>
    <mergeCell ref="E1:F1"/>
    <mergeCell ref="G1:H1"/>
    <mergeCell ref="I1:J1"/>
    <mergeCell ref="K1:L1"/>
    <mergeCell ref="Y1:Z1"/>
    <mergeCell ref="M1:N1"/>
    <mergeCell ref="O1:P1"/>
    <mergeCell ref="S1:T1"/>
    <mergeCell ref="U1:V1"/>
    <mergeCell ref="W1:X1"/>
    <mergeCell ref="AC1:AD1"/>
    <mergeCell ref="C2:D2"/>
    <mergeCell ref="E2:F2"/>
    <mergeCell ref="G2:H2"/>
    <mergeCell ref="I2:J2"/>
    <mergeCell ref="K2:L2"/>
    <mergeCell ref="I3:J3"/>
    <mergeCell ref="S3:T3"/>
    <mergeCell ref="M3:N3"/>
    <mergeCell ref="O3:P3"/>
    <mergeCell ref="C3:D3"/>
    <mergeCell ref="E3:F3"/>
    <mergeCell ref="K3:L3"/>
    <mergeCell ref="G3:H3"/>
    <mergeCell ref="W3:X3"/>
    <mergeCell ref="U3:V3"/>
    <mergeCell ref="M2:N2"/>
    <mergeCell ref="O2:P2"/>
    <mergeCell ref="S2:T2"/>
    <mergeCell ref="U2:V2"/>
    <mergeCell ref="W2:X2"/>
  </mergeCells>
  <pageMargins left="0.7" right="0.7" top="0.25" bottom="0.25" header="0.3" footer="0.3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49"/>
  <sheetViews>
    <sheetView workbookViewId="0">
      <selection activeCell="K46" sqref="A1:K46"/>
    </sheetView>
  </sheetViews>
  <sheetFormatPr defaultColWidth="8.88671875" defaultRowHeight="14.25" x14ac:dyDescent="0.2"/>
  <cols>
    <col min="1" max="1" width="2" bestFit="1" customWidth="1"/>
    <col min="2" max="2" width="11.88671875" bestFit="1" customWidth="1"/>
    <col min="3" max="3" width="3.21875" style="2" customWidth="1"/>
    <col min="4" max="4" width="4.6640625" bestFit="1" customWidth="1"/>
    <col min="5" max="8" width="4.33203125" customWidth="1"/>
    <col min="9" max="9" width="5" bestFit="1" customWidth="1"/>
    <col min="10" max="10" width="6.5546875" bestFit="1" customWidth="1"/>
    <col min="11" max="11" width="4.5546875" customWidth="1"/>
    <col min="12" max="35" width="7.109375"/>
  </cols>
  <sheetData>
    <row r="1" spans="1:11" s="5" customFormat="1" ht="30" customHeight="1" x14ac:dyDescent="0.2">
      <c r="B1" s="54"/>
      <c r="C1" s="109" t="s">
        <v>107</v>
      </c>
      <c r="D1" s="114" t="s">
        <v>140</v>
      </c>
      <c r="E1" s="115"/>
      <c r="F1" s="114" t="s">
        <v>141</v>
      </c>
      <c r="G1" s="115"/>
      <c r="H1" s="114" t="s">
        <v>142</v>
      </c>
      <c r="I1" s="115"/>
      <c r="J1" s="41"/>
      <c r="K1" s="68"/>
    </row>
    <row r="2" spans="1:11" ht="42.75" customHeight="1" thickBot="1" x14ac:dyDescent="0.25">
      <c r="B2" s="55" t="s">
        <v>15</v>
      </c>
      <c r="C2" s="109"/>
      <c r="D2" s="112">
        <v>13</v>
      </c>
      <c r="E2" s="113"/>
      <c r="F2" s="112">
        <v>14</v>
      </c>
      <c r="G2" s="113"/>
      <c r="H2" s="112">
        <v>15</v>
      </c>
      <c r="I2" s="113"/>
      <c r="J2" s="75" t="s">
        <v>14</v>
      </c>
      <c r="K2" s="42" t="s">
        <v>29</v>
      </c>
    </row>
    <row r="3" spans="1:11" ht="15" thickTop="1" x14ac:dyDescent="0.2">
      <c r="B3" s="60" t="s">
        <v>105</v>
      </c>
      <c r="C3" s="110"/>
      <c r="D3" s="116" t="s">
        <v>144</v>
      </c>
      <c r="E3" s="117"/>
      <c r="F3" s="116" t="s">
        <v>34</v>
      </c>
      <c r="G3" s="117"/>
      <c r="H3" s="116" t="s">
        <v>145</v>
      </c>
      <c r="I3" s="117"/>
      <c r="J3" s="76"/>
      <c r="K3" s="58"/>
    </row>
    <row r="4" spans="1:11" ht="35.25" customHeight="1" thickBot="1" x14ac:dyDescent="0.25">
      <c r="B4" s="59" t="s">
        <v>106</v>
      </c>
      <c r="C4" s="111"/>
      <c r="D4" s="118" t="s">
        <v>23</v>
      </c>
      <c r="E4" s="119"/>
      <c r="F4" s="118" t="s">
        <v>178</v>
      </c>
      <c r="G4" s="119"/>
      <c r="H4" s="118" t="s">
        <v>179</v>
      </c>
      <c r="I4" s="119"/>
      <c r="J4" s="77"/>
      <c r="K4" s="58"/>
    </row>
    <row r="5" spans="1:11" ht="15.75" customHeight="1" thickTop="1" thickBot="1" x14ac:dyDescent="0.25">
      <c r="A5">
        <v>1</v>
      </c>
      <c r="B5" s="29" t="s">
        <v>32</v>
      </c>
      <c r="C5" s="61">
        <v>13</v>
      </c>
      <c r="D5">
        <v>99</v>
      </c>
      <c r="E5" s="21">
        <v>11.5</v>
      </c>
      <c r="F5" s="10">
        <v>90</v>
      </c>
      <c r="G5" s="22">
        <v>24</v>
      </c>
      <c r="H5" s="10">
        <v>100</v>
      </c>
      <c r="I5" s="22">
        <v>17.5</v>
      </c>
      <c r="J5" s="7">
        <v>176.5</v>
      </c>
      <c r="K5" s="69">
        <v>15.538461538461538</v>
      </c>
    </row>
    <row r="6" spans="1:11" ht="15.75" customHeight="1" thickTop="1" x14ac:dyDescent="0.2">
      <c r="B6" s="28" t="s">
        <v>43</v>
      </c>
      <c r="C6" s="64"/>
      <c r="D6">
        <v>33</v>
      </c>
      <c r="E6" s="21">
        <v>5.5</v>
      </c>
      <c r="F6" s="10">
        <v>42</v>
      </c>
      <c r="G6" s="22">
        <v>12</v>
      </c>
      <c r="H6" s="10">
        <v>31</v>
      </c>
      <c r="I6" s="22">
        <v>5.5</v>
      </c>
      <c r="J6" s="15">
        <v>111.5</v>
      </c>
      <c r="K6" s="70">
        <v>33.571428571428569</v>
      </c>
    </row>
    <row r="7" spans="1:11" ht="15.75" customHeight="1" thickBot="1" x14ac:dyDescent="0.25">
      <c r="B7" s="31" t="s">
        <v>6</v>
      </c>
      <c r="C7" s="65"/>
      <c r="D7" s="91">
        <v>1</v>
      </c>
      <c r="E7" s="92">
        <v>6</v>
      </c>
      <c r="F7" s="43">
        <v>25</v>
      </c>
      <c r="G7" s="79">
        <v>12</v>
      </c>
      <c r="H7" s="43">
        <v>17</v>
      </c>
      <c r="I7" s="79">
        <v>12</v>
      </c>
      <c r="J7" s="19">
        <v>90.5</v>
      </c>
      <c r="K7" s="71">
        <v>3.5384615384615383</v>
      </c>
    </row>
    <row r="8" spans="1:11" ht="15" customHeight="1" thickBot="1" x14ac:dyDescent="0.25">
      <c r="A8">
        <v>2</v>
      </c>
      <c r="B8" s="29" t="s">
        <v>91</v>
      </c>
      <c r="C8" s="62">
        <v>12</v>
      </c>
      <c r="E8" s="21"/>
      <c r="F8" s="10">
        <v>80</v>
      </c>
      <c r="G8" s="22">
        <v>19.5</v>
      </c>
      <c r="H8" s="10">
        <v>78</v>
      </c>
      <c r="I8" s="22">
        <v>18</v>
      </c>
      <c r="J8" s="17">
        <v>173.5</v>
      </c>
      <c r="K8" s="72">
        <v>16.041666666666668</v>
      </c>
    </row>
    <row r="9" spans="1:11" ht="15" customHeight="1" thickTop="1" x14ac:dyDescent="0.2">
      <c r="B9" s="28" t="s">
        <v>43</v>
      </c>
      <c r="C9" s="64"/>
      <c r="E9" s="21"/>
      <c r="F9" s="10">
        <v>36</v>
      </c>
      <c r="G9" s="22">
        <v>8.5</v>
      </c>
      <c r="H9" s="10">
        <v>38</v>
      </c>
      <c r="I9" s="22">
        <v>11</v>
      </c>
      <c r="J9" s="15">
        <v>100.5</v>
      </c>
      <c r="K9" s="70">
        <v>32.153846153846153</v>
      </c>
    </row>
    <row r="10" spans="1:11" ht="15" customHeight="1" thickBot="1" x14ac:dyDescent="0.25">
      <c r="B10" s="31" t="s">
        <v>6</v>
      </c>
      <c r="C10" s="65"/>
      <c r="D10" s="91"/>
      <c r="E10" s="92"/>
      <c r="F10" s="43">
        <v>23</v>
      </c>
      <c r="G10" s="79">
        <v>11</v>
      </c>
      <c r="H10" s="43">
        <v>7</v>
      </c>
      <c r="I10" s="79">
        <v>7</v>
      </c>
      <c r="J10" s="16">
        <v>92</v>
      </c>
      <c r="K10" s="73">
        <v>4</v>
      </c>
    </row>
    <row r="11" spans="1:11" ht="15" customHeight="1" thickBot="1" x14ac:dyDescent="0.25">
      <c r="A11">
        <v>3</v>
      </c>
      <c r="B11" s="29" t="s">
        <v>10</v>
      </c>
      <c r="C11" s="62">
        <v>13</v>
      </c>
      <c r="D11">
        <v>83</v>
      </c>
      <c r="E11" s="21">
        <v>14.5</v>
      </c>
      <c r="F11" s="10"/>
      <c r="G11" s="22"/>
      <c r="H11" s="10">
        <v>79</v>
      </c>
      <c r="I11" s="22">
        <v>12</v>
      </c>
      <c r="J11" s="17">
        <v>172</v>
      </c>
      <c r="K11" s="72">
        <v>15.5</v>
      </c>
    </row>
    <row r="12" spans="1:11" ht="15" customHeight="1" thickTop="1" x14ac:dyDescent="0.2">
      <c r="B12" s="28" t="s">
        <v>43</v>
      </c>
      <c r="C12" s="64"/>
      <c r="D12">
        <v>33</v>
      </c>
      <c r="E12" s="21">
        <v>5.5</v>
      </c>
      <c r="F12" s="10"/>
      <c r="G12" s="22"/>
      <c r="H12" s="10">
        <v>37</v>
      </c>
      <c r="I12" s="22">
        <v>10</v>
      </c>
      <c r="J12" s="15">
        <v>93.5</v>
      </c>
      <c r="K12" s="70">
        <v>31.142857142857142</v>
      </c>
    </row>
    <row r="13" spans="1:11" ht="15" customHeight="1" thickBot="1" x14ac:dyDescent="0.25">
      <c r="B13" s="31" t="s">
        <v>6</v>
      </c>
      <c r="C13" s="65"/>
      <c r="D13" s="91">
        <v>10</v>
      </c>
      <c r="E13" s="92">
        <v>9</v>
      </c>
      <c r="F13" s="43"/>
      <c r="G13" s="79"/>
      <c r="H13" s="43">
        <v>-21</v>
      </c>
      <c r="I13" s="79">
        <v>2</v>
      </c>
      <c r="J13" s="19">
        <v>108</v>
      </c>
      <c r="K13" s="71">
        <v>6.6923076923076925</v>
      </c>
    </row>
    <row r="14" spans="1:11" ht="15" customHeight="1" thickBot="1" x14ac:dyDescent="0.25">
      <c r="A14">
        <v>4</v>
      </c>
      <c r="B14" s="50" t="s">
        <v>5</v>
      </c>
      <c r="C14" s="62">
        <v>12</v>
      </c>
      <c r="D14">
        <v>98</v>
      </c>
      <c r="E14" s="21">
        <v>2.5</v>
      </c>
      <c r="F14" s="10"/>
      <c r="G14" s="22"/>
      <c r="H14" s="10">
        <v>94</v>
      </c>
      <c r="I14" s="22">
        <v>14.5</v>
      </c>
      <c r="J14" s="17">
        <v>169</v>
      </c>
      <c r="K14" s="72">
        <v>14.875</v>
      </c>
    </row>
    <row r="15" spans="1:11" ht="15" customHeight="1" thickTop="1" x14ac:dyDescent="0.2">
      <c r="B15" s="28" t="s">
        <v>43</v>
      </c>
      <c r="C15" s="64"/>
      <c r="D15">
        <v>24</v>
      </c>
      <c r="E15" s="21">
        <v>1</v>
      </c>
      <c r="F15" s="10"/>
      <c r="G15" s="22"/>
      <c r="H15" s="10">
        <v>30</v>
      </c>
      <c r="I15" s="22">
        <v>4</v>
      </c>
      <c r="J15" s="15">
        <v>81</v>
      </c>
      <c r="K15" s="70">
        <v>30.384615384615383</v>
      </c>
    </row>
    <row r="16" spans="1:11" ht="15" customHeight="1" thickBot="1" x14ac:dyDescent="0.25">
      <c r="B16" s="31" t="s">
        <v>6</v>
      </c>
      <c r="C16" s="65"/>
      <c r="D16" s="91">
        <v>-34</v>
      </c>
      <c r="E16" s="92">
        <v>1.5</v>
      </c>
      <c r="F16" s="43"/>
      <c r="G16" s="79"/>
      <c r="H16" s="43">
        <v>15</v>
      </c>
      <c r="I16" s="79">
        <v>10.5</v>
      </c>
      <c r="J16" s="19">
        <v>97.5</v>
      </c>
      <c r="K16" s="71">
        <v>4.083333333333333</v>
      </c>
    </row>
    <row r="17" spans="1:11" ht="15" customHeight="1" thickBot="1" x14ac:dyDescent="0.25">
      <c r="A17">
        <v>5</v>
      </c>
      <c r="B17" s="29" t="s">
        <v>65</v>
      </c>
      <c r="C17" s="63">
        <v>12</v>
      </c>
      <c r="E17" s="21"/>
      <c r="F17" s="10">
        <v>92</v>
      </c>
      <c r="G17" s="22">
        <v>21</v>
      </c>
      <c r="H17" s="10">
        <v>97</v>
      </c>
      <c r="I17" s="22">
        <v>19</v>
      </c>
      <c r="J17" s="17">
        <v>166</v>
      </c>
      <c r="K17" s="72">
        <v>14.333333333333334</v>
      </c>
    </row>
    <row r="18" spans="1:11" ht="15" customHeight="1" thickTop="1" x14ac:dyDescent="0.2">
      <c r="B18" s="28" t="s">
        <v>43</v>
      </c>
      <c r="C18" s="64"/>
      <c r="E18" s="21"/>
      <c r="F18" s="10">
        <v>40</v>
      </c>
      <c r="G18" s="22">
        <v>11</v>
      </c>
      <c r="H18" s="10">
        <v>36</v>
      </c>
      <c r="I18" s="22">
        <v>8.5</v>
      </c>
      <c r="J18" s="15">
        <v>91</v>
      </c>
      <c r="K18" s="70">
        <v>31.46153846153846</v>
      </c>
    </row>
    <row r="19" spans="1:11" ht="15" customHeight="1" thickBot="1" x14ac:dyDescent="0.25">
      <c r="B19" s="31" t="s">
        <v>6</v>
      </c>
      <c r="C19" s="65"/>
      <c r="D19" s="91"/>
      <c r="E19" s="92"/>
      <c r="F19" s="43">
        <v>21</v>
      </c>
      <c r="G19" s="79">
        <v>10</v>
      </c>
      <c r="H19" s="43">
        <v>15</v>
      </c>
      <c r="I19" s="79">
        <v>10.5</v>
      </c>
      <c r="J19" s="19">
        <v>81</v>
      </c>
      <c r="K19" s="71">
        <v>-3.5</v>
      </c>
    </row>
    <row r="20" spans="1:11" ht="15" customHeight="1" thickBot="1" x14ac:dyDescent="0.25">
      <c r="A20">
        <v>6</v>
      </c>
      <c r="B20" s="29" t="s">
        <v>68</v>
      </c>
      <c r="C20" s="62">
        <v>12</v>
      </c>
      <c r="D20">
        <v>88</v>
      </c>
      <c r="E20" s="21">
        <v>19.5</v>
      </c>
      <c r="F20" s="10">
        <v>85</v>
      </c>
      <c r="G20" s="22">
        <v>14</v>
      </c>
      <c r="H20" s="10"/>
      <c r="I20" s="22"/>
      <c r="J20" s="18">
        <v>165</v>
      </c>
      <c r="K20" s="74">
        <v>15.083333333333334</v>
      </c>
    </row>
    <row r="21" spans="1:11" ht="15" customHeight="1" thickTop="1" x14ac:dyDescent="0.2">
      <c r="B21" s="28" t="s">
        <v>43</v>
      </c>
      <c r="C21" s="64"/>
      <c r="D21">
        <v>36</v>
      </c>
      <c r="E21" s="21">
        <v>9.5</v>
      </c>
      <c r="F21" s="10">
        <v>39</v>
      </c>
      <c r="G21" s="22">
        <v>10</v>
      </c>
      <c r="H21" s="10"/>
      <c r="I21" s="22"/>
      <c r="J21" s="15">
        <v>98</v>
      </c>
      <c r="K21" s="70">
        <v>32.230769230769234</v>
      </c>
    </row>
    <row r="22" spans="1:11" ht="15" customHeight="1" thickBot="1" x14ac:dyDescent="0.25">
      <c r="B22" s="31" t="s">
        <v>6</v>
      </c>
      <c r="C22" s="65"/>
      <c r="D22" s="91">
        <v>16</v>
      </c>
      <c r="E22" s="92">
        <v>10</v>
      </c>
      <c r="F22" s="43">
        <v>-7</v>
      </c>
      <c r="G22" s="79">
        <v>4</v>
      </c>
      <c r="H22" s="43"/>
      <c r="I22" s="79"/>
      <c r="J22" s="19">
        <v>83</v>
      </c>
      <c r="K22" s="71">
        <v>4.083333333333333</v>
      </c>
    </row>
    <row r="23" spans="1:11" ht="15" customHeight="1" thickBot="1" x14ac:dyDescent="0.25">
      <c r="A23">
        <v>7</v>
      </c>
      <c r="B23" s="29" t="s">
        <v>46</v>
      </c>
      <c r="C23" s="62">
        <v>11</v>
      </c>
      <c r="D23">
        <v>91</v>
      </c>
      <c r="E23" s="21">
        <v>5</v>
      </c>
      <c r="F23" s="10"/>
      <c r="G23" s="22"/>
      <c r="H23" s="10">
        <v>76</v>
      </c>
      <c r="I23" s="22">
        <v>20.5</v>
      </c>
      <c r="J23" s="18">
        <v>141.5</v>
      </c>
      <c r="K23" s="74">
        <v>13.318181818181818</v>
      </c>
    </row>
    <row r="24" spans="1:11" ht="15" customHeight="1" thickTop="1" x14ac:dyDescent="0.2">
      <c r="B24" s="28" t="s">
        <v>43</v>
      </c>
      <c r="C24" s="64"/>
      <c r="D24">
        <v>26</v>
      </c>
      <c r="E24" s="21">
        <v>2</v>
      </c>
      <c r="F24" s="10"/>
      <c r="G24" s="22"/>
      <c r="H24" s="10">
        <v>39</v>
      </c>
      <c r="I24" s="22">
        <v>12</v>
      </c>
      <c r="J24" s="15">
        <v>79</v>
      </c>
      <c r="K24" s="70">
        <v>30.833333333333332</v>
      </c>
    </row>
    <row r="25" spans="1:11" ht="15" customHeight="1" thickBot="1" x14ac:dyDescent="0.25">
      <c r="B25" s="31" t="s">
        <v>6</v>
      </c>
      <c r="C25" s="65"/>
      <c r="D25" s="91">
        <v>-4</v>
      </c>
      <c r="E25" s="92">
        <v>3</v>
      </c>
      <c r="F25" s="43"/>
      <c r="G25" s="79"/>
      <c r="H25" s="43">
        <v>9</v>
      </c>
      <c r="I25" s="79">
        <v>8.5</v>
      </c>
      <c r="J25" s="16">
        <v>67.5</v>
      </c>
      <c r="K25" s="73">
        <v>-1.0909090909090908</v>
      </c>
    </row>
    <row r="26" spans="1:11" ht="15" customHeight="1" thickBot="1" x14ac:dyDescent="0.25">
      <c r="A26">
        <v>8</v>
      </c>
      <c r="B26" s="50" t="s">
        <v>3</v>
      </c>
      <c r="C26" s="62">
        <v>13</v>
      </c>
      <c r="D26">
        <v>81</v>
      </c>
      <c r="E26" s="21">
        <v>10</v>
      </c>
      <c r="F26" s="10">
        <v>77</v>
      </c>
      <c r="G26" s="22">
        <v>15</v>
      </c>
      <c r="H26" s="10">
        <v>85</v>
      </c>
      <c r="I26" s="22">
        <v>6.5</v>
      </c>
      <c r="J26" s="17">
        <v>140.5</v>
      </c>
      <c r="K26" s="72">
        <v>12.384615384615385</v>
      </c>
    </row>
    <row r="27" spans="1:11" ht="15" customHeight="1" thickTop="1" x14ac:dyDescent="0.2">
      <c r="B27" s="28" t="s">
        <v>43</v>
      </c>
      <c r="C27" s="64"/>
      <c r="D27">
        <v>32</v>
      </c>
      <c r="E27" s="21">
        <v>4</v>
      </c>
      <c r="F27" s="10">
        <v>36</v>
      </c>
      <c r="G27" s="22">
        <v>8.5</v>
      </c>
      <c r="H27" s="10">
        <v>29</v>
      </c>
      <c r="I27" s="22">
        <v>2.5</v>
      </c>
      <c r="J27" s="15">
        <v>78.5</v>
      </c>
      <c r="K27" s="70">
        <v>30</v>
      </c>
    </row>
    <row r="28" spans="1:11" ht="15" customHeight="1" thickBot="1" x14ac:dyDescent="0.25">
      <c r="B28" s="31" t="s">
        <v>6</v>
      </c>
      <c r="C28" s="65"/>
      <c r="D28" s="91">
        <v>1</v>
      </c>
      <c r="E28" s="92">
        <v>6</v>
      </c>
      <c r="F28" s="43">
        <v>4</v>
      </c>
      <c r="G28" s="79">
        <v>6.5</v>
      </c>
      <c r="H28" s="43">
        <v>-5</v>
      </c>
      <c r="I28" s="79">
        <v>4</v>
      </c>
      <c r="J28" s="19">
        <v>82.5</v>
      </c>
      <c r="K28" s="71">
        <v>1.1538461538461537</v>
      </c>
    </row>
    <row r="29" spans="1:11" ht="15" customHeight="1" thickBot="1" x14ac:dyDescent="0.25">
      <c r="B29" s="88" t="s">
        <v>42</v>
      </c>
      <c r="C29" s="62">
        <v>11</v>
      </c>
      <c r="E29" s="21"/>
      <c r="F29" s="10">
        <v>87</v>
      </c>
      <c r="G29" s="22">
        <v>8.5</v>
      </c>
      <c r="H29" s="10">
        <v>88</v>
      </c>
      <c r="I29" s="22">
        <v>14.5</v>
      </c>
      <c r="J29" s="18">
        <v>138.5</v>
      </c>
      <c r="K29" s="74">
        <v>12.954545454545455</v>
      </c>
    </row>
    <row r="30" spans="1:11" ht="15" thickTop="1" x14ac:dyDescent="0.2">
      <c r="B30" s="28" t="s">
        <v>43</v>
      </c>
      <c r="C30" s="64"/>
      <c r="E30" s="21"/>
      <c r="F30" s="10">
        <v>35</v>
      </c>
      <c r="G30" s="22">
        <v>6.5</v>
      </c>
      <c r="H30" s="10">
        <v>36</v>
      </c>
      <c r="I30" s="22">
        <v>8.5</v>
      </c>
      <c r="J30" s="15">
        <v>69</v>
      </c>
      <c r="K30" s="70">
        <v>29</v>
      </c>
    </row>
    <row r="31" spans="1:11" ht="15" thickBot="1" x14ac:dyDescent="0.25">
      <c r="B31" s="31" t="s">
        <v>6</v>
      </c>
      <c r="C31" s="65"/>
      <c r="D31" s="91"/>
      <c r="E31" s="92"/>
      <c r="F31" s="43">
        <v>-23</v>
      </c>
      <c r="G31" s="80">
        <v>2</v>
      </c>
      <c r="H31" s="43">
        <v>2</v>
      </c>
      <c r="I31" s="80">
        <v>6</v>
      </c>
      <c r="J31" s="19">
        <v>73.5</v>
      </c>
      <c r="K31" s="71">
        <v>1.3636363636363635</v>
      </c>
    </row>
    <row r="32" spans="1:11" ht="15" thickBot="1" x14ac:dyDescent="0.25">
      <c r="B32" s="29" t="s">
        <v>45</v>
      </c>
      <c r="C32" s="62">
        <v>11</v>
      </c>
      <c r="D32">
        <v>95</v>
      </c>
      <c r="E32" s="21">
        <v>22.5</v>
      </c>
      <c r="F32" s="10">
        <v>102</v>
      </c>
      <c r="G32" s="22">
        <v>8</v>
      </c>
      <c r="H32" s="10">
        <v>99</v>
      </c>
      <c r="I32" s="22">
        <v>15.5</v>
      </c>
      <c r="J32" s="17">
        <v>133.5</v>
      </c>
      <c r="K32" s="72">
        <v>12.5</v>
      </c>
    </row>
    <row r="33" spans="2:11" ht="15" thickTop="1" x14ac:dyDescent="0.2">
      <c r="B33" s="28" t="s">
        <v>43</v>
      </c>
      <c r="C33" s="64"/>
      <c r="D33">
        <v>38</v>
      </c>
      <c r="E33" s="21">
        <v>11.5</v>
      </c>
      <c r="F33" s="10">
        <v>31</v>
      </c>
      <c r="G33" s="22">
        <v>1.5</v>
      </c>
      <c r="H33" s="10">
        <v>34</v>
      </c>
      <c r="I33" s="22">
        <v>7</v>
      </c>
      <c r="J33" s="15">
        <v>54.5</v>
      </c>
      <c r="K33" s="70">
        <v>27.75</v>
      </c>
    </row>
    <row r="34" spans="2:11" ht="15" thickBot="1" x14ac:dyDescent="0.25">
      <c r="B34" s="31" t="s">
        <v>6</v>
      </c>
      <c r="C34" s="65"/>
      <c r="D34" s="91">
        <v>18</v>
      </c>
      <c r="E34" s="92">
        <v>11</v>
      </c>
      <c r="F34" s="43">
        <v>4</v>
      </c>
      <c r="G34" s="80">
        <v>6.5</v>
      </c>
      <c r="H34" s="43">
        <v>9</v>
      </c>
      <c r="I34" s="80">
        <v>8.5</v>
      </c>
      <c r="J34" s="19">
        <v>83</v>
      </c>
      <c r="K34" s="71">
        <v>5.9090909090909092</v>
      </c>
    </row>
    <row r="35" spans="2:11" ht="15" thickBot="1" x14ac:dyDescent="0.25">
      <c r="B35" s="50" t="s">
        <v>99</v>
      </c>
      <c r="C35" s="62">
        <v>12</v>
      </c>
      <c r="D35">
        <v>91</v>
      </c>
      <c r="E35" s="21">
        <v>11</v>
      </c>
      <c r="F35" s="10">
        <v>94</v>
      </c>
      <c r="G35" s="22">
        <v>5</v>
      </c>
      <c r="H35" s="10">
        <v>97</v>
      </c>
      <c r="I35" s="22">
        <v>8.5</v>
      </c>
      <c r="J35" s="17">
        <v>120.5</v>
      </c>
      <c r="K35" s="72">
        <v>10.791666666666666</v>
      </c>
    </row>
    <row r="36" spans="2:11" ht="15" thickTop="1" x14ac:dyDescent="0.2">
      <c r="B36" s="28" t="s">
        <v>43</v>
      </c>
      <c r="C36" s="64"/>
      <c r="D36">
        <v>36</v>
      </c>
      <c r="E36" s="21">
        <v>9.5</v>
      </c>
      <c r="F36" s="10">
        <v>33</v>
      </c>
      <c r="G36" s="22">
        <v>4</v>
      </c>
      <c r="H36" s="10">
        <v>31</v>
      </c>
      <c r="I36" s="22">
        <v>5.5</v>
      </c>
      <c r="J36" s="15">
        <v>78</v>
      </c>
      <c r="K36" s="70">
        <v>30.23076923076923</v>
      </c>
    </row>
    <row r="37" spans="2:11" ht="15" thickBot="1" x14ac:dyDescent="0.25">
      <c r="B37" s="78" t="s">
        <v>6</v>
      </c>
      <c r="C37" s="65"/>
      <c r="D37" s="91">
        <v>-34</v>
      </c>
      <c r="E37" s="92">
        <v>1.5</v>
      </c>
      <c r="F37" s="43">
        <v>-57</v>
      </c>
      <c r="G37" s="80">
        <v>1</v>
      </c>
      <c r="H37" s="43">
        <v>-20</v>
      </c>
      <c r="I37" s="80">
        <v>3</v>
      </c>
      <c r="J37" s="19">
        <v>51.5</v>
      </c>
      <c r="K37" s="71">
        <v>-17</v>
      </c>
    </row>
    <row r="38" spans="2:11" ht="15" thickBot="1" x14ac:dyDescent="0.25">
      <c r="B38" s="29" t="s">
        <v>146</v>
      </c>
      <c r="C38" s="62">
        <v>8</v>
      </c>
      <c r="D38">
        <v>78</v>
      </c>
      <c r="E38" s="21">
        <v>17.5</v>
      </c>
      <c r="F38" s="10"/>
      <c r="G38" s="22"/>
      <c r="H38" s="10">
        <v>88</v>
      </c>
      <c r="I38" s="22">
        <v>3.5</v>
      </c>
      <c r="J38" s="17">
        <v>112</v>
      </c>
      <c r="K38" s="72">
        <v>14</v>
      </c>
    </row>
    <row r="39" spans="2:11" ht="15" thickTop="1" x14ac:dyDescent="0.2">
      <c r="B39" s="28" t="s">
        <v>43</v>
      </c>
      <c r="C39" s="64"/>
      <c r="D39">
        <v>38</v>
      </c>
      <c r="E39" s="21">
        <v>11.5</v>
      </c>
      <c r="F39" s="10"/>
      <c r="G39" s="22"/>
      <c r="H39" s="10">
        <v>29</v>
      </c>
      <c r="I39" s="22">
        <v>2.5</v>
      </c>
      <c r="J39" s="15">
        <v>66.5</v>
      </c>
      <c r="K39" s="70">
        <v>31.333333333333332</v>
      </c>
    </row>
    <row r="40" spans="2:11" ht="15" thickBot="1" x14ac:dyDescent="0.25">
      <c r="B40" s="31" t="s">
        <v>6</v>
      </c>
      <c r="C40" s="65"/>
      <c r="D40" s="91">
        <v>1</v>
      </c>
      <c r="E40" s="92">
        <v>6</v>
      </c>
      <c r="F40" s="43"/>
      <c r="G40" s="80"/>
      <c r="H40" s="43">
        <v>-25</v>
      </c>
      <c r="I40" s="80">
        <v>1</v>
      </c>
      <c r="J40" s="19">
        <v>45.5</v>
      </c>
      <c r="K40" s="71">
        <v>-6.5</v>
      </c>
    </row>
    <row r="41" spans="2:11" ht="15" thickBot="1" x14ac:dyDescent="0.25">
      <c r="B41" s="29" t="s">
        <v>2</v>
      </c>
      <c r="C41" s="62">
        <v>8</v>
      </c>
      <c r="E41" s="21"/>
      <c r="F41" s="10"/>
      <c r="G41" s="22"/>
      <c r="H41" s="10"/>
      <c r="I41" s="22"/>
      <c r="J41" s="17">
        <v>85</v>
      </c>
      <c r="K41" s="72">
        <v>10.625</v>
      </c>
    </row>
    <row r="42" spans="2:11" ht="15" thickTop="1" x14ac:dyDescent="0.2">
      <c r="B42" s="28" t="s">
        <v>43</v>
      </c>
      <c r="C42" s="64"/>
      <c r="E42" s="21"/>
      <c r="F42" s="10"/>
      <c r="G42" s="22"/>
      <c r="H42" s="10"/>
      <c r="I42" s="22"/>
      <c r="J42" s="15">
        <v>35.5</v>
      </c>
      <c r="K42" s="70">
        <v>27.111111111111111</v>
      </c>
    </row>
    <row r="43" spans="2:11" ht="15" thickBot="1" x14ac:dyDescent="0.25">
      <c r="B43" s="31" t="s">
        <v>6</v>
      </c>
      <c r="C43" s="65"/>
      <c r="D43" s="91"/>
      <c r="E43" s="92"/>
      <c r="F43" s="43"/>
      <c r="G43" s="80"/>
      <c r="H43" s="43"/>
      <c r="I43" s="80"/>
      <c r="J43" s="19">
        <v>49.5</v>
      </c>
      <c r="K43" s="71">
        <v>-1.375</v>
      </c>
    </row>
    <row r="44" spans="2:11" ht="15" thickBot="1" x14ac:dyDescent="0.25">
      <c r="B44" s="49" t="s">
        <v>56</v>
      </c>
      <c r="C44" s="62">
        <v>7</v>
      </c>
      <c r="D44">
        <v>92</v>
      </c>
      <c r="E44" s="21">
        <v>12</v>
      </c>
      <c r="F44" s="10">
        <v>94</v>
      </c>
      <c r="G44" s="22">
        <v>7</v>
      </c>
      <c r="H44" s="10"/>
      <c r="I44" s="22"/>
      <c r="J44" s="17">
        <v>68</v>
      </c>
      <c r="K44" s="72">
        <v>9.7142857142857135</v>
      </c>
    </row>
    <row r="45" spans="2:11" ht="15" thickTop="1" x14ac:dyDescent="0.2">
      <c r="B45" s="28" t="s">
        <v>43</v>
      </c>
      <c r="C45" s="64"/>
      <c r="D45">
        <v>35</v>
      </c>
      <c r="E45" s="21">
        <v>8</v>
      </c>
      <c r="F45" s="10">
        <v>33</v>
      </c>
      <c r="G45" s="22">
        <v>4</v>
      </c>
      <c r="H45" s="10"/>
      <c r="I45" s="22"/>
      <c r="J45" s="15">
        <v>40</v>
      </c>
      <c r="K45" s="70">
        <v>27.625</v>
      </c>
    </row>
    <row r="46" spans="2:11" ht="15" thickBot="1" x14ac:dyDescent="0.25">
      <c r="B46" s="31" t="s">
        <v>6</v>
      </c>
      <c r="C46" s="65"/>
      <c r="D46" s="91">
        <v>-3</v>
      </c>
      <c r="E46" s="92">
        <v>4</v>
      </c>
      <c r="F46" s="43">
        <v>-8</v>
      </c>
      <c r="G46" s="80">
        <v>3</v>
      </c>
      <c r="H46" s="43"/>
      <c r="I46" s="80"/>
      <c r="J46" s="19">
        <v>28</v>
      </c>
      <c r="K46" s="71">
        <v>-8.7142857142857135</v>
      </c>
    </row>
    <row r="47" spans="2:11" ht="15" thickBot="1" x14ac:dyDescent="0.25">
      <c r="B47" s="49"/>
      <c r="C47" s="62">
        <v>0</v>
      </c>
      <c r="E47" s="21"/>
      <c r="F47" s="10"/>
      <c r="G47" s="22"/>
      <c r="H47" s="10"/>
      <c r="I47" s="22"/>
      <c r="J47" s="17"/>
      <c r="K47" s="17"/>
    </row>
    <row r="48" spans="2:11" ht="15" thickTop="1" x14ac:dyDescent="0.2">
      <c r="B48" s="28"/>
      <c r="C48" s="64"/>
      <c r="E48" s="21"/>
      <c r="F48" s="10"/>
      <c r="G48" s="22"/>
      <c r="H48" s="10"/>
      <c r="I48" s="22"/>
      <c r="J48" s="15"/>
      <c r="K48" s="15"/>
    </row>
    <row r="49" spans="2:11" ht="15" thickBot="1" x14ac:dyDescent="0.25">
      <c r="B49" s="31"/>
      <c r="C49" s="65"/>
      <c r="D49" s="91"/>
      <c r="E49" s="92"/>
      <c r="F49" s="43"/>
      <c r="G49" s="80"/>
      <c r="H49" s="43"/>
      <c r="I49" s="80"/>
      <c r="J49" s="19"/>
      <c r="K49" s="71"/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2"/>
  <sheetViews>
    <sheetView topLeftCell="AG1" workbookViewId="0">
      <selection activeCell="BO17" sqref="BO17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8" customWidth="1"/>
    <col min="4" max="4" width="4.33203125" style="8" bestFit="1" customWidth="1"/>
    <col min="5" max="5" width="2.5546875" style="8" bestFit="1" customWidth="1"/>
    <col min="6" max="6" width="3.77734375" style="8" customWidth="1"/>
    <col min="7" max="7" width="4.44140625" style="8" bestFit="1" customWidth="1"/>
    <col min="8" max="9" width="3.77734375" style="8" customWidth="1"/>
    <col min="10" max="10" width="4.33203125" style="8" bestFit="1" customWidth="1"/>
    <col min="11" max="12" width="3.77734375" style="8" customWidth="1"/>
    <col min="13" max="13" width="4.44140625" style="8" bestFit="1" customWidth="1"/>
    <col min="14" max="16" width="3.77734375" style="8" customWidth="1"/>
    <col min="17" max="17" width="4.33203125" style="8" bestFit="1" customWidth="1"/>
    <col min="18" max="19" width="3.77734375" style="8" customWidth="1"/>
    <col min="20" max="20" width="4.44140625" style="8" bestFit="1" customWidth="1"/>
    <col min="21" max="21" width="4.33203125" style="8" bestFit="1" customWidth="1"/>
    <col min="22" max="22" width="3.77734375" style="8" customWidth="1"/>
    <col min="23" max="23" width="4.44140625" style="8" bestFit="1" customWidth="1"/>
    <col min="24" max="24" width="4.33203125" style="8" bestFit="1" customWidth="1"/>
    <col min="25" max="25" width="3.77734375" style="8" customWidth="1"/>
    <col min="26" max="26" width="4.44140625" style="8" bestFit="1" customWidth="1"/>
    <col min="27" max="27" width="4.33203125" style="8" bestFit="1" customWidth="1"/>
    <col min="28" max="28" width="2.5546875" customWidth="1"/>
    <col min="29" max="29" width="3.77734375" style="8" customWidth="1"/>
    <col min="30" max="30" width="4.44140625" style="8" bestFit="1" customWidth="1"/>
    <col min="31" max="32" width="3.77734375" style="8" customWidth="1"/>
    <col min="33" max="34" width="4.33203125" style="8" bestFit="1" customWidth="1"/>
    <col min="35" max="35" width="3.77734375" style="8" customWidth="1"/>
    <col min="36" max="37" width="4.33203125" style="8" bestFit="1" customWidth="1"/>
    <col min="38" max="38" width="3.77734375" style="8" customWidth="1"/>
    <col min="39" max="40" width="4.33203125" style="8" bestFit="1" customWidth="1"/>
    <col min="41" max="41" width="4.33203125" style="8" customWidth="1"/>
    <col min="42" max="42" width="3.77734375" style="8" customWidth="1"/>
    <col min="43" max="43" width="4.44140625" style="8" bestFit="1" customWidth="1"/>
    <col min="44" max="45" width="3.77734375" style="8" customWidth="1"/>
    <col min="46" max="47" width="4.33203125" style="8" bestFit="1" customWidth="1"/>
    <col min="48" max="48" width="3.77734375" style="8" customWidth="1"/>
    <col min="49" max="50" width="4.33203125" style="8" bestFit="1" customWidth="1"/>
    <col min="51" max="51" width="3.77734375" style="8" customWidth="1"/>
    <col min="52" max="53" width="4.33203125" style="8" bestFit="1" customWidth="1"/>
    <col min="54" max="54" width="4.33203125" style="8" customWidth="1"/>
    <col min="55" max="55" width="6.44140625" bestFit="1" customWidth="1"/>
    <col min="56" max="56" width="3.7773437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44140625" bestFit="1" customWidth="1"/>
    <col min="61" max="61" width="3.109375" bestFit="1" customWidth="1"/>
    <col min="62" max="62" width="6.21875" customWidth="1"/>
    <col min="63" max="63" width="3.33203125" bestFit="1" customWidth="1"/>
    <col min="64" max="64" width="2.88671875" bestFit="1" customWidth="1"/>
    <col min="65" max="65" width="3.109375" bestFit="1" customWidth="1"/>
    <col min="66" max="66" width="2.77734375" style="2" bestFit="1" customWidth="1"/>
    <col min="67" max="67" width="3.21875" bestFit="1" customWidth="1"/>
    <col min="68" max="68" width="3.77734375" customWidth="1"/>
    <col min="69" max="69" width="3" style="2" bestFit="1" customWidth="1"/>
    <col min="70" max="70" width="5.21875" bestFit="1" customWidth="1"/>
  </cols>
  <sheetData>
    <row r="1" spans="1:70" x14ac:dyDescent="0.2">
      <c r="B1" t="s">
        <v>12</v>
      </c>
      <c r="C1" s="120" t="s">
        <v>7</v>
      </c>
      <c r="D1" s="120"/>
      <c r="E1" s="120"/>
      <c r="F1" s="120"/>
      <c r="G1" s="120"/>
      <c r="H1" s="120"/>
      <c r="I1" s="120"/>
      <c r="J1" s="120"/>
      <c r="K1" s="120"/>
      <c r="L1" s="120"/>
      <c r="M1" s="20"/>
      <c r="N1" s="20"/>
      <c r="P1" s="120" t="s">
        <v>8</v>
      </c>
      <c r="Q1" s="120"/>
      <c r="R1" s="120"/>
      <c r="S1" s="120"/>
      <c r="T1" s="120"/>
      <c r="U1" s="120"/>
      <c r="V1" s="120"/>
      <c r="W1" s="120"/>
      <c r="X1" s="120"/>
      <c r="Y1" s="120"/>
      <c r="AC1" s="120" t="s">
        <v>36</v>
      </c>
      <c r="AD1" s="120"/>
      <c r="AE1" s="120"/>
      <c r="AF1" s="120"/>
      <c r="AG1" s="120"/>
      <c r="AH1" s="120"/>
      <c r="AI1" s="120"/>
      <c r="AJ1" s="120"/>
      <c r="AK1" s="120"/>
      <c r="AL1" s="120"/>
      <c r="AP1" s="120" t="s">
        <v>100</v>
      </c>
      <c r="AQ1" s="120"/>
      <c r="AR1" s="120"/>
      <c r="AS1" s="120"/>
      <c r="AT1" s="120"/>
      <c r="AU1" s="120"/>
      <c r="AV1" s="120"/>
      <c r="AW1" s="120"/>
      <c r="AX1" s="120"/>
      <c r="AY1" s="120"/>
    </row>
    <row r="2" spans="1:70" ht="12" customHeight="1" x14ac:dyDescent="0.2">
      <c r="A2" s="1"/>
      <c r="B2" s="2">
        <v>1</v>
      </c>
      <c r="C2" s="123" t="s">
        <v>3</v>
      </c>
      <c r="D2" s="124"/>
      <c r="E2" s="125"/>
      <c r="F2" s="123" t="s">
        <v>10</v>
      </c>
      <c r="G2" s="124"/>
      <c r="H2" s="125"/>
      <c r="I2" s="123" t="s">
        <v>11</v>
      </c>
      <c r="J2" s="124"/>
      <c r="K2" s="125"/>
      <c r="L2" s="123" t="s">
        <v>41</v>
      </c>
      <c r="M2" s="124"/>
      <c r="N2" s="125"/>
      <c r="P2" s="123" t="s">
        <v>42</v>
      </c>
      <c r="Q2" s="124"/>
      <c r="R2" s="125"/>
      <c r="S2" s="123" t="s">
        <v>58</v>
      </c>
      <c r="T2" s="124"/>
      <c r="U2" s="125"/>
      <c r="V2" s="123" t="s">
        <v>33</v>
      </c>
      <c r="W2" s="124"/>
      <c r="X2" s="125"/>
      <c r="Y2" s="123" t="s">
        <v>32</v>
      </c>
      <c r="Z2" s="124"/>
      <c r="AA2" s="125"/>
      <c r="AC2" s="123" t="s">
        <v>115</v>
      </c>
      <c r="AD2" s="124"/>
      <c r="AE2" s="125"/>
      <c r="AF2" s="123" t="s">
        <v>56</v>
      </c>
      <c r="AG2" s="124"/>
      <c r="AH2" s="125"/>
      <c r="AI2" s="123" t="s">
        <v>99</v>
      </c>
      <c r="AJ2" s="124"/>
      <c r="AK2" s="125"/>
      <c r="AL2" s="123" t="s">
        <v>68</v>
      </c>
      <c r="AM2" s="124"/>
      <c r="AN2" s="125"/>
      <c r="AO2" s="20"/>
      <c r="AP2" s="123"/>
      <c r="AQ2" s="124"/>
      <c r="AR2" s="125"/>
      <c r="AS2" s="123"/>
      <c r="AT2" s="124"/>
      <c r="AU2" s="125"/>
      <c r="AV2" s="123"/>
      <c r="AW2" s="124"/>
      <c r="AX2" s="125"/>
      <c r="AY2" s="123"/>
      <c r="AZ2" s="124"/>
      <c r="BA2" s="125"/>
      <c r="BB2" s="20"/>
    </row>
    <row r="3" spans="1:70" ht="12" customHeight="1" x14ac:dyDescent="0.2">
      <c r="A3" s="121" t="s">
        <v>13</v>
      </c>
      <c r="B3" s="126"/>
      <c r="C3" s="9">
        <v>76</v>
      </c>
      <c r="D3" s="56">
        <v>16</v>
      </c>
      <c r="E3" s="9">
        <v>38</v>
      </c>
      <c r="F3" s="9">
        <v>85</v>
      </c>
      <c r="G3" s="9">
        <v>10</v>
      </c>
      <c r="H3" s="9">
        <v>31</v>
      </c>
      <c r="I3" s="9">
        <v>91</v>
      </c>
      <c r="J3" s="56">
        <v>2</v>
      </c>
      <c r="K3" s="9">
        <v>35</v>
      </c>
      <c r="L3" s="9">
        <v>86</v>
      </c>
      <c r="M3" s="56">
        <v>-28</v>
      </c>
      <c r="N3" s="9">
        <v>30</v>
      </c>
      <c r="P3" s="9">
        <v>100</v>
      </c>
      <c r="Q3" s="56">
        <v>-10</v>
      </c>
      <c r="R3" s="9">
        <v>23</v>
      </c>
      <c r="S3" s="9">
        <v>90</v>
      </c>
      <c r="T3" s="56">
        <v>-16</v>
      </c>
      <c r="U3" s="9">
        <v>29</v>
      </c>
      <c r="V3" s="9">
        <v>102</v>
      </c>
      <c r="W3" s="56">
        <v>18</v>
      </c>
      <c r="X3" s="9">
        <v>30</v>
      </c>
      <c r="Y3" s="9">
        <v>96</v>
      </c>
      <c r="Z3" s="56">
        <v>8</v>
      </c>
      <c r="AA3" s="9">
        <v>37</v>
      </c>
      <c r="AC3" s="9">
        <v>108</v>
      </c>
      <c r="AD3" s="56">
        <v>8</v>
      </c>
      <c r="AE3" s="9">
        <v>27</v>
      </c>
      <c r="AF3" s="9">
        <v>99</v>
      </c>
      <c r="AG3" s="56">
        <v>-8</v>
      </c>
      <c r="AH3" s="9">
        <v>28</v>
      </c>
      <c r="AI3" s="9">
        <v>101</v>
      </c>
      <c r="AJ3" s="56">
        <v>-6</v>
      </c>
      <c r="AK3" s="9">
        <v>25</v>
      </c>
      <c r="AL3" s="9">
        <v>95</v>
      </c>
      <c r="AM3" s="56">
        <v>6</v>
      </c>
      <c r="AN3" s="9">
        <v>31</v>
      </c>
      <c r="AP3" s="9"/>
      <c r="AQ3" s="56"/>
      <c r="AR3" s="9"/>
      <c r="AS3" s="9"/>
      <c r="AT3" s="56"/>
      <c r="AU3" s="9"/>
      <c r="AV3" s="9"/>
      <c r="AW3" s="56"/>
      <c r="AX3" s="9"/>
      <c r="AY3" s="9"/>
      <c r="AZ3" s="56"/>
      <c r="BA3" s="9"/>
      <c r="BD3" t="s">
        <v>147</v>
      </c>
      <c r="BE3" t="s">
        <v>23</v>
      </c>
      <c r="BF3" t="s">
        <v>95</v>
      </c>
      <c r="BG3" t="s">
        <v>1</v>
      </c>
      <c r="BH3" t="s">
        <v>24</v>
      </c>
      <c r="BI3" t="s">
        <v>25</v>
      </c>
      <c r="BJ3" t="s">
        <v>40</v>
      </c>
      <c r="BK3" t="s">
        <v>38</v>
      </c>
      <c r="BL3" t="s">
        <v>39</v>
      </c>
      <c r="BM3" t="s">
        <v>57</v>
      </c>
      <c r="BN3" s="2" t="s">
        <v>44</v>
      </c>
      <c r="BO3" s="2" t="s">
        <v>59</v>
      </c>
      <c r="BP3" t="s">
        <v>96</v>
      </c>
      <c r="BQ3" s="2" t="s">
        <v>165</v>
      </c>
      <c r="BR3" t="s">
        <v>114</v>
      </c>
    </row>
    <row r="4" spans="1:70" ht="12" customHeight="1" x14ac:dyDescent="0.2">
      <c r="A4" s="1"/>
      <c r="B4" s="2">
        <v>2</v>
      </c>
      <c r="C4" s="123" t="s">
        <v>2</v>
      </c>
      <c r="D4" s="124"/>
      <c r="E4" s="125"/>
      <c r="F4" s="123" t="s">
        <v>3</v>
      </c>
      <c r="G4" s="124"/>
      <c r="H4" s="125"/>
      <c r="I4" s="123" t="s">
        <v>42</v>
      </c>
      <c r="J4" s="124"/>
      <c r="K4" s="125"/>
      <c r="L4" s="123" t="s">
        <v>84</v>
      </c>
      <c r="M4" s="124"/>
      <c r="N4" s="125"/>
      <c r="P4" s="123" t="s">
        <v>10</v>
      </c>
      <c r="Q4" s="124"/>
      <c r="R4" s="125"/>
      <c r="S4" s="123" t="s">
        <v>11</v>
      </c>
      <c r="T4" s="124"/>
      <c r="U4" s="125"/>
      <c r="V4" s="123" t="s">
        <v>31</v>
      </c>
      <c r="W4" s="124"/>
      <c r="X4" s="125"/>
      <c r="Y4" s="123" t="s">
        <v>153</v>
      </c>
      <c r="Z4" s="124"/>
      <c r="AA4" s="125"/>
      <c r="AC4" s="123" t="s">
        <v>33</v>
      </c>
      <c r="AD4" s="124"/>
      <c r="AE4" s="125"/>
      <c r="AF4" s="123" t="s">
        <v>32</v>
      </c>
      <c r="AG4" s="124"/>
      <c r="AH4" s="125"/>
      <c r="AI4" s="123" t="s">
        <v>99</v>
      </c>
      <c r="AJ4" s="124"/>
      <c r="AK4" s="125"/>
      <c r="AL4" s="123" t="s">
        <v>91</v>
      </c>
      <c r="AM4" s="124"/>
      <c r="AN4" s="125"/>
      <c r="AO4" s="20"/>
      <c r="AP4" s="123" t="s">
        <v>56</v>
      </c>
      <c r="AQ4" s="124"/>
      <c r="AR4" s="125"/>
      <c r="AS4" s="123" t="s">
        <v>68</v>
      </c>
      <c r="AT4" s="124"/>
      <c r="AU4" s="125"/>
      <c r="AV4" s="123" t="s">
        <v>58</v>
      </c>
      <c r="AW4" s="124"/>
      <c r="AX4" s="125"/>
      <c r="AY4" s="123" t="s">
        <v>45</v>
      </c>
      <c r="AZ4" s="124"/>
      <c r="BA4" s="125"/>
      <c r="BB4" s="20"/>
      <c r="BC4" t="s">
        <v>147</v>
      </c>
      <c r="BD4" s="2" t="s">
        <v>26</v>
      </c>
      <c r="BE4" s="2">
        <f>BD5</f>
        <v>2</v>
      </c>
      <c r="BF4" s="2">
        <f>BD6</f>
        <v>2</v>
      </c>
      <c r="BG4" s="2">
        <f>BD7</f>
        <v>1</v>
      </c>
      <c r="BH4" s="2">
        <f>BD8</f>
        <v>2</v>
      </c>
      <c r="BI4" s="2">
        <f>BD9</f>
        <v>2</v>
      </c>
      <c r="BJ4" s="2">
        <f>BD10</f>
        <v>0</v>
      </c>
      <c r="BK4" s="2">
        <f>BD11</f>
        <v>4</v>
      </c>
      <c r="BL4" s="2">
        <f>BD12</f>
        <v>2</v>
      </c>
      <c r="BM4" s="2">
        <f>BD13</f>
        <v>2</v>
      </c>
      <c r="BN4" s="2">
        <f>BD14</f>
        <v>1</v>
      </c>
      <c r="BO4" s="2">
        <f>BD15</f>
        <v>1</v>
      </c>
      <c r="BP4" s="2">
        <f>BD16</f>
        <v>2</v>
      </c>
      <c r="BQ4" s="2">
        <f>BD17</f>
        <v>0</v>
      </c>
      <c r="BR4" s="2">
        <f>BD18</f>
        <v>1</v>
      </c>
    </row>
    <row r="5" spans="1:70" ht="12" customHeight="1" x14ac:dyDescent="0.2">
      <c r="A5" s="121" t="s">
        <v>13</v>
      </c>
      <c r="B5" s="122"/>
      <c r="C5" s="9">
        <v>103</v>
      </c>
      <c r="D5" s="56">
        <v>1</v>
      </c>
      <c r="E5" s="9">
        <v>25</v>
      </c>
      <c r="F5" s="9">
        <v>84</v>
      </c>
      <c r="G5" s="56">
        <v>-5</v>
      </c>
      <c r="H5" s="9">
        <v>30</v>
      </c>
      <c r="I5" s="9">
        <v>91</v>
      </c>
      <c r="J5" s="56">
        <v>-5</v>
      </c>
      <c r="K5" s="9">
        <v>35</v>
      </c>
      <c r="L5" s="9">
        <v>74</v>
      </c>
      <c r="M5" s="56">
        <v>9</v>
      </c>
      <c r="N5" s="9">
        <v>37</v>
      </c>
      <c r="P5" s="9">
        <v>85</v>
      </c>
      <c r="Q5" s="56">
        <v>13</v>
      </c>
      <c r="R5" s="9">
        <v>30</v>
      </c>
      <c r="S5" s="9">
        <v>92</v>
      </c>
      <c r="T5" s="56">
        <v>17</v>
      </c>
      <c r="U5" s="9">
        <v>33</v>
      </c>
      <c r="V5" s="9">
        <v>108</v>
      </c>
      <c r="W5" s="56">
        <v>-3</v>
      </c>
      <c r="X5" s="9">
        <v>19</v>
      </c>
      <c r="Y5" s="9">
        <v>94</v>
      </c>
      <c r="Z5" s="56">
        <v>-27</v>
      </c>
      <c r="AA5" s="9">
        <v>23</v>
      </c>
      <c r="AC5" s="9">
        <v>95</v>
      </c>
      <c r="AD5" s="56">
        <v>-1</v>
      </c>
      <c r="AE5" s="9">
        <v>37</v>
      </c>
      <c r="AF5" s="9">
        <v>99</v>
      </c>
      <c r="AG5" s="56">
        <v>-27</v>
      </c>
      <c r="AH5" s="9">
        <v>34</v>
      </c>
      <c r="AI5" s="9">
        <v>94</v>
      </c>
      <c r="AJ5" s="56">
        <v>25</v>
      </c>
      <c r="AK5" s="9">
        <v>32</v>
      </c>
      <c r="AL5" s="9">
        <v>90</v>
      </c>
      <c r="AM5" s="56">
        <v>3</v>
      </c>
      <c r="AN5" s="9">
        <v>31</v>
      </c>
      <c r="AP5" s="9">
        <v>103</v>
      </c>
      <c r="AQ5" s="56">
        <v>-19</v>
      </c>
      <c r="AR5" s="9">
        <v>25</v>
      </c>
      <c r="AS5" s="9">
        <v>90</v>
      </c>
      <c r="AT5" s="56">
        <v>19</v>
      </c>
      <c r="AU5" s="9">
        <v>35</v>
      </c>
      <c r="AV5" s="9">
        <v>79</v>
      </c>
      <c r="AW5" s="56">
        <v>13</v>
      </c>
      <c r="AX5" s="9">
        <v>40</v>
      </c>
      <c r="AY5" s="9">
        <v>113</v>
      </c>
      <c r="AZ5" s="56">
        <v>-13</v>
      </c>
      <c r="BA5" s="9">
        <v>22</v>
      </c>
      <c r="BC5" t="s">
        <v>23</v>
      </c>
      <c r="BD5" s="2">
        <v>2</v>
      </c>
      <c r="BE5" s="2" t="s">
        <v>26</v>
      </c>
      <c r="BF5" s="2">
        <f>BE6</f>
        <v>3</v>
      </c>
      <c r="BG5" s="2">
        <f>BE7</f>
        <v>2</v>
      </c>
      <c r="BH5" s="2">
        <f>BE8</f>
        <v>2</v>
      </c>
      <c r="BI5" s="2">
        <f>BE9</f>
        <v>2</v>
      </c>
      <c r="BJ5" s="2">
        <f>BE10</f>
        <v>4</v>
      </c>
      <c r="BK5" s="2">
        <f>BE11</f>
        <v>2</v>
      </c>
      <c r="BL5" s="2">
        <f>BE12</f>
        <v>3</v>
      </c>
      <c r="BM5" s="2">
        <f>BE13</f>
        <v>1</v>
      </c>
      <c r="BN5" s="2">
        <f>BE14</f>
        <v>2</v>
      </c>
      <c r="BO5" s="2">
        <f>BE15</f>
        <v>2</v>
      </c>
      <c r="BP5" s="2">
        <f>BE16</f>
        <v>3</v>
      </c>
      <c r="BQ5" s="2">
        <f>BE17</f>
        <v>3</v>
      </c>
      <c r="BR5" s="2">
        <f>BE18</f>
        <v>3</v>
      </c>
    </row>
    <row r="6" spans="1:70" ht="12" customHeight="1" x14ac:dyDescent="0.2">
      <c r="A6" s="1"/>
      <c r="B6" s="2">
        <v>3</v>
      </c>
      <c r="C6" s="123" t="s">
        <v>10</v>
      </c>
      <c r="D6" s="124"/>
      <c r="E6" s="125"/>
      <c r="F6" s="123" t="s">
        <v>2</v>
      </c>
      <c r="G6" s="124"/>
      <c r="H6" s="125"/>
      <c r="I6" s="123" t="s">
        <v>42</v>
      </c>
      <c r="J6" s="124"/>
      <c r="K6" s="125"/>
      <c r="L6" s="123" t="s">
        <v>117</v>
      </c>
      <c r="M6" s="124"/>
      <c r="N6" s="125"/>
      <c r="P6" s="123" t="s">
        <v>3</v>
      </c>
      <c r="Q6" s="124"/>
      <c r="R6" s="125"/>
      <c r="S6" s="123" t="s">
        <v>68</v>
      </c>
      <c r="T6" s="124"/>
      <c r="U6" s="125"/>
      <c r="V6" s="123" t="s">
        <v>115</v>
      </c>
      <c r="W6" s="124"/>
      <c r="X6" s="125"/>
      <c r="Y6" s="123" t="s">
        <v>91</v>
      </c>
      <c r="Z6" s="124"/>
      <c r="AA6" s="125"/>
      <c r="AC6" s="123" t="s">
        <v>41</v>
      </c>
      <c r="AD6" s="124"/>
      <c r="AE6" s="125"/>
      <c r="AF6" s="123" t="s">
        <v>99</v>
      </c>
      <c r="AG6" s="124"/>
      <c r="AH6" s="125"/>
      <c r="AI6" s="123" t="s">
        <v>45</v>
      </c>
      <c r="AJ6" s="124"/>
      <c r="AK6" s="125"/>
      <c r="AL6" s="123" t="s">
        <v>11</v>
      </c>
      <c r="AM6" s="124"/>
      <c r="AN6" s="125"/>
      <c r="AO6" s="20"/>
      <c r="AP6" s="123"/>
      <c r="AQ6" s="124"/>
      <c r="AR6" s="125"/>
      <c r="AS6" s="123"/>
      <c r="AT6" s="124"/>
      <c r="AU6" s="125"/>
      <c r="AV6" s="123"/>
      <c r="AW6" s="124"/>
      <c r="AX6" s="125"/>
      <c r="AY6" s="123"/>
      <c r="AZ6" s="124"/>
      <c r="BA6" s="125"/>
      <c r="BB6" s="20"/>
      <c r="BC6" t="s">
        <v>95</v>
      </c>
      <c r="BD6" s="2">
        <v>2</v>
      </c>
      <c r="BE6" s="2">
        <v>3</v>
      </c>
      <c r="BF6" s="2" t="s">
        <v>26</v>
      </c>
      <c r="BG6" s="2">
        <f>BF7</f>
        <v>2</v>
      </c>
      <c r="BH6" s="2">
        <f>BF8</f>
        <v>2</v>
      </c>
      <c r="BI6" s="2">
        <f>BF9</f>
        <v>3</v>
      </c>
      <c r="BJ6" s="2">
        <f>BF10</f>
        <v>1</v>
      </c>
      <c r="BK6" s="2">
        <f>BF11</f>
        <v>4</v>
      </c>
      <c r="BL6" s="2">
        <f>BF12</f>
        <v>4</v>
      </c>
      <c r="BM6" s="2">
        <f>BF13</f>
        <v>1</v>
      </c>
      <c r="BN6" s="2">
        <f>BF14</f>
        <v>1</v>
      </c>
      <c r="BO6" s="2">
        <f>BF15</f>
        <v>2</v>
      </c>
      <c r="BP6" s="2">
        <f>BF16</f>
        <v>2</v>
      </c>
      <c r="BQ6" s="2">
        <f>BF17</f>
        <v>1</v>
      </c>
      <c r="BR6" s="2">
        <f>BF18</f>
        <v>3</v>
      </c>
    </row>
    <row r="7" spans="1:70" ht="12" customHeight="1" x14ac:dyDescent="0.2">
      <c r="A7" s="121" t="s">
        <v>13</v>
      </c>
      <c r="B7" s="122"/>
      <c r="C7" s="9">
        <v>91</v>
      </c>
      <c r="D7" s="56">
        <v>-10</v>
      </c>
      <c r="E7" s="9">
        <v>25</v>
      </c>
      <c r="F7" s="9">
        <v>107</v>
      </c>
      <c r="G7" s="56">
        <v>-26</v>
      </c>
      <c r="H7" s="9">
        <v>23</v>
      </c>
      <c r="I7" s="9">
        <v>93</v>
      </c>
      <c r="J7" s="56">
        <v>22</v>
      </c>
      <c r="K7" s="9">
        <v>34</v>
      </c>
      <c r="L7" s="9">
        <v>102</v>
      </c>
      <c r="M7" s="56">
        <v>14</v>
      </c>
      <c r="N7" s="9">
        <v>28</v>
      </c>
      <c r="P7" s="9">
        <v>83</v>
      </c>
      <c r="Q7" s="56">
        <v>-2</v>
      </c>
      <c r="R7" s="9">
        <v>29</v>
      </c>
      <c r="S7" s="9">
        <v>86</v>
      </c>
      <c r="T7" s="56">
        <v>14</v>
      </c>
      <c r="U7" s="9">
        <v>39</v>
      </c>
      <c r="V7" s="9">
        <v>119</v>
      </c>
      <c r="W7" s="56">
        <v>-28</v>
      </c>
      <c r="X7" s="9">
        <v>20</v>
      </c>
      <c r="Y7" s="9">
        <v>86</v>
      </c>
      <c r="Z7" s="56">
        <v>16</v>
      </c>
      <c r="AA7" s="9">
        <v>34</v>
      </c>
      <c r="AC7" s="9">
        <v>86</v>
      </c>
      <c r="AD7" s="56">
        <v>17</v>
      </c>
      <c r="AE7" s="9">
        <v>31</v>
      </c>
      <c r="AF7" s="9">
        <v>93</v>
      </c>
      <c r="AG7" s="56">
        <v>-43</v>
      </c>
      <c r="AH7" s="9">
        <v>33</v>
      </c>
      <c r="AI7" s="9">
        <v>114</v>
      </c>
      <c r="AJ7" s="56">
        <v>-1</v>
      </c>
      <c r="AK7" s="9">
        <v>18</v>
      </c>
      <c r="AL7" s="9">
        <v>87</v>
      </c>
      <c r="AM7" s="56">
        <v>27</v>
      </c>
      <c r="AN7" s="9">
        <v>38</v>
      </c>
      <c r="AP7" s="9"/>
      <c r="AQ7" s="56"/>
      <c r="AR7" s="9"/>
      <c r="AS7" s="9"/>
      <c r="AT7" s="56"/>
      <c r="AU7" s="9"/>
      <c r="AV7" s="9"/>
      <c r="AW7" s="56"/>
      <c r="AX7" s="9"/>
      <c r="AY7" s="9"/>
      <c r="AZ7" s="56"/>
      <c r="BA7" s="9"/>
      <c r="BC7" t="s">
        <v>1</v>
      </c>
      <c r="BD7" s="2">
        <v>1</v>
      </c>
      <c r="BE7" s="2">
        <v>2</v>
      </c>
      <c r="BF7" s="2">
        <v>2</v>
      </c>
      <c r="BG7" s="2" t="s">
        <v>26</v>
      </c>
      <c r="BH7" s="2">
        <f>BG8</f>
        <v>4</v>
      </c>
      <c r="BI7" s="2">
        <f>BG9</f>
        <v>3</v>
      </c>
      <c r="BJ7" s="2">
        <f>BG10</f>
        <v>1</v>
      </c>
      <c r="BK7" s="2">
        <f>BG11</f>
        <v>3</v>
      </c>
      <c r="BL7" s="2">
        <f>BG12</f>
        <v>1</v>
      </c>
      <c r="BM7" s="2">
        <f>BG13</f>
        <v>1</v>
      </c>
      <c r="BN7" s="2">
        <f>BG14</f>
        <v>2</v>
      </c>
      <c r="BO7" s="2">
        <f>BG15</f>
        <v>3</v>
      </c>
      <c r="BP7" s="2">
        <f>BG16</f>
        <v>2</v>
      </c>
      <c r="BQ7" s="2">
        <f>BG17</f>
        <v>1</v>
      </c>
      <c r="BR7" s="2">
        <f>BG18</f>
        <v>3</v>
      </c>
    </row>
    <row r="8" spans="1:70" ht="12" customHeight="1" x14ac:dyDescent="0.2">
      <c r="A8" s="1"/>
      <c r="B8" s="2">
        <v>4</v>
      </c>
      <c r="C8" s="123" t="s">
        <v>99</v>
      </c>
      <c r="D8" s="124"/>
      <c r="E8" s="125"/>
      <c r="F8" s="123" t="s">
        <v>2</v>
      </c>
      <c r="G8" s="124"/>
      <c r="H8" s="125"/>
      <c r="I8" s="123" t="s">
        <v>56</v>
      </c>
      <c r="J8" s="124"/>
      <c r="K8" s="125"/>
      <c r="L8" s="123" t="s">
        <v>10</v>
      </c>
      <c r="M8" s="124"/>
      <c r="N8" s="125"/>
      <c r="P8" s="123" t="s">
        <v>68</v>
      </c>
      <c r="Q8" s="124"/>
      <c r="R8" s="125"/>
      <c r="S8" s="123" t="s">
        <v>41</v>
      </c>
      <c r="T8" s="124"/>
      <c r="U8" s="125"/>
      <c r="V8" s="123" t="s">
        <v>117</v>
      </c>
      <c r="W8" s="124"/>
      <c r="X8" s="125"/>
      <c r="Y8" s="123" t="s">
        <v>32</v>
      </c>
      <c r="Z8" s="124"/>
      <c r="AA8" s="125"/>
      <c r="AC8" s="123"/>
      <c r="AD8" s="124"/>
      <c r="AE8" s="125"/>
      <c r="AF8" s="123"/>
      <c r="AG8" s="124"/>
      <c r="AH8" s="125"/>
      <c r="AI8" s="123"/>
      <c r="AJ8" s="124"/>
      <c r="AK8" s="125"/>
      <c r="AL8" s="123"/>
      <c r="AM8" s="124"/>
      <c r="AN8" s="125"/>
      <c r="AO8" s="20"/>
      <c r="AP8" s="123"/>
      <c r="AQ8" s="124"/>
      <c r="AR8" s="125"/>
      <c r="AS8" s="123"/>
      <c r="AT8" s="124"/>
      <c r="AU8" s="125"/>
      <c r="AV8" s="123"/>
      <c r="AW8" s="124"/>
      <c r="AX8" s="125"/>
      <c r="AY8" s="123"/>
      <c r="AZ8" s="124"/>
      <c r="BA8" s="125"/>
      <c r="BB8" s="20"/>
      <c r="BC8" t="s">
        <v>24</v>
      </c>
      <c r="BD8" s="2">
        <v>2</v>
      </c>
      <c r="BE8" s="2">
        <v>2</v>
      </c>
      <c r="BF8" s="2">
        <v>2</v>
      </c>
      <c r="BG8" s="2">
        <v>4</v>
      </c>
      <c r="BH8" s="2" t="s">
        <v>26</v>
      </c>
      <c r="BI8" s="2">
        <f>BH9</f>
        <v>4</v>
      </c>
      <c r="BJ8" s="2">
        <f>BH10</f>
        <v>2</v>
      </c>
      <c r="BK8" s="2">
        <f>BH11</f>
        <v>3</v>
      </c>
      <c r="BL8" s="2">
        <f>BH12</f>
        <v>2</v>
      </c>
      <c r="BM8" s="2">
        <f>BH13</f>
        <v>1</v>
      </c>
      <c r="BN8" s="2">
        <f>BH14</f>
        <v>3</v>
      </c>
      <c r="BO8" s="2">
        <f>BH15</f>
        <v>3</v>
      </c>
      <c r="BP8" s="2">
        <f>BH16</f>
        <v>2</v>
      </c>
      <c r="BQ8" s="2">
        <f>BH17</f>
        <v>0</v>
      </c>
      <c r="BR8" s="2">
        <f>BH18</f>
        <v>3</v>
      </c>
    </row>
    <row r="9" spans="1:70" ht="12" customHeight="1" x14ac:dyDescent="0.2">
      <c r="A9" s="121" t="s">
        <v>13</v>
      </c>
      <c r="B9" s="122"/>
      <c r="C9" s="9">
        <v>91</v>
      </c>
      <c r="D9" s="56">
        <v>0</v>
      </c>
      <c r="E9" s="9">
        <v>36</v>
      </c>
      <c r="F9" s="9">
        <v>94</v>
      </c>
      <c r="G9" s="56">
        <v>-4</v>
      </c>
      <c r="H9" s="9">
        <v>34</v>
      </c>
      <c r="I9" s="9">
        <v>93</v>
      </c>
      <c r="J9" s="56">
        <v>-12</v>
      </c>
      <c r="K9" s="9">
        <v>34</v>
      </c>
      <c r="L9" s="9">
        <v>81</v>
      </c>
      <c r="M9" s="56">
        <v>16</v>
      </c>
      <c r="N9" s="9">
        <v>36</v>
      </c>
      <c r="P9" s="9">
        <v>89</v>
      </c>
      <c r="Q9" s="56">
        <v>-27</v>
      </c>
      <c r="R9" s="9">
        <v>36</v>
      </c>
      <c r="S9" s="9">
        <v>81</v>
      </c>
      <c r="T9" s="56">
        <v>-3</v>
      </c>
      <c r="U9" s="9">
        <v>34</v>
      </c>
      <c r="V9" s="9">
        <v>92</v>
      </c>
      <c r="W9" s="56">
        <v>15</v>
      </c>
      <c r="X9" s="9">
        <v>41</v>
      </c>
      <c r="Y9" s="9">
        <v>94</v>
      </c>
      <c r="Z9" s="56">
        <v>15</v>
      </c>
      <c r="AA9" s="9">
        <v>41</v>
      </c>
      <c r="AC9" s="9"/>
      <c r="AD9" s="56"/>
      <c r="AE9" s="9"/>
      <c r="AF9" s="9"/>
      <c r="AG9" s="56"/>
      <c r="AH9" s="9"/>
      <c r="AI9" s="9"/>
      <c r="AJ9" s="56"/>
      <c r="AK9" s="9"/>
      <c r="AL9" s="9"/>
      <c r="AM9" s="56"/>
      <c r="AN9" s="9"/>
      <c r="AP9" s="9"/>
      <c r="AQ9" s="56"/>
      <c r="AR9" s="9"/>
      <c r="AS9" s="9"/>
      <c r="AT9" s="56"/>
      <c r="AU9" s="9"/>
      <c r="AV9" s="9"/>
      <c r="AW9" s="56"/>
      <c r="AX9" s="9"/>
      <c r="AY9" s="9"/>
      <c r="AZ9" s="56"/>
      <c r="BA9" s="9"/>
      <c r="BC9" t="s">
        <v>25</v>
      </c>
      <c r="BD9" s="2">
        <v>2</v>
      </c>
      <c r="BE9" s="2">
        <v>2</v>
      </c>
      <c r="BF9" s="2">
        <v>3</v>
      </c>
      <c r="BG9" s="2">
        <v>3</v>
      </c>
      <c r="BH9" s="2">
        <v>4</v>
      </c>
      <c r="BI9" s="2" t="s">
        <v>26</v>
      </c>
      <c r="BJ9" s="2">
        <f>BI10</f>
        <v>2</v>
      </c>
      <c r="BK9" s="2">
        <f>BI11</f>
        <v>3</v>
      </c>
      <c r="BL9" s="2">
        <f>BI12</f>
        <v>3</v>
      </c>
      <c r="BM9" s="2">
        <f>BI13</f>
        <v>2</v>
      </c>
      <c r="BN9" s="2">
        <f>BI14</f>
        <v>3</v>
      </c>
      <c r="BO9" s="2">
        <f>BI15</f>
        <v>3</v>
      </c>
      <c r="BP9" s="2">
        <f>BI16</f>
        <v>2</v>
      </c>
      <c r="BQ9" s="2">
        <f>BI17</f>
        <v>2</v>
      </c>
      <c r="BR9" s="2">
        <f>BI18</f>
        <v>2</v>
      </c>
    </row>
    <row r="10" spans="1:70" ht="12" customHeight="1" x14ac:dyDescent="0.2">
      <c r="A10" s="1"/>
      <c r="B10" s="2">
        <v>5</v>
      </c>
      <c r="C10" s="123" t="s">
        <v>45</v>
      </c>
      <c r="D10" s="124"/>
      <c r="E10" s="125"/>
      <c r="F10" s="123" t="s">
        <v>32</v>
      </c>
      <c r="G10" s="124"/>
      <c r="H10" s="125"/>
      <c r="I10" s="123" t="s">
        <v>117</v>
      </c>
      <c r="J10" s="124"/>
      <c r="K10" s="125"/>
      <c r="L10" s="123" t="s">
        <v>10</v>
      </c>
      <c r="M10" s="124"/>
      <c r="N10" s="125"/>
      <c r="P10" s="123" t="s">
        <v>42</v>
      </c>
      <c r="Q10" s="124"/>
      <c r="R10" s="125"/>
      <c r="S10" s="123" t="s">
        <v>56</v>
      </c>
      <c r="T10" s="124"/>
      <c r="U10" s="125"/>
      <c r="V10" s="123" t="s">
        <v>91</v>
      </c>
      <c r="W10" s="124"/>
      <c r="X10" s="125"/>
      <c r="Y10" s="123" t="s">
        <v>11</v>
      </c>
      <c r="Z10" s="124"/>
      <c r="AA10" s="125"/>
      <c r="AC10" s="123" t="s">
        <v>58</v>
      </c>
      <c r="AD10" s="124"/>
      <c r="AE10" s="125"/>
      <c r="AF10" s="123" t="s">
        <v>41</v>
      </c>
      <c r="AG10" s="124"/>
      <c r="AH10" s="125"/>
      <c r="AI10" s="123" t="s">
        <v>33</v>
      </c>
      <c r="AJ10" s="124"/>
      <c r="AK10" s="125"/>
      <c r="AL10" s="123" t="s">
        <v>66</v>
      </c>
      <c r="AM10" s="124"/>
      <c r="AN10" s="125"/>
      <c r="AO10" s="20"/>
      <c r="AP10" s="123"/>
      <c r="AQ10" s="124"/>
      <c r="AR10" s="125"/>
      <c r="AS10" s="123"/>
      <c r="AT10" s="124"/>
      <c r="AU10" s="125"/>
      <c r="AV10" s="123"/>
      <c r="AW10" s="124"/>
      <c r="AX10" s="125"/>
      <c r="AY10" s="123"/>
      <c r="AZ10" s="124"/>
      <c r="BA10" s="125"/>
      <c r="BB10" s="20"/>
      <c r="BC10" t="s">
        <v>40</v>
      </c>
      <c r="BD10" s="2"/>
      <c r="BE10" s="2">
        <v>4</v>
      </c>
      <c r="BF10" s="2">
        <v>1</v>
      </c>
      <c r="BG10" s="2">
        <v>1</v>
      </c>
      <c r="BH10" s="2">
        <v>2</v>
      </c>
      <c r="BI10" s="2">
        <v>2</v>
      </c>
      <c r="BJ10" s="2" t="s">
        <v>26</v>
      </c>
      <c r="BK10" s="2">
        <f>BJ11</f>
        <v>2</v>
      </c>
      <c r="BL10" s="2">
        <f>BJ12</f>
        <v>3</v>
      </c>
      <c r="BM10" s="2">
        <f>BJ13</f>
        <v>1</v>
      </c>
      <c r="BN10" s="2">
        <f>BJ14</f>
        <v>2</v>
      </c>
      <c r="BO10" s="2">
        <f>BJ15</f>
        <v>1</v>
      </c>
      <c r="BP10" s="2">
        <f>BJ16</f>
        <v>2</v>
      </c>
      <c r="BQ10" s="2">
        <f>BJ17</f>
        <v>1</v>
      </c>
      <c r="BR10" s="2">
        <f>BJ18</f>
        <v>1</v>
      </c>
    </row>
    <row r="11" spans="1:70" ht="12" customHeight="1" x14ac:dyDescent="0.2">
      <c r="A11" s="121" t="s">
        <v>13</v>
      </c>
      <c r="B11" s="122"/>
      <c r="C11" s="9">
        <v>102</v>
      </c>
      <c r="D11" s="56">
        <v>-2</v>
      </c>
      <c r="E11" s="9">
        <v>30</v>
      </c>
      <c r="F11" s="9">
        <v>102</v>
      </c>
      <c r="G11" s="56">
        <v>-20</v>
      </c>
      <c r="H11" s="9">
        <v>32</v>
      </c>
      <c r="I11" s="9">
        <v>111</v>
      </c>
      <c r="J11" s="56">
        <v>5</v>
      </c>
      <c r="K11" s="9">
        <v>25</v>
      </c>
      <c r="L11" s="9">
        <v>86</v>
      </c>
      <c r="M11" s="56">
        <v>17</v>
      </c>
      <c r="N11" s="9">
        <v>31</v>
      </c>
      <c r="P11" s="9">
        <v>87</v>
      </c>
      <c r="Q11" s="56">
        <v>6</v>
      </c>
      <c r="R11" s="9">
        <v>37</v>
      </c>
      <c r="S11" s="9">
        <v>93</v>
      </c>
      <c r="T11" s="56">
        <v>-14</v>
      </c>
      <c r="U11" s="9">
        <v>33</v>
      </c>
      <c r="V11" s="9">
        <v>85</v>
      </c>
      <c r="W11" s="66">
        <v>2</v>
      </c>
      <c r="X11" s="9">
        <v>33</v>
      </c>
      <c r="Y11" s="9">
        <v>87</v>
      </c>
      <c r="Z11" s="56">
        <v>6</v>
      </c>
      <c r="AA11" s="9">
        <v>37</v>
      </c>
      <c r="AC11" s="9">
        <v>76</v>
      </c>
      <c r="AD11" s="56">
        <v>44</v>
      </c>
      <c r="AE11" s="9">
        <v>42</v>
      </c>
      <c r="AF11" s="9">
        <v>80</v>
      </c>
      <c r="AG11" s="56">
        <v>-12</v>
      </c>
      <c r="AH11" s="9">
        <v>35</v>
      </c>
      <c r="AI11" s="9">
        <v>97</v>
      </c>
      <c r="AJ11" s="56">
        <v>-10</v>
      </c>
      <c r="AK11" s="9">
        <v>36</v>
      </c>
      <c r="AL11" s="9">
        <v>103</v>
      </c>
      <c r="AM11" s="56">
        <v>-22</v>
      </c>
      <c r="AN11" s="9">
        <v>20</v>
      </c>
      <c r="AP11" s="9"/>
      <c r="AQ11" s="56"/>
      <c r="AR11" s="9"/>
      <c r="AS11" s="9"/>
      <c r="AT11" s="56"/>
      <c r="AU11" s="9"/>
      <c r="AV11" s="9"/>
      <c r="AW11" s="56"/>
      <c r="AX11" s="9"/>
      <c r="AY11" s="9"/>
      <c r="AZ11" s="56"/>
      <c r="BA11" s="9"/>
      <c r="BC11" t="s">
        <v>38</v>
      </c>
      <c r="BD11" s="2">
        <v>4</v>
      </c>
      <c r="BE11" s="2">
        <v>2</v>
      </c>
      <c r="BF11" s="2">
        <v>4</v>
      </c>
      <c r="BG11" s="2">
        <v>3</v>
      </c>
      <c r="BH11" s="2">
        <v>3</v>
      </c>
      <c r="BI11" s="2">
        <v>3</v>
      </c>
      <c r="BJ11" s="2">
        <v>2</v>
      </c>
      <c r="BK11" s="2" t="s">
        <v>26</v>
      </c>
      <c r="BL11" s="2">
        <f>BK12</f>
        <v>3</v>
      </c>
      <c r="BM11" s="2">
        <f>BK13</f>
        <v>1</v>
      </c>
      <c r="BN11" s="2">
        <f>BK14</f>
        <v>1</v>
      </c>
      <c r="BO11" s="2">
        <f>BK15</f>
        <v>1</v>
      </c>
      <c r="BP11" s="2">
        <f>BK16</f>
        <v>2</v>
      </c>
      <c r="BQ11" s="2">
        <f>BK17</f>
        <v>2</v>
      </c>
      <c r="BR11" s="2">
        <f>BK18</f>
        <v>2</v>
      </c>
    </row>
    <row r="12" spans="1:70" ht="12" customHeight="1" x14ac:dyDescent="0.2">
      <c r="A12" s="1"/>
      <c r="B12" s="2">
        <v>6</v>
      </c>
      <c r="C12" s="123" t="s">
        <v>91</v>
      </c>
      <c r="D12" s="124"/>
      <c r="E12" s="125"/>
      <c r="F12" s="123" t="s">
        <v>41</v>
      </c>
      <c r="G12" s="124"/>
      <c r="H12" s="125"/>
      <c r="I12" s="123" t="s">
        <v>153</v>
      </c>
      <c r="J12" s="124"/>
      <c r="K12" s="125"/>
      <c r="L12" s="123" t="s">
        <v>33</v>
      </c>
      <c r="M12" s="124"/>
      <c r="N12" s="125"/>
      <c r="P12" s="123" t="s">
        <v>68</v>
      </c>
      <c r="Q12" s="124"/>
      <c r="R12" s="125"/>
      <c r="S12" s="123" t="s">
        <v>45</v>
      </c>
      <c r="T12" s="124"/>
      <c r="U12" s="125"/>
      <c r="V12" s="123" t="s">
        <v>42</v>
      </c>
      <c r="W12" s="124"/>
      <c r="X12" s="125"/>
      <c r="Y12" s="123" t="s">
        <v>10</v>
      </c>
      <c r="Z12" s="124"/>
      <c r="AA12" s="125"/>
      <c r="AC12" s="123" t="s">
        <v>11</v>
      </c>
      <c r="AD12" s="124"/>
      <c r="AE12" s="125"/>
      <c r="AF12" s="123" t="s">
        <v>90</v>
      </c>
      <c r="AG12" s="124"/>
      <c r="AH12" s="125"/>
      <c r="AI12" s="123" t="s">
        <v>3</v>
      </c>
      <c r="AJ12" s="124"/>
      <c r="AK12" s="125"/>
      <c r="AL12" s="123" t="s">
        <v>32</v>
      </c>
      <c r="AM12" s="124"/>
      <c r="AN12" s="125"/>
      <c r="AO12" s="20"/>
      <c r="AP12" s="123"/>
      <c r="AQ12" s="124"/>
      <c r="AR12" s="125"/>
      <c r="AS12" s="123"/>
      <c r="AT12" s="124"/>
      <c r="AU12" s="125"/>
      <c r="AV12" s="123"/>
      <c r="AW12" s="124"/>
      <c r="AX12" s="125"/>
      <c r="AY12" s="123"/>
      <c r="AZ12" s="124"/>
      <c r="BA12" s="125"/>
      <c r="BB12" s="20"/>
      <c r="BC12" t="s">
        <v>39</v>
      </c>
      <c r="BD12" s="2">
        <v>2</v>
      </c>
      <c r="BE12" s="2">
        <v>3</v>
      </c>
      <c r="BF12" s="2">
        <v>4</v>
      </c>
      <c r="BG12" s="2">
        <v>1</v>
      </c>
      <c r="BH12" s="2">
        <v>2</v>
      </c>
      <c r="BI12" s="2">
        <v>3</v>
      </c>
      <c r="BJ12" s="2">
        <v>3</v>
      </c>
      <c r="BK12" s="2">
        <v>3</v>
      </c>
      <c r="BL12" s="2" t="s">
        <v>26</v>
      </c>
      <c r="BM12" s="2">
        <f>BL13</f>
        <v>1</v>
      </c>
      <c r="BN12" s="2">
        <f>BL14</f>
        <v>3</v>
      </c>
      <c r="BO12" s="2">
        <f>BL15</f>
        <v>3</v>
      </c>
      <c r="BP12" s="2">
        <f>BL16</f>
        <v>3</v>
      </c>
      <c r="BQ12" s="2">
        <f>BL17</f>
        <v>2</v>
      </c>
      <c r="BR12" s="2">
        <f>BL18</f>
        <v>3</v>
      </c>
    </row>
    <row r="13" spans="1:70" ht="12" customHeight="1" x14ac:dyDescent="0.2">
      <c r="A13" s="121" t="s">
        <v>13</v>
      </c>
      <c r="B13" s="122"/>
      <c r="C13" s="9">
        <v>88</v>
      </c>
      <c r="D13" s="56">
        <v>4</v>
      </c>
      <c r="E13" s="9">
        <v>30</v>
      </c>
      <c r="F13" s="9">
        <v>79</v>
      </c>
      <c r="G13" s="56">
        <v>12</v>
      </c>
      <c r="H13" s="9">
        <v>36</v>
      </c>
      <c r="I13" s="9">
        <v>85</v>
      </c>
      <c r="J13" s="56">
        <v>-34</v>
      </c>
      <c r="K13" s="9">
        <v>29</v>
      </c>
      <c r="L13" s="9">
        <v>92</v>
      </c>
      <c r="M13" s="56">
        <v>18</v>
      </c>
      <c r="N13" s="9">
        <v>41</v>
      </c>
      <c r="P13" s="9">
        <v>94</v>
      </c>
      <c r="Q13" s="56">
        <v>-10</v>
      </c>
      <c r="R13" s="9">
        <v>31</v>
      </c>
      <c r="S13" s="9">
        <v>107</v>
      </c>
      <c r="T13" s="56">
        <v>-8</v>
      </c>
      <c r="U13" s="9">
        <v>27</v>
      </c>
      <c r="V13" s="9">
        <v>82</v>
      </c>
      <c r="W13" s="56">
        <v>10</v>
      </c>
      <c r="X13" s="9">
        <v>42</v>
      </c>
      <c r="Y13" s="9">
        <v>81</v>
      </c>
      <c r="Z13" s="56">
        <v>8</v>
      </c>
      <c r="AA13" s="9">
        <v>36</v>
      </c>
      <c r="AC13" s="9">
        <v>91</v>
      </c>
      <c r="AD13" s="56">
        <v>-3</v>
      </c>
      <c r="AE13" s="9">
        <v>33</v>
      </c>
      <c r="AF13" s="9">
        <v>99</v>
      </c>
      <c r="AG13" s="56">
        <v>-1</v>
      </c>
      <c r="AH13" s="9">
        <v>28</v>
      </c>
      <c r="AI13" s="9">
        <v>79</v>
      </c>
      <c r="AJ13" s="56">
        <v>-5</v>
      </c>
      <c r="AK13" s="9">
        <v>33</v>
      </c>
      <c r="AL13" s="9">
        <v>95</v>
      </c>
      <c r="AM13" s="56">
        <v>9</v>
      </c>
      <c r="AN13" s="9">
        <v>39</v>
      </c>
      <c r="AP13" s="9"/>
      <c r="AQ13" s="56"/>
      <c r="AR13" s="9"/>
      <c r="AS13" s="9"/>
      <c r="AT13" s="56"/>
      <c r="AU13" s="9"/>
      <c r="AV13" s="9"/>
      <c r="AW13" s="56"/>
      <c r="AX13" s="9"/>
      <c r="AY13" s="9"/>
      <c r="AZ13" s="56"/>
      <c r="BA13" s="9"/>
      <c r="BC13" t="s">
        <v>57</v>
      </c>
      <c r="BD13" s="2">
        <v>2</v>
      </c>
      <c r="BE13" s="2">
        <v>1</v>
      </c>
      <c r="BF13" s="2">
        <v>1</v>
      </c>
      <c r="BG13" s="2">
        <v>1</v>
      </c>
      <c r="BH13" s="2">
        <v>1</v>
      </c>
      <c r="BI13" s="2">
        <v>2</v>
      </c>
      <c r="BJ13" s="2">
        <v>1</v>
      </c>
      <c r="BK13" s="2">
        <v>1</v>
      </c>
      <c r="BL13" s="2">
        <v>1</v>
      </c>
      <c r="BM13" s="2" t="s">
        <v>26</v>
      </c>
      <c r="BN13" s="2">
        <f>BM14</f>
        <v>1</v>
      </c>
      <c r="BO13" s="2">
        <f>BM15</f>
        <v>2</v>
      </c>
      <c r="BP13" s="2">
        <f>BM16</f>
        <v>2</v>
      </c>
      <c r="BQ13" s="2">
        <f>BM17</f>
        <v>0</v>
      </c>
      <c r="BR13" s="2">
        <f>BM18</f>
        <v>2</v>
      </c>
    </row>
    <row r="14" spans="1:70" ht="12" customHeight="1" x14ac:dyDescent="0.2">
      <c r="A14" s="1"/>
      <c r="B14" s="2">
        <v>7</v>
      </c>
      <c r="C14" s="123" t="s">
        <v>11</v>
      </c>
      <c r="D14" s="124"/>
      <c r="E14" s="125"/>
      <c r="F14" s="123" t="s">
        <v>40</v>
      </c>
      <c r="G14" s="124"/>
      <c r="H14" s="125"/>
      <c r="I14" s="123" t="s">
        <v>159</v>
      </c>
      <c r="J14" s="124"/>
      <c r="K14" s="125"/>
      <c r="L14" s="123" t="s">
        <v>33</v>
      </c>
      <c r="M14" s="124"/>
      <c r="N14" s="125"/>
      <c r="P14" s="123" t="s">
        <v>45</v>
      </c>
      <c r="Q14" s="124"/>
      <c r="R14" s="125"/>
      <c r="S14" s="123" t="s">
        <v>32</v>
      </c>
      <c r="T14" s="124"/>
      <c r="U14" s="125"/>
      <c r="V14" s="123" t="s">
        <v>3</v>
      </c>
      <c r="W14" s="124"/>
      <c r="X14" s="125"/>
      <c r="Y14" s="123" t="s">
        <v>99</v>
      </c>
      <c r="Z14" s="124"/>
      <c r="AA14" s="125"/>
      <c r="AC14" s="123" t="s">
        <v>10</v>
      </c>
      <c r="AD14" s="124"/>
      <c r="AE14" s="125"/>
      <c r="AF14" s="123" t="s">
        <v>91</v>
      </c>
      <c r="AG14" s="124"/>
      <c r="AH14" s="125"/>
      <c r="AI14" s="123" t="s">
        <v>84</v>
      </c>
      <c r="AJ14" s="124"/>
      <c r="AK14" s="125"/>
      <c r="AL14" s="123" t="s">
        <v>58</v>
      </c>
      <c r="AM14" s="124"/>
      <c r="AN14" s="125"/>
      <c r="AO14" s="20"/>
      <c r="AP14" s="123"/>
      <c r="AQ14" s="124"/>
      <c r="AR14" s="125"/>
      <c r="AS14" s="123"/>
      <c r="AT14" s="124"/>
      <c r="AU14" s="125"/>
      <c r="AV14" s="123"/>
      <c r="AW14" s="124"/>
      <c r="AX14" s="125"/>
      <c r="AY14" s="123"/>
      <c r="AZ14" s="124"/>
      <c r="BA14" s="125"/>
      <c r="BB14" s="20"/>
      <c r="BC14" s="24" t="s">
        <v>44</v>
      </c>
      <c r="BD14" s="2">
        <v>1</v>
      </c>
      <c r="BE14" s="2">
        <v>2</v>
      </c>
      <c r="BF14" s="2">
        <v>1</v>
      </c>
      <c r="BG14" s="2">
        <v>2</v>
      </c>
      <c r="BH14" s="2">
        <v>3</v>
      </c>
      <c r="BI14" s="2">
        <v>3</v>
      </c>
      <c r="BJ14" s="2">
        <v>2</v>
      </c>
      <c r="BK14" s="2">
        <v>1</v>
      </c>
      <c r="BL14" s="2">
        <v>3</v>
      </c>
      <c r="BM14" s="2">
        <v>1</v>
      </c>
      <c r="BN14" s="2" t="s">
        <v>26</v>
      </c>
      <c r="BO14" s="2">
        <f>BN15</f>
        <v>2</v>
      </c>
      <c r="BP14" s="2">
        <f>BN16</f>
        <v>2</v>
      </c>
      <c r="BQ14" s="2">
        <f>BN17</f>
        <v>2</v>
      </c>
      <c r="BR14" s="2">
        <f>BN18</f>
        <v>4</v>
      </c>
    </row>
    <row r="15" spans="1:70" ht="12" customHeight="1" x14ac:dyDescent="0.2">
      <c r="A15" s="121" t="s">
        <v>13</v>
      </c>
      <c r="B15" s="122"/>
      <c r="C15" s="9">
        <v>95</v>
      </c>
      <c r="D15" s="56">
        <v>20</v>
      </c>
      <c r="E15" s="9">
        <v>32</v>
      </c>
      <c r="F15" s="9">
        <v>98</v>
      </c>
      <c r="G15" s="56">
        <v>-6</v>
      </c>
      <c r="H15" s="9">
        <v>30</v>
      </c>
      <c r="I15" s="9">
        <v>90</v>
      </c>
      <c r="J15" s="56">
        <v>-8</v>
      </c>
      <c r="K15" s="9">
        <v>35</v>
      </c>
      <c r="L15" s="9">
        <v>100</v>
      </c>
      <c r="M15" s="56">
        <v>-6</v>
      </c>
      <c r="N15" s="9">
        <v>33</v>
      </c>
      <c r="P15" s="9">
        <v>96</v>
      </c>
      <c r="Q15" s="56">
        <v>7</v>
      </c>
      <c r="R15" s="9">
        <v>36</v>
      </c>
      <c r="S15" s="9">
        <v>101</v>
      </c>
      <c r="T15" s="56">
        <v>-7</v>
      </c>
      <c r="U15" s="9">
        <v>34</v>
      </c>
      <c r="V15" s="9">
        <v>83</v>
      </c>
      <c r="W15" s="56">
        <v>5</v>
      </c>
      <c r="X15" s="9">
        <v>29</v>
      </c>
      <c r="Y15" s="9">
        <v>101</v>
      </c>
      <c r="Z15" s="56">
        <v>-5</v>
      </c>
      <c r="AA15" s="9">
        <v>27</v>
      </c>
      <c r="AC15" s="9">
        <v>77</v>
      </c>
      <c r="AD15" s="56">
        <v>10</v>
      </c>
      <c r="AE15" s="9">
        <v>40</v>
      </c>
      <c r="AF15" s="9">
        <v>78</v>
      </c>
      <c r="AG15" s="56">
        <v>12</v>
      </c>
      <c r="AH15" s="9">
        <v>39</v>
      </c>
      <c r="AI15" s="9">
        <v>70</v>
      </c>
      <c r="AJ15" s="56">
        <v>16</v>
      </c>
      <c r="AK15" s="9">
        <v>41</v>
      </c>
      <c r="AL15" s="9">
        <v>85</v>
      </c>
      <c r="AM15" s="56">
        <v>-38</v>
      </c>
      <c r="AN15" s="9">
        <v>32</v>
      </c>
      <c r="AP15" s="9"/>
      <c r="AQ15" s="56"/>
      <c r="AR15" s="9"/>
      <c r="AS15" s="9"/>
      <c r="AT15" s="56"/>
      <c r="AU15" s="9"/>
      <c r="AV15" s="9"/>
      <c r="AW15" s="56"/>
      <c r="AX15" s="9"/>
      <c r="AY15" s="9"/>
      <c r="AZ15" s="56"/>
      <c r="BA15" s="9"/>
      <c r="BC15" t="s">
        <v>59</v>
      </c>
      <c r="BD15" s="2">
        <v>1</v>
      </c>
      <c r="BE15" s="2">
        <v>2</v>
      </c>
      <c r="BF15" s="2">
        <v>2</v>
      </c>
      <c r="BG15" s="2">
        <v>3</v>
      </c>
      <c r="BH15" s="2">
        <v>3</v>
      </c>
      <c r="BI15" s="2">
        <v>3</v>
      </c>
      <c r="BJ15" s="2">
        <v>1</v>
      </c>
      <c r="BK15" s="2">
        <v>1</v>
      </c>
      <c r="BL15" s="2">
        <v>3</v>
      </c>
      <c r="BM15" s="2">
        <v>2</v>
      </c>
      <c r="BN15" s="2">
        <v>2</v>
      </c>
      <c r="BO15" s="2" t="s">
        <v>26</v>
      </c>
      <c r="BP15" s="2">
        <f>BO16</f>
        <v>2</v>
      </c>
      <c r="BQ15" s="2">
        <f>BO17</f>
        <v>1</v>
      </c>
      <c r="BR15" s="2">
        <f>BO18</f>
        <v>4</v>
      </c>
    </row>
    <row r="16" spans="1:70" ht="12" customHeight="1" x14ac:dyDescent="0.2">
      <c r="A16" s="1"/>
      <c r="B16" s="2">
        <v>8</v>
      </c>
      <c r="C16" s="123" t="s">
        <v>10</v>
      </c>
      <c r="D16" s="124"/>
      <c r="E16" s="125"/>
      <c r="F16" s="123" t="s">
        <v>33</v>
      </c>
      <c r="G16" s="124"/>
      <c r="H16" s="125"/>
      <c r="I16" s="123" t="s">
        <v>3</v>
      </c>
      <c r="J16" s="124"/>
      <c r="K16" s="125"/>
      <c r="L16" s="123" t="s">
        <v>117</v>
      </c>
      <c r="M16" s="124"/>
      <c r="N16" s="125"/>
      <c r="P16" s="123" t="s">
        <v>11</v>
      </c>
      <c r="Q16" s="124"/>
      <c r="R16" s="125"/>
      <c r="S16" s="123" t="s">
        <v>45</v>
      </c>
      <c r="T16" s="124"/>
      <c r="U16" s="125"/>
      <c r="V16" s="123" t="s">
        <v>161</v>
      </c>
      <c r="W16" s="124"/>
      <c r="X16" s="125"/>
      <c r="Y16" s="123" t="s">
        <v>42</v>
      </c>
      <c r="Z16" s="124"/>
      <c r="AA16" s="125"/>
      <c r="AC16" s="123" t="s">
        <v>115</v>
      </c>
      <c r="AD16" s="124"/>
      <c r="AE16" s="125"/>
      <c r="AF16" s="123" t="s">
        <v>162</v>
      </c>
      <c r="AG16" s="124"/>
      <c r="AH16" s="125"/>
      <c r="AI16" s="123" t="s">
        <v>68</v>
      </c>
      <c r="AJ16" s="124"/>
      <c r="AK16" s="125"/>
      <c r="AL16" s="123" t="s">
        <v>91</v>
      </c>
      <c r="AM16" s="124"/>
      <c r="AN16" s="125"/>
      <c r="AO16" s="20"/>
      <c r="AP16" s="123"/>
      <c r="AQ16" s="124"/>
      <c r="AR16" s="125"/>
      <c r="AS16" s="123"/>
      <c r="AT16" s="124"/>
      <c r="AU16" s="125"/>
      <c r="AV16" s="123"/>
      <c r="AW16" s="124"/>
      <c r="AX16" s="125"/>
      <c r="AY16" s="123"/>
      <c r="AZ16" s="124"/>
      <c r="BA16" s="125"/>
      <c r="BB16" s="20"/>
      <c r="BC16" t="s">
        <v>96</v>
      </c>
      <c r="BD16" s="2">
        <v>2</v>
      </c>
      <c r="BE16" s="2">
        <v>3</v>
      </c>
      <c r="BF16" s="2">
        <v>2</v>
      </c>
      <c r="BG16" s="2">
        <v>2</v>
      </c>
      <c r="BH16" s="2">
        <v>2</v>
      </c>
      <c r="BI16" s="2">
        <v>2</v>
      </c>
      <c r="BJ16" s="2">
        <v>2</v>
      </c>
      <c r="BK16" s="2">
        <v>2</v>
      </c>
      <c r="BL16" s="2">
        <v>3</v>
      </c>
      <c r="BM16" s="2">
        <v>2</v>
      </c>
      <c r="BN16" s="2">
        <v>2</v>
      </c>
      <c r="BO16" s="2">
        <v>2</v>
      </c>
      <c r="BP16" s="2" t="s">
        <v>26</v>
      </c>
      <c r="BQ16" s="2">
        <f>BP17</f>
        <v>2</v>
      </c>
      <c r="BR16" s="2">
        <f>BP18</f>
        <v>2</v>
      </c>
    </row>
    <row r="17" spans="1:70" ht="12" customHeight="1" x14ac:dyDescent="0.2">
      <c r="A17" s="121" t="s">
        <v>13</v>
      </c>
      <c r="B17" s="122"/>
      <c r="C17" s="9">
        <v>80</v>
      </c>
      <c r="D17" s="56">
        <v>20</v>
      </c>
      <c r="E17" s="9">
        <v>36</v>
      </c>
      <c r="F17" s="9">
        <v>107</v>
      </c>
      <c r="G17" s="56">
        <v>-36</v>
      </c>
      <c r="H17" s="9">
        <v>26</v>
      </c>
      <c r="I17" s="9">
        <v>82</v>
      </c>
      <c r="J17" s="56">
        <v>0</v>
      </c>
      <c r="K17" s="9">
        <v>30</v>
      </c>
      <c r="L17" s="9">
        <v>100</v>
      </c>
      <c r="M17" s="56">
        <v>16</v>
      </c>
      <c r="N17" s="9">
        <v>33</v>
      </c>
      <c r="P17" s="9">
        <v>96</v>
      </c>
      <c r="Q17" s="56">
        <v>-31</v>
      </c>
      <c r="R17" s="9">
        <v>29</v>
      </c>
      <c r="S17" s="9">
        <v>106</v>
      </c>
      <c r="T17" s="56">
        <v>19</v>
      </c>
      <c r="U17" s="9">
        <v>27</v>
      </c>
      <c r="V17" s="9">
        <v>91</v>
      </c>
      <c r="W17" s="56">
        <v>-7</v>
      </c>
      <c r="X17" s="9">
        <v>36</v>
      </c>
      <c r="Y17" s="9">
        <v>97</v>
      </c>
      <c r="Z17" s="56">
        <v>19</v>
      </c>
      <c r="AA17" s="9">
        <v>27</v>
      </c>
      <c r="AC17" s="9">
        <v>111</v>
      </c>
      <c r="AD17" s="56">
        <v>-18</v>
      </c>
      <c r="AE17" s="9">
        <v>24</v>
      </c>
      <c r="AF17" s="9">
        <v>96</v>
      </c>
      <c r="AG17" s="56">
        <v>12</v>
      </c>
      <c r="AH17" s="9">
        <v>38</v>
      </c>
      <c r="AI17" s="9">
        <v>84</v>
      </c>
      <c r="AJ17" s="56">
        <v>36</v>
      </c>
      <c r="AK17" s="9">
        <v>41</v>
      </c>
      <c r="AL17" s="9">
        <v>83</v>
      </c>
      <c r="AM17" s="56">
        <v>-30</v>
      </c>
      <c r="AN17" s="9">
        <v>34</v>
      </c>
      <c r="AP17" s="9"/>
      <c r="AQ17" s="56"/>
      <c r="AR17" s="9"/>
      <c r="AS17" s="9"/>
      <c r="AT17" s="56"/>
      <c r="AU17" s="9"/>
      <c r="AV17" s="9"/>
      <c r="AW17" s="56"/>
      <c r="AX17" s="9"/>
      <c r="AY17" s="9"/>
      <c r="AZ17" s="56"/>
      <c r="BA17" s="9"/>
      <c r="BC17" t="s">
        <v>165</v>
      </c>
      <c r="BD17" s="2"/>
      <c r="BE17" s="2">
        <v>3</v>
      </c>
      <c r="BF17" s="2">
        <v>1</v>
      </c>
      <c r="BG17" s="2">
        <v>1</v>
      </c>
      <c r="BH17" s="2"/>
      <c r="BI17" s="2">
        <v>2</v>
      </c>
      <c r="BJ17" s="2">
        <v>1</v>
      </c>
      <c r="BK17" s="2">
        <v>2</v>
      </c>
      <c r="BL17" s="2">
        <v>2</v>
      </c>
      <c r="BM17" s="2"/>
      <c r="BN17" s="2">
        <v>2</v>
      </c>
      <c r="BO17" s="2">
        <v>1</v>
      </c>
      <c r="BP17" s="2">
        <v>2</v>
      </c>
      <c r="BQ17" s="2" t="s">
        <v>26</v>
      </c>
      <c r="BR17" s="2">
        <f>BQ18</f>
        <v>1</v>
      </c>
    </row>
    <row r="18" spans="1:70" ht="12" customHeight="1" x14ac:dyDescent="0.2">
      <c r="A18" s="1"/>
      <c r="B18" s="2">
        <v>9</v>
      </c>
      <c r="C18" s="123" t="s">
        <v>11</v>
      </c>
      <c r="D18" s="124"/>
      <c r="E18" s="125"/>
      <c r="F18" s="123" t="s">
        <v>68</v>
      </c>
      <c r="G18" s="124"/>
      <c r="H18" s="125"/>
      <c r="I18" s="123" t="s">
        <v>33</v>
      </c>
      <c r="J18" s="124"/>
      <c r="K18" s="125"/>
      <c r="L18" s="123" t="s">
        <v>58</v>
      </c>
      <c r="M18" s="124"/>
      <c r="N18" s="125"/>
      <c r="P18" s="123" t="s">
        <v>32</v>
      </c>
      <c r="Q18" s="124"/>
      <c r="R18" s="125"/>
      <c r="S18" s="123" t="s">
        <v>45</v>
      </c>
      <c r="T18" s="124"/>
      <c r="U18" s="125"/>
      <c r="V18" s="123" t="s">
        <v>91</v>
      </c>
      <c r="W18" s="124"/>
      <c r="X18" s="125"/>
      <c r="Y18" s="123" t="s">
        <v>2</v>
      </c>
      <c r="Z18" s="124"/>
      <c r="AA18" s="125"/>
      <c r="AC18" s="123" t="s">
        <v>3</v>
      </c>
      <c r="AD18" s="124"/>
      <c r="AE18" s="125"/>
      <c r="AF18" s="123" t="s">
        <v>99</v>
      </c>
      <c r="AG18" s="124"/>
      <c r="AH18" s="125"/>
      <c r="AI18" s="123" t="s">
        <v>42</v>
      </c>
      <c r="AJ18" s="124"/>
      <c r="AK18" s="125"/>
      <c r="AL18" s="123" t="s">
        <v>41</v>
      </c>
      <c r="AM18" s="124"/>
      <c r="AN18" s="125"/>
      <c r="AO18" s="20"/>
      <c r="AP18" s="123"/>
      <c r="AQ18" s="124"/>
      <c r="AR18" s="125"/>
      <c r="AS18" s="123"/>
      <c r="AT18" s="124"/>
      <c r="AU18" s="125"/>
      <c r="AV18" s="123"/>
      <c r="AW18" s="124"/>
      <c r="AX18" s="125"/>
      <c r="AY18" s="123"/>
      <c r="AZ18" s="124"/>
      <c r="BA18" s="125"/>
      <c r="BB18" s="20"/>
      <c r="BC18" t="s">
        <v>114</v>
      </c>
      <c r="BD18" s="2">
        <v>1</v>
      </c>
      <c r="BE18" s="2">
        <v>3</v>
      </c>
      <c r="BF18" s="2">
        <v>3</v>
      </c>
      <c r="BG18" s="2">
        <v>3</v>
      </c>
      <c r="BH18" s="2">
        <v>3</v>
      </c>
      <c r="BI18" s="2">
        <v>2</v>
      </c>
      <c r="BJ18" s="2">
        <v>1</v>
      </c>
      <c r="BK18" s="2">
        <v>2</v>
      </c>
      <c r="BL18" s="2">
        <v>3</v>
      </c>
      <c r="BM18" s="2">
        <v>2</v>
      </c>
      <c r="BN18" s="2">
        <v>4</v>
      </c>
      <c r="BO18" s="2">
        <v>4</v>
      </c>
      <c r="BP18" s="2">
        <v>2</v>
      </c>
      <c r="BQ18" s="2">
        <v>1</v>
      </c>
      <c r="BR18" s="2" t="s">
        <v>26</v>
      </c>
    </row>
    <row r="19" spans="1:70" ht="12" customHeight="1" x14ac:dyDescent="0.2">
      <c r="A19" s="121" t="s">
        <v>13</v>
      </c>
      <c r="B19" s="122"/>
      <c r="C19" s="9">
        <v>92</v>
      </c>
      <c r="D19" s="56">
        <v>13</v>
      </c>
      <c r="E19" s="9">
        <v>32</v>
      </c>
      <c r="F19" s="9">
        <v>92</v>
      </c>
      <c r="G19" s="56">
        <v>11</v>
      </c>
      <c r="H19" s="9">
        <v>33</v>
      </c>
      <c r="I19" s="9">
        <v>94</v>
      </c>
      <c r="J19" s="56">
        <v>19</v>
      </c>
      <c r="K19" s="9">
        <v>39</v>
      </c>
      <c r="L19" s="9">
        <v>86</v>
      </c>
      <c r="M19" s="56">
        <v>-43</v>
      </c>
      <c r="N19" s="9">
        <v>31</v>
      </c>
      <c r="P19" s="9">
        <v>101</v>
      </c>
      <c r="Q19" s="56">
        <v>-9</v>
      </c>
      <c r="R19" s="9">
        <v>33</v>
      </c>
      <c r="S19" s="9">
        <v>98</v>
      </c>
      <c r="T19" s="56">
        <v>19</v>
      </c>
      <c r="U19" s="9">
        <v>36</v>
      </c>
      <c r="V19" s="9">
        <v>78</v>
      </c>
      <c r="W19" s="56">
        <v>-3</v>
      </c>
      <c r="X19" s="9">
        <v>39</v>
      </c>
      <c r="Y19" s="9">
        <v>94</v>
      </c>
      <c r="Z19" s="56">
        <v>-7</v>
      </c>
      <c r="AA19" s="9">
        <v>34</v>
      </c>
      <c r="AC19" s="9">
        <v>77</v>
      </c>
      <c r="AD19" s="56">
        <v>17</v>
      </c>
      <c r="AE19" s="9">
        <v>35</v>
      </c>
      <c r="AF19" s="9">
        <v>90</v>
      </c>
      <c r="AG19" s="56">
        <v>-25</v>
      </c>
      <c r="AH19" s="9">
        <v>37</v>
      </c>
      <c r="AI19" s="9">
        <v>101</v>
      </c>
      <c r="AJ19" s="56">
        <v>11</v>
      </c>
      <c r="AK19" s="9">
        <v>23</v>
      </c>
      <c r="AL19" s="9">
        <v>94</v>
      </c>
      <c r="AM19" s="56">
        <v>-3</v>
      </c>
      <c r="AN19" s="9">
        <v>25</v>
      </c>
      <c r="AP19" s="9"/>
      <c r="AQ19" s="56"/>
      <c r="AR19" s="9"/>
      <c r="AS19" s="9"/>
      <c r="AT19" s="56"/>
      <c r="AU19" s="9"/>
      <c r="AV19" s="9"/>
      <c r="AW19" s="56"/>
      <c r="AX19" s="9"/>
      <c r="AY19" s="9"/>
      <c r="AZ19" s="56"/>
      <c r="BA19" s="9"/>
      <c r="BC19" t="s">
        <v>14</v>
      </c>
      <c r="BD19" s="2">
        <f>SUM(BD5:BD18)</f>
        <v>22</v>
      </c>
      <c r="BE19" s="2">
        <f>SUM(BE4:BE18)</f>
        <v>34</v>
      </c>
      <c r="BF19" s="2">
        <f t="shared" ref="BF19:BR19" si="0">SUM(BF4:BF18)</f>
        <v>31</v>
      </c>
      <c r="BG19" s="2">
        <f t="shared" si="0"/>
        <v>29</v>
      </c>
      <c r="BH19" s="2">
        <f t="shared" si="0"/>
        <v>33</v>
      </c>
      <c r="BI19" s="2">
        <f t="shared" si="0"/>
        <v>36</v>
      </c>
      <c r="BJ19" s="2">
        <f t="shared" si="0"/>
        <v>23</v>
      </c>
      <c r="BK19" s="2">
        <f t="shared" si="0"/>
        <v>33</v>
      </c>
      <c r="BL19" s="2">
        <f t="shared" si="0"/>
        <v>36</v>
      </c>
      <c r="BM19" s="2">
        <f t="shared" si="0"/>
        <v>18</v>
      </c>
      <c r="BN19" s="2">
        <f t="shared" si="0"/>
        <v>29</v>
      </c>
      <c r="BO19" s="2">
        <f t="shared" si="0"/>
        <v>30</v>
      </c>
      <c r="BP19" s="2">
        <f t="shared" si="0"/>
        <v>30</v>
      </c>
      <c r="BQ19" s="2">
        <f t="shared" si="0"/>
        <v>18</v>
      </c>
      <c r="BR19" s="2">
        <f t="shared" si="0"/>
        <v>34</v>
      </c>
    </row>
    <row r="20" spans="1:70" ht="12" customHeight="1" x14ac:dyDescent="0.2">
      <c r="A20" s="1"/>
      <c r="B20" s="2">
        <v>10</v>
      </c>
      <c r="C20" s="123" t="s">
        <v>41</v>
      </c>
      <c r="D20" s="124"/>
      <c r="E20" s="125"/>
      <c r="F20" s="123" t="s">
        <v>33</v>
      </c>
      <c r="G20" s="124"/>
      <c r="H20" s="125"/>
      <c r="I20" s="123" t="s">
        <v>56</v>
      </c>
      <c r="J20" s="124"/>
      <c r="K20" s="125"/>
      <c r="L20" s="123" t="s">
        <v>164</v>
      </c>
      <c r="M20" s="124"/>
      <c r="N20" s="125"/>
      <c r="P20" s="123" t="s">
        <v>68</v>
      </c>
      <c r="Q20" s="124"/>
      <c r="R20" s="125"/>
      <c r="S20" s="123" t="s">
        <v>42</v>
      </c>
      <c r="T20" s="124"/>
      <c r="U20" s="125"/>
      <c r="V20" s="123" t="s">
        <v>117</v>
      </c>
      <c r="W20" s="124"/>
      <c r="X20" s="125"/>
      <c r="Y20" s="123" t="s">
        <v>3</v>
      </c>
      <c r="Z20" s="124"/>
      <c r="AA20" s="125"/>
      <c r="AC20" s="123" t="s">
        <v>10</v>
      </c>
      <c r="AD20" s="124"/>
      <c r="AE20" s="125"/>
      <c r="AF20" s="123" t="s">
        <v>58</v>
      </c>
      <c r="AG20" s="124"/>
      <c r="AH20" s="125"/>
      <c r="AI20" s="123" t="s">
        <v>99</v>
      </c>
      <c r="AJ20" s="124"/>
      <c r="AK20" s="125"/>
      <c r="AL20" s="123" t="s">
        <v>91</v>
      </c>
      <c r="AM20" s="124"/>
      <c r="AN20" s="125"/>
      <c r="AO20" s="20"/>
      <c r="AP20" s="123"/>
      <c r="AQ20" s="124"/>
      <c r="AR20" s="125"/>
      <c r="AS20" s="123"/>
      <c r="AT20" s="124"/>
      <c r="AU20" s="125"/>
      <c r="AV20" s="123"/>
      <c r="AW20" s="124"/>
      <c r="AX20" s="125"/>
      <c r="AY20" s="123"/>
      <c r="AZ20" s="124"/>
      <c r="BA20" s="125"/>
      <c r="BB20" s="20"/>
    </row>
    <row r="21" spans="1:70" ht="12" customHeight="1" x14ac:dyDescent="0.2">
      <c r="A21" s="121" t="s">
        <v>13</v>
      </c>
      <c r="B21" s="122"/>
      <c r="C21" s="9">
        <v>83</v>
      </c>
      <c r="D21" s="56">
        <v>-9</v>
      </c>
      <c r="E21" s="9">
        <v>32</v>
      </c>
      <c r="F21" s="9">
        <v>101</v>
      </c>
      <c r="G21" s="56">
        <v>-15</v>
      </c>
      <c r="H21" s="9">
        <v>31</v>
      </c>
      <c r="I21" s="9">
        <v>94</v>
      </c>
      <c r="J21" s="56">
        <v>3</v>
      </c>
      <c r="K21" s="9">
        <v>33</v>
      </c>
      <c r="L21" s="9">
        <v>73</v>
      </c>
      <c r="M21" s="56">
        <v>21</v>
      </c>
      <c r="N21" s="9">
        <v>41</v>
      </c>
      <c r="P21" s="9">
        <v>94</v>
      </c>
      <c r="Q21" s="56">
        <v>7</v>
      </c>
      <c r="R21" s="9">
        <v>30</v>
      </c>
      <c r="S21" s="9">
        <v>95</v>
      </c>
      <c r="T21" s="56">
        <v>-15</v>
      </c>
      <c r="U21" s="9">
        <v>30</v>
      </c>
      <c r="V21" s="9">
        <v>107</v>
      </c>
      <c r="W21" s="56">
        <v>-7</v>
      </c>
      <c r="X21" s="9">
        <v>26</v>
      </c>
      <c r="Y21" s="9">
        <v>81</v>
      </c>
      <c r="Z21" s="56">
        <v>15</v>
      </c>
      <c r="AA21" s="9">
        <v>31</v>
      </c>
      <c r="AC21" s="9">
        <v>83</v>
      </c>
      <c r="AD21" s="56">
        <v>6</v>
      </c>
      <c r="AE21" s="9">
        <v>33</v>
      </c>
      <c r="AF21" s="9">
        <v>76</v>
      </c>
      <c r="AG21" s="56">
        <v>12</v>
      </c>
      <c r="AH21" s="9">
        <v>41</v>
      </c>
      <c r="AI21" s="9">
        <v>97</v>
      </c>
      <c r="AJ21" s="56">
        <v>-16</v>
      </c>
      <c r="AK21" s="9">
        <v>30</v>
      </c>
      <c r="AL21" s="9">
        <v>82</v>
      </c>
      <c r="AM21" s="56">
        <v>-2</v>
      </c>
      <c r="AN21" s="9">
        <v>33</v>
      </c>
      <c r="AP21" s="9"/>
      <c r="AQ21" s="56"/>
      <c r="AR21" s="9"/>
      <c r="AS21" s="9"/>
      <c r="AT21" s="56"/>
      <c r="AU21" s="9"/>
      <c r="AV21" s="9"/>
      <c r="AW21" s="56"/>
      <c r="AX21" s="9"/>
      <c r="AY21" s="9"/>
      <c r="AZ21" s="56"/>
      <c r="BA21" s="9"/>
      <c r="BD21" s="2"/>
      <c r="BE21" s="2"/>
      <c r="BF21" s="2"/>
      <c r="BG21" s="2"/>
      <c r="BH21" s="2"/>
      <c r="BI21" s="2"/>
      <c r="BJ21" s="2"/>
      <c r="BK21" s="2"/>
      <c r="BL21" s="2"/>
      <c r="BM21" s="2"/>
      <c r="BO21" s="2"/>
    </row>
    <row r="22" spans="1:70" ht="12" customHeight="1" x14ac:dyDescent="0.2">
      <c r="A22" s="1"/>
      <c r="B22" s="2">
        <v>11</v>
      </c>
      <c r="C22" s="123" t="s">
        <v>32</v>
      </c>
      <c r="D22" s="124"/>
      <c r="E22" s="125"/>
      <c r="F22" s="123" t="s">
        <v>2</v>
      </c>
      <c r="G22" s="124"/>
      <c r="H22" s="125"/>
      <c r="I22" s="123" t="s">
        <v>33</v>
      </c>
      <c r="J22" s="124"/>
      <c r="K22" s="125"/>
      <c r="L22" s="123" t="s">
        <v>10</v>
      </c>
      <c r="M22" s="124"/>
      <c r="N22" s="125"/>
      <c r="P22" s="123" t="s">
        <v>91</v>
      </c>
      <c r="Q22" s="124"/>
      <c r="R22" s="125"/>
      <c r="S22" s="123" t="s">
        <v>11</v>
      </c>
      <c r="T22" s="124"/>
      <c r="U22" s="125"/>
      <c r="V22" s="123" t="s">
        <v>41</v>
      </c>
      <c r="W22" s="124"/>
      <c r="X22" s="125"/>
      <c r="Y22" s="123" t="s">
        <v>3</v>
      </c>
      <c r="Z22" s="124"/>
      <c r="AA22" s="125"/>
      <c r="AC22" s="123"/>
      <c r="AD22" s="124"/>
      <c r="AE22" s="125"/>
      <c r="AF22" s="123"/>
      <c r="AG22" s="124"/>
      <c r="AH22" s="125"/>
      <c r="AI22" s="123"/>
      <c r="AJ22" s="124"/>
      <c r="AK22" s="125"/>
      <c r="AL22" s="123"/>
      <c r="AM22" s="124"/>
      <c r="AN22" s="125"/>
      <c r="AO22" s="20"/>
      <c r="AP22" s="123"/>
      <c r="AQ22" s="124"/>
      <c r="AR22" s="125"/>
      <c r="AS22" s="123"/>
      <c r="AT22" s="124"/>
      <c r="AU22" s="125"/>
      <c r="AV22" s="123"/>
      <c r="AW22" s="124"/>
      <c r="AX22" s="125"/>
      <c r="AY22" s="123"/>
      <c r="AZ22" s="124"/>
      <c r="BA22" s="125"/>
      <c r="BB22" s="20"/>
    </row>
    <row r="23" spans="1:70" ht="12" customHeight="1" x14ac:dyDescent="0.2">
      <c r="A23" s="121" t="s">
        <v>13</v>
      </c>
      <c r="B23" s="122"/>
      <c r="C23" s="9">
        <v>94</v>
      </c>
      <c r="D23" s="56">
        <v>18</v>
      </c>
      <c r="E23" s="9">
        <v>39</v>
      </c>
      <c r="F23" s="9">
        <v>94</v>
      </c>
      <c r="G23" s="56">
        <v>12</v>
      </c>
      <c r="H23" s="9">
        <v>35</v>
      </c>
      <c r="I23" s="9">
        <v>99</v>
      </c>
      <c r="J23" s="56">
        <v>-44</v>
      </c>
      <c r="K23" s="9">
        <v>33</v>
      </c>
      <c r="L23" s="9">
        <v>80</v>
      </c>
      <c r="M23" s="56">
        <v>14</v>
      </c>
      <c r="N23" s="9">
        <v>36</v>
      </c>
      <c r="P23" s="9">
        <v>82</v>
      </c>
      <c r="Q23" s="56">
        <v>-9</v>
      </c>
      <c r="R23" s="9">
        <v>33</v>
      </c>
      <c r="S23" s="9">
        <v>85</v>
      </c>
      <c r="T23" s="56">
        <v>3</v>
      </c>
      <c r="U23" s="9">
        <v>37</v>
      </c>
      <c r="V23" s="9">
        <v>74</v>
      </c>
      <c r="W23" s="56">
        <v>15</v>
      </c>
      <c r="X23" s="9">
        <v>42</v>
      </c>
      <c r="Y23" s="9">
        <v>74</v>
      </c>
      <c r="Z23" s="56">
        <v>-9</v>
      </c>
      <c r="AA23" s="9">
        <v>38</v>
      </c>
      <c r="AC23" s="9"/>
      <c r="AD23" s="56"/>
      <c r="AE23" s="9"/>
      <c r="AF23" s="9"/>
      <c r="AG23" s="56"/>
      <c r="AH23" s="9"/>
      <c r="AI23" s="9"/>
      <c r="AJ23" s="56"/>
      <c r="AK23" s="9"/>
      <c r="AL23" s="9"/>
      <c r="AM23" s="56"/>
      <c r="AN23" s="9"/>
      <c r="AP23" s="9"/>
      <c r="AQ23" s="56"/>
      <c r="AR23" s="9"/>
      <c r="AS23" s="9"/>
      <c r="AT23" s="56"/>
      <c r="AU23" s="9"/>
      <c r="AV23" s="9"/>
      <c r="AW23" s="56"/>
      <c r="AX23" s="9"/>
      <c r="AY23" s="9"/>
      <c r="AZ23" s="56"/>
      <c r="BA23" s="9"/>
    </row>
    <row r="24" spans="1:70" ht="12" customHeight="1" x14ac:dyDescent="0.2">
      <c r="A24" s="1"/>
      <c r="B24" s="2">
        <v>12</v>
      </c>
      <c r="C24" s="123" t="s">
        <v>45</v>
      </c>
      <c r="D24" s="124"/>
      <c r="E24" s="125"/>
      <c r="F24" s="123" t="s">
        <v>91</v>
      </c>
      <c r="G24" s="124"/>
      <c r="H24" s="125"/>
      <c r="I24" s="123" t="s">
        <v>33</v>
      </c>
      <c r="J24" s="124"/>
      <c r="K24" s="125"/>
      <c r="L24" s="123" t="s">
        <v>3</v>
      </c>
      <c r="M24" s="124"/>
      <c r="N24" s="125"/>
      <c r="P24" s="123" t="s">
        <v>41</v>
      </c>
      <c r="Q24" s="124"/>
      <c r="R24" s="125"/>
      <c r="S24" s="123" t="s">
        <v>90</v>
      </c>
      <c r="T24" s="124"/>
      <c r="U24" s="125"/>
      <c r="V24" s="123" t="s">
        <v>10</v>
      </c>
      <c r="W24" s="124"/>
      <c r="X24" s="125"/>
      <c r="Y24" s="123" t="s">
        <v>68</v>
      </c>
      <c r="Z24" s="124"/>
      <c r="AA24" s="125"/>
      <c r="AC24" s="123" t="s">
        <v>11</v>
      </c>
      <c r="AD24" s="124"/>
      <c r="AE24" s="125"/>
      <c r="AF24" s="123" t="s">
        <v>32</v>
      </c>
      <c r="AG24" s="124"/>
      <c r="AH24" s="125"/>
      <c r="AI24" s="123" t="s">
        <v>99</v>
      </c>
      <c r="AJ24" s="124"/>
      <c r="AK24" s="125"/>
      <c r="AL24" s="123" t="s">
        <v>42</v>
      </c>
      <c r="AM24" s="124"/>
      <c r="AN24" s="125"/>
      <c r="AO24" s="20"/>
      <c r="AP24" s="123"/>
      <c r="AQ24" s="124"/>
      <c r="AR24" s="125"/>
      <c r="AS24" s="123"/>
      <c r="AT24" s="124"/>
      <c r="AU24" s="125"/>
      <c r="AV24" s="123"/>
      <c r="AW24" s="124"/>
      <c r="AX24" s="125"/>
      <c r="AY24" s="123"/>
      <c r="AZ24" s="124"/>
      <c r="BA24" s="125"/>
      <c r="BB24" s="20"/>
    </row>
    <row r="25" spans="1:70" ht="12" customHeight="1" x14ac:dyDescent="0.2">
      <c r="A25" s="121" t="s">
        <v>13</v>
      </c>
      <c r="B25" s="122"/>
      <c r="C25" s="9">
        <v>99</v>
      </c>
      <c r="D25" s="56">
        <v>13</v>
      </c>
      <c r="E25" s="9">
        <v>34</v>
      </c>
      <c r="F25" s="9">
        <v>77</v>
      </c>
      <c r="G25" s="56">
        <v>25</v>
      </c>
      <c r="H25" s="9">
        <v>38</v>
      </c>
      <c r="I25" s="9">
        <v>105</v>
      </c>
      <c r="J25" s="56">
        <v>-21</v>
      </c>
      <c r="K25" s="9">
        <v>27</v>
      </c>
      <c r="L25" s="9">
        <v>81</v>
      </c>
      <c r="M25" s="56">
        <v>-17</v>
      </c>
      <c r="N25" s="9">
        <v>31</v>
      </c>
      <c r="P25" s="9">
        <v>79</v>
      </c>
      <c r="Q25" s="56">
        <v>-6</v>
      </c>
      <c r="R25" s="9">
        <v>40</v>
      </c>
      <c r="S25" s="9">
        <v>96</v>
      </c>
      <c r="T25" s="56">
        <v>20</v>
      </c>
      <c r="U25" s="9">
        <v>35</v>
      </c>
      <c r="V25" s="9">
        <v>85</v>
      </c>
      <c r="W25" s="56">
        <v>-6</v>
      </c>
      <c r="X25" s="9">
        <v>32</v>
      </c>
      <c r="Y25" s="9">
        <v>90</v>
      </c>
      <c r="Z25" s="56">
        <v>-8</v>
      </c>
      <c r="AA25" s="9">
        <v>33</v>
      </c>
      <c r="AC25" s="9">
        <v>86</v>
      </c>
      <c r="AD25" s="56">
        <v>14</v>
      </c>
      <c r="AE25" s="9">
        <v>36</v>
      </c>
      <c r="AF25" s="9">
        <v>96</v>
      </c>
      <c r="AG25" s="56">
        <v>4</v>
      </c>
      <c r="AH25" s="9">
        <v>37</v>
      </c>
      <c r="AI25" s="9">
        <v>90</v>
      </c>
      <c r="AJ25" s="56">
        <v>-16</v>
      </c>
      <c r="AK25" s="9">
        <v>37</v>
      </c>
      <c r="AL25" s="9">
        <v>99</v>
      </c>
      <c r="AM25" s="56">
        <v>-2</v>
      </c>
      <c r="AN25" s="9">
        <v>26</v>
      </c>
      <c r="AP25" s="9"/>
      <c r="AQ25" s="56"/>
      <c r="AR25" s="9"/>
      <c r="AS25" s="9"/>
      <c r="AT25" s="56"/>
      <c r="AU25" s="9"/>
      <c r="AV25" s="9"/>
      <c r="AW25" s="56"/>
      <c r="AX25" s="9"/>
      <c r="AY25" s="9"/>
      <c r="AZ25" s="56"/>
      <c r="BA25" s="9"/>
    </row>
    <row r="26" spans="1:70" ht="12" customHeight="1" x14ac:dyDescent="0.2">
      <c r="A26" s="1"/>
      <c r="B26" s="2">
        <v>13</v>
      </c>
      <c r="C26" s="123" t="s">
        <v>68</v>
      </c>
      <c r="D26" s="124"/>
      <c r="E26" s="125"/>
      <c r="F26" s="123" t="s">
        <v>99</v>
      </c>
      <c r="G26" s="124"/>
      <c r="H26" s="125"/>
      <c r="I26" s="123" t="s">
        <v>115</v>
      </c>
      <c r="J26" s="124"/>
      <c r="K26" s="125"/>
      <c r="L26" s="123" t="s">
        <v>10</v>
      </c>
      <c r="M26" s="124"/>
      <c r="N26" s="125"/>
      <c r="P26" s="123" t="s">
        <v>3</v>
      </c>
      <c r="Q26" s="124"/>
      <c r="R26" s="125"/>
      <c r="S26" s="123" t="s">
        <v>58</v>
      </c>
      <c r="T26" s="124"/>
      <c r="U26" s="125"/>
      <c r="V26" s="123" t="s">
        <v>56</v>
      </c>
      <c r="W26" s="124"/>
      <c r="X26" s="125"/>
      <c r="Y26" s="123" t="s">
        <v>32</v>
      </c>
      <c r="Z26" s="124"/>
      <c r="AA26" s="125"/>
      <c r="AC26" s="123" t="s">
        <v>153</v>
      </c>
      <c r="AD26" s="124"/>
      <c r="AE26" s="125"/>
      <c r="AF26" s="123" t="s">
        <v>41</v>
      </c>
      <c r="AG26" s="124"/>
      <c r="AH26" s="125"/>
      <c r="AI26" s="123" t="s">
        <v>170</v>
      </c>
      <c r="AJ26" s="124"/>
      <c r="AK26" s="125"/>
      <c r="AL26" s="123" t="s">
        <v>11</v>
      </c>
      <c r="AM26" s="124"/>
      <c r="AN26" s="125"/>
      <c r="AO26" s="20"/>
      <c r="AP26" s="123"/>
      <c r="AQ26" s="124"/>
      <c r="AR26" s="125"/>
      <c r="AS26" s="123"/>
      <c r="AT26" s="124"/>
      <c r="AU26" s="125"/>
      <c r="AV26" s="123"/>
      <c r="AW26" s="124"/>
      <c r="AX26" s="125"/>
      <c r="AY26" s="123"/>
      <c r="AZ26" s="124"/>
      <c r="BA26" s="125"/>
      <c r="BB26" s="20"/>
    </row>
    <row r="27" spans="1:70" ht="12" customHeight="1" x14ac:dyDescent="0.2">
      <c r="A27" s="121" t="s">
        <v>13</v>
      </c>
      <c r="B27" s="122"/>
      <c r="C27" s="9">
        <v>88</v>
      </c>
      <c r="D27" s="56">
        <v>16</v>
      </c>
      <c r="E27" s="9">
        <v>36</v>
      </c>
      <c r="F27" s="9">
        <v>91</v>
      </c>
      <c r="G27" s="56">
        <v>-34</v>
      </c>
      <c r="H27" s="9">
        <v>36</v>
      </c>
      <c r="I27" s="9">
        <v>110</v>
      </c>
      <c r="J27" s="56">
        <v>8</v>
      </c>
      <c r="K27" s="9">
        <v>29</v>
      </c>
      <c r="L27" s="9">
        <v>83</v>
      </c>
      <c r="M27" s="56">
        <v>10</v>
      </c>
      <c r="N27" s="9">
        <v>33</v>
      </c>
      <c r="P27" s="9">
        <v>81</v>
      </c>
      <c r="Q27" s="56">
        <v>1</v>
      </c>
      <c r="R27" s="9">
        <v>32</v>
      </c>
      <c r="S27" s="9">
        <v>78</v>
      </c>
      <c r="T27" s="56">
        <v>1</v>
      </c>
      <c r="U27" s="9">
        <v>38</v>
      </c>
      <c r="V27" s="9">
        <v>92</v>
      </c>
      <c r="W27" s="56">
        <v>-3</v>
      </c>
      <c r="X27" s="9">
        <v>35</v>
      </c>
      <c r="Y27" s="9">
        <v>99</v>
      </c>
      <c r="Z27" s="56">
        <v>1</v>
      </c>
      <c r="AA27" s="9">
        <v>33</v>
      </c>
      <c r="AC27" s="9">
        <v>80</v>
      </c>
      <c r="AD27" s="56">
        <v>20</v>
      </c>
      <c r="AE27" s="9">
        <v>34</v>
      </c>
      <c r="AF27" s="9">
        <v>91</v>
      </c>
      <c r="AG27" s="56">
        <v>-4</v>
      </c>
      <c r="AH27" s="9">
        <v>26</v>
      </c>
      <c r="AI27" s="9">
        <v>95</v>
      </c>
      <c r="AJ27" s="56">
        <v>18</v>
      </c>
      <c r="AK27" s="9">
        <v>38</v>
      </c>
      <c r="AL27" s="9">
        <v>98</v>
      </c>
      <c r="AM27" s="56">
        <v>-34</v>
      </c>
      <c r="AN27" s="9">
        <v>24</v>
      </c>
      <c r="AP27" s="9"/>
      <c r="AQ27" s="56"/>
      <c r="AR27" s="9"/>
      <c r="AS27" s="9"/>
      <c r="AT27" s="56"/>
      <c r="AU27" s="9"/>
      <c r="AV27" s="9"/>
      <c r="AW27" s="56"/>
      <c r="AX27" s="9"/>
      <c r="AY27" s="9"/>
      <c r="AZ27" s="56"/>
      <c r="BA27" s="9"/>
    </row>
    <row r="28" spans="1:70" ht="12" customHeight="1" x14ac:dyDescent="0.2">
      <c r="A28" s="1"/>
      <c r="B28" s="2">
        <v>14</v>
      </c>
      <c r="C28" s="123" t="s">
        <v>3</v>
      </c>
      <c r="D28" s="124"/>
      <c r="E28" s="125"/>
      <c r="F28" s="123" t="s">
        <v>45</v>
      </c>
      <c r="G28" s="124"/>
      <c r="H28" s="125"/>
      <c r="I28" s="123" t="s">
        <v>172</v>
      </c>
      <c r="J28" s="124"/>
      <c r="K28" s="125"/>
      <c r="L28" s="123" t="s">
        <v>173</v>
      </c>
      <c r="M28" s="124"/>
      <c r="N28" s="125"/>
      <c r="P28" s="123" t="s">
        <v>91</v>
      </c>
      <c r="Q28" s="124"/>
      <c r="R28" s="125"/>
      <c r="S28" s="123" t="s">
        <v>33</v>
      </c>
      <c r="T28" s="124"/>
      <c r="U28" s="125"/>
      <c r="V28" s="123" t="s">
        <v>161</v>
      </c>
      <c r="W28" s="124"/>
      <c r="X28" s="125"/>
      <c r="Y28" s="123" t="s">
        <v>174</v>
      </c>
      <c r="Z28" s="124"/>
      <c r="AA28" s="125"/>
      <c r="AC28" s="123" t="s">
        <v>32</v>
      </c>
      <c r="AD28" s="124"/>
      <c r="AE28" s="125"/>
      <c r="AF28" s="123" t="s">
        <v>68</v>
      </c>
      <c r="AG28" s="124"/>
      <c r="AH28" s="125"/>
      <c r="AI28" s="123" t="s">
        <v>42</v>
      </c>
      <c r="AJ28" s="124"/>
      <c r="AK28" s="125"/>
      <c r="AL28" s="123" t="s">
        <v>98</v>
      </c>
      <c r="AM28" s="124"/>
      <c r="AN28" s="125"/>
      <c r="AO28" s="20"/>
      <c r="AP28" s="123"/>
      <c r="AQ28" s="124"/>
      <c r="AR28" s="125"/>
      <c r="AS28" s="123"/>
      <c r="AT28" s="124"/>
      <c r="AU28" s="125"/>
      <c r="AV28" s="123"/>
      <c r="AW28" s="124"/>
      <c r="AX28" s="125"/>
      <c r="AY28" s="123"/>
      <c r="AZ28" s="124"/>
      <c r="BA28" s="125"/>
      <c r="BB28" s="20"/>
    </row>
    <row r="29" spans="1:70" ht="12" customHeight="1" x14ac:dyDescent="0.2">
      <c r="A29" s="121" t="s">
        <v>13</v>
      </c>
      <c r="B29" s="122"/>
      <c r="C29" s="9">
        <v>77</v>
      </c>
      <c r="D29" s="56">
        <v>4</v>
      </c>
      <c r="E29" s="9">
        <v>36</v>
      </c>
      <c r="F29" s="9">
        <v>102</v>
      </c>
      <c r="G29" s="56">
        <v>4</v>
      </c>
      <c r="H29" s="9">
        <v>31</v>
      </c>
      <c r="I29" s="9">
        <v>90</v>
      </c>
      <c r="J29" s="56">
        <v>0</v>
      </c>
      <c r="K29" s="9">
        <v>31</v>
      </c>
      <c r="L29" s="9">
        <v>94</v>
      </c>
      <c r="M29" s="56">
        <v>-8</v>
      </c>
      <c r="N29" s="9">
        <v>33</v>
      </c>
      <c r="P29" s="9">
        <v>80</v>
      </c>
      <c r="Q29" s="56">
        <v>23</v>
      </c>
      <c r="R29" s="9">
        <v>36</v>
      </c>
      <c r="S29" s="9">
        <v>92</v>
      </c>
      <c r="T29" s="56">
        <v>21</v>
      </c>
      <c r="U29" s="9">
        <v>40</v>
      </c>
      <c r="V29" s="9">
        <v>94</v>
      </c>
      <c r="W29" s="56">
        <v>-57</v>
      </c>
      <c r="X29" s="9">
        <v>33</v>
      </c>
      <c r="Y29" s="9">
        <v>100</v>
      </c>
      <c r="Z29" s="56">
        <v>13</v>
      </c>
      <c r="AA29" s="9">
        <v>33</v>
      </c>
      <c r="AC29" s="9">
        <v>90</v>
      </c>
      <c r="AD29" s="56">
        <v>25</v>
      </c>
      <c r="AE29" s="9">
        <v>42</v>
      </c>
      <c r="AF29" s="9">
        <v>85</v>
      </c>
      <c r="AG29" s="56">
        <v>-7</v>
      </c>
      <c r="AH29" s="9">
        <v>39</v>
      </c>
      <c r="AI29" s="9">
        <v>87</v>
      </c>
      <c r="AJ29" s="56">
        <v>-23</v>
      </c>
      <c r="AK29" s="9">
        <v>35</v>
      </c>
      <c r="AL29" s="9">
        <v>83</v>
      </c>
      <c r="AM29" s="56">
        <v>5</v>
      </c>
      <c r="AN29" s="9">
        <v>35</v>
      </c>
      <c r="AP29" s="9"/>
      <c r="AQ29" s="56"/>
      <c r="AR29" s="9"/>
      <c r="AS29" s="9"/>
      <c r="AT29" s="56"/>
      <c r="AU29" s="9"/>
      <c r="AV29" s="9"/>
      <c r="AW29" s="56"/>
      <c r="AX29" s="9"/>
      <c r="AY29" s="9"/>
      <c r="AZ29" s="56"/>
      <c r="BA29" s="9"/>
    </row>
    <row r="30" spans="1:70" ht="12" customHeight="1" x14ac:dyDescent="0.2">
      <c r="A30" s="1"/>
      <c r="B30" s="2">
        <v>15</v>
      </c>
      <c r="C30" s="123" t="s">
        <v>45</v>
      </c>
      <c r="D30" s="124"/>
      <c r="E30" s="125"/>
      <c r="F30" s="123" t="s">
        <v>41</v>
      </c>
      <c r="G30" s="124"/>
      <c r="H30" s="125"/>
      <c r="I30" s="123" t="s">
        <v>99</v>
      </c>
      <c r="J30" s="124"/>
      <c r="K30" s="125"/>
      <c r="L30" s="123" t="s">
        <v>42</v>
      </c>
      <c r="M30" s="124"/>
      <c r="N30" s="125"/>
      <c r="P30" s="123" t="s">
        <v>3</v>
      </c>
      <c r="Q30" s="124"/>
      <c r="R30" s="125"/>
      <c r="S30" s="123" t="s">
        <v>11</v>
      </c>
      <c r="T30" s="124"/>
      <c r="U30" s="125"/>
      <c r="V30" s="123" t="s">
        <v>175</v>
      </c>
      <c r="W30" s="124"/>
      <c r="X30" s="125"/>
      <c r="Y30" s="123" t="s">
        <v>111</v>
      </c>
      <c r="Z30" s="124"/>
      <c r="AA30" s="125"/>
      <c r="AC30" s="123" t="s">
        <v>32</v>
      </c>
      <c r="AD30" s="124"/>
      <c r="AE30" s="125"/>
      <c r="AF30" s="123" t="s">
        <v>176</v>
      </c>
      <c r="AG30" s="124"/>
      <c r="AH30" s="125"/>
      <c r="AI30" s="123" t="s">
        <v>93</v>
      </c>
      <c r="AJ30" s="124"/>
      <c r="AK30" s="125"/>
      <c r="AL30" s="123" t="s">
        <v>0</v>
      </c>
      <c r="AM30" s="124"/>
      <c r="AN30" s="125"/>
      <c r="AO30" s="20"/>
      <c r="AP30" s="123"/>
      <c r="AQ30" s="124"/>
      <c r="AR30" s="125"/>
      <c r="AS30" s="123"/>
      <c r="AT30" s="124"/>
      <c r="AU30" s="125"/>
      <c r="AV30" s="123"/>
      <c r="AW30" s="124"/>
      <c r="AX30" s="125"/>
      <c r="AY30" s="123"/>
      <c r="AZ30" s="124"/>
      <c r="BA30" s="125"/>
      <c r="BB30" s="20"/>
    </row>
    <row r="31" spans="1:70" ht="12" customHeight="1" x14ac:dyDescent="0.2">
      <c r="A31" s="121" t="s">
        <v>13</v>
      </c>
      <c r="B31" s="122"/>
      <c r="C31" s="9">
        <v>99</v>
      </c>
      <c r="D31" s="56">
        <v>9</v>
      </c>
      <c r="E31" s="9">
        <v>34</v>
      </c>
      <c r="F31" s="9">
        <v>76</v>
      </c>
      <c r="G31" s="56">
        <v>9</v>
      </c>
      <c r="H31" s="9">
        <v>39</v>
      </c>
      <c r="I31" s="9">
        <v>97</v>
      </c>
      <c r="J31" s="56">
        <v>-20</v>
      </c>
      <c r="K31" s="9">
        <v>31</v>
      </c>
      <c r="L31" s="9">
        <v>88</v>
      </c>
      <c r="M31" s="56">
        <v>2</v>
      </c>
      <c r="N31" s="9">
        <v>36</v>
      </c>
      <c r="P31" s="9">
        <v>85</v>
      </c>
      <c r="Q31" s="56">
        <v>-5</v>
      </c>
      <c r="R31" s="9">
        <v>29</v>
      </c>
      <c r="S31" s="9">
        <v>94</v>
      </c>
      <c r="T31" s="56">
        <v>15</v>
      </c>
      <c r="U31" s="9">
        <v>30</v>
      </c>
      <c r="V31" s="9">
        <v>88</v>
      </c>
      <c r="W31" s="56">
        <v>-25</v>
      </c>
      <c r="X31" s="9">
        <v>29</v>
      </c>
      <c r="Y31" s="9">
        <v>97</v>
      </c>
      <c r="Z31" s="56">
        <v>15</v>
      </c>
      <c r="AA31" s="9">
        <v>36</v>
      </c>
      <c r="AC31" s="9">
        <v>100</v>
      </c>
      <c r="AD31" s="56">
        <v>17</v>
      </c>
      <c r="AE31" s="9">
        <v>31</v>
      </c>
      <c r="AF31" s="9">
        <v>90</v>
      </c>
      <c r="AG31" s="56">
        <v>-3</v>
      </c>
      <c r="AH31" s="9">
        <v>25</v>
      </c>
      <c r="AI31" s="9">
        <v>78</v>
      </c>
      <c r="AJ31" s="56">
        <v>7</v>
      </c>
      <c r="AK31" s="9">
        <v>38</v>
      </c>
      <c r="AL31" s="9">
        <v>79</v>
      </c>
      <c r="AM31" s="56">
        <v>-21</v>
      </c>
      <c r="AN31" s="9">
        <v>37</v>
      </c>
      <c r="AP31" s="9"/>
      <c r="AQ31" s="56"/>
      <c r="AR31" s="9"/>
      <c r="AS31" s="9"/>
      <c r="AT31" s="56"/>
      <c r="AU31" s="9"/>
      <c r="AV31" s="9"/>
      <c r="AW31" s="56"/>
      <c r="AX31" s="9"/>
      <c r="AY31" s="9"/>
      <c r="AZ31" s="56"/>
      <c r="BA31" s="9"/>
    </row>
    <row r="32" spans="1:70" ht="12" customHeight="1" x14ac:dyDescent="0.2">
      <c r="A32" s="1"/>
      <c r="B32" s="2">
        <v>16</v>
      </c>
      <c r="C32" s="123"/>
      <c r="D32" s="124"/>
      <c r="E32" s="125"/>
      <c r="F32" s="123"/>
      <c r="G32" s="124"/>
      <c r="H32" s="125"/>
      <c r="I32" s="123"/>
      <c r="J32" s="124"/>
      <c r="K32" s="125"/>
      <c r="L32" s="123"/>
      <c r="M32" s="124"/>
      <c r="N32" s="125"/>
      <c r="P32" s="123"/>
      <c r="Q32" s="124"/>
      <c r="R32" s="125"/>
      <c r="S32" s="123"/>
      <c r="T32" s="124"/>
      <c r="U32" s="125"/>
      <c r="V32" s="123"/>
      <c r="W32" s="124"/>
      <c r="X32" s="125"/>
      <c r="Y32" s="123"/>
      <c r="Z32" s="124"/>
      <c r="AA32" s="125"/>
      <c r="AC32" s="123"/>
      <c r="AD32" s="124"/>
      <c r="AE32" s="125"/>
      <c r="AF32" s="123"/>
      <c r="AG32" s="124"/>
      <c r="AH32" s="125"/>
      <c r="AI32" s="123"/>
      <c r="AJ32" s="124"/>
      <c r="AK32" s="125"/>
      <c r="AL32" s="123"/>
      <c r="AM32" s="124"/>
      <c r="AN32" s="125"/>
      <c r="AO32" s="20"/>
      <c r="AP32" s="123"/>
      <c r="AQ32" s="124"/>
      <c r="AR32" s="125"/>
      <c r="AS32" s="123"/>
      <c r="AT32" s="124"/>
      <c r="AU32" s="125"/>
      <c r="AV32" s="123"/>
      <c r="AW32" s="124"/>
      <c r="AX32" s="125"/>
      <c r="AY32" s="123"/>
      <c r="AZ32" s="124"/>
      <c r="BA32" s="125"/>
      <c r="BB32" s="20"/>
    </row>
    <row r="33" spans="1:54" ht="12" customHeight="1" x14ac:dyDescent="0.2">
      <c r="A33" s="121" t="s">
        <v>13</v>
      </c>
      <c r="B33" s="122"/>
      <c r="C33" s="9"/>
      <c r="D33" s="56"/>
      <c r="E33" s="9"/>
      <c r="F33" s="9"/>
      <c r="G33" s="56"/>
      <c r="H33" s="9"/>
      <c r="I33" s="9"/>
      <c r="J33" s="56"/>
      <c r="K33" s="9"/>
      <c r="L33" s="9"/>
      <c r="M33" s="56"/>
      <c r="N33" s="9"/>
      <c r="P33" s="9"/>
      <c r="Q33" s="56"/>
      <c r="R33" s="9"/>
      <c r="S33" s="9"/>
      <c r="T33" s="56"/>
      <c r="U33" s="9"/>
      <c r="V33" s="9"/>
      <c r="W33" s="56"/>
      <c r="X33" s="9"/>
      <c r="Y33" s="9"/>
      <c r="Z33" s="56"/>
      <c r="AA33" s="9"/>
      <c r="AC33" s="9"/>
      <c r="AD33" s="56"/>
      <c r="AE33" s="9"/>
      <c r="AF33" s="9"/>
      <c r="AG33" s="56"/>
      <c r="AH33" s="9"/>
      <c r="AI33" s="9"/>
      <c r="AJ33" s="56"/>
      <c r="AK33" s="9"/>
      <c r="AL33" s="9"/>
      <c r="AM33" s="56"/>
      <c r="AN33" s="9"/>
      <c r="AP33" s="9"/>
      <c r="AQ33" s="56"/>
      <c r="AR33" s="9"/>
      <c r="AS33" s="9"/>
      <c r="AT33" s="56"/>
      <c r="AU33" s="9"/>
      <c r="AV33" s="9"/>
      <c r="AW33" s="56"/>
      <c r="AX33" s="9"/>
      <c r="AY33" s="9"/>
      <c r="AZ33" s="56"/>
      <c r="BA33" s="9"/>
    </row>
    <row r="34" spans="1:54" ht="12" customHeight="1" x14ac:dyDescent="0.2">
      <c r="A34" s="1"/>
      <c r="B34" s="2">
        <v>17</v>
      </c>
      <c r="C34" s="123"/>
      <c r="D34" s="124"/>
      <c r="E34" s="125"/>
      <c r="F34" s="123"/>
      <c r="G34" s="124"/>
      <c r="H34" s="125"/>
      <c r="I34" s="123"/>
      <c r="J34" s="124"/>
      <c r="K34" s="125"/>
      <c r="L34" s="123"/>
      <c r="M34" s="124"/>
      <c r="N34" s="125"/>
      <c r="P34" s="123"/>
      <c r="Q34" s="124"/>
      <c r="R34" s="125"/>
      <c r="S34" s="123"/>
      <c r="T34" s="124"/>
      <c r="U34" s="125"/>
      <c r="V34" s="123"/>
      <c r="W34" s="124"/>
      <c r="X34" s="125"/>
      <c r="Y34" s="123"/>
      <c r="Z34" s="124"/>
      <c r="AA34" s="125"/>
      <c r="AC34" s="123"/>
      <c r="AD34" s="124"/>
      <c r="AE34" s="125"/>
      <c r="AF34" s="123"/>
      <c r="AG34" s="124"/>
      <c r="AH34" s="125"/>
      <c r="AI34" s="123"/>
      <c r="AJ34" s="124"/>
      <c r="AK34" s="125"/>
      <c r="AL34" s="123"/>
      <c r="AM34" s="124"/>
      <c r="AN34" s="125"/>
      <c r="AO34" s="20"/>
      <c r="AP34" s="123"/>
      <c r="AQ34" s="124"/>
      <c r="AR34" s="125"/>
      <c r="AS34" s="123"/>
      <c r="AT34" s="124"/>
      <c r="AU34" s="125"/>
      <c r="AV34" s="123"/>
      <c r="AW34" s="124"/>
      <c r="AX34" s="125"/>
      <c r="AY34" s="123"/>
      <c r="AZ34" s="124"/>
      <c r="BA34" s="125"/>
      <c r="BB34" s="20"/>
    </row>
    <row r="35" spans="1:54" ht="12" customHeight="1" x14ac:dyDescent="0.2">
      <c r="A35" s="121" t="s">
        <v>13</v>
      </c>
      <c r="B35" s="122"/>
      <c r="C35" s="9"/>
      <c r="D35" s="56"/>
      <c r="E35" s="9"/>
      <c r="F35" s="9"/>
      <c r="G35" s="56"/>
      <c r="H35" s="9"/>
      <c r="I35" s="9"/>
      <c r="J35" s="56"/>
      <c r="K35" s="9"/>
      <c r="L35" s="9"/>
      <c r="M35" s="56"/>
      <c r="N35" s="9"/>
      <c r="O35" s="39"/>
      <c r="P35" s="9"/>
      <c r="Q35" s="56"/>
      <c r="R35" s="9"/>
      <c r="S35" s="9"/>
      <c r="T35" s="56"/>
      <c r="U35" s="9"/>
      <c r="V35" s="9"/>
      <c r="W35" s="56"/>
      <c r="X35" s="9"/>
      <c r="Y35" s="9"/>
      <c r="Z35" s="56"/>
      <c r="AA35" s="9"/>
      <c r="AB35" s="3"/>
      <c r="AC35" s="9"/>
      <c r="AD35" s="56"/>
      <c r="AE35" s="9"/>
      <c r="AF35" s="9"/>
      <c r="AG35" s="56"/>
      <c r="AH35" s="9"/>
      <c r="AI35" s="9"/>
      <c r="AJ35" s="56"/>
      <c r="AK35" s="9"/>
      <c r="AL35" s="9"/>
      <c r="AM35" s="56"/>
      <c r="AN35" s="9"/>
      <c r="AP35" s="9"/>
      <c r="AQ35" s="56"/>
      <c r="AR35" s="9"/>
      <c r="AS35" s="9"/>
      <c r="AT35" s="56"/>
      <c r="AU35" s="9"/>
      <c r="AV35" s="9"/>
      <c r="AW35" s="56"/>
      <c r="AX35" s="9"/>
      <c r="AY35" s="9"/>
      <c r="AZ35" s="56"/>
      <c r="BA35" s="9"/>
    </row>
    <row r="36" spans="1:54" ht="12" customHeight="1" x14ac:dyDescent="0.2">
      <c r="A36" s="1"/>
      <c r="B36" s="2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20"/>
    </row>
    <row r="37" spans="1:54" ht="12" customHeight="1" x14ac:dyDescent="0.2">
      <c r="A37" s="121"/>
      <c r="B37" s="121"/>
      <c r="D37" s="82"/>
      <c r="G37" s="82"/>
      <c r="J37" s="82"/>
      <c r="M37" s="82"/>
      <c r="Q37" s="82"/>
      <c r="T37" s="82"/>
      <c r="W37" s="82"/>
      <c r="Z37" s="82"/>
      <c r="AD37" s="82"/>
      <c r="AG37" s="82"/>
      <c r="AJ37" s="82"/>
      <c r="AM37" s="82"/>
      <c r="AQ37" s="82"/>
      <c r="AT37" s="82"/>
      <c r="AW37" s="82"/>
      <c r="AZ37" s="82"/>
    </row>
    <row r="42" spans="1:54" x14ac:dyDescent="0.2">
      <c r="A42" t="s">
        <v>70</v>
      </c>
    </row>
  </sheetData>
  <mergeCells count="310"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V2:X2"/>
    <mergeCell ref="Y2:AA2"/>
    <mergeCell ref="AC2:AE2"/>
    <mergeCell ref="AF2:AH2"/>
    <mergeCell ref="AI2:AK2"/>
    <mergeCell ref="AL2:AN2"/>
    <mergeCell ref="C1:L1"/>
    <mergeCell ref="P1:Y1"/>
    <mergeCell ref="AC1:AL1"/>
    <mergeCell ref="C2:E2"/>
    <mergeCell ref="F2:H2"/>
    <mergeCell ref="I2:K2"/>
    <mergeCell ref="L2:N2"/>
    <mergeCell ref="P2:R2"/>
    <mergeCell ref="S2:U2"/>
    <mergeCell ref="AL4:AN4"/>
    <mergeCell ref="A5:B5"/>
    <mergeCell ref="S4:U4"/>
    <mergeCell ref="V4:X4"/>
    <mergeCell ref="Y4:AA4"/>
    <mergeCell ref="AC4:AE4"/>
    <mergeCell ref="AF4:AH4"/>
    <mergeCell ref="AI4:AK4"/>
    <mergeCell ref="A3:B3"/>
    <mergeCell ref="C4:E4"/>
    <mergeCell ref="F4:H4"/>
    <mergeCell ref="I4:K4"/>
    <mergeCell ref="L4:N4"/>
    <mergeCell ref="P4:R4"/>
    <mergeCell ref="V6:X6"/>
    <mergeCell ref="Y6:AA6"/>
    <mergeCell ref="AC6:AE6"/>
    <mergeCell ref="AF6:AH6"/>
    <mergeCell ref="AI6:AK6"/>
    <mergeCell ref="AL6:AN6"/>
    <mergeCell ref="C6:E6"/>
    <mergeCell ref="F6:H6"/>
    <mergeCell ref="I6:K6"/>
    <mergeCell ref="L6:N6"/>
    <mergeCell ref="P6:R6"/>
    <mergeCell ref="S6:U6"/>
    <mergeCell ref="AL8:AN8"/>
    <mergeCell ref="A9:B9"/>
    <mergeCell ref="S8:U8"/>
    <mergeCell ref="V8:X8"/>
    <mergeCell ref="Y8:AA8"/>
    <mergeCell ref="AC8:AE8"/>
    <mergeCell ref="AF8:AH8"/>
    <mergeCell ref="AI8:AK8"/>
    <mergeCell ref="A7:B7"/>
    <mergeCell ref="C8:E8"/>
    <mergeCell ref="F8:H8"/>
    <mergeCell ref="I8:K8"/>
    <mergeCell ref="L8:N8"/>
    <mergeCell ref="P8:R8"/>
    <mergeCell ref="V10:X10"/>
    <mergeCell ref="Y10:AA10"/>
    <mergeCell ref="AC10:AE10"/>
    <mergeCell ref="AF10:AH10"/>
    <mergeCell ref="AI10:AK10"/>
    <mergeCell ref="AL10:AN10"/>
    <mergeCell ref="C10:E10"/>
    <mergeCell ref="F10:H10"/>
    <mergeCell ref="I10:K10"/>
    <mergeCell ref="L10:N10"/>
    <mergeCell ref="P10:R10"/>
    <mergeCell ref="S10:U10"/>
    <mergeCell ref="AL12:AN12"/>
    <mergeCell ref="A13:B13"/>
    <mergeCell ref="S12:U12"/>
    <mergeCell ref="V12:X12"/>
    <mergeCell ref="Y12:AA12"/>
    <mergeCell ref="AC12:AE12"/>
    <mergeCell ref="AF12:AH12"/>
    <mergeCell ref="AI12:AK12"/>
    <mergeCell ref="A11:B11"/>
    <mergeCell ref="C12:E12"/>
    <mergeCell ref="F12:H12"/>
    <mergeCell ref="I12:K12"/>
    <mergeCell ref="L12:N12"/>
    <mergeCell ref="P12:R12"/>
    <mergeCell ref="V14:X14"/>
    <mergeCell ref="Y14:AA14"/>
    <mergeCell ref="AC14:AE14"/>
    <mergeCell ref="AF14:AH14"/>
    <mergeCell ref="AI14:AK14"/>
    <mergeCell ref="AL14:AN14"/>
    <mergeCell ref="C14:E14"/>
    <mergeCell ref="F14:H14"/>
    <mergeCell ref="I14:K14"/>
    <mergeCell ref="L14:N14"/>
    <mergeCell ref="P14:R14"/>
    <mergeCell ref="S14:U14"/>
    <mergeCell ref="AL16:AN16"/>
    <mergeCell ref="A17:B17"/>
    <mergeCell ref="S16:U16"/>
    <mergeCell ref="V16:X16"/>
    <mergeCell ref="Y16:AA16"/>
    <mergeCell ref="AC16:AE16"/>
    <mergeCell ref="AF16:AH16"/>
    <mergeCell ref="AI16:AK16"/>
    <mergeCell ref="A15:B15"/>
    <mergeCell ref="C16:E16"/>
    <mergeCell ref="F16:H16"/>
    <mergeCell ref="I16:K16"/>
    <mergeCell ref="L16:N16"/>
    <mergeCell ref="P16:R16"/>
    <mergeCell ref="V18:X18"/>
    <mergeCell ref="Y18:AA18"/>
    <mergeCell ref="AC18:AE18"/>
    <mergeCell ref="AF18:AH18"/>
    <mergeCell ref="AI18:AK18"/>
    <mergeCell ref="AL18:AN18"/>
    <mergeCell ref="C18:E18"/>
    <mergeCell ref="F18:H18"/>
    <mergeCell ref="I18:K18"/>
    <mergeCell ref="L18:N18"/>
    <mergeCell ref="P18:R18"/>
    <mergeCell ref="S18:U18"/>
    <mergeCell ref="AL20:AN20"/>
    <mergeCell ref="A21:B21"/>
    <mergeCell ref="S20:U20"/>
    <mergeCell ref="V20:X20"/>
    <mergeCell ref="Y20:AA20"/>
    <mergeCell ref="AC20:AE20"/>
    <mergeCell ref="AF20:AH20"/>
    <mergeCell ref="AI20:AK20"/>
    <mergeCell ref="A19:B19"/>
    <mergeCell ref="C20:E20"/>
    <mergeCell ref="F20:H20"/>
    <mergeCell ref="I20:K20"/>
    <mergeCell ref="L20:N20"/>
    <mergeCell ref="P20:R20"/>
    <mergeCell ref="V22:X22"/>
    <mergeCell ref="Y22:AA22"/>
    <mergeCell ref="AC22:AE22"/>
    <mergeCell ref="AF22:AH22"/>
    <mergeCell ref="AI22:AK22"/>
    <mergeCell ref="AL22:AN22"/>
    <mergeCell ref="C22:E22"/>
    <mergeCell ref="F22:H22"/>
    <mergeCell ref="I22:K22"/>
    <mergeCell ref="L22:N22"/>
    <mergeCell ref="P22:R22"/>
    <mergeCell ref="S22:U22"/>
    <mergeCell ref="AL24:AN24"/>
    <mergeCell ref="A25:B25"/>
    <mergeCell ref="S24:U24"/>
    <mergeCell ref="V24:X24"/>
    <mergeCell ref="Y24:AA24"/>
    <mergeCell ref="AC24:AE24"/>
    <mergeCell ref="AF24:AH24"/>
    <mergeCell ref="AI24:AK24"/>
    <mergeCell ref="A23:B23"/>
    <mergeCell ref="C24:E24"/>
    <mergeCell ref="F24:H24"/>
    <mergeCell ref="I24:K24"/>
    <mergeCell ref="L24:N24"/>
    <mergeCell ref="P24:R24"/>
    <mergeCell ref="V26:X26"/>
    <mergeCell ref="Y26:AA26"/>
    <mergeCell ref="AC26:AE26"/>
    <mergeCell ref="AF26:AH26"/>
    <mergeCell ref="AI26:AK26"/>
    <mergeCell ref="AL26:AN26"/>
    <mergeCell ref="C26:E26"/>
    <mergeCell ref="F26:H26"/>
    <mergeCell ref="I26:K26"/>
    <mergeCell ref="L26:N26"/>
    <mergeCell ref="P26:R26"/>
    <mergeCell ref="S26:U26"/>
    <mergeCell ref="AL28:AN28"/>
    <mergeCell ref="A29:B29"/>
    <mergeCell ref="S28:U28"/>
    <mergeCell ref="V28:X28"/>
    <mergeCell ref="Y28:AA28"/>
    <mergeCell ref="AC28:AE28"/>
    <mergeCell ref="AF28:AH28"/>
    <mergeCell ref="AI28:AK28"/>
    <mergeCell ref="A27:B27"/>
    <mergeCell ref="C28:E28"/>
    <mergeCell ref="F28:H28"/>
    <mergeCell ref="I28:K28"/>
    <mergeCell ref="L28:N28"/>
    <mergeCell ref="P28:R28"/>
    <mergeCell ref="V30:X30"/>
    <mergeCell ref="Y30:AA30"/>
    <mergeCell ref="AC30:AE30"/>
    <mergeCell ref="AF30:AH30"/>
    <mergeCell ref="AI30:AK30"/>
    <mergeCell ref="AL30:AN30"/>
    <mergeCell ref="C30:E30"/>
    <mergeCell ref="F30:H30"/>
    <mergeCell ref="I30:K30"/>
    <mergeCell ref="L30:N30"/>
    <mergeCell ref="P30:R30"/>
    <mergeCell ref="S30:U30"/>
    <mergeCell ref="AL32:AN32"/>
    <mergeCell ref="A33:B33"/>
    <mergeCell ref="S32:U32"/>
    <mergeCell ref="V32:X32"/>
    <mergeCell ref="Y32:AA32"/>
    <mergeCell ref="AC32:AE32"/>
    <mergeCell ref="AF32:AH32"/>
    <mergeCell ref="AI32:AK32"/>
    <mergeCell ref="A31:B31"/>
    <mergeCell ref="C32:E32"/>
    <mergeCell ref="F32:H32"/>
    <mergeCell ref="I32:K32"/>
    <mergeCell ref="L32:N32"/>
    <mergeCell ref="P32:R32"/>
    <mergeCell ref="V34:X34"/>
    <mergeCell ref="Y34:AA34"/>
    <mergeCell ref="AC34:AE34"/>
    <mergeCell ref="AF34:AH34"/>
    <mergeCell ref="AI34:AK34"/>
    <mergeCell ref="AL34:AN34"/>
    <mergeCell ref="C34:E34"/>
    <mergeCell ref="F34:H34"/>
    <mergeCell ref="I34:K34"/>
    <mergeCell ref="L34:N34"/>
    <mergeCell ref="P34:R34"/>
    <mergeCell ref="S34:U34"/>
    <mergeCell ref="AL36:AN36"/>
    <mergeCell ref="A37:B37"/>
    <mergeCell ref="S36:U36"/>
    <mergeCell ref="V36:X36"/>
    <mergeCell ref="Y36:AA36"/>
    <mergeCell ref="AC36:AE36"/>
    <mergeCell ref="AF36:AH36"/>
    <mergeCell ref="AI36:AK36"/>
    <mergeCell ref="A35:B35"/>
    <mergeCell ref="C36:E36"/>
    <mergeCell ref="F36:H36"/>
    <mergeCell ref="I36:K36"/>
    <mergeCell ref="L36:N36"/>
    <mergeCell ref="P36:R36"/>
  </mergeCells>
  <pageMargins left="0.2" right="0.2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38"/>
  <sheetViews>
    <sheetView workbookViewId="0">
      <selection activeCell="C19" sqref="C19:F25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bestFit="1" customWidth="1"/>
    <col min="10" max="13" width="4.21875" customWidth="1"/>
    <col min="14" max="14" width="3.44140625" bestFit="1" customWidth="1"/>
    <col min="15" max="18" width="4.21875" customWidth="1"/>
    <col min="19" max="19" width="3.6640625" bestFit="1" customWidth="1"/>
    <col min="20" max="20" width="3.109375" bestFit="1" customWidth="1"/>
    <col min="21" max="21" width="2.88671875" bestFit="1" customWidth="1"/>
    <col min="22" max="22" width="4.21875" bestFit="1" customWidth="1"/>
    <col min="23" max="23" width="3.21875" bestFit="1" customWidth="1"/>
    <col min="24" max="24" width="5.21875" bestFit="1" customWidth="1"/>
    <col min="28" max="28" width="10.33203125" bestFit="1" customWidth="1"/>
    <col min="29" max="29" width="10.6640625" bestFit="1" customWidth="1"/>
  </cols>
  <sheetData>
    <row r="2" spans="1:31" x14ac:dyDescent="0.2">
      <c r="A2" s="127" t="s">
        <v>18</v>
      </c>
      <c r="B2" s="4" t="s">
        <v>20</v>
      </c>
      <c r="C2" s="14"/>
      <c r="D2" s="14"/>
      <c r="E2" s="14"/>
      <c r="F2" s="14"/>
      <c r="G2" s="11"/>
      <c r="H2" s="11"/>
    </row>
    <row r="3" spans="1:31" x14ac:dyDescent="0.2">
      <c r="A3" s="127"/>
      <c r="B3" s="4" t="s">
        <v>21</v>
      </c>
      <c r="C3" s="14"/>
      <c r="D3" s="14"/>
      <c r="E3" s="14"/>
      <c r="F3" s="14"/>
      <c r="G3" s="11"/>
      <c r="H3" s="11"/>
    </row>
    <row r="4" spans="1:31" x14ac:dyDescent="0.2">
      <c r="S4" s="2"/>
      <c r="T4" s="2"/>
      <c r="U4" s="2"/>
      <c r="V4" s="2"/>
      <c r="W4" s="2"/>
    </row>
    <row r="5" spans="1:31" x14ac:dyDescent="0.2">
      <c r="J5" t="s">
        <v>147</v>
      </c>
      <c r="K5" t="s">
        <v>23</v>
      </c>
      <c r="L5" t="s">
        <v>95</v>
      </c>
      <c r="M5" t="s">
        <v>1</v>
      </c>
      <c r="N5" t="s">
        <v>24</v>
      </c>
      <c r="O5" t="s">
        <v>25</v>
      </c>
      <c r="P5" t="s">
        <v>40</v>
      </c>
      <c r="Q5" t="s">
        <v>38</v>
      </c>
      <c r="R5" t="s">
        <v>39</v>
      </c>
      <c r="S5" t="s">
        <v>57</v>
      </c>
      <c r="T5" s="2" t="s">
        <v>44</v>
      </c>
      <c r="U5" s="2" t="s">
        <v>59</v>
      </c>
      <c r="V5" t="s">
        <v>96</v>
      </c>
      <c r="W5" s="2" t="s">
        <v>165</v>
      </c>
      <c r="X5" t="s">
        <v>114</v>
      </c>
      <c r="Y5" s="97" t="s">
        <v>171</v>
      </c>
    </row>
    <row r="6" spans="1:31" x14ac:dyDescent="0.2">
      <c r="A6" s="128" t="s">
        <v>19</v>
      </c>
      <c r="B6" s="12" t="s">
        <v>20</v>
      </c>
      <c r="C6" s="14"/>
      <c r="D6" s="14"/>
      <c r="E6" s="14"/>
      <c r="F6" s="14"/>
      <c r="I6" t="s">
        <v>147</v>
      </c>
      <c r="J6" s="2" t="s">
        <v>26</v>
      </c>
      <c r="K6" s="2">
        <f>J7</f>
        <v>2</v>
      </c>
      <c r="L6" s="2">
        <f>J8</f>
        <v>2</v>
      </c>
      <c r="M6" s="2">
        <f>J9</f>
        <v>1</v>
      </c>
      <c r="N6" s="2">
        <f>J10</f>
        <v>1</v>
      </c>
      <c r="O6" s="2">
        <f>J11</f>
        <v>1</v>
      </c>
      <c r="P6" s="2">
        <f>J12</f>
        <v>0</v>
      </c>
      <c r="Q6" s="2">
        <f>J13</f>
        <v>3</v>
      </c>
      <c r="R6" s="2">
        <f>J14</f>
        <v>2</v>
      </c>
      <c r="S6" s="2">
        <f>J15</f>
        <v>2</v>
      </c>
      <c r="T6" s="2">
        <f>J16</f>
        <v>1</v>
      </c>
      <c r="U6" s="2">
        <f>J17</f>
        <v>1</v>
      </c>
      <c r="V6" s="2">
        <f>J18</f>
        <v>2</v>
      </c>
      <c r="W6" s="2">
        <f>J19</f>
        <v>0</v>
      </c>
      <c r="X6" s="2">
        <f>J20</f>
        <v>1</v>
      </c>
      <c r="Y6">
        <v>0</v>
      </c>
      <c r="Z6" s="127" t="s">
        <v>18</v>
      </c>
      <c r="AA6" s="4" t="s">
        <v>20</v>
      </c>
      <c r="AB6" s="14"/>
      <c r="AC6" s="14"/>
      <c r="AD6" s="14"/>
      <c r="AE6" s="14"/>
    </row>
    <row r="7" spans="1:31" x14ac:dyDescent="0.2">
      <c r="A7" s="128"/>
      <c r="B7" s="12" t="s">
        <v>21</v>
      </c>
      <c r="C7" s="14"/>
      <c r="D7" s="14"/>
      <c r="E7" s="14"/>
      <c r="F7" s="14"/>
      <c r="I7" t="s">
        <v>23</v>
      </c>
      <c r="J7" s="2">
        <v>2</v>
      </c>
      <c r="K7" s="2" t="s">
        <v>26</v>
      </c>
      <c r="L7" s="2">
        <f>K8</f>
        <v>2</v>
      </c>
      <c r="M7" s="2">
        <f>K9</f>
        <v>2</v>
      </c>
      <c r="N7" s="2">
        <f>K10</f>
        <v>2</v>
      </c>
      <c r="O7" s="2">
        <f>K11</f>
        <v>2</v>
      </c>
      <c r="P7" s="2">
        <f>K12</f>
        <v>4</v>
      </c>
      <c r="Q7" s="2">
        <f>K13</f>
        <v>2</v>
      </c>
      <c r="R7" s="2">
        <f>K14</f>
        <v>2</v>
      </c>
      <c r="S7" s="2">
        <f>K15</f>
        <v>1</v>
      </c>
      <c r="T7" s="2">
        <f>K16</f>
        <v>2</v>
      </c>
      <c r="U7" s="2">
        <f>K17</f>
        <v>2</v>
      </c>
      <c r="V7" s="2">
        <f>K18</f>
        <v>3</v>
      </c>
      <c r="W7" s="2">
        <f>K19</f>
        <v>3</v>
      </c>
      <c r="X7" s="2">
        <f>K20</f>
        <v>3</v>
      </c>
      <c r="Y7">
        <v>1</v>
      </c>
      <c r="Z7" s="127"/>
      <c r="AA7" s="4" t="s">
        <v>21</v>
      </c>
      <c r="AB7" s="14"/>
      <c r="AC7" s="14"/>
      <c r="AD7" s="14"/>
      <c r="AE7" s="14"/>
    </row>
    <row r="8" spans="1:31" x14ac:dyDescent="0.2">
      <c r="I8" t="s">
        <v>95</v>
      </c>
      <c r="J8" s="2">
        <v>2</v>
      </c>
      <c r="K8" s="2">
        <v>2</v>
      </c>
      <c r="L8" s="2" t="s">
        <v>26</v>
      </c>
      <c r="M8" s="2">
        <f>L9</f>
        <v>2</v>
      </c>
      <c r="N8" s="2">
        <f>L10</f>
        <v>2</v>
      </c>
      <c r="O8" s="2">
        <f>L11</f>
        <v>3</v>
      </c>
      <c r="P8" s="2">
        <f>L12</f>
        <v>1</v>
      </c>
      <c r="Q8" s="2">
        <f>L13</f>
        <v>4</v>
      </c>
      <c r="R8" s="2">
        <f>L14</f>
        <v>3</v>
      </c>
      <c r="S8" s="2">
        <f>L15</f>
        <v>1</v>
      </c>
      <c r="T8" s="2">
        <f>L16</f>
        <v>1</v>
      </c>
      <c r="U8" s="2">
        <f>L17</f>
        <v>2</v>
      </c>
      <c r="V8" s="2">
        <f>L18</f>
        <v>2</v>
      </c>
      <c r="W8" s="2">
        <f>L19</f>
        <v>1</v>
      </c>
      <c r="X8" s="2">
        <f>L20</f>
        <v>3</v>
      </c>
      <c r="Y8">
        <v>2</v>
      </c>
    </row>
    <row r="9" spans="1:31" x14ac:dyDescent="0.2">
      <c r="I9" t="s">
        <v>1</v>
      </c>
      <c r="J9" s="2">
        <v>1</v>
      </c>
      <c r="K9" s="2">
        <v>2</v>
      </c>
      <c r="L9" s="2">
        <v>2</v>
      </c>
      <c r="M9" s="2" t="s">
        <v>26</v>
      </c>
      <c r="N9" s="2">
        <f>M10</f>
        <v>4</v>
      </c>
      <c r="O9" s="2">
        <f>M11</f>
        <v>3</v>
      </c>
      <c r="P9" s="2">
        <f>M12</f>
        <v>1</v>
      </c>
      <c r="Q9" s="2">
        <f>M13</f>
        <v>3</v>
      </c>
      <c r="R9" s="2">
        <f>M14</f>
        <v>1</v>
      </c>
      <c r="S9" s="2">
        <f>M15</f>
        <v>1</v>
      </c>
      <c r="T9" s="2">
        <f>M16</f>
        <v>1</v>
      </c>
      <c r="U9" s="2">
        <f>M17</f>
        <v>2</v>
      </c>
      <c r="V9" s="2">
        <f>M18</f>
        <v>2</v>
      </c>
      <c r="W9" s="2">
        <f>M19</f>
        <v>1</v>
      </c>
      <c r="X9" s="2">
        <f>M20</f>
        <v>2</v>
      </c>
      <c r="Y9">
        <v>0</v>
      </c>
    </row>
    <row r="10" spans="1:31" x14ac:dyDescent="0.2">
      <c r="A10" s="127" t="s">
        <v>37</v>
      </c>
      <c r="B10" s="12" t="s">
        <v>20</v>
      </c>
      <c r="C10" s="13"/>
      <c r="D10" s="14"/>
      <c r="E10" s="14"/>
      <c r="F10" s="14"/>
      <c r="I10" t="s">
        <v>24</v>
      </c>
      <c r="J10" s="2">
        <v>1</v>
      </c>
      <c r="K10" s="2">
        <v>2</v>
      </c>
      <c r="L10" s="2">
        <v>2</v>
      </c>
      <c r="M10" s="2">
        <v>4</v>
      </c>
      <c r="N10" s="2" t="s">
        <v>26</v>
      </c>
      <c r="O10" s="2">
        <f>N11</f>
        <v>3</v>
      </c>
      <c r="P10" s="2">
        <f>N12</f>
        <v>2</v>
      </c>
      <c r="Q10" s="2">
        <f>N13</f>
        <v>2</v>
      </c>
      <c r="R10" s="2">
        <f>N14</f>
        <v>2</v>
      </c>
      <c r="S10" s="2">
        <f>N15</f>
        <v>1</v>
      </c>
      <c r="T10" s="2">
        <f>N16</f>
        <v>3</v>
      </c>
      <c r="U10" s="2">
        <f>N17</f>
        <v>3</v>
      </c>
      <c r="V10" s="2">
        <f>N18</f>
        <v>2</v>
      </c>
      <c r="W10" s="2">
        <f>N19</f>
        <v>0</v>
      </c>
      <c r="X10" s="2">
        <f>N20</f>
        <v>3</v>
      </c>
      <c r="Y10">
        <v>0</v>
      </c>
      <c r="Z10" s="128" t="s">
        <v>19</v>
      </c>
      <c r="AA10" s="12" t="s">
        <v>20</v>
      </c>
      <c r="AB10" s="14"/>
      <c r="AC10" s="14"/>
      <c r="AD10" s="14"/>
      <c r="AE10" s="14"/>
    </row>
    <row r="11" spans="1:31" x14ac:dyDescent="0.2">
      <c r="A11" s="127"/>
      <c r="B11" s="12" t="s">
        <v>21</v>
      </c>
      <c r="C11" s="14"/>
      <c r="D11" s="14"/>
      <c r="E11" s="14"/>
      <c r="F11" s="14"/>
      <c r="I11" t="s">
        <v>25</v>
      </c>
      <c r="J11" s="2">
        <v>1</v>
      </c>
      <c r="K11" s="2">
        <v>2</v>
      </c>
      <c r="L11" s="2">
        <v>3</v>
      </c>
      <c r="M11" s="2">
        <v>3</v>
      </c>
      <c r="N11" s="2">
        <v>3</v>
      </c>
      <c r="O11" s="2" t="s">
        <v>26</v>
      </c>
      <c r="P11" s="2">
        <f>O12</f>
        <v>2</v>
      </c>
      <c r="Q11" s="2">
        <f>O13</f>
        <v>2</v>
      </c>
      <c r="R11" s="2">
        <f>O14</f>
        <v>3</v>
      </c>
      <c r="S11" s="2">
        <f>O15</f>
        <v>2</v>
      </c>
      <c r="T11" s="2">
        <f>O16</f>
        <v>3</v>
      </c>
      <c r="U11" s="2">
        <f>O17</f>
        <v>3</v>
      </c>
      <c r="V11" s="2">
        <f>O18</f>
        <v>2</v>
      </c>
      <c r="W11" s="2">
        <f>O19</f>
        <v>2</v>
      </c>
      <c r="X11" s="2">
        <f>O20</f>
        <v>2</v>
      </c>
      <c r="Y11">
        <v>1</v>
      </c>
      <c r="Z11" s="128"/>
      <c r="AA11" s="12" t="s">
        <v>21</v>
      </c>
      <c r="AB11" s="14"/>
      <c r="AC11" s="14"/>
      <c r="AD11" s="14"/>
      <c r="AE11" s="14"/>
    </row>
    <row r="12" spans="1:31" x14ac:dyDescent="0.2">
      <c r="I12" t="s">
        <v>40</v>
      </c>
      <c r="J12" s="2"/>
      <c r="K12" s="2">
        <v>4</v>
      </c>
      <c r="L12" s="2">
        <v>1</v>
      </c>
      <c r="M12" s="2">
        <v>1</v>
      </c>
      <c r="N12" s="2">
        <v>2</v>
      </c>
      <c r="O12" s="2">
        <v>2</v>
      </c>
      <c r="P12" s="2" t="s">
        <v>26</v>
      </c>
      <c r="Q12" s="2">
        <f>P13</f>
        <v>2</v>
      </c>
      <c r="R12" s="2">
        <f>P14</f>
        <v>3</v>
      </c>
      <c r="S12" s="2">
        <f>P15</f>
        <v>1</v>
      </c>
      <c r="T12" s="2">
        <f>P16</f>
        <v>2</v>
      </c>
      <c r="U12" s="2">
        <f>P17</f>
        <v>1</v>
      </c>
      <c r="V12" s="2">
        <f>P18</f>
        <v>2</v>
      </c>
      <c r="W12" s="2">
        <f>P19</f>
        <v>1</v>
      </c>
      <c r="X12" s="2">
        <f>P20</f>
        <v>1</v>
      </c>
      <c r="Y12">
        <v>0</v>
      </c>
    </row>
    <row r="13" spans="1:31" x14ac:dyDescent="0.2">
      <c r="A13" s="127" t="s">
        <v>124</v>
      </c>
      <c r="B13" s="12" t="s">
        <v>20</v>
      </c>
      <c r="C13" s="14"/>
      <c r="D13" s="14"/>
      <c r="E13" s="14"/>
      <c r="F13" s="14"/>
      <c r="I13" t="s">
        <v>38</v>
      </c>
      <c r="J13" s="2">
        <v>3</v>
      </c>
      <c r="K13" s="2">
        <v>2</v>
      </c>
      <c r="L13" s="2">
        <v>4</v>
      </c>
      <c r="M13" s="2">
        <v>3</v>
      </c>
      <c r="N13" s="2">
        <v>2</v>
      </c>
      <c r="O13" s="2">
        <v>2</v>
      </c>
      <c r="P13" s="2">
        <v>2</v>
      </c>
      <c r="Q13" s="2" t="s">
        <v>26</v>
      </c>
      <c r="R13" s="2">
        <f>Q14</f>
        <v>3</v>
      </c>
      <c r="S13" s="2">
        <f>Q15</f>
        <v>1</v>
      </c>
      <c r="T13" s="2">
        <f>Q16</f>
        <v>1</v>
      </c>
      <c r="U13" s="2">
        <f>Q17</f>
        <v>1</v>
      </c>
      <c r="V13" s="2">
        <f>Q18</f>
        <v>2</v>
      </c>
      <c r="W13" s="2">
        <f>Q19</f>
        <v>2</v>
      </c>
      <c r="X13" s="2">
        <f>Q20</f>
        <v>2</v>
      </c>
      <c r="Y13">
        <v>0</v>
      </c>
    </row>
    <row r="14" spans="1:31" x14ac:dyDescent="0.2">
      <c r="A14" s="127"/>
      <c r="B14" s="12" t="s">
        <v>21</v>
      </c>
      <c r="C14" s="14"/>
      <c r="D14" s="14"/>
      <c r="E14" s="14"/>
      <c r="F14" s="14"/>
      <c r="I14" t="s">
        <v>39</v>
      </c>
      <c r="J14" s="2">
        <v>2</v>
      </c>
      <c r="K14" s="2">
        <v>2</v>
      </c>
      <c r="L14" s="2">
        <v>3</v>
      </c>
      <c r="M14" s="2">
        <v>1</v>
      </c>
      <c r="N14" s="2">
        <v>2</v>
      </c>
      <c r="O14" s="2">
        <v>3</v>
      </c>
      <c r="P14" s="2">
        <v>3</v>
      </c>
      <c r="Q14" s="2">
        <v>3</v>
      </c>
      <c r="R14" s="2" t="s">
        <v>26</v>
      </c>
      <c r="S14" s="2">
        <f>R15</f>
        <v>1</v>
      </c>
      <c r="T14" s="2">
        <f>R16</f>
        <v>3</v>
      </c>
      <c r="U14" s="2">
        <f>R17</f>
        <v>3</v>
      </c>
      <c r="V14" s="2">
        <f>R18</f>
        <v>3</v>
      </c>
      <c r="W14" s="2">
        <f>R19</f>
        <v>2</v>
      </c>
      <c r="X14" s="2">
        <f>R20</f>
        <v>3</v>
      </c>
      <c r="Y14">
        <v>1</v>
      </c>
      <c r="Z14" s="127" t="s">
        <v>37</v>
      </c>
      <c r="AA14" s="12" t="s">
        <v>20</v>
      </c>
      <c r="AB14" s="13"/>
      <c r="AC14" s="14"/>
      <c r="AD14" s="14"/>
      <c r="AE14" s="14"/>
    </row>
    <row r="15" spans="1:31" x14ac:dyDescent="0.2">
      <c r="I15" t="s">
        <v>57</v>
      </c>
      <c r="J15" s="2">
        <v>2</v>
      </c>
      <c r="K15" s="2">
        <v>1</v>
      </c>
      <c r="L15" s="2">
        <v>1</v>
      </c>
      <c r="M15" s="2">
        <v>1</v>
      </c>
      <c r="N15" s="2">
        <v>1</v>
      </c>
      <c r="O15" s="2">
        <v>2</v>
      </c>
      <c r="P15" s="2">
        <v>1</v>
      </c>
      <c r="Q15" s="2">
        <v>1</v>
      </c>
      <c r="R15" s="2">
        <v>1</v>
      </c>
      <c r="S15" s="2" t="s">
        <v>26</v>
      </c>
      <c r="T15" s="2">
        <f>S16</f>
        <v>1</v>
      </c>
      <c r="U15" s="2">
        <f>S17</f>
        <v>2</v>
      </c>
      <c r="V15" s="2">
        <f>S18</f>
        <v>2</v>
      </c>
      <c r="W15" s="2">
        <f>S19</f>
        <v>0</v>
      </c>
      <c r="X15" s="2">
        <f>S20</f>
        <v>2</v>
      </c>
      <c r="Y15">
        <v>1</v>
      </c>
      <c r="Z15" s="127"/>
      <c r="AA15" s="12" t="s">
        <v>21</v>
      </c>
      <c r="AB15" s="14"/>
      <c r="AC15" s="14"/>
      <c r="AD15" s="14"/>
      <c r="AE15" s="14"/>
    </row>
    <row r="16" spans="1:31" x14ac:dyDescent="0.2">
      <c r="I16" s="24" t="s">
        <v>44</v>
      </c>
      <c r="J16" s="2">
        <v>1</v>
      </c>
      <c r="K16" s="2">
        <v>2</v>
      </c>
      <c r="L16" s="2">
        <v>1</v>
      </c>
      <c r="M16" s="2">
        <v>1</v>
      </c>
      <c r="N16" s="2">
        <v>3</v>
      </c>
      <c r="O16" s="2">
        <v>3</v>
      </c>
      <c r="P16" s="2">
        <v>2</v>
      </c>
      <c r="Q16" s="2">
        <v>1</v>
      </c>
      <c r="R16" s="2">
        <v>3</v>
      </c>
      <c r="S16" s="2">
        <v>1</v>
      </c>
      <c r="T16" s="2" t="s">
        <v>26</v>
      </c>
      <c r="U16" s="2">
        <f>T17</f>
        <v>1</v>
      </c>
      <c r="V16" s="2">
        <f>T18</f>
        <v>2</v>
      </c>
      <c r="W16" s="2">
        <f>T19</f>
        <v>2</v>
      </c>
      <c r="X16" s="2">
        <f>T20</f>
        <v>3</v>
      </c>
      <c r="Y16">
        <v>0</v>
      </c>
    </row>
    <row r="17" spans="1:25" x14ac:dyDescent="0.2">
      <c r="I17" t="s">
        <v>59</v>
      </c>
      <c r="J17" s="2">
        <v>1</v>
      </c>
      <c r="K17" s="2">
        <v>2</v>
      </c>
      <c r="L17" s="2">
        <v>2</v>
      </c>
      <c r="M17" s="2">
        <v>2</v>
      </c>
      <c r="N17" s="2">
        <v>3</v>
      </c>
      <c r="O17" s="2">
        <v>3</v>
      </c>
      <c r="P17" s="2">
        <v>1</v>
      </c>
      <c r="Q17" s="2">
        <v>1</v>
      </c>
      <c r="R17" s="2">
        <v>3</v>
      </c>
      <c r="S17" s="2">
        <v>2</v>
      </c>
      <c r="T17" s="2">
        <v>1</v>
      </c>
      <c r="U17" s="2" t="s">
        <v>26</v>
      </c>
      <c r="V17" s="2">
        <f>U18</f>
        <v>2</v>
      </c>
      <c r="W17" s="2">
        <f>U19</f>
        <v>1</v>
      </c>
      <c r="X17" s="2">
        <f>U20</f>
        <v>3</v>
      </c>
      <c r="Y17">
        <v>0</v>
      </c>
    </row>
    <row r="18" spans="1:25" x14ac:dyDescent="0.2">
      <c r="I18" t="s">
        <v>96</v>
      </c>
      <c r="J18" s="2">
        <v>2</v>
      </c>
      <c r="K18" s="2">
        <v>3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3</v>
      </c>
      <c r="S18" s="2">
        <v>2</v>
      </c>
      <c r="T18" s="2">
        <v>2</v>
      </c>
      <c r="U18" s="2">
        <v>2</v>
      </c>
      <c r="V18" s="2" t="s">
        <v>26</v>
      </c>
      <c r="W18" s="2">
        <f>V19</f>
        <v>2</v>
      </c>
      <c r="X18" s="2">
        <f>V20</f>
        <v>2</v>
      </c>
      <c r="Y18">
        <v>4</v>
      </c>
    </row>
    <row r="19" spans="1:25" x14ac:dyDescent="0.2">
      <c r="C19" s="98" t="s">
        <v>11</v>
      </c>
      <c r="D19" s="98" t="s">
        <v>2</v>
      </c>
      <c r="E19" s="98" t="s">
        <v>68</v>
      </c>
      <c r="F19" s="98" t="s">
        <v>58</v>
      </c>
      <c r="I19" t="s">
        <v>165</v>
      </c>
      <c r="J19" s="2"/>
      <c r="K19" s="2">
        <v>3</v>
      </c>
      <c r="L19" s="2">
        <v>1</v>
      </c>
      <c r="M19" s="2">
        <v>1</v>
      </c>
      <c r="N19" s="2"/>
      <c r="O19" s="2">
        <v>2</v>
      </c>
      <c r="P19" s="2">
        <v>1</v>
      </c>
      <c r="Q19" s="2">
        <v>2</v>
      </c>
      <c r="R19" s="2">
        <v>2</v>
      </c>
      <c r="S19" s="2"/>
      <c r="T19" s="2">
        <v>2</v>
      </c>
      <c r="U19" s="2">
        <v>1</v>
      </c>
      <c r="V19" s="2">
        <v>2</v>
      </c>
      <c r="W19" s="2" t="s">
        <v>26</v>
      </c>
      <c r="X19" s="2">
        <f>W20</f>
        <v>1</v>
      </c>
    </row>
    <row r="20" spans="1:25" x14ac:dyDescent="0.2">
      <c r="C20" s="2"/>
      <c r="D20" s="2"/>
      <c r="E20" s="2"/>
      <c r="F20" s="2"/>
      <c r="I20" t="s">
        <v>114</v>
      </c>
      <c r="J20" s="2">
        <v>1</v>
      </c>
      <c r="K20" s="2">
        <v>3</v>
      </c>
      <c r="L20" s="2">
        <v>3</v>
      </c>
      <c r="M20" s="2">
        <v>2</v>
      </c>
      <c r="N20" s="2">
        <v>3</v>
      </c>
      <c r="O20" s="2">
        <v>2</v>
      </c>
      <c r="P20" s="2">
        <v>1</v>
      </c>
      <c r="Q20" s="2">
        <v>2</v>
      </c>
      <c r="R20" s="2">
        <v>3</v>
      </c>
      <c r="S20" s="2">
        <v>2</v>
      </c>
      <c r="T20" s="2">
        <v>3</v>
      </c>
      <c r="U20" s="2">
        <v>3</v>
      </c>
      <c r="V20" s="2">
        <v>2</v>
      </c>
      <c r="W20" s="2">
        <v>1</v>
      </c>
      <c r="X20" s="2" t="s">
        <v>26</v>
      </c>
      <c r="Y20" s="97">
        <v>2</v>
      </c>
    </row>
    <row r="21" spans="1:25" x14ac:dyDescent="0.2">
      <c r="C21" s="98" t="s">
        <v>3</v>
      </c>
      <c r="D21" s="14" t="s">
        <v>45</v>
      </c>
      <c r="E21" s="98" t="s">
        <v>10</v>
      </c>
      <c r="F21" s="98" t="s">
        <v>32</v>
      </c>
      <c r="I21" t="s">
        <v>14</v>
      </c>
      <c r="J21" s="2">
        <f>SUM(J7:J20)</f>
        <v>19</v>
      </c>
      <c r="K21" s="2">
        <f>SUM(K6:K20)</f>
        <v>32</v>
      </c>
      <c r="L21" s="2">
        <f t="shared" ref="L21:X21" si="0">SUM(L6:L20)</f>
        <v>29</v>
      </c>
      <c r="M21" s="2">
        <f t="shared" si="0"/>
        <v>26</v>
      </c>
      <c r="N21" s="2">
        <f t="shared" si="0"/>
        <v>30</v>
      </c>
      <c r="O21" s="2">
        <f t="shared" si="0"/>
        <v>33</v>
      </c>
      <c r="P21" s="2">
        <f t="shared" si="0"/>
        <v>23</v>
      </c>
      <c r="Q21" s="2">
        <f t="shared" si="0"/>
        <v>30</v>
      </c>
      <c r="R21" s="2">
        <f t="shared" si="0"/>
        <v>34</v>
      </c>
      <c r="S21" s="2">
        <f t="shared" si="0"/>
        <v>18</v>
      </c>
      <c r="T21" s="2">
        <f t="shared" si="0"/>
        <v>26</v>
      </c>
      <c r="U21" s="2">
        <f t="shared" si="0"/>
        <v>27</v>
      </c>
      <c r="V21" s="2">
        <f t="shared" si="0"/>
        <v>30</v>
      </c>
      <c r="W21" s="2">
        <f t="shared" si="0"/>
        <v>18</v>
      </c>
      <c r="X21" s="2">
        <f t="shared" si="0"/>
        <v>31</v>
      </c>
    </row>
    <row r="22" spans="1:25" x14ac:dyDescent="0.2">
      <c r="C22" s="2"/>
      <c r="D22" s="2"/>
      <c r="E22" s="2"/>
      <c r="F22" s="2"/>
    </row>
    <row r="23" spans="1:25" x14ac:dyDescent="0.2">
      <c r="C23" s="98" t="s">
        <v>56</v>
      </c>
      <c r="D23" s="98" t="s">
        <v>33</v>
      </c>
      <c r="E23" s="98" t="s">
        <v>42</v>
      </c>
      <c r="F23" s="100" t="s">
        <v>41</v>
      </c>
      <c r="I23" t="s">
        <v>118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>
        <f>Y11+Y17+Y15</f>
        <v>2</v>
      </c>
    </row>
    <row r="24" spans="1:25" x14ac:dyDescent="0.2">
      <c r="C24" s="2"/>
      <c r="D24" s="2"/>
      <c r="E24" s="2"/>
      <c r="F24" s="57"/>
      <c r="I24" t="s">
        <v>120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5" x14ac:dyDescent="0.2">
      <c r="C25" s="99" t="s">
        <v>91</v>
      </c>
      <c r="D25" s="99" t="s">
        <v>99</v>
      </c>
      <c r="F25" s="57"/>
      <c r="I25" t="s">
        <v>119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t="e">
        <f>F2J</f>
        <v>#NAME?</v>
      </c>
    </row>
    <row r="26" spans="1:25" x14ac:dyDescent="0.2">
      <c r="C26" s="2"/>
      <c r="D26" s="2"/>
      <c r="E26" s="2"/>
      <c r="F26" s="12"/>
      <c r="I26" t="s">
        <v>121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5" x14ac:dyDescent="0.2">
      <c r="C27" t="s">
        <v>169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5" x14ac:dyDescent="0.2">
      <c r="A28" s="127"/>
      <c r="B28" s="4"/>
      <c r="C28" s="4"/>
      <c r="D28" s="12"/>
      <c r="E28" s="12"/>
      <c r="F28" s="12"/>
      <c r="H28" s="12"/>
      <c r="I28" s="12" t="s">
        <v>122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5" x14ac:dyDescent="0.2">
      <c r="A29" s="127"/>
      <c r="B29" s="4"/>
      <c r="C29" s="12"/>
      <c r="D29" s="12"/>
      <c r="E29" s="12"/>
      <c r="F29" s="12"/>
      <c r="I29" t="s">
        <v>118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5" x14ac:dyDescent="0.2">
      <c r="I30" t="s">
        <v>120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5" x14ac:dyDescent="0.2">
      <c r="I31" t="s">
        <v>119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5" ht="14.25" customHeight="1" x14ac:dyDescent="0.2">
      <c r="A32" s="127"/>
      <c r="B32" s="12"/>
      <c r="C32" s="12"/>
      <c r="D32" s="12"/>
      <c r="E32" s="12"/>
      <c r="F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x14ac:dyDescent="0.2">
      <c r="A33" s="127"/>
      <c r="B33" s="12"/>
      <c r="C33" s="12"/>
      <c r="D33" s="12"/>
      <c r="E33" s="12"/>
      <c r="F33" s="12"/>
      <c r="I33" t="s">
        <v>123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4" x14ac:dyDescent="0.2">
      <c r="I34" t="s">
        <v>118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I35" t="s">
        <v>120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I36" t="s">
        <v>119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J37" s="2"/>
      <c r="K37" s="2"/>
      <c r="L37" s="2"/>
      <c r="M37" s="2"/>
      <c r="N37" s="2"/>
      <c r="O37" s="2"/>
      <c r="P37" s="2"/>
      <c r="S37" s="2"/>
      <c r="T37" s="2"/>
      <c r="W37" s="2"/>
    </row>
    <row r="38" spans="1:24" x14ac:dyDescent="0.2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</sheetData>
  <mergeCells count="9">
    <mergeCell ref="Z6:Z7"/>
    <mergeCell ref="Z10:Z11"/>
    <mergeCell ref="Z14:Z15"/>
    <mergeCell ref="A2:A3"/>
    <mergeCell ref="A6:A7"/>
    <mergeCell ref="A28:A29"/>
    <mergeCell ref="A32:A33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9"/>
  <sheetViews>
    <sheetView workbookViewId="0">
      <selection activeCell="B23" sqref="B3:B23"/>
    </sheetView>
  </sheetViews>
  <sheetFormatPr defaultRowHeight="14.25" x14ac:dyDescent="0.2"/>
  <cols>
    <col min="2" max="2" width="16.33203125" bestFit="1" customWidth="1"/>
    <col min="3" max="3" width="11.21875" bestFit="1" customWidth="1"/>
    <col min="4" max="4" width="4.21875" bestFit="1" customWidth="1"/>
    <col min="5" max="5" width="4.88671875" bestFit="1" customWidth="1"/>
    <col min="6" max="6" width="3.44140625" bestFit="1" customWidth="1"/>
    <col min="7" max="7" width="3.109375" bestFit="1" customWidth="1"/>
    <col min="8" max="8" width="6.21875" customWidth="1"/>
    <col min="9" max="9" width="3.33203125" bestFit="1" customWidth="1"/>
    <col min="10" max="10" width="2.88671875" bestFit="1" customWidth="1"/>
    <col min="11" max="11" width="4" bestFit="1" customWidth="1"/>
    <col min="12" max="12" width="2.88671875" bestFit="1" customWidth="1"/>
    <col min="13" max="13" width="2.77734375" bestFit="1" customWidth="1"/>
    <col min="15" max="15" width="11.44140625" bestFit="1" customWidth="1"/>
    <col min="16" max="16" width="15.77734375" bestFit="1" customWidth="1"/>
    <col min="17" max="17" width="20.44140625" bestFit="1" customWidth="1"/>
  </cols>
  <sheetData>
    <row r="1" spans="1:16" x14ac:dyDescent="0.2">
      <c r="A1" t="s">
        <v>151</v>
      </c>
      <c r="D1" t="s">
        <v>23</v>
      </c>
      <c r="E1" t="s">
        <v>1</v>
      </c>
      <c r="F1" t="s">
        <v>24</v>
      </c>
      <c r="G1" t="s">
        <v>25</v>
      </c>
      <c r="H1" t="s">
        <v>40</v>
      </c>
      <c r="I1" t="s">
        <v>38</v>
      </c>
      <c r="J1" t="s">
        <v>39</v>
      </c>
      <c r="K1" t="s">
        <v>57</v>
      </c>
      <c r="L1" s="2" t="s">
        <v>59</v>
      </c>
      <c r="M1" s="2" t="s">
        <v>44</v>
      </c>
      <c r="N1" s="2" t="s">
        <v>14</v>
      </c>
      <c r="O1" s="2" t="s">
        <v>43</v>
      </c>
      <c r="P1" t="s">
        <v>89</v>
      </c>
    </row>
    <row r="2" spans="1:16" x14ac:dyDescent="0.2">
      <c r="D2" s="2"/>
      <c r="E2" s="2"/>
      <c r="F2" s="2"/>
      <c r="G2" s="2"/>
      <c r="H2" s="2"/>
      <c r="I2" s="2"/>
      <c r="J2" s="2"/>
      <c r="K2" s="2"/>
      <c r="L2" s="2"/>
      <c r="M2" s="2"/>
      <c r="P2">
        <v>2016</v>
      </c>
    </row>
    <row r="3" spans="1:16" x14ac:dyDescent="0.2">
      <c r="B3" t="s">
        <v>86</v>
      </c>
      <c r="F3">
        <v>1</v>
      </c>
      <c r="I3">
        <v>1</v>
      </c>
      <c r="K3">
        <v>1</v>
      </c>
      <c r="N3">
        <f>SUM(D3:M3)</f>
        <v>3</v>
      </c>
      <c r="O3">
        <v>35.5</v>
      </c>
      <c r="P3">
        <v>6</v>
      </c>
    </row>
    <row r="4" spans="1:16" x14ac:dyDescent="0.2">
      <c r="B4" t="s">
        <v>84</v>
      </c>
      <c r="D4" s="2"/>
      <c r="E4" s="2"/>
      <c r="F4" s="2"/>
      <c r="G4" s="2">
        <v>1</v>
      </c>
      <c r="H4" s="2"/>
      <c r="I4" s="2">
        <v>2</v>
      </c>
      <c r="J4" s="2"/>
      <c r="K4" s="2"/>
      <c r="L4" s="2"/>
      <c r="M4" s="2"/>
      <c r="N4">
        <f>SUM(D4:M4)</f>
        <v>3</v>
      </c>
      <c r="O4">
        <v>11</v>
      </c>
      <c r="P4">
        <v>9</v>
      </c>
    </row>
    <row r="5" spans="1:16" x14ac:dyDescent="0.2">
      <c r="B5" t="s">
        <v>48</v>
      </c>
      <c r="D5" s="2"/>
      <c r="E5" s="2">
        <v>1</v>
      </c>
      <c r="F5" s="2">
        <v>1</v>
      </c>
      <c r="G5" s="2"/>
      <c r="H5" s="2"/>
      <c r="I5" s="2"/>
      <c r="J5" s="2"/>
      <c r="K5" s="2"/>
      <c r="L5" s="2"/>
      <c r="M5" s="2"/>
      <c r="N5">
        <f>SUM(D5:M5)</f>
        <v>2</v>
      </c>
      <c r="P5">
        <v>7</v>
      </c>
    </row>
    <row r="6" spans="1:16" x14ac:dyDescent="0.2">
      <c r="B6" t="s">
        <v>87</v>
      </c>
      <c r="F6">
        <v>1</v>
      </c>
      <c r="K6">
        <v>1</v>
      </c>
      <c r="N6">
        <f>SUM(D6:M6)</f>
        <v>2</v>
      </c>
      <c r="P6">
        <v>6</v>
      </c>
    </row>
    <row r="7" spans="1:16" x14ac:dyDescent="0.2">
      <c r="B7" t="s">
        <v>115</v>
      </c>
      <c r="N7">
        <v>1</v>
      </c>
      <c r="O7">
        <v>8.5</v>
      </c>
    </row>
    <row r="8" spans="1:16" x14ac:dyDescent="0.2">
      <c r="B8" t="s">
        <v>22</v>
      </c>
    </row>
    <row r="9" spans="1:16" x14ac:dyDescent="0.2">
      <c r="B9" t="s">
        <v>55</v>
      </c>
      <c r="D9" s="2"/>
      <c r="E9">
        <v>1</v>
      </c>
      <c r="G9" s="2"/>
      <c r="H9" s="2"/>
      <c r="L9" s="2"/>
      <c r="M9" s="2"/>
      <c r="N9">
        <f>SUM(D9:M9)</f>
        <v>1</v>
      </c>
      <c r="P9">
        <v>5</v>
      </c>
    </row>
    <row r="10" spans="1:16" x14ac:dyDescent="0.2">
      <c r="B10" t="s">
        <v>62</v>
      </c>
      <c r="C10">
        <v>3046389564</v>
      </c>
      <c r="H10">
        <v>1</v>
      </c>
      <c r="N10">
        <f>SUM(D10:M10)</f>
        <v>1</v>
      </c>
      <c r="P10">
        <v>5</v>
      </c>
    </row>
    <row r="11" spans="1:16" x14ac:dyDescent="0.2">
      <c r="B11" t="s">
        <v>66</v>
      </c>
      <c r="E11">
        <v>1</v>
      </c>
      <c r="N11">
        <f>SUM(D11:M11)</f>
        <v>1</v>
      </c>
      <c r="P11">
        <v>6</v>
      </c>
    </row>
    <row r="12" spans="1:16" x14ac:dyDescent="0.2">
      <c r="B12" t="s">
        <v>153</v>
      </c>
    </row>
    <row r="13" spans="1:16" ht="14.25" customHeight="1" x14ac:dyDescent="0.2">
      <c r="B13" t="s">
        <v>85</v>
      </c>
      <c r="M13">
        <v>1</v>
      </c>
      <c r="N13">
        <f>SUM(D13:M13)</f>
        <v>1</v>
      </c>
      <c r="P13">
        <v>4</v>
      </c>
    </row>
    <row r="14" spans="1:16" x14ac:dyDescent="0.2">
      <c r="B14" t="s">
        <v>88</v>
      </c>
      <c r="K14">
        <v>1</v>
      </c>
      <c r="N14">
        <f>SUM(D14:M14)</f>
        <v>1</v>
      </c>
      <c r="P14">
        <v>1</v>
      </c>
    </row>
    <row r="15" spans="1:16" ht="15" customHeight="1" x14ac:dyDescent="0.2">
      <c r="B15" t="s">
        <v>117</v>
      </c>
      <c r="N15">
        <v>1</v>
      </c>
      <c r="P15">
        <v>2</v>
      </c>
    </row>
    <row r="16" spans="1:16" ht="15" customHeight="1" x14ac:dyDescent="0.2">
      <c r="B16" t="s">
        <v>148</v>
      </c>
      <c r="C16">
        <v>3044163923</v>
      </c>
      <c r="N16">
        <v>1</v>
      </c>
    </row>
    <row r="17" spans="2:17" x14ac:dyDescent="0.2">
      <c r="B17" t="s">
        <v>149</v>
      </c>
      <c r="C17">
        <v>3044121985</v>
      </c>
      <c r="N17">
        <v>1</v>
      </c>
    </row>
    <row r="18" spans="2:17" x14ac:dyDescent="0.2">
      <c r="B18" t="s">
        <v>97</v>
      </c>
      <c r="N18">
        <v>0</v>
      </c>
      <c r="O18">
        <v>7.5</v>
      </c>
      <c r="P18">
        <v>3</v>
      </c>
    </row>
    <row r="19" spans="2:17" x14ac:dyDescent="0.2">
      <c r="B19" t="s">
        <v>150</v>
      </c>
      <c r="N19">
        <v>1</v>
      </c>
    </row>
    <row r="20" spans="2:17" x14ac:dyDescent="0.2">
      <c r="B20" t="s">
        <v>98</v>
      </c>
      <c r="N20">
        <v>0</v>
      </c>
      <c r="P20">
        <v>4</v>
      </c>
    </row>
    <row r="21" spans="2:17" x14ac:dyDescent="0.2">
      <c r="B21" t="s">
        <v>28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>
        <f t="shared" ref="N21:N35" si="0">SUM(D21:M21)</f>
        <v>0</v>
      </c>
    </row>
    <row r="22" spans="2:17" x14ac:dyDescent="0.2">
      <c r="B22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>
        <f t="shared" si="0"/>
        <v>0</v>
      </c>
      <c r="P22">
        <v>3</v>
      </c>
    </row>
    <row r="23" spans="2:17" x14ac:dyDescent="0.2">
      <c r="B23" t="s">
        <v>4</v>
      </c>
      <c r="N23">
        <f t="shared" si="0"/>
        <v>0</v>
      </c>
      <c r="P23">
        <v>4</v>
      </c>
    </row>
    <row r="24" spans="2:17" x14ac:dyDescent="0.2">
      <c r="B24" t="s">
        <v>49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>
        <f t="shared" si="0"/>
        <v>0</v>
      </c>
    </row>
    <row r="25" spans="2:17" x14ac:dyDescent="0.2">
      <c r="B25" t="s">
        <v>50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>
        <f t="shared" si="0"/>
        <v>0</v>
      </c>
    </row>
    <row r="26" spans="2:17" x14ac:dyDescent="0.2">
      <c r="B26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>
        <f t="shared" si="0"/>
        <v>0</v>
      </c>
      <c r="Q26" s="26" t="s">
        <v>61</v>
      </c>
    </row>
    <row r="27" spans="2:17" x14ac:dyDescent="0.2">
      <c r="B27" t="s">
        <v>51</v>
      </c>
      <c r="C27" t="s">
        <v>52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>
        <f t="shared" si="0"/>
        <v>0</v>
      </c>
      <c r="P27">
        <v>3</v>
      </c>
    </row>
    <row r="28" spans="2:17" x14ac:dyDescent="0.2">
      <c r="B28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>
        <f t="shared" si="0"/>
        <v>0</v>
      </c>
    </row>
    <row r="29" spans="2:17" x14ac:dyDescent="0.2">
      <c r="B29" t="s">
        <v>53</v>
      </c>
      <c r="D29" s="2"/>
      <c r="E29" s="2"/>
      <c r="F29" s="2"/>
      <c r="G29" s="2"/>
      <c r="H29" s="2"/>
      <c r="I29" s="2"/>
      <c r="J29" s="2"/>
      <c r="L29" s="2"/>
      <c r="M29" s="2"/>
      <c r="N29">
        <f t="shared" si="0"/>
        <v>0</v>
      </c>
    </row>
    <row r="30" spans="2:17" x14ac:dyDescent="0.2">
      <c r="B30" t="s">
        <v>54</v>
      </c>
      <c r="L30" s="2"/>
      <c r="M30" s="2"/>
      <c r="N30">
        <f t="shared" si="0"/>
        <v>0</v>
      </c>
      <c r="P30">
        <v>3</v>
      </c>
    </row>
    <row r="31" spans="2:17" x14ac:dyDescent="0.2">
      <c r="B31" t="s">
        <v>60</v>
      </c>
      <c r="C31" s="25">
        <v>3046338122</v>
      </c>
      <c r="N31">
        <f t="shared" si="0"/>
        <v>0</v>
      </c>
    </row>
    <row r="32" spans="2:17" x14ac:dyDescent="0.2">
      <c r="B32" t="s">
        <v>63</v>
      </c>
      <c r="N32">
        <f t="shared" si="0"/>
        <v>0</v>
      </c>
    </row>
    <row r="33" spans="2:16" x14ac:dyDescent="0.2">
      <c r="B33" t="s">
        <v>67</v>
      </c>
      <c r="N33">
        <f t="shared" si="0"/>
        <v>0</v>
      </c>
      <c r="P33">
        <v>1</v>
      </c>
    </row>
    <row r="34" spans="2:16" x14ac:dyDescent="0.2">
      <c r="B34" t="s">
        <v>69</v>
      </c>
      <c r="N34">
        <f t="shared" si="0"/>
        <v>0</v>
      </c>
    </row>
    <row r="35" spans="2:16" x14ac:dyDescent="0.2">
      <c r="B35" t="s">
        <v>74</v>
      </c>
      <c r="N35">
        <f t="shared" si="0"/>
        <v>0</v>
      </c>
    </row>
    <row r="36" spans="2:16" x14ac:dyDescent="0.2">
      <c r="B36" t="s">
        <v>116</v>
      </c>
      <c r="N36">
        <v>0</v>
      </c>
      <c r="P36">
        <v>2</v>
      </c>
    </row>
    <row r="37" spans="2:16" x14ac:dyDescent="0.2">
      <c r="B37" t="s">
        <v>154</v>
      </c>
    </row>
    <row r="39" spans="2:16" x14ac:dyDescent="0.2">
      <c r="B39" t="s">
        <v>70</v>
      </c>
    </row>
  </sheetData>
  <sortState xmlns:xlrd2="http://schemas.microsoft.com/office/spreadsheetml/2017/richdata2" ref="A3:O34">
    <sortCondition descending="1" ref="N3:N34"/>
    <sortCondition descending="1" ref="O3:O34"/>
  </sortState>
  <hyperlinks>
    <hyperlink ref="Q26" r:id="rId1" display="mailto:kurt@wvperio.com" xr:uid="{00000000-0004-0000-0400-000000000000}"/>
  </hyperlinks>
  <pageMargins left="0.7" right="0.7" top="0.75" bottom="0.75" header="0.3" footer="0.3"/>
  <pageSetup orientation="portrait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Q46"/>
  <sheetViews>
    <sheetView workbookViewId="0">
      <selection activeCell="K3" sqref="K3:Q14"/>
    </sheetView>
  </sheetViews>
  <sheetFormatPr defaultColWidth="8.88671875" defaultRowHeight="14.25" outlineLevelRow="1" x14ac:dyDescent="0.2"/>
  <cols>
    <col min="1" max="1" width="1.6640625" style="35" customWidth="1"/>
    <col min="2" max="2" width="12.109375" bestFit="1" customWidth="1"/>
    <col min="3" max="3" width="6.109375" customWidth="1"/>
    <col min="4" max="4" width="3.5546875" customWidth="1"/>
    <col min="5" max="5" width="3.88671875" customWidth="1"/>
    <col min="6" max="6" width="3.5546875" customWidth="1"/>
    <col min="7" max="7" width="3.88671875" customWidth="1"/>
    <col min="8" max="8" width="6.21875" customWidth="1"/>
    <col min="9" max="9" width="2.77734375" customWidth="1"/>
    <col min="10" max="10" width="2" customWidth="1"/>
    <col min="11" max="11" width="12.109375" bestFit="1" customWidth="1"/>
    <col min="12" max="12" width="6.44140625" bestFit="1" customWidth="1"/>
    <col min="13" max="13" width="3.5546875" customWidth="1"/>
    <col min="14" max="14" width="4.21875" bestFit="1" customWidth="1"/>
    <col min="15" max="15" width="3.5546875" customWidth="1"/>
    <col min="16" max="16" width="4.33203125" bestFit="1" customWidth="1"/>
    <col min="17" max="17" width="6.21875" bestFit="1" customWidth="1"/>
  </cols>
  <sheetData>
    <row r="1" spans="1:17" s="5" customFormat="1" ht="14.25" customHeight="1" x14ac:dyDescent="0.2">
      <c r="A1" s="36"/>
      <c r="B1" s="27"/>
      <c r="D1" s="107" t="s">
        <v>72</v>
      </c>
      <c r="E1" s="107"/>
      <c r="F1" s="107" t="s">
        <v>72</v>
      </c>
      <c r="G1" s="107"/>
      <c r="H1" s="1" t="s">
        <v>14</v>
      </c>
      <c r="L1" s="1" t="s">
        <v>14</v>
      </c>
      <c r="M1" s="107" t="s">
        <v>72</v>
      </c>
      <c r="N1" s="107"/>
      <c r="O1" s="107" t="s">
        <v>72</v>
      </c>
      <c r="P1" s="107"/>
      <c r="Q1" s="1" t="s">
        <v>73</v>
      </c>
    </row>
    <row r="2" spans="1:17" x14ac:dyDescent="0.2">
      <c r="B2" s="28" t="s">
        <v>71</v>
      </c>
      <c r="C2" t="s">
        <v>14</v>
      </c>
      <c r="D2" s="106">
        <v>1</v>
      </c>
      <c r="E2" s="106"/>
      <c r="F2" s="106">
        <v>2</v>
      </c>
      <c r="G2" s="106"/>
      <c r="M2" s="106">
        <v>3</v>
      </c>
      <c r="N2" s="106"/>
      <c r="O2" s="106">
        <v>4</v>
      </c>
      <c r="P2" s="106"/>
    </row>
    <row r="3" spans="1:17" ht="13.9" x14ac:dyDescent="0.25">
      <c r="A3" s="35">
        <v>1</v>
      </c>
      <c r="B3" s="29" t="s">
        <v>10</v>
      </c>
      <c r="C3" s="40">
        <v>172</v>
      </c>
      <c r="D3" s="8">
        <v>79</v>
      </c>
      <c r="E3" s="102">
        <f>E4+E5</f>
        <v>28</v>
      </c>
      <c r="F3" s="8">
        <v>84</v>
      </c>
      <c r="G3" s="102">
        <f>G4+G5</f>
        <v>9</v>
      </c>
      <c r="H3" s="40">
        <f>G3+E3+C3</f>
        <v>209</v>
      </c>
      <c r="J3" s="35">
        <v>1</v>
      </c>
      <c r="K3" s="29" t="s">
        <v>3</v>
      </c>
      <c r="L3" s="83">
        <v>199.5</v>
      </c>
      <c r="M3" s="8">
        <v>73</v>
      </c>
      <c r="N3" s="103">
        <f>N4+N5</f>
        <v>35</v>
      </c>
      <c r="O3" s="8">
        <v>81</v>
      </c>
      <c r="P3" s="103">
        <f>P4+P5</f>
        <v>32.5</v>
      </c>
      <c r="Q3" s="84">
        <f>P3+N3+L3</f>
        <v>267</v>
      </c>
    </row>
    <row r="4" spans="1:17" ht="13.9" outlineLevel="1" x14ac:dyDescent="0.25">
      <c r="B4" s="28" t="s">
        <v>43</v>
      </c>
      <c r="D4" s="8">
        <v>37</v>
      </c>
      <c r="E4" s="8">
        <v>12</v>
      </c>
      <c r="F4" s="8">
        <v>32</v>
      </c>
      <c r="G4" s="8">
        <v>7</v>
      </c>
      <c r="J4" s="35"/>
      <c r="K4" s="28" t="s">
        <v>43</v>
      </c>
      <c r="L4" s="2"/>
      <c r="M4" s="8">
        <v>40</v>
      </c>
      <c r="N4" s="8">
        <v>20</v>
      </c>
      <c r="O4" s="8">
        <v>31</v>
      </c>
      <c r="P4" s="8">
        <v>12.5</v>
      </c>
      <c r="Q4" s="85"/>
    </row>
    <row r="5" spans="1:17" ht="13.9" outlineLevel="1" x14ac:dyDescent="0.25">
      <c r="A5" s="37"/>
      <c r="B5" s="31" t="s">
        <v>6</v>
      </c>
      <c r="C5" s="21"/>
      <c r="D5" s="46">
        <v>13</v>
      </c>
      <c r="E5" s="39">
        <v>16</v>
      </c>
      <c r="F5" s="46">
        <v>-36</v>
      </c>
      <c r="G5" s="39">
        <v>2</v>
      </c>
      <c r="H5" s="21"/>
      <c r="J5" s="37"/>
      <c r="K5" s="31" t="s">
        <v>6</v>
      </c>
      <c r="L5" s="2"/>
      <c r="M5" s="46">
        <v>-3</v>
      </c>
      <c r="N5" s="39">
        <v>15</v>
      </c>
      <c r="O5" s="46">
        <v>18</v>
      </c>
      <c r="P5" s="39">
        <v>20</v>
      </c>
    </row>
    <row r="6" spans="1:17" ht="13.9" x14ac:dyDescent="0.25">
      <c r="A6" s="35">
        <v>2</v>
      </c>
      <c r="B6" s="29" t="s">
        <v>11</v>
      </c>
      <c r="C6" s="40">
        <v>169</v>
      </c>
      <c r="D6" s="8">
        <v>89</v>
      </c>
      <c r="E6" s="102">
        <f>E7+E8</f>
        <v>19</v>
      </c>
      <c r="F6" s="8">
        <v>92</v>
      </c>
      <c r="G6" s="102">
        <f>G7+G8</f>
        <v>17</v>
      </c>
      <c r="H6" s="40">
        <f>G6+E6+C6</f>
        <v>205</v>
      </c>
      <c r="J6" s="35">
        <v>2</v>
      </c>
      <c r="K6" s="29" t="s">
        <v>11</v>
      </c>
      <c r="L6" s="40">
        <v>205</v>
      </c>
      <c r="M6" s="8">
        <v>92</v>
      </c>
      <c r="N6" s="103">
        <f>N7+N8</f>
        <v>17.5</v>
      </c>
      <c r="O6" s="8">
        <v>91</v>
      </c>
      <c r="P6" s="103">
        <f>P7+P8</f>
        <v>35</v>
      </c>
      <c r="Q6" s="84">
        <f>P6+N6+L6</f>
        <v>257.5</v>
      </c>
    </row>
    <row r="7" spans="1:17" ht="13.9" outlineLevel="1" collapsed="1" x14ac:dyDescent="0.25">
      <c r="B7" s="28" t="s">
        <v>43</v>
      </c>
      <c r="C7" s="21"/>
      <c r="D7" s="8">
        <v>36</v>
      </c>
      <c r="E7" s="38">
        <v>7</v>
      </c>
      <c r="F7" s="8">
        <v>32</v>
      </c>
      <c r="G7" s="8">
        <v>7</v>
      </c>
      <c r="H7" s="21"/>
      <c r="J7" s="35"/>
      <c r="K7" s="28" t="s">
        <v>43</v>
      </c>
      <c r="L7" s="2"/>
      <c r="M7" s="8">
        <v>31</v>
      </c>
      <c r="N7" s="8">
        <v>7.5</v>
      </c>
      <c r="O7" s="8">
        <v>33</v>
      </c>
      <c r="P7" s="8">
        <v>20</v>
      </c>
    </row>
    <row r="8" spans="1:17" ht="13.9" outlineLevel="1" x14ac:dyDescent="0.25">
      <c r="A8" s="37"/>
      <c r="B8" s="31" t="s">
        <v>6</v>
      </c>
      <c r="C8" s="21"/>
      <c r="D8" s="46">
        <v>9</v>
      </c>
      <c r="E8" s="39">
        <v>12</v>
      </c>
      <c r="F8" s="46">
        <v>-4</v>
      </c>
      <c r="G8" s="39">
        <v>10</v>
      </c>
      <c r="H8" s="21"/>
      <c r="J8" s="37"/>
      <c r="K8" s="31" t="s">
        <v>6</v>
      </c>
      <c r="L8" s="2"/>
      <c r="M8" s="46">
        <v>-5</v>
      </c>
      <c r="N8" s="39">
        <v>10</v>
      </c>
      <c r="O8" s="46">
        <v>6</v>
      </c>
      <c r="P8" s="39">
        <v>15</v>
      </c>
    </row>
    <row r="9" spans="1:17" ht="13.9" x14ac:dyDescent="0.25">
      <c r="A9" s="35">
        <v>3</v>
      </c>
      <c r="B9" s="28" t="s">
        <v>33</v>
      </c>
      <c r="C9" s="40">
        <v>166</v>
      </c>
      <c r="D9" s="8">
        <v>95</v>
      </c>
      <c r="E9" s="102">
        <f>E10+E11</f>
        <v>19</v>
      </c>
      <c r="F9" s="8">
        <v>98</v>
      </c>
      <c r="G9" s="102">
        <f>G10+G11</f>
        <v>16</v>
      </c>
      <c r="H9" s="40">
        <f>G9+E9+C9</f>
        <v>201</v>
      </c>
      <c r="J9" s="35">
        <v>3</v>
      </c>
      <c r="K9" s="28" t="s">
        <v>33</v>
      </c>
      <c r="L9" s="83">
        <v>201</v>
      </c>
      <c r="M9" s="8">
        <v>92</v>
      </c>
      <c r="N9" s="103">
        <f>N10+N11</f>
        <v>35</v>
      </c>
      <c r="O9" s="8">
        <v>109</v>
      </c>
      <c r="P9" s="103">
        <f>P10+P11</f>
        <v>15</v>
      </c>
      <c r="Q9" s="84">
        <f>P9+N9+L9</f>
        <v>251</v>
      </c>
    </row>
    <row r="10" spans="1:17" ht="13.9" outlineLevel="1" x14ac:dyDescent="0.25">
      <c r="B10" s="28" t="s">
        <v>43</v>
      </c>
      <c r="C10" s="21"/>
      <c r="D10" s="8">
        <v>37</v>
      </c>
      <c r="E10" s="8">
        <v>12</v>
      </c>
      <c r="F10" s="8">
        <v>35</v>
      </c>
      <c r="G10" s="8">
        <v>10</v>
      </c>
      <c r="H10" s="21"/>
      <c r="J10" s="35"/>
      <c r="K10" s="28" t="s">
        <v>43</v>
      </c>
      <c r="M10" s="8">
        <v>39</v>
      </c>
      <c r="N10" s="8">
        <v>15</v>
      </c>
      <c r="O10" s="8">
        <v>22</v>
      </c>
      <c r="P10" s="8">
        <v>5</v>
      </c>
    </row>
    <row r="11" spans="1:17" ht="13.9" outlineLevel="1" collapsed="1" x14ac:dyDescent="0.25">
      <c r="A11" s="37"/>
      <c r="B11" s="31" t="s">
        <v>6</v>
      </c>
      <c r="C11" s="21"/>
      <c r="D11" s="46">
        <v>-5</v>
      </c>
      <c r="E11" s="39">
        <v>7</v>
      </c>
      <c r="F11" s="46">
        <v>-10</v>
      </c>
      <c r="G11" s="39">
        <v>6</v>
      </c>
      <c r="H11" s="21"/>
      <c r="J11" s="37"/>
      <c r="K11" s="31" t="s">
        <v>6</v>
      </c>
      <c r="M11" s="46">
        <v>15</v>
      </c>
      <c r="N11" s="39">
        <v>20</v>
      </c>
      <c r="O11" s="46">
        <v>-4</v>
      </c>
      <c r="P11" s="39">
        <v>10</v>
      </c>
    </row>
    <row r="12" spans="1:17" ht="13.9" x14ac:dyDescent="0.25">
      <c r="A12" s="35">
        <v>4</v>
      </c>
      <c r="B12" s="29" t="s">
        <v>3</v>
      </c>
      <c r="C12" s="40">
        <v>140.5</v>
      </c>
      <c r="D12" s="8">
        <v>75</v>
      </c>
      <c r="E12" s="102">
        <f>E13+E14</f>
        <v>30</v>
      </c>
      <c r="F12" s="8">
        <v>76</v>
      </c>
      <c r="G12" s="102">
        <f>G13+G14</f>
        <v>29</v>
      </c>
      <c r="H12" s="40">
        <f>G12+E12+C12</f>
        <v>199.5</v>
      </c>
      <c r="J12" s="35">
        <v>4</v>
      </c>
      <c r="K12" s="29" t="s">
        <v>10</v>
      </c>
      <c r="L12" s="40">
        <v>209</v>
      </c>
      <c r="M12" s="8">
        <v>85</v>
      </c>
      <c r="N12" s="103">
        <f>N13+N14</f>
        <v>12.5</v>
      </c>
      <c r="O12" s="8">
        <v>85</v>
      </c>
      <c r="P12" s="103">
        <f>P13+P14</f>
        <v>17.5</v>
      </c>
      <c r="Q12" s="84">
        <f>P12+N12+L12</f>
        <v>239</v>
      </c>
    </row>
    <row r="13" spans="1:17" outlineLevel="1" x14ac:dyDescent="0.2">
      <c r="B13" s="28" t="s">
        <v>43</v>
      </c>
      <c r="C13" s="21"/>
      <c r="D13" s="8">
        <v>40</v>
      </c>
      <c r="E13" s="8">
        <v>16</v>
      </c>
      <c r="F13" s="8">
        <v>39</v>
      </c>
      <c r="G13" s="8">
        <v>15</v>
      </c>
      <c r="K13" s="28" t="s">
        <v>43</v>
      </c>
      <c r="L13" s="2"/>
      <c r="M13" s="8">
        <v>31</v>
      </c>
      <c r="N13" s="8">
        <v>7.5</v>
      </c>
      <c r="O13" s="8">
        <v>31</v>
      </c>
      <c r="P13" s="8">
        <v>12.5</v>
      </c>
    </row>
    <row r="14" spans="1:17" outlineLevel="1" x14ac:dyDescent="0.2">
      <c r="A14" s="37"/>
      <c r="B14" s="31" t="s">
        <v>6</v>
      </c>
      <c r="C14" s="21"/>
      <c r="D14" s="46">
        <v>11</v>
      </c>
      <c r="E14" s="39">
        <v>14</v>
      </c>
      <c r="F14" s="46">
        <v>26</v>
      </c>
      <c r="G14" s="39">
        <v>14</v>
      </c>
      <c r="J14" s="37"/>
      <c r="K14" s="31" t="s">
        <v>6</v>
      </c>
      <c r="L14" s="2"/>
      <c r="M14" s="48">
        <v>-7</v>
      </c>
      <c r="N14" s="8">
        <v>5</v>
      </c>
      <c r="O14" s="48">
        <v>-20</v>
      </c>
      <c r="P14" s="8">
        <v>5</v>
      </c>
    </row>
    <row r="15" spans="1:17" x14ac:dyDescent="0.2">
      <c r="A15" s="35">
        <v>5</v>
      </c>
      <c r="B15" s="29" t="s">
        <v>32</v>
      </c>
      <c r="C15" s="40">
        <v>176.5</v>
      </c>
      <c r="D15" s="8">
        <v>100</v>
      </c>
      <c r="E15" s="102">
        <f>E16+E17</f>
        <v>9</v>
      </c>
      <c r="F15" s="8">
        <v>101</v>
      </c>
      <c r="G15" s="102">
        <f>G16+G17</f>
        <v>11</v>
      </c>
      <c r="H15" s="40">
        <f>G15+E15+C15</f>
        <v>196.5</v>
      </c>
      <c r="L15" s="21"/>
      <c r="M15" s="8"/>
      <c r="N15" s="38"/>
      <c r="O15" s="8"/>
      <c r="P15" s="38"/>
    </row>
    <row r="16" spans="1:17" outlineLevel="1" x14ac:dyDescent="0.2">
      <c r="B16" s="28" t="s">
        <v>43</v>
      </c>
      <c r="D16" s="8">
        <v>33</v>
      </c>
      <c r="E16" s="8">
        <v>2</v>
      </c>
      <c r="F16" s="8">
        <v>31</v>
      </c>
      <c r="G16" s="8">
        <v>3</v>
      </c>
      <c r="M16" s="8"/>
      <c r="N16" s="8"/>
      <c r="O16" s="8"/>
      <c r="P16" s="8"/>
    </row>
    <row r="17" spans="1:16" outlineLevel="1" x14ac:dyDescent="0.2">
      <c r="A17" s="37"/>
      <c r="B17" s="31" t="s">
        <v>6</v>
      </c>
      <c r="D17" s="46">
        <v>-5</v>
      </c>
      <c r="E17" s="39">
        <v>7</v>
      </c>
      <c r="F17" s="46">
        <v>-6</v>
      </c>
      <c r="G17" s="39">
        <v>8</v>
      </c>
      <c r="M17" s="48"/>
      <c r="N17" s="8"/>
      <c r="O17" s="48"/>
      <c r="P17" s="8"/>
    </row>
    <row r="18" spans="1:16" x14ac:dyDescent="0.2">
      <c r="A18" s="35">
        <v>6</v>
      </c>
      <c r="B18" s="29" t="s">
        <v>68</v>
      </c>
      <c r="C18" s="40">
        <v>165</v>
      </c>
      <c r="D18" s="8">
        <v>89</v>
      </c>
      <c r="E18" s="102">
        <f>E19+E20</f>
        <v>6</v>
      </c>
      <c r="F18" s="8">
        <v>86</v>
      </c>
      <c r="G18" s="102">
        <f>G19+G20</f>
        <v>24</v>
      </c>
      <c r="H18" s="40">
        <f>G18+E18+C18</f>
        <v>195</v>
      </c>
      <c r="L18" s="21"/>
      <c r="M18" s="8"/>
      <c r="N18" s="38"/>
      <c r="O18" s="8"/>
      <c r="P18" s="38"/>
    </row>
    <row r="19" spans="1:16" outlineLevel="1" collapsed="1" x14ac:dyDescent="0.2">
      <c r="B19" s="28" t="s">
        <v>43</v>
      </c>
      <c r="C19" s="21"/>
      <c r="D19" s="8">
        <v>34</v>
      </c>
      <c r="E19" s="101">
        <v>4</v>
      </c>
      <c r="F19" s="8">
        <v>37</v>
      </c>
      <c r="G19" s="8">
        <v>12</v>
      </c>
      <c r="H19" s="21"/>
      <c r="M19" s="8"/>
      <c r="N19" s="8"/>
      <c r="O19" s="8"/>
      <c r="P19" s="8"/>
    </row>
    <row r="20" spans="1:16" outlineLevel="1" x14ac:dyDescent="0.2">
      <c r="A20" s="37"/>
      <c r="B20" s="31" t="s">
        <v>6</v>
      </c>
      <c r="C20" s="21"/>
      <c r="D20" s="46">
        <v>-15</v>
      </c>
      <c r="E20" s="39">
        <v>2</v>
      </c>
      <c r="F20" s="46">
        <v>18</v>
      </c>
      <c r="G20" s="39">
        <v>12</v>
      </c>
      <c r="H20" s="21"/>
      <c r="M20" s="48"/>
      <c r="N20" s="8"/>
      <c r="O20" s="48"/>
      <c r="P20" s="8"/>
    </row>
    <row r="21" spans="1:16" x14ac:dyDescent="0.2">
      <c r="A21" s="35">
        <v>7</v>
      </c>
      <c r="B21" s="29" t="s">
        <v>46</v>
      </c>
      <c r="C21" s="40">
        <v>141.5</v>
      </c>
      <c r="D21" s="8">
        <v>78</v>
      </c>
      <c r="E21" s="102">
        <f>E22+E23</f>
        <v>22</v>
      </c>
      <c r="F21" s="8">
        <v>75</v>
      </c>
      <c r="G21" s="102">
        <f>G22+G23</f>
        <v>31</v>
      </c>
      <c r="H21" s="40">
        <f>G21+E21+C21</f>
        <v>194.5</v>
      </c>
      <c r="L21" s="21"/>
      <c r="M21" s="8"/>
      <c r="N21" s="38"/>
      <c r="O21" s="8"/>
      <c r="P21" s="38"/>
    </row>
    <row r="22" spans="1:16" outlineLevel="1" x14ac:dyDescent="0.2">
      <c r="B22" s="28" t="s">
        <v>43</v>
      </c>
      <c r="C22" s="21"/>
      <c r="D22" s="8">
        <v>37</v>
      </c>
      <c r="E22" s="8">
        <v>12</v>
      </c>
      <c r="F22" s="8">
        <v>39</v>
      </c>
      <c r="G22" s="8">
        <v>15</v>
      </c>
      <c r="H22" s="21"/>
      <c r="M22" s="8"/>
      <c r="N22" s="8"/>
      <c r="O22" s="8"/>
      <c r="P22" s="8"/>
    </row>
    <row r="23" spans="1:16" outlineLevel="1" collapsed="1" x14ac:dyDescent="0.2">
      <c r="A23" s="37"/>
      <c r="B23" s="31" t="s">
        <v>6</v>
      </c>
      <c r="C23" s="21"/>
      <c r="D23" s="46">
        <v>-1</v>
      </c>
      <c r="E23" s="39">
        <v>10</v>
      </c>
      <c r="F23" s="46">
        <v>28</v>
      </c>
      <c r="G23" s="39">
        <v>16</v>
      </c>
      <c r="H23" s="21"/>
      <c r="M23" s="48"/>
      <c r="N23" s="8"/>
      <c r="O23" s="48"/>
      <c r="P23" s="8"/>
    </row>
    <row r="24" spans="1:16" x14ac:dyDescent="0.2">
      <c r="A24" s="35">
        <v>8</v>
      </c>
      <c r="B24" s="29" t="s">
        <v>91</v>
      </c>
      <c r="C24" s="40">
        <v>173.5</v>
      </c>
      <c r="D24" s="8">
        <v>80</v>
      </c>
      <c r="E24" s="102">
        <f>E25+E26</f>
        <v>11</v>
      </c>
      <c r="F24" s="8">
        <v>85</v>
      </c>
      <c r="G24" s="102">
        <f>G25+G26</f>
        <v>7</v>
      </c>
      <c r="H24" s="40">
        <f>G24+E24+C24</f>
        <v>191.5</v>
      </c>
      <c r="L24" s="21"/>
      <c r="M24" s="8"/>
      <c r="N24" s="38"/>
      <c r="O24" s="8"/>
      <c r="P24" s="38"/>
    </row>
    <row r="25" spans="1:16" outlineLevel="1" x14ac:dyDescent="0.2">
      <c r="B25" s="28" t="s">
        <v>43</v>
      </c>
      <c r="D25" s="8">
        <v>36</v>
      </c>
      <c r="E25" s="8">
        <v>7</v>
      </c>
      <c r="F25" s="8">
        <v>31</v>
      </c>
      <c r="G25" s="8">
        <v>3</v>
      </c>
      <c r="M25" s="8"/>
      <c r="N25" s="8"/>
      <c r="O25" s="8"/>
      <c r="P25" s="8"/>
    </row>
    <row r="26" spans="1:16" outlineLevel="1" x14ac:dyDescent="0.2">
      <c r="A26" s="37"/>
      <c r="B26" s="31" t="s">
        <v>6</v>
      </c>
      <c r="D26" s="46">
        <v>-7</v>
      </c>
      <c r="E26" s="39">
        <v>4</v>
      </c>
      <c r="F26" s="46">
        <v>-16</v>
      </c>
      <c r="G26" s="39">
        <v>4</v>
      </c>
      <c r="M26" s="48"/>
      <c r="N26" s="8"/>
      <c r="O26" s="48"/>
      <c r="P26" s="8"/>
    </row>
    <row r="27" spans="1:16" ht="5.25" customHeight="1" x14ac:dyDescent="0.2">
      <c r="B27" s="6"/>
      <c r="D27" s="8"/>
      <c r="E27" s="8"/>
      <c r="F27" s="8"/>
      <c r="G27" s="8"/>
      <c r="M27" s="8"/>
      <c r="N27" s="8"/>
      <c r="O27" s="8"/>
      <c r="P27" s="8"/>
    </row>
    <row r="28" spans="1:16" collapsed="1" x14ac:dyDescent="0.2">
      <c r="B28" t="s">
        <v>16</v>
      </c>
      <c r="E28" s="22">
        <f>AVERAGE(E3,E6,E9,E12,E15,E18,E21,E24)</f>
        <v>18</v>
      </c>
      <c r="G28" s="22">
        <f>AVERAGE(G3,G6,G9,G12,G15,G18,G21,G24)</f>
        <v>18</v>
      </c>
      <c r="N28" s="22"/>
      <c r="P28" s="22"/>
    </row>
    <row r="29" spans="1:16" ht="6" customHeight="1" x14ac:dyDescent="0.2">
      <c r="D29" s="2"/>
    </row>
    <row r="30" spans="1:16" x14ac:dyDescent="0.2">
      <c r="B30" t="s">
        <v>14</v>
      </c>
      <c r="D30" s="2"/>
      <c r="E30" s="23">
        <f>E24+E21+E18+E15+E12+E9+E6+E3</f>
        <v>144</v>
      </c>
      <c r="G30" s="23">
        <f>G24+G21+G18+G15+G12+G9+G6+G3</f>
        <v>144</v>
      </c>
      <c r="N30" s="23"/>
      <c r="P30" s="23"/>
    </row>
    <row r="31" spans="1:16" x14ac:dyDescent="0.2">
      <c r="D31" s="2"/>
    </row>
    <row r="46" spans="2:2" x14ac:dyDescent="0.2">
      <c r="B46" s="29"/>
    </row>
  </sheetData>
  <sortState xmlns:xlrd2="http://schemas.microsoft.com/office/spreadsheetml/2017/richdata2" ref="K3:Q14">
    <sortCondition descending="1" ref="Q3:Q14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0.25" bottom="0.25" header="0.3" footer="0.3"/>
  <pageSetup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21"/>
  <sheetViews>
    <sheetView workbookViewId="0">
      <selection activeCell="G21" sqref="G21"/>
    </sheetView>
  </sheetViews>
  <sheetFormatPr defaultRowHeight="14.25" x14ac:dyDescent="0.2"/>
  <cols>
    <col min="2" max="2" width="11" bestFit="1" customWidth="1"/>
    <col min="6" max="6" width="14.6640625" bestFit="1" customWidth="1"/>
    <col min="7" max="7" width="10" bestFit="1" customWidth="1"/>
  </cols>
  <sheetData>
    <row r="2" spans="1:7" x14ac:dyDescent="0.2">
      <c r="A2" t="s">
        <v>180</v>
      </c>
    </row>
    <row r="3" spans="1:7" x14ac:dyDescent="0.2">
      <c r="A3" t="s">
        <v>181</v>
      </c>
      <c r="B3" s="89" t="s">
        <v>5</v>
      </c>
      <c r="C3" s="87">
        <v>100</v>
      </c>
      <c r="E3" t="s">
        <v>75</v>
      </c>
      <c r="G3" s="53">
        <f>C19</f>
        <v>1400</v>
      </c>
    </row>
    <row r="4" spans="1:7" x14ac:dyDescent="0.2">
      <c r="A4" t="s">
        <v>181</v>
      </c>
      <c r="B4" s="89" t="s">
        <v>46</v>
      </c>
      <c r="C4" s="87">
        <v>100</v>
      </c>
      <c r="G4" s="52"/>
    </row>
    <row r="5" spans="1:7" x14ac:dyDescent="0.2">
      <c r="A5" t="s">
        <v>181</v>
      </c>
      <c r="B5" s="89" t="s">
        <v>0</v>
      </c>
      <c r="C5" s="87">
        <v>100</v>
      </c>
      <c r="E5" t="s">
        <v>76</v>
      </c>
      <c r="G5" s="52"/>
    </row>
    <row r="6" spans="1:7" x14ac:dyDescent="0.2">
      <c r="A6" t="s">
        <v>181</v>
      </c>
      <c r="B6" s="89" t="s">
        <v>3</v>
      </c>
      <c r="C6" s="87">
        <v>100</v>
      </c>
      <c r="F6" t="s">
        <v>77</v>
      </c>
      <c r="G6" s="52">
        <v>535</v>
      </c>
    </row>
    <row r="7" spans="1:7" x14ac:dyDescent="0.2">
      <c r="A7" t="s">
        <v>181</v>
      </c>
      <c r="B7" s="89" t="s">
        <v>2</v>
      </c>
      <c r="C7" s="87">
        <v>100</v>
      </c>
      <c r="F7" t="s">
        <v>80</v>
      </c>
      <c r="G7" s="52">
        <v>50</v>
      </c>
    </row>
    <row r="8" spans="1:7" x14ac:dyDescent="0.2">
      <c r="A8" t="s">
        <v>181</v>
      </c>
      <c r="B8" s="86" t="s">
        <v>45</v>
      </c>
      <c r="C8" s="87">
        <v>100</v>
      </c>
      <c r="F8" t="s">
        <v>81</v>
      </c>
      <c r="G8" s="52">
        <v>25</v>
      </c>
    </row>
    <row r="9" spans="1:7" x14ac:dyDescent="0.2">
      <c r="A9" t="s">
        <v>181</v>
      </c>
      <c r="B9" s="89" t="s">
        <v>42</v>
      </c>
      <c r="C9" s="87">
        <v>100</v>
      </c>
      <c r="F9" t="s">
        <v>78</v>
      </c>
      <c r="G9" s="52">
        <v>29.26</v>
      </c>
    </row>
    <row r="10" spans="1:7" x14ac:dyDescent="0.2">
      <c r="A10" t="s">
        <v>181</v>
      </c>
      <c r="B10" s="90" t="s">
        <v>68</v>
      </c>
      <c r="C10" s="87">
        <v>100</v>
      </c>
      <c r="F10" t="s">
        <v>79</v>
      </c>
      <c r="G10" s="52">
        <v>265</v>
      </c>
    </row>
    <row r="11" spans="1:7" x14ac:dyDescent="0.2">
      <c r="A11" t="s">
        <v>181</v>
      </c>
      <c r="B11" s="89" t="s">
        <v>65</v>
      </c>
      <c r="C11" s="87">
        <v>100</v>
      </c>
      <c r="F11" t="s">
        <v>127</v>
      </c>
      <c r="G11" s="52">
        <v>12.72</v>
      </c>
    </row>
    <row r="12" spans="1:7" x14ac:dyDescent="0.2">
      <c r="A12" t="s">
        <v>181</v>
      </c>
      <c r="B12" s="89" t="s">
        <v>56</v>
      </c>
      <c r="C12" s="87">
        <v>100</v>
      </c>
    </row>
    <row r="13" spans="1:7" x14ac:dyDescent="0.2">
      <c r="A13" t="s">
        <v>181</v>
      </c>
      <c r="B13" s="89" t="s">
        <v>32</v>
      </c>
      <c r="C13" s="87">
        <v>100</v>
      </c>
      <c r="F13" t="s">
        <v>126</v>
      </c>
      <c r="G13" s="52">
        <v>3.069999999999709</v>
      </c>
    </row>
    <row r="14" spans="1:7" x14ac:dyDescent="0.2">
      <c r="A14" t="s">
        <v>181</v>
      </c>
      <c r="B14" s="89" t="s">
        <v>91</v>
      </c>
      <c r="C14" s="87">
        <v>100</v>
      </c>
    </row>
    <row r="15" spans="1:7" x14ac:dyDescent="0.2">
      <c r="A15" t="s">
        <v>181</v>
      </c>
      <c r="B15" s="89" t="s">
        <v>58</v>
      </c>
      <c r="C15" s="87">
        <v>100</v>
      </c>
      <c r="F15" t="s">
        <v>82</v>
      </c>
      <c r="G15" s="52">
        <f>SUM(G6:G11)-G13</f>
        <v>913.91000000000031</v>
      </c>
    </row>
    <row r="16" spans="1:7" x14ac:dyDescent="0.2">
      <c r="A16" t="s">
        <v>181</v>
      </c>
      <c r="B16" s="89" t="s">
        <v>99</v>
      </c>
      <c r="C16" s="87">
        <v>100</v>
      </c>
      <c r="G16" s="52"/>
    </row>
    <row r="17" spans="2:7" x14ac:dyDescent="0.2">
      <c r="C17" s="51"/>
      <c r="E17" t="s">
        <v>83</v>
      </c>
      <c r="G17" s="52">
        <f>G3-G15</f>
        <v>486.08999999999969</v>
      </c>
    </row>
    <row r="18" spans="2:7" x14ac:dyDescent="0.2">
      <c r="B18" s="29"/>
      <c r="C18" s="51"/>
    </row>
    <row r="19" spans="2:7" x14ac:dyDescent="0.2">
      <c r="B19" s="29" t="s">
        <v>75</v>
      </c>
      <c r="C19" s="51">
        <f>SUM(C3:C17)</f>
        <v>1400</v>
      </c>
      <c r="F19" t="s">
        <v>182</v>
      </c>
      <c r="G19" s="52">
        <v>500</v>
      </c>
    </row>
    <row r="21" spans="2:7" x14ac:dyDescent="0.2">
      <c r="F21" t="s">
        <v>183</v>
      </c>
      <c r="G21" s="104">
        <f>G17-G19</f>
        <v>-13.910000000000309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Q46"/>
  <sheetViews>
    <sheetView workbookViewId="0">
      <selection activeCell="L3" sqref="L3"/>
    </sheetView>
  </sheetViews>
  <sheetFormatPr defaultColWidth="8.88671875" defaultRowHeight="14.25" outlineLevelRow="1" x14ac:dyDescent="0.2"/>
  <cols>
    <col min="1" max="1" width="1.6640625" style="35" customWidth="1"/>
    <col min="2" max="2" width="10" customWidth="1"/>
    <col min="3" max="3" width="6.109375" customWidth="1"/>
    <col min="4" max="4" width="3.5546875" customWidth="1"/>
    <col min="5" max="5" width="3.88671875" customWidth="1"/>
    <col min="6" max="6" width="3.5546875" customWidth="1"/>
    <col min="7" max="7" width="3.88671875" customWidth="1"/>
    <col min="8" max="8" width="6.21875" customWidth="1"/>
    <col min="9" max="9" width="2.77734375" customWidth="1"/>
    <col min="10" max="10" width="2" customWidth="1"/>
    <col min="11" max="11" width="10.77734375" bestFit="1" customWidth="1"/>
    <col min="12" max="12" width="6.44140625" bestFit="1" customWidth="1"/>
    <col min="13" max="13" width="3.5546875" customWidth="1"/>
    <col min="14" max="14" width="3.88671875" customWidth="1"/>
    <col min="15" max="15" width="3.5546875" customWidth="1"/>
    <col min="16" max="16" width="4.33203125" bestFit="1" customWidth="1"/>
    <col min="17" max="17" width="6.21875" bestFit="1" customWidth="1"/>
  </cols>
  <sheetData>
    <row r="1" spans="1:17" s="5" customFormat="1" ht="14.25" customHeight="1" x14ac:dyDescent="0.2">
      <c r="A1" s="36"/>
      <c r="B1" s="27"/>
      <c r="D1" s="107" t="s">
        <v>72</v>
      </c>
      <c r="E1" s="107"/>
      <c r="F1" s="107" t="s">
        <v>72</v>
      </c>
      <c r="G1" s="107"/>
      <c r="H1" s="1" t="s">
        <v>14</v>
      </c>
      <c r="L1" s="1" t="s">
        <v>14</v>
      </c>
      <c r="M1" s="107" t="s">
        <v>72</v>
      </c>
      <c r="N1" s="107"/>
      <c r="O1" s="107" t="s">
        <v>72</v>
      </c>
      <c r="P1" s="107"/>
      <c r="Q1" s="1" t="s">
        <v>73</v>
      </c>
    </row>
    <row r="2" spans="1:17" x14ac:dyDescent="0.2">
      <c r="B2" s="28" t="s">
        <v>71</v>
      </c>
      <c r="C2" t="s">
        <v>14</v>
      </c>
      <c r="D2" s="106">
        <v>1</v>
      </c>
      <c r="E2" s="106"/>
      <c r="F2" s="106">
        <v>2</v>
      </c>
      <c r="G2" s="106"/>
      <c r="M2" s="106">
        <v>3</v>
      </c>
      <c r="N2" s="106"/>
      <c r="O2" s="106">
        <v>4</v>
      </c>
      <c r="P2" s="106"/>
    </row>
    <row r="3" spans="1:17" x14ac:dyDescent="0.2">
      <c r="A3" s="35">
        <v>1</v>
      </c>
      <c r="B3" s="29" t="s">
        <v>11</v>
      </c>
      <c r="C3" s="40">
        <v>185.5</v>
      </c>
      <c r="D3" s="8">
        <v>83</v>
      </c>
      <c r="E3" s="38">
        <f>E4+E5</f>
        <v>32</v>
      </c>
      <c r="F3" s="8">
        <v>91</v>
      </c>
      <c r="G3" s="38">
        <f>G4+G5</f>
        <v>11</v>
      </c>
      <c r="H3" s="40">
        <f>G3+E3+C3</f>
        <v>228.5</v>
      </c>
      <c r="J3" s="35">
        <v>1</v>
      </c>
      <c r="K3" s="29" t="s">
        <v>41</v>
      </c>
      <c r="L3" s="83">
        <v>221.5</v>
      </c>
      <c r="M3" s="8">
        <v>82</v>
      </c>
      <c r="N3" s="38">
        <f>N4+N5</f>
        <v>30</v>
      </c>
      <c r="O3" s="8">
        <v>79</v>
      </c>
      <c r="P3" s="38">
        <f>P4+P5</f>
        <v>30</v>
      </c>
      <c r="Q3" s="84">
        <f>P3+N3+L3</f>
        <v>281.5</v>
      </c>
    </row>
    <row r="4" spans="1:17" outlineLevel="1" x14ac:dyDescent="0.2">
      <c r="B4" s="28" t="s">
        <v>43</v>
      </c>
      <c r="D4" s="8">
        <v>43</v>
      </c>
      <c r="E4" s="8">
        <v>16</v>
      </c>
      <c r="F4" s="8">
        <v>33</v>
      </c>
      <c r="G4" s="8">
        <v>7</v>
      </c>
      <c r="J4" s="35"/>
      <c r="K4" s="28" t="s">
        <v>43</v>
      </c>
      <c r="L4" s="2"/>
      <c r="M4" s="8">
        <v>33</v>
      </c>
      <c r="N4" s="8">
        <v>15</v>
      </c>
      <c r="O4" s="8">
        <v>36</v>
      </c>
      <c r="P4" s="8">
        <v>20</v>
      </c>
    </row>
    <row r="5" spans="1:17" outlineLevel="1" x14ac:dyDescent="0.2">
      <c r="A5" s="37"/>
      <c r="B5" s="31" t="s">
        <v>6</v>
      </c>
      <c r="D5" s="46">
        <v>31</v>
      </c>
      <c r="E5" s="39">
        <v>16</v>
      </c>
      <c r="F5" s="46">
        <v>-7</v>
      </c>
      <c r="G5" s="39">
        <v>4</v>
      </c>
      <c r="J5" s="37"/>
      <c r="K5" s="31" t="s">
        <v>6</v>
      </c>
      <c r="L5" s="2"/>
      <c r="M5" s="46">
        <v>7</v>
      </c>
      <c r="N5" s="39">
        <v>15</v>
      </c>
      <c r="O5" s="46">
        <v>-6</v>
      </c>
      <c r="P5" s="39">
        <v>10</v>
      </c>
    </row>
    <row r="6" spans="1:17" x14ac:dyDescent="0.2">
      <c r="A6" s="35">
        <v>2</v>
      </c>
      <c r="B6" s="29" t="s">
        <v>41</v>
      </c>
      <c r="C6" s="40">
        <v>172.5</v>
      </c>
      <c r="D6" s="8">
        <v>84</v>
      </c>
      <c r="E6" s="38">
        <f>E7+E8</f>
        <v>17</v>
      </c>
      <c r="F6" s="8">
        <v>73</v>
      </c>
      <c r="G6" s="38">
        <f>G7+G8</f>
        <v>32</v>
      </c>
      <c r="H6" s="40">
        <f>G6+E6+C6</f>
        <v>221.5</v>
      </c>
      <c r="J6" s="35">
        <v>2</v>
      </c>
      <c r="K6" s="29" t="s">
        <v>11</v>
      </c>
      <c r="L6" s="83">
        <v>228.5</v>
      </c>
      <c r="M6" s="8">
        <v>97</v>
      </c>
      <c r="N6" s="38">
        <f>N7+N8</f>
        <v>15</v>
      </c>
      <c r="O6" s="8">
        <v>90</v>
      </c>
      <c r="P6" s="38">
        <f>P7+P8</f>
        <v>32.5</v>
      </c>
      <c r="Q6" s="84">
        <f>P6+N6+L6</f>
        <v>276</v>
      </c>
    </row>
    <row r="7" spans="1:17" outlineLevel="1" collapsed="1" x14ac:dyDescent="0.2">
      <c r="B7" s="28" t="s">
        <v>43</v>
      </c>
      <c r="D7" s="8">
        <v>31</v>
      </c>
      <c r="E7" s="8">
        <v>7</v>
      </c>
      <c r="F7" s="8">
        <v>42</v>
      </c>
      <c r="G7" s="8">
        <v>16</v>
      </c>
      <c r="J7" s="35"/>
      <c r="K7" s="28" t="s">
        <v>43</v>
      </c>
      <c r="L7" s="2"/>
      <c r="M7" s="8">
        <v>27</v>
      </c>
      <c r="N7" s="8">
        <v>5</v>
      </c>
      <c r="O7" s="8">
        <v>34</v>
      </c>
      <c r="P7" s="8">
        <v>12.5</v>
      </c>
    </row>
    <row r="8" spans="1:17" outlineLevel="1" x14ac:dyDescent="0.2">
      <c r="A8" s="37"/>
      <c r="B8" s="31" t="s">
        <v>6</v>
      </c>
      <c r="D8" s="46">
        <v>2</v>
      </c>
      <c r="E8" s="39">
        <v>10</v>
      </c>
      <c r="F8" s="46">
        <v>15</v>
      </c>
      <c r="G8" s="39">
        <v>16</v>
      </c>
      <c r="J8" s="37"/>
      <c r="K8" s="31" t="s">
        <v>6</v>
      </c>
      <c r="L8" s="2"/>
      <c r="M8" s="46">
        <v>5</v>
      </c>
      <c r="N8" s="39">
        <v>10</v>
      </c>
      <c r="O8" s="46">
        <v>18</v>
      </c>
      <c r="P8" s="39">
        <v>20</v>
      </c>
    </row>
    <row r="9" spans="1:17" x14ac:dyDescent="0.2">
      <c r="A9" s="35">
        <v>3</v>
      </c>
      <c r="B9" s="29" t="s">
        <v>10</v>
      </c>
      <c r="C9" s="40">
        <v>167</v>
      </c>
      <c r="D9" s="8">
        <v>82</v>
      </c>
      <c r="E9" s="38">
        <f>E10+E11</f>
        <v>21</v>
      </c>
      <c r="F9" s="8">
        <v>81</v>
      </c>
      <c r="G9" s="38">
        <f>G10+G11</f>
        <v>18</v>
      </c>
      <c r="H9" s="40">
        <f>G9+E9+C9</f>
        <v>206</v>
      </c>
      <c r="J9" s="35">
        <v>3</v>
      </c>
      <c r="K9" s="29" t="s">
        <v>10</v>
      </c>
      <c r="L9" s="83">
        <v>206</v>
      </c>
      <c r="M9" s="8">
        <v>80</v>
      </c>
      <c r="N9" s="38">
        <f>N10+N11</f>
        <v>40</v>
      </c>
      <c r="O9" s="8">
        <v>82</v>
      </c>
      <c r="P9" s="38">
        <f>P10+P11</f>
        <v>22.5</v>
      </c>
      <c r="Q9" s="84">
        <f>P9+N9+L9</f>
        <v>268.5</v>
      </c>
    </row>
    <row r="10" spans="1:17" outlineLevel="1" x14ac:dyDescent="0.2">
      <c r="B10" s="28" t="s">
        <v>43</v>
      </c>
      <c r="D10" s="8">
        <v>34</v>
      </c>
      <c r="E10" s="8">
        <v>13</v>
      </c>
      <c r="F10" s="8">
        <v>35</v>
      </c>
      <c r="G10" s="8">
        <v>12</v>
      </c>
      <c r="J10" s="35"/>
      <c r="K10" s="28" t="s">
        <v>43</v>
      </c>
      <c r="M10" s="8">
        <v>37</v>
      </c>
      <c r="N10" s="8">
        <v>20</v>
      </c>
      <c r="O10" s="8">
        <v>34</v>
      </c>
      <c r="P10" s="8">
        <v>12.5</v>
      </c>
    </row>
    <row r="11" spans="1:17" outlineLevel="1" collapsed="1" x14ac:dyDescent="0.2">
      <c r="A11" s="37"/>
      <c r="B11" s="31" t="s">
        <v>6</v>
      </c>
      <c r="C11" s="21"/>
      <c r="D11" s="46">
        <v>-2</v>
      </c>
      <c r="E11" s="39">
        <v>8</v>
      </c>
      <c r="F11" s="46">
        <v>-3</v>
      </c>
      <c r="G11" s="39">
        <v>6</v>
      </c>
      <c r="H11" s="21"/>
      <c r="J11" s="37"/>
      <c r="K11" s="31" t="s">
        <v>6</v>
      </c>
      <c r="M11" s="46">
        <v>13</v>
      </c>
      <c r="N11" s="39">
        <v>20</v>
      </c>
      <c r="O11" s="46">
        <v>-6</v>
      </c>
      <c r="P11" s="39">
        <v>10</v>
      </c>
    </row>
    <row r="12" spans="1:17" x14ac:dyDescent="0.2">
      <c r="A12" s="35">
        <v>4</v>
      </c>
      <c r="B12" s="29" t="s">
        <v>3</v>
      </c>
      <c r="C12" s="40">
        <v>158.5</v>
      </c>
      <c r="D12" s="8">
        <v>82</v>
      </c>
      <c r="E12" s="38">
        <f>E13+E14</f>
        <v>13</v>
      </c>
      <c r="F12" s="8">
        <v>74</v>
      </c>
      <c r="G12" s="38">
        <f>G13+G14</f>
        <v>22</v>
      </c>
      <c r="H12" s="40">
        <f>G12+E12+C12</f>
        <v>193.5</v>
      </c>
      <c r="J12" s="35">
        <v>4</v>
      </c>
      <c r="K12" s="29" t="s">
        <v>3</v>
      </c>
      <c r="L12" s="83">
        <v>193.5</v>
      </c>
      <c r="M12" s="8">
        <v>83</v>
      </c>
      <c r="N12" s="38">
        <f>N13+N14</f>
        <v>15</v>
      </c>
      <c r="O12" s="8">
        <v>84</v>
      </c>
      <c r="P12" s="38">
        <f>P13+P14</f>
        <v>15</v>
      </c>
      <c r="Q12" s="84">
        <f>P12+N12+L12</f>
        <v>223.5</v>
      </c>
    </row>
    <row r="13" spans="1:17" outlineLevel="1" x14ac:dyDescent="0.2">
      <c r="B13" s="28" t="s">
        <v>43</v>
      </c>
      <c r="C13" s="21"/>
      <c r="D13" s="8">
        <v>31</v>
      </c>
      <c r="E13" s="38">
        <v>7</v>
      </c>
      <c r="F13" s="8">
        <v>38</v>
      </c>
      <c r="G13" s="8">
        <v>14</v>
      </c>
      <c r="H13" s="21"/>
      <c r="K13" s="28" t="s">
        <v>43</v>
      </c>
      <c r="L13" s="2"/>
      <c r="M13" s="8">
        <v>30</v>
      </c>
      <c r="N13" s="8">
        <v>10</v>
      </c>
      <c r="O13" s="8">
        <v>29</v>
      </c>
      <c r="P13" s="8">
        <v>5</v>
      </c>
      <c r="Q13" s="85"/>
    </row>
    <row r="14" spans="1:17" outlineLevel="1" x14ac:dyDescent="0.2">
      <c r="A14" s="37"/>
      <c r="B14" s="31" t="s">
        <v>6</v>
      </c>
      <c r="C14" s="21"/>
      <c r="D14" s="46">
        <v>-4</v>
      </c>
      <c r="E14" s="39">
        <v>6</v>
      </c>
      <c r="F14" s="46">
        <v>-1</v>
      </c>
      <c r="G14" s="39">
        <v>8</v>
      </c>
      <c r="H14" s="21"/>
      <c r="J14" s="37"/>
      <c r="K14" s="31" t="s">
        <v>6</v>
      </c>
      <c r="L14" s="2"/>
      <c r="M14" s="48">
        <v>-25</v>
      </c>
      <c r="N14" s="8">
        <v>5</v>
      </c>
      <c r="O14" s="48">
        <v>-6</v>
      </c>
      <c r="P14" s="8">
        <v>10</v>
      </c>
    </row>
    <row r="15" spans="1:17" x14ac:dyDescent="0.2">
      <c r="A15" s="35">
        <v>5</v>
      </c>
      <c r="B15" s="29" t="s">
        <v>91</v>
      </c>
      <c r="C15" s="40">
        <v>150.5</v>
      </c>
      <c r="D15" s="8">
        <v>90</v>
      </c>
      <c r="E15" s="38">
        <v>27</v>
      </c>
      <c r="F15" s="8">
        <v>89</v>
      </c>
      <c r="G15" s="38">
        <f>G16+G17</f>
        <v>13</v>
      </c>
      <c r="H15" s="40">
        <f>G15+E15+C15</f>
        <v>190.5</v>
      </c>
      <c r="L15" s="21"/>
      <c r="M15" s="8"/>
      <c r="N15" s="38"/>
      <c r="O15" s="8"/>
      <c r="P15" s="38"/>
    </row>
    <row r="16" spans="1:17" outlineLevel="1" x14ac:dyDescent="0.2">
      <c r="B16" s="28" t="s">
        <v>43</v>
      </c>
      <c r="C16" s="21"/>
      <c r="D16" s="8">
        <v>34</v>
      </c>
      <c r="E16" s="8">
        <v>13</v>
      </c>
      <c r="F16" s="8">
        <v>30</v>
      </c>
      <c r="G16" s="8">
        <v>2</v>
      </c>
      <c r="H16" s="21"/>
      <c r="M16" s="8"/>
      <c r="N16" s="8"/>
      <c r="O16" s="8"/>
      <c r="P16" s="8"/>
    </row>
    <row r="17" spans="1:16" outlineLevel="1" x14ac:dyDescent="0.2">
      <c r="A17" s="37"/>
      <c r="B17" s="31" t="s">
        <v>6</v>
      </c>
      <c r="C17" s="21"/>
      <c r="D17" s="46">
        <v>7</v>
      </c>
      <c r="E17" s="47">
        <v>14</v>
      </c>
      <c r="F17" s="46">
        <v>1</v>
      </c>
      <c r="G17" s="39">
        <v>11</v>
      </c>
      <c r="H17" s="21"/>
      <c r="M17" s="48"/>
      <c r="N17" s="8"/>
      <c r="O17" s="48"/>
      <c r="P17" s="8"/>
    </row>
    <row r="18" spans="1:16" x14ac:dyDescent="0.2">
      <c r="A18" s="35">
        <v>6</v>
      </c>
      <c r="B18" s="29" t="s">
        <v>32</v>
      </c>
      <c r="C18" s="40">
        <v>152.5</v>
      </c>
      <c r="D18" s="8">
        <v>105</v>
      </c>
      <c r="E18" s="38">
        <f>E19+E20</f>
        <v>16</v>
      </c>
      <c r="F18" s="8">
        <v>100</v>
      </c>
      <c r="G18" s="38">
        <f>G19+G20</f>
        <v>15</v>
      </c>
      <c r="H18" s="40">
        <f>G18+E18+C18</f>
        <v>183.5</v>
      </c>
      <c r="L18" s="21"/>
      <c r="M18" s="8"/>
      <c r="N18" s="38"/>
      <c r="O18" s="8"/>
      <c r="P18" s="38"/>
    </row>
    <row r="19" spans="1:16" outlineLevel="1" collapsed="1" x14ac:dyDescent="0.2">
      <c r="B19" s="28" t="s">
        <v>43</v>
      </c>
      <c r="C19" s="21"/>
      <c r="D19" s="8">
        <v>30</v>
      </c>
      <c r="E19" s="38">
        <v>4</v>
      </c>
      <c r="F19" s="8">
        <v>32</v>
      </c>
      <c r="G19" s="8">
        <v>4</v>
      </c>
      <c r="H19" s="21"/>
      <c r="M19" s="8"/>
      <c r="N19" s="8"/>
      <c r="O19" s="8"/>
      <c r="P19" s="8"/>
    </row>
    <row r="20" spans="1:16" outlineLevel="1" x14ac:dyDescent="0.2">
      <c r="A20" s="37"/>
      <c r="B20" s="31" t="s">
        <v>6</v>
      </c>
      <c r="C20" s="21"/>
      <c r="D20" s="46">
        <v>4</v>
      </c>
      <c r="E20" s="39">
        <v>12</v>
      </c>
      <c r="F20" s="46">
        <v>1</v>
      </c>
      <c r="G20" s="39">
        <v>11</v>
      </c>
      <c r="H20" s="21"/>
      <c r="M20" s="48"/>
      <c r="N20" s="8"/>
      <c r="O20" s="48"/>
      <c r="P20" s="8"/>
    </row>
    <row r="21" spans="1:16" x14ac:dyDescent="0.2">
      <c r="A21" s="35">
        <v>7</v>
      </c>
      <c r="B21" s="49" t="s">
        <v>56</v>
      </c>
      <c r="C21" s="40">
        <v>153</v>
      </c>
      <c r="D21" s="8">
        <v>92</v>
      </c>
      <c r="E21" s="38">
        <f>E22+E23</f>
        <v>14</v>
      </c>
      <c r="F21" s="8">
        <v>1</v>
      </c>
      <c r="G21" s="38">
        <f>G22+G23</f>
        <v>12</v>
      </c>
      <c r="H21" s="40">
        <f>G21+E21+C21</f>
        <v>179</v>
      </c>
      <c r="L21" s="21"/>
      <c r="M21" s="8"/>
      <c r="N21" s="38"/>
      <c r="O21" s="8"/>
      <c r="P21" s="38"/>
    </row>
    <row r="22" spans="1:16" outlineLevel="1" x14ac:dyDescent="0.2">
      <c r="B22" s="28" t="s">
        <v>43</v>
      </c>
      <c r="C22" s="21"/>
      <c r="D22" s="8">
        <v>33</v>
      </c>
      <c r="E22" s="8">
        <v>10</v>
      </c>
      <c r="F22" s="8">
        <v>34</v>
      </c>
      <c r="G22" s="8">
        <v>10</v>
      </c>
      <c r="H22" s="21"/>
      <c r="M22" s="8"/>
      <c r="N22" s="8"/>
      <c r="O22" s="8"/>
      <c r="P22" s="8"/>
    </row>
    <row r="23" spans="1:16" outlineLevel="1" collapsed="1" x14ac:dyDescent="0.2">
      <c r="A23" s="37"/>
      <c r="B23" s="31" t="s">
        <v>6</v>
      </c>
      <c r="C23" s="21"/>
      <c r="D23" s="46">
        <v>-15</v>
      </c>
      <c r="E23" s="39">
        <v>4</v>
      </c>
      <c r="F23" s="46">
        <v>-11</v>
      </c>
      <c r="G23" s="39">
        <v>2</v>
      </c>
      <c r="H23" s="21"/>
      <c r="M23" s="48"/>
      <c r="N23" s="8"/>
      <c r="O23" s="48"/>
      <c r="P23" s="8"/>
    </row>
    <row r="24" spans="1:16" x14ac:dyDescent="0.2">
      <c r="A24" s="35">
        <v>8</v>
      </c>
      <c r="B24" s="29" t="s">
        <v>125</v>
      </c>
      <c r="C24" s="40">
        <v>151</v>
      </c>
      <c r="D24" s="8">
        <v>97</v>
      </c>
      <c r="E24" s="38">
        <f>E25+E26</f>
        <v>4</v>
      </c>
      <c r="F24" s="8">
        <v>91</v>
      </c>
      <c r="G24" s="38">
        <f>G25+G26</f>
        <v>21</v>
      </c>
      <c r="H24" s="40">
        <f>G24+E24+C24</f>
        <v>176</v>
      </c>
      <c r="L24" s="21"/>
      <c r="M24" s="8"/>
      <c r="N24" s="38"/>
      <c r="O24" s="8"/>
      <c r="P24" s="38"/>
    </row>
    <row r="25" spans="1:16" outlineLevel="1" x14ac:dyDescent="0.2">
      <c r="B25" s="28" t="s">
        <v>43</v>
      </c>
      <c r="C25" s="21"/>
      <c r="D25" s="8">
        <v>29</v>
      </c>
      <c r="E25" s="8">
        <v>2</v>
      </c>
      <c r="F25" s="8">
        <v>33</v>
      </c>
      <c r="G25" s="8">
        <v>7</v>
      </c>
      <c r="M25" s="8"/>
      <c r="N25" s="8"/>
      <c r="O25" s="8"/>
      <c r="P25" s="8"/>
    </row>
    <row r="26" spans="1:16" outlineLevel="1" x14ac:dyDescent="0.2">
      <c r="A26" s="37"/>
      <c r="B26" s="31" t="s">
        <v>6</v>
      </c>
      <c r="C26" s="21"/>
      <c r="D26" s="46">
        <v>-23</v>
      </c>
      <c r="E26" s="39">
        <v>2</v>
      </c>
      <c r="F26" s="46">
        <v>5</v>
      </c>
      <c r="G26" s="39">
        <v>14</v>
      </c>
      <c r="M26" s="48"/>
      <c r="N26" s="8"/>
      <c r="O26" s="48"/>
      <c r="P26" s="8"/>
    </row>
    <row r="27" spans="1:16" ht="5.25" customHeight="1" x14ac:dyDescent="0.2">
      <c r="B27" s="6"/>
      <c r="D27" s="8"/>
      <c r="E27" s="8"/>
      <c r="F27" s="8"/>
      <c r="G27" s="8"/>
      <c r="M27" s="8"/>
      <c r="N27" s="8"/>
      <c r="O27" s="8"/>
      <c r="P27" s="8"/>
    </row>
    <row r="28" spans="1:16" collapsed="1" x14ac:dyDescent="0.2">
      <c r="B28" t="s">
        <v>16</v>
      </c>
      <c r="E28" s="22">
        <f>AVERAGE(E3,E6,E9,E12,E15,E18,E21,E24)</f>
        <v>18</v>
      </c>
      <c r="G28" s="22">
        <f>AVERAGE(G3,G6,G9,G12,G15,G18,G21,G24)</f>
        <v>18</v>
      </c>
      <c r="N28" s="22"/>
      <c r="P28" s="22"/>
    </row>
    <row r="29" spans="1:16" ht="6" customHeight="1" x14ac:dyDescent="0.2">
      <c r="D29" s="2"/>
    </row>
    <row r="30" spans="1:16" x14ac:dyDescent="0.2">
      <c r="B30" t="s">
        <v>14</v>
      </c>
      <c r="D30" s="2"/>
      <c r="E30" s="23">
        <f>E24+E21+E18+E15+E12+E9+E6+E3</f>
        <v>144</v>
      </c>
      <c r="G30" s="23">
        <f>G24+G21+G18+G15+G12+G9+G6+G3</f>
        <v>144</v>
      </c>
      <c r="N30" s="23"/>
      <c r="P30" s="23"/>
    </row>
    <row r="31" spans="1:16" x14ac:dyDescent="0.2">
      <c r="D31" s="2"/>
    </row>
    <row r="46" spans="2:2" x14ac:dyDescent="0.2">
      <c r="B46" s="29"/>
    </row>
  </sheetData>
  <sortState xmlns:xlrd2="http://schemas.microsoft.com/office/spreadsheetml/2017/richdata2" ref="K3:Q14">
    <sortCondition descending="1" ref="Q3:Q12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0.25" bottom="0.25" header="0.3" footer="0.3"/>
  <pageSetup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42"/>
  <sheetViews>
    <sheetView workbookViewId="0">
      <selection activeCell="AM35" sqref="AM35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8" customWidth="1"/>
    <col min="4" max="4" width="4.33203125" style="8" bestFit="1" customWidth="1"/>
    <col min="5" max="5" width="2.5546875" style="8" bestFit="1" customWidth="1"/>
    <col min="6" max="6" width="3.77734375" style="8" customWidth="1"/>
    <col min="7" max="7" width="4.44140625" style="8" bestFit="1" customWidth="1"/>
    <col min="8" max="9" width="3.77734375" style="8" customWidth="1"/>
    <col min="10" max="10" width="4.33203125" style="8" bestFit="1" customWidth="1"/>
    <col min="11" max="12" width="3.77734375" style="8" customWidth="1"/>
    <col min="13" max="13" width="4.44140625" style="8" bestFit="1" customWidth="1"/>
    <col min="14" max="16" width="3.77734375" style="8" customWidth="1"/>
    <col min="17" max="17" width="4.33203125" style="8" bestFit="1" customWidth="1"/>
    <col min="18" max="19" width="3.77734375" style="8" customWidth="1"/>
    <col min="20" max="20" width="4.44140625" style="8" bestFit="1" customWidth="1"/>
    <col min="21" max="21" width="4.33203125" style="8" bestFit="1" customWidth="1"/>
    <col min="22" max="22" width="3.77734375" style="8" customWidth="1"/>
    <col min="23" max="23" width="4.44140625" style="8" bestFit="1" customWidth="1"/>
    <col min="24" max="24" width="4.33203125" style="8" bestFit="1" customWidth="1"/>
    <col min="25" max="25" width="3.77734375" style="8" customWidth="1"/>
    <col min="26" max="26" width="4.44140625" style="8" bestFit="1" customWidth="1"/>
    <col min="27" max="27" width="4.33203125" style="8" bestFit="1" customWidth="1"/>
    <col min="28" max="28" width="2.5546875" customWidth="1"/>
    <col min="29" max="29" width="3.77734375" style="8" customWidth="1"/>
    <col min="30" max="30" width="4.44140625" style="8" bestFit="1" customWidth="1"/>
    <col min="31" max="32" width="3.77734375" style="8" customWidth="1"/>
    <col min="33" max="34" width="4.33203125" style="8" bestFit="1" customWidth="1"/>
    <col min="35" max="35" width="3.77734375" style="8" customWidth="1"/>
    <col min="36" max="37" width="4.33203125" style="8" bestFit="1" customWidth="1"/>
    <col min="38" max="38" width="3.77734375" style="8" customWidth="1"/>
    <col min="39" max="40" width="4.33203125" style="8" bestFit="1" customWidth="1"/>
    <col min="41" max="41" width="4.33203125" style="8" customWidth="1"/>
    <col min="42" max="46" width="3.77734375" style="8" customWidth="1"/>
    <col min="47" max="47" width="4.33203125" style="8" bestFit="1" customWidth="1"/>
    <col min="48" max="48" width="3.77734375" style="8" customWidth="1"/>
    <col min="49" max="50" width="4.33203125" style="8" bestFit="1" customWidth="1"/>
    <col min="51" max="51" width="3.77734375" style="8" customWidth="1"/>
    <col min="52" max="53" width="4.33203125" style="8" bestFit="1" customWidth="1"/>
    <col min="54" max="54" width="4.33203125" style="8" customWidth="1"/>
    <col min="55" max="55" width="6.44140625" bestFit="1" customWidth="1"/>
    <col min="56" max="56" width="3.7773437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44140625" bestFit="1" customWidth="1"/>
    <col min="61" max="61" width="3.109375" bestFit="1" customWidth="1"/>
    <col min="62" max="62" width="6.21875" customWidth="1"/>
    <col min="63" max="63" width="3.33203125" bestFit="1" customWidth="1"/>
    <col min="64" max="64" width="2.88671875" bestFit="1" customWidth="1"/>
    <col min="65" max="65" width="3.109375" bestFit="1" customWidth="1"/>
    <col min="66" max="66" width="2.77734375" style="2" bestFit="1" customWidth="1"/>
    <col min="67" max="67" width="3.21875" bestFit="1" customWidth="1"/>
    <col min="68" max="68" width="3.77734375" customWidth="1"/>
    <col min="69" max="69" width="3" style="2" bestFit="1" customWidth="1"/>
    <col min="70" max="70" width="5.21875" bestFit="1" customWidth="1"/>
  </cols>
  <sheetData>
    <row r="1" spans="1:70" x14ac:dyDescent="0.2">
      <c r="B1" t="s">
        <v>12</v>
      </c>
      <c r="C1" s="120" t="s">
        <v>7</v>
      </c>
      <c r="D1" s="120"/>
      <c r="E1" s="120"/>
      <c r="F1" s="120"/>
      <c r="G1" s="120"/>
      <c r="H1" s="120"/>
      <c r="I1" s="120"/>
      <c r="J1" s="120"/>
      <c r="K1" s="120"/>
      <c r="L1" s="120"/>
      <c r="M1" s="20"/>
      <c r="N1" s="20"/>
      <c r="P1" s="120" t="s">
        <v>8</v>
      </c>
      <c r="Q1" s="120"/>
      <c r="R1" s="120"/>
      <c r="S1" s="120"/>
      <c r="T1" s="120"/>
      <c r="U1" s="120"/>
      <c r="V1" s="120"/>
      <c r="W1" s="120"/>
      <c r="X1" s="120"/>
      <c r="Y1" s="120"/>
      <c r="AC1" s="120" t="s">
        <v>36</v>
      </c>
      <c r="AD1" s="120"/>
      <c r="AE1" s="120"/>
      <c r="AF1" s="120"/>
      <c r="AG1" s="120"/>
      <c r="AH1" s="120"/>
      <c r="AI1" s="120"/>
      <c r="AJ1" s="120"/>
      <c r="AK1" s="120"/>
      <c r="AL1" s="120"/>
      <c r="AP1" s="120" t="s">
        <v>100</v>
      </c>
      <c r="AQ1" s="120"/>
      <c r="AR1" s="120"/>
      <c r="AS1" s="120"/>
      <c r="AT1" s="120"/>
      <c r="AU1" s="120"/>
      <c r="AV1" s="120"/>
      <c r="AW1" s="120"/>
      <c r="AX1" s="120"/>
      <c r="AY1" s="120"/>
    </row>
    <row r="2" spans="1:70" ht="12" customHeight="1" x14ac:dyDescent="0.2">
      <c r="A2" s="1"/>
      <c r="B2" s="2">
        <v>1</v>
      </c>
      <c r="C2" s="123" t="s">
        <v>9</v>
      </c>
      <c r="D2" s="124"/>
      <c r="E2" s="125"/>
      <c r="F2" s="123" t="s">
        <v>32</v>
      </c>
      <c r="G2" s="124"/>
      <c r="H2" s="125"/>
      <c r="I2" s="123" t="s">
        <v>2</v>
      </c>
      <c r="J2" s="124"/>
      <c r="K2" s="125"/>
      <c r="L2" s="123" t="s">
        <v>11</v>
      </c>
      <c r="M2" s="124"/>
      <c r="N2" s="125"/>
      <c r="P2" s="123" t="s">
        <v>41</v>
      </c>
      <c r="Q2" s="124"/>
      <c r="R2" s="125"/>
      <c r="S2" s="123" t="s">
        <v>56</v>
      </c>
      <c r="T2" s="124"/>
      <c r="U2" s="125"/>
      <c r="V2" s="123" t="s">
        <v>33</v>
      </c>
      <c r="W2" s="124"/>
      <c r="X2" s="125"/>
      <c r="Y2" s="123" t="s">
        <v>45</v>
      </c>
      <c r="Z2" s="124"/>
      <c r="AA2" s="125"/>
      <c r="AC2" s="123"/>
      <c r="AD2" s="124"/>
      <c r="AE2" s="125"/>
      <c r="AF2" s="123"/>
      <c r="AG2" s="124"/>
      <c r="AH2" s="125"/>
      <c r="AI2" s="123"/>
      <c r="AJ2" s="124"/>
      <c r="AK2" s="125"/>
      <c r="AL2" s="123"/>
      <c r="AM2" s="124"/>
      <c r="AN2" s="125"/>
      <c r="AO2" s="20"/>
      <c r="AP2" s="123"/>
      <c r="AQ2" s="124"/>
      <c r="AR2" s="125"/>
      <c r="AS2" s="123"/>
      <c r="AT2" s="124"/>
      <c r="AU2" s="125"/>
      <c r="AV2" s="123"/>
      <c r="AW2" s="124"/>
      <c r="AX2" s="125"/>
      <c r="AY2" s="123"/>
      <c r="AZ2" s="124"/>
      <c r="BA2" s="125"/>
      <c r="BB2" s="20"/>
    </row>
    <row r="3" spans="1:70" ht="12" customHeight="1" x14ac:dyDescent="0.2">
      <c r="A3" s="121" t="s">
        <v>13</v>
      </c>
      <c r="B3" s="126"/>
      <c r="C3" s="9">
        <v>98</v>
      </c>
      <c r="D3" s="56">
        <v>26</v>
      </c>
      <c r="E3" s="9">
        <v>27</v>
      </c>
      <c r="F3" s="9">
        <v>104</v>
      </c>
      <c r="G3" s="9">
        <v>0</v>
      </c>
      <c r="H3" s="9">
        <v>27</v>
      </c>
      <c r="I3" s="9">
        <v>100</v>
      </c>
      <c r="J3" s="56">
        <v>4</v>
      </c>
      <c r="K3" s="9">
        <v>25</v>
      </c>
      <c r="L3" s="9">
        <v>105</v>
      </c>
      <c r="M3" s="56">
        <v>-30</v>
      </c>
      <c r="N3" s="9">
        <v>19</v>
      </c>
      <c r="P3" s="9">
        <v>80</v>
      </c>
      <c r="Q3" s="56">
        <v>-12</v>
      </c>
      <c r="R3" s="9">
        <v>35</v>
      </c>
      <c r="S3" s="9">
        <v>92</v>
      </c>
      <c r="T3" s="56">
        <v>6</v>
      </c>
      <c r="U3" s="9">
        <v>33</v>
      </c>
      <c r="V3" s="9">
        <v>100</v>
      </c>
      <c r="W3" s="56">
        <v>8</v>
      </c>
      <c r="X3" s="9">
        <v>31</v>
      </c>
      <c r="Y3" s="9">
        <v>101</v>
      </c>
      <c r="Z3" s="56">
        <v>-2</v>
      </c>
      <c r="AA3" s="9">
        <v>30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D3" t="s">
        <v>22</v>
      </c>
      <c r="BE3" t="s">
        <v>23</v>
      </c>
      <c r="BF3" t="s">
        <v>95</v>
      </c>
      <c r="BG3" t="s">
        <v>1</v>
      </c>
      <c r="BH3" t="s">
        <v>24</v>
      </c>
      <c r="BI3" t="s">
        <v>25</v>
      </c>
      <c r="BJ3" t="s">
        <v>40</v>
      </c>
      <c r="BK3" t="s">
        <v>38</v>
      </c>
      <c r="BL3" t="s">
        <v>39</v>
      </c>
      <c r="BM3" t="s">
        <v>57</v>
      </c>
      <c r="BN3" s="2" t="s">
        <v>44</v>
      </c>
      <c r="BO3" s="2" t="s">
        <v>59</v>
      </c>
      <c r="BP3" t="s">
        <v>96</v>
      </c>
      <c r="BQ3" s="2" t="s">
        <v>108</v>
      </c>
      <c r="BR3" t="s">
        <v>114</v>
      </c>
    </row>
    <row r="4" spans="1:70" ht="12" customHeight="1" x14ac:dyDescent="0.2">
      <c r="A4" s="1"/>
      <c r="B4" s="2">
        <v>2</v>
      </c>
      <c r="C4" s="123" t="s">
        <v>3</v>
      </c>
      <c r="D4" s="124"/>
      <c r="E4" s="125"/>
      <c r="F4" s="123" t="s">
        <v>10</v>
      </c>
      <c r="G4" s="124"/>
      <c r="H4" s="125"/>
      <c r="I4" s="123" t="s">
        <v>68</v>
      </c>
      <c r="J4" s="124"/>
      <c r="K4" s="125"/>
      <c r="L4" s="123" t="s">
        <v>30</v>
      </c>
      <c r="M4" s="124"/>
      <c r="N4" s="125"/>
      <c r="P4" s="123" t="s">
        <v>41</v>
      </c>
      <c r="Q4" s="124"/>
      <c r="R4" s="125"/>
      <c r="S4" s="123" t="s">
        <v>90</v>
      </c>
      <c r="T4" s="124"/>
      <c r="U4" s="125"/>
      <c r="V4" s="123" t="s">
        <v>9</v>
      </c>
      <c r="W4" s="124"/>
      <c r="X4" s="125"/>
      <c r="Y4" s="123" t="s">
        <v>33</v>
      </c>
      <c r="Z4" s="124"/>
      <c r="AA4" s="125"/>
      <c r="AC4" s="123" t="s">
        <v>11</v>
      </c>
      <c r="AD4" s="124"/>
      <c r="AE4" s="125"/>
      <c r="AF4" s="123" t="s">
        <v>42</v>
      </c>
      <c r="AG4" s="124"/>
      <c r="AH4" s="125"/>
      <c r="AI4" s="123" t="s">
        <v>32</v>
      </c>
      <c r="AJ4" s="124"/>
      <c r="AK4" s="125"/>
      <c r="AL4" s="123" t="s">
        <v>45</v>
      </c>
      <c r="AM4" s="124"/>
      <c r="AN4" s="125"/>
      <c r="AO4" s="20"/>
      <c r="AP4" s="123"/>
      <c r="AQ4" s="124"/>
      <c r="AR4" s="125"/>
      <c r="AS4" s="123"/>
      <c r="AT4" s="124"/>
      <c r="AU4" s="125"/>
      <c r="AV4" s="123"/>
      <c r="AW4" s="124"/>
      <c r="AX4" s="125"/>
      <c r="AY4" s="123"/>
      <c r="AZ4" s="124"/>
      <c r="BA4" s="125"/>
      <c r="BB4" s="20"/>
      <c r="BC4" t="s">
        <v>22</v>
      </c>
      <c r="BD4" s="2" t="s">
        <v>26</v>
      </c>
      <c r="BE4" s="2">
        <f>BD5</f>
        <v>2</v>
      </c>
      <c r="BF4" s="2">
        <f>BD6</f>
        <v>2</v>
      </c>
      <c r="BG4" s="2">
        <f>BD7</f>
        <v>5</v>
      </c>
      <c r="BH4" s="2">
        <f>BD8</f>
        <v>4</v>
      </c>
      <c r="BI4" s="2">
        <f>BD9</f>
        <v>3</v>
      </c>
      <c r="BJ4" s="2">
        <f>BD10</f>
        <v>3</v>
      </c>
      <c r="BK4" s="2">
        <f>BD11</f>
        <v>2</v>
      </c>
      <c r="BL4" s="2">
        <f>BD12</f>
        <v>4</v>
      </c>
      <c r="BM4" s="2">
        <f>BD13</f>
        <v>2</v>
      </c>
      <c r="BN4" s="2">
        <f>BD14</f>
        <v>3</v>
      </c>
      <c r="BO4" s="2">
        <f>BD15</f>
        <v>2</v>
      </c>
      <c r="BP4" s="2">
        <f>BD16</f>
        <v>3</v>
      </c>
      <c r="BQ4" s="2">
        <f>BD17</f>
        <v>2</v>
      </c>
      <c r="BR4" s="2">
        <f>BD18</f>
        <v>3</v>
      </c>
    </row>
    <row r="5" spans="1:70" ht="12" customHeight="1" x14ac:dyDescent="0.2">
      <c r="A5" s="121" t="s">
        <v>13</v>
      </c>
      <c r="B5" s="122"/>
      <c r="C5" s="9">
        <v>78</v>
      </c>
      <c r="D5" s="56">
        <v>1</v>
      </c>
      <c r="E5" s="9">
        <v>34</v>
      </c>
      <c r="F5" s="9">
        <v>81</v>
      </c>
      <c r="G5" s="56">
        <v>11</v>
      </c>
      <c r="H5" s="9">
        <v>35</v>
      </c>
      <c r="I5" s="9">
        <v>92</v>
      </c>
      <c r="J5" s="56">
        <v>5</v>
      </c>
      <c r="K5" s="9">
        <v>29</v>
      </c>
      <c r="L5" s="9">
        <v>114</v>
      </c>
      <c r="M5" s="56">
        <v>-17</v>
      </c>
      <c r="N5" s="9">
        <v>21</v>
      </c>
      <c r="P5" s="9">
        <v>85</v>
      </c>
      <c r="Q5" s="56">
        <v>-5</v>
      </c>
      <c r="R5" s="9">
        <v>30</v>
      </c>
      <c r="S5" s="9">
        <v>100</v>
      </c>
      <c r="T5" s="56">
        <v>-15</v>
      </c>
      <c r="U5" s="9">
        <v>25</v>
      </c>
      <c r="V5" s="9">
        <v>93</v>
      </c>
      <c r="W5" s="56">
        <v>5</v>
      </c>
      <c r="X5" s="9">
        <v>32</v>
      </c>
      <c r="Y5" s="9">
        <v>98</v>
      </c>
      <c r="Z5" s="56">
        <v>15</v>
      </c>
      <c r="AA5" s="9">
        <v>33</v>
      </c>
      <c r="AC5" s="9">
        <v>86</v>
      </c>
      <c r="AD5" s="56">
        <v>22</v>
      </c>
      <c r="AE5" s="9">
        <v>36</v>
      </c>
      <c r="AF5" s="9">
        <v>91</v>
      </c>
      <c r="AG5" s="56">
        <v>-2</v>
      </c>
      <c r="AH5" s="9">
        <v>33</v>
      </c>
      <c r="AI5" s="9">
        <v>99</v>
      </c>
      <c r="AJ5" s="56">
        <v>-16</v>
      </c>
      <c r="AK5" s="9">
        <v>32</v>
      </c>
      <c r="AL5" s="9">
        <v>104</v>
      </c>
      <c r="AM5" s="56">
        <v>-4</v>
      </c>
      <c r="AN5" s="9">
        <v>28</v>
      </c>
      <c r="AP5" s="9"/>
      <c r="AQ5" s="56"/>
      <c r="AR5" s="9"/>
      <c r="AS5" s="9"/>
      <c r="AT5" s="56"/>
      <c r="AU5" s="9"/>
      <c r="AV5" s="9"/>
      <c r="AW5" s="56"/>
      <c r="AX5" s="9"/>
      <c r="AY5" s="9"/>
      <c r="AZ5" s="56"/>
      <c r="BA5" s="9"/>
      <c r="BC5" t="s">
        <v>23</v>
      </c>
      <c r="BD5" s="2">
        <v>2</v>
      </c>
      <c r="BE5" s="2" t="s">
        <v>26</v>
      </c>
      <c r="BF5" s="2">
        <f>BE6</f>
        <v>1</v>
      </c>
      <c r="BG5" s="2">
        <f>BE7</f>
        <v>2</v>
      </c>
      <c r="BH5" s="2">
        <f>BE8</f>
        <v>2</v>
      </c>
      <c r="BI5" s="2">
        <f>BE9</f>
        <v>4</v>
      </c>
      <c r="BJ5" s="2">
        <f>BE10</f>
        <v>1</v>
      </c>
      <c r="BK5" s="2">
        <f>BE11</f>
        <v>1</v>
      </c>
      <c r="BL5" s="2">
        <v>2</v>
      </c>
      <c r="BM5" s="2">
        <f>BE13</f>
        <v>2</v>
      </c>
      <c r="BN5" s="2">
        <f>BE14</f>
        <v>2</v>
      </c>
      <c r="BO5" s="2">
        <f>BE15</f>
        <v>3</v>
      </c>
      <c r="BP5" s="2">
        <f>BE16</f>
        <v>2</v>
      </c>
      <c r="BQ5" s="2">
        <f>BE17</f>
        <v>2</v>
      </c>
      <c r="BR5" s="2">
        <f>BE18</f>
        <v>1</v>
      </c>
    </row>
    <row r="6" spans="1:70" ht="12" customHeight="1" x14ac:dyDescent="0.2">
      <c r="A6" s="1"/>
      <c r="B6" s="2">
        <v>3</v>
      </c>
      <c r="C6" s="123" t="s">
        <v>45</v>
      </c>
      <c r="D6" s="124"/>
      <c r="E6" s="125"/>
      <c r="F6" s="123" t="s">
        <v>2</v>
      </c>
      <c r="G6" s="124"/>
      <c r="H6" s="125"/>
      <c r="I6" s="123" t="s">
        <v>3</v>
      </c>
      <c r="J6" s="124"/>
      <c r="K6" s="125"/>
      <c r="L6" s="123" t="s">
        <v>10</v>
      </c>
      <c r="M6" s="124"/>
      <c r="N6" s="125"/>
      <c r="P6" s="123" t="s">
        <v>11</v>
      </c>
      <c r="Q6" s="124"/>
      <c r="R6" s="125"/>
      <c r="S6" s="123" t="s">
        <v>56</v>
      </c>
      <c r="T6" s="124"/>
      <c r="U6" s="125"/>
      <c r="V6" s="123" t="s">
        <v>9</v>
      </c>
      <c r="W6" s="124"/>
      <c r="X6" s="125"/>
      <c r="Y6" s="123" t="s">
        <v>68</v>
      </c>
      <c r="Z6" s="124"/>
      <c r="AA6" s="125"/>
      <c r="AC6" s="123" t="s">
        <v>41</v>
      </c>
      <c r="AD6" s="124"/>
      <c r="AE6" s="125"/>
      <c r="AF6" s="123" t="s">
        <v>42</v>
      </c>
      <c r="AG6" s="124"/>
      <c r="AH6" s="125"/>
      <c r="AI6" s="123" t="s">
        <v>32</v>
      </c>
      <c r="AJ6" s="124"/>
      <c r="AK6" s="125"/>
      <c r="AL6" s="123" t="s">
        <v>91</v>
      </c>
      <c r="AM6" s="124"/>
      <c r="AN6" s="125"/>
      <c r="AO6" s="20"/>
      <c r="AP6" s="123"/>
      <c r="AQ6" s="124"/>
      <c r="AR6" s="125"/>
      <c r="AS6" s="123"/>
      <c r="AT6" s="124"/>
      <c r="AU6" s="125"/>
      <c r="AV6" s="123"/>
      <c r="AW6" s="124"/>
      <c r="AX6" s="125"/>
      <c r="AY6" s="123"/>
      <c r="AZ6" s="124"/>
      <c r="BA6" s="125"/>
      <c r="BB6" s="20"/>
      <c r="BC6" t="s">
        <v>95</v>
      </c>
      <c r="BD6" s="2">
        <v>2</v>
      </c>
      <c r="BE6" s="2">
        <v>1</v>
      </c>
      <c r="BF6" s="2" t="s">
        <v>26</v>
      </c>
      <c r="BG6" s="2">
        <f>BF7</f>
        <v>4</v>
      </c>
      <c r="BH6" s="2">
        <f>BF8</f>
        <v>2</v>
      </c>
      <c r="BI6" s="2">
        <f>BF9</f>
        <v>3</v>
      </c>
      <c r="BJ6" s="2">
        <f>BF10</f>
        <v>1</v>
      </c>
      <c r="BK6" s="2">
        <f>BF11</f>
        <v>1</v>
      </c>
      <c r="BL6" s="2">
        <f>BF12</f>
        <v>2</v>
      </c>
      <c r="BM6" s="2">
        <f>BF13</f>
        <v>2</v>
      </c>
      <c r="BN6" s="2">
        <f>BF14</f>
        <v>1</v>
      </c>
      <c r="BO6" s="2">
        <f>BF15</f>
        <v>3</v>
      </c>
      <c r="BP6" s="2">
        <f>BF16</f>
        <v>2</v>
      </c>
      <c r="BQ6" s="2">
        <f>BF17</f>
        <v>3</v>
      </c>
      <c r="BR6" s="2">
        <f>BF18</f>
        <v>1</v>
      </c>
    </row>
    <row r="7" spans="1:70" ht="12" customHeight="1" x14ac:dyDescent="0.2">
      <c r="A7" s="121" t="s">
        <v>13</v>
      </c>
      <c r="B7" s="122"/>
      <c r="C7" s="9">
        <v>10</v>
      </c>
      <c r="D7" s="56">
        <v>23</v>
      </c>
      <c r="E7" s="9">
        <v>30</v>
      </c>
      <c r="F7" s="9">
        <v>98</v>
      </c>
      <c r="G7" s="56">
        <v>-33</v>
      </c>
      <c r="H7" s="9">
        <v>27</v>
      </c>
      <c r="I7" s="9">
        <v>77</v>
      </c>
      <c r="J7" s="56">
        <v>9</v>
      </c>
      <c r="K7" s="9">
        <v>36</v>
      </c>
      <c r="L7" s="9">
        <v>85</v>
      </c>
      <c r="M7" s="56">
        <v>1</v>
      </c>
      <c r="N7" s="9">
        <v>31</v>
      </c>
      <c r="P7" s="9">
        <v>95</v>
      </c>
      <c r="Q7" s="56">
        <v>3</v>
      </c>
      <c r="R7" s="9">
        <v>28</v>
      </c>
      <c r="S7" s="9">
        <v>90</v>
      </c>
      <c r="T7" s="56">
        <v>9</v>
      </c>
      <c r="U7" s="9">
        <v>32</v>
      </c>
      <c r="V7" s="9">
        <v>99</v>
      </c>
      <c r="W7" s="56">
        <v>17</v>
      </c>
      <c r="X7" s="9">
        <v>26</v>
      </c>
      <c r="Y7" s="9">
        <v>94</v>
      </c>
      <c r="Z7" s="56">
        <v>-29</v>
      </c>
      <c r="AA7" s="9">
        <v>28</v>
      </c>
      <c r="AC7" s="9">
        <v>84</v>
      </c>
      <c r="AD7" s="56">
        <v>8</v>
      </c>
      <c r="AE7" s="9">
        <v>32</v>
      </c>
      <c r="AF7" s="9">
        <v>104</v>
      </c>
      <c r="AG7" s="56">
        <v>2</v>
      </c>
      <c r="AH7" s="9">
        <v>22</v>
      </c>
      <c r="AI7" s="9">
        <v>101</v>
      </c>
      <c r="AJ7" s="56">
        <v>8</v>
      </c>
      <c r="AK7" s="9">
        <v>32</v>
      </c>
      <c r="AL7" s="9">
        <v>88</v>
      </c>
      <c r="AM7" s="56">
        <v>-18</v>
      </c>
      <c r="AN7" s="9">
        <v>33</v>
      </c>
      <c r="AP7" s="9"/>
      <c r="AQ7" s="56"/>
      <c r="AR7" s="9"/>
      <c r="AS7" s="9"/>
      <c r="AT7" s="56"/>
      <c r="AU7" s="9"/>
      <c r="AV7" s="9"/>
      <c r="AW7" s="56"/>
      <c r="AX7" s="9"/>
      <c r="AY7" s="9"/>
      <c r="AZ7" s="56"/>
      <c r="BA7" s="9"/>
      <c r="BC7" t="s">
        <v>1</v>
      </c>
      <c r="BD7" s="2">
        <v>5</v>
      </c>
      <c r="BE7" s="2">
        <v>2</v>
      </c>
      <c r="BF7" s="2">
        <v>4</v>
      </c>
      <c r="BG7" s="2" t="s">
        <v>26</v>
      </c>
      <c r="BH7" s="2">
        <f>BG8</f>
        <v>5</v>
      </c>
      <c r="BI7" s="2">
        <f>BG9</f>
        <v>1</v>
      </c>
      <c r="BJ7" s="2">
        <f>BG10</f>
        <v>3</v>
      </c>
      <c r="BK7" s="2">
        <f>BG11</f>
        <v>3</v>
      </c>
      <c r="BL7" s="2">
        <f>BG12</f>
        <v>3</v>
      </c>
      <c r="BM7" s="2">
        <f>BG13</f>
        <v>3</v>
      </c>
      <c r="BN7" s="2">
        <f>BG14</f>
        <v>2</v>
      </c>
      <c r="BO7" s="2">
        <f>BG15</f>
        <v>3</v>
      </c>
      <c r="BP7" s="2">
        <f>BG16</f>
        <v>2</v>
      </c>
      <c r="BQ7" s="2">
        <f>BG17</f>
        <v>2</v>
      </c>
      <c r="BR7" s="2">
        <f>BG18</f>
        <v>3</v>
      </c>
    </row>
    <row r="8" spans="1:70" ht="12" customHeight="1" x14ac:dyDescent="0.2">
      <c r="A8" s="1"/>
      <c r="B8" s="2">
        <v>4</v>
      </c>
      <c r="C8" s="123" t="s">
        <v>41</v>
      </c>
      <c r="D8" s="124"/>
      <c r="E8" s="125"/>
      <c r="F8" s="123" t="s">
        <v>9</v>
      </c>
      <c r="G8" s="124"/>
      <c r="H8" s="125"/>
      <c r="I8" s="123" t="s">
        <v>3</v>
      </c>
      <c r="J8" s="124"/>
      <c r="K8" s="125"/>
      <c r="L8" s="123" t="s">
        <v>84</v>
      </c>
      <c r="M8" s="124"/>
      <c r="N8" s="125"/>
      <c r="P8" s="123" t="s">
        <v>11</v>
      </c>
      <c r="Q8" s="124"/>
      <c r="R8" s="125"/>
      <c r="S8" s="123" t="s">
        <v>92</v>
      </c>
      <c r="T8" s="124"/>
      <c r="U8" s="125"/>
      <c r="V8" s="123" t="s">
        <v>93</v>
      </c>
      <c r="W8" s="124"/>
      <c r="X8" s="125"/>
      <c r="Y8" s="123" t="s">
        <v>94</v>
      </c>
      <c r="Z8" s="124"/>
      <c r="AA8" s="125"/>
      <c r="AC8" s="123"/>
      <c r="AD8" s="124"/>
      <c r="AE8" s="125"/>
      <c r="AF8" s="123"/>
      <c r="AG8" s="124"/>
      <c r="AH8" s="125"/>
      <c r="AI8" s="123"/>
      <c r="AJ8" s="124"/>
      <c r="AK8" s="125"/>
      <c r="AL8" s="123"/>
      <c r="AM8" s="124"/>
      <c r="AN8" s="125"/>
      <c r="AO8" s="20"/>
      <c r="AP8" s="123"/>
      <c r="AQ8" s="124"/>
      <c r="AR8" s="125"/>
      <c r="AS8" s="123"/>
      <c r="AT8" s="124"/>
      <c r="AU8" s="125"/>
      <c r="AV8" s="123"/>
      <c r="AW8" s="124"/>
      <c r="AX8" s="125"/>
      <c r="AY8" s="123"/>
      <c r="AZ8" s="124"/>
      <c r="BA8" s="125"/>
      <c r="BB8" s="20"/>
      <c r="BC8" t="s">
        <v>24</v>
      </c>
      <c r="BD8" s="2">
        <v>4</v>
      </c>
      <c r="BE8" s="2">
        <v>2</v>
      </c>
      <c r="BF8" s="2">
        <v>2</v>
      </c>
      <c r="BG8" s="2">
        <v>5</v>
      </c>
      <c r="BH8" s="2" t="s">
        <v>26</v>
      </c>
      <c r="BI8" s="2">
        <f>BH9</f>
        <v>1</v>
      </c>
      <c r="BJ8" s="2">
        <f>BH10</f>
        <v>1</v>
      </c>
      <c r="BK8" s="2">
        <f>BH11</f>
        <v>1</v>
      </c>
      <c r="BL8" s="2">
        <f>BH12</f>
        <v>3</v>
      </c>
      <c r="BM8" s="2">
        <f>BH13</f>
        <v>2</v>
      </c>
      <c r="BN8" s="2">
        <f>BH14</f>
        <v>2</v>
      </c>
      <c r="BO8" s="2">
        <f>BH15</f>
        <v>3</v>
      </c>
      <c r="BP8" s="2">
        <f>BH16</f>
        <v>3</v>
      </c>
      <c r="BQ8" s="2">
        <f>BH17</f>
        <v>2</v>
      </c>
      <c r="BR8" s="2">
        <f>BH18</f>
        <v>3</v>
      </c>
    </row>
    <row r="9" spans="1:70" ht="12" customHeight="1" x14ac:dyDescent="0.2">
      <c r="A9" s="121" t="s">
        <v>13</v>
      </c>
      <c r="B9" s="122"/>
      <c r="C9" s="9">
        <v>87</v>
      </c>
      <c r="D9" s="56">
        <v>19</v>
      </c>
      <c r="E9" s="9">
        <v>28</v>
      </c>
      <c r="F9" s="9">
        <v>89</v>
      </c>
      <c r="G9" s="56">
        <v>13</v>
      </c>
      <c r="H9" s="9">
        <v>36</v>
      </c>
      <c r="I9" s="9">
        <v>87</v>
      </c>
      <c r="J9" s="56">
        <v>-3</v>
      </c>
      <c r="K9" s="9">
        <v>25</v>
      </c>
      <c r="L9" s="9">
        <v>78</v>
      </c>
      <c r="M9" s="56">
        <v>-29</v>
      </c>
      <c r="N9" s="9">
        <v>31</v>
      </c>
      <c r="P9" s="9">
        <v>93</v>
      </c>
      <c r="Q9" s="56">
        <v>-4</v>
      </c>
      <c r="R9" s="9">
        <v>29</v>
      </c>
      <c r="S9" s="9">
        <v>107</v>
      </c>
      <c r="T9" s="56">
        <v>-6</v>
      </c>
      <c r="U9" s="9">
        <v>25</v>
      </c>
      <c r="V9" s="9">
        <v>85</v>
      </c>
      <c r="W9" s="56">
        <v>16</v>
      </c>
      <c r="X9" s="9">
        <v>36</v>
      </c>
      <c r="Y9" s="9">
        <v>94</v>
      </c>
      <c r="Z9" s="56">
        <v>-6</v>
      </c>
      <c r="AA9" s="9">
        <v>28</v>
      </c>
      <c r="AC9" s="9"/>
      <c r="AD9" s="56"/>
      <c r="AE9" s="9"/>
      <c r="AF9" s="9"/>
      <c r="AG9" s="56"/>
      <c r="AH9" s="9"/>
      <c r="AI9" s="9"/>
      <c r="AJ9" s="56"/>
      <c r="AK9" s="9"/>
      <c r="AL9" s="9"/>
      <c r="AM9" s="56"/>
      <c r="AN9" s="9"/>
      <c r="AP9" s="9"/>
      <c r="AQ9" s="56"/>
      <c r="AR9" s="9"/>
      <c r="AS9" s="9"/>
      <c r="AT9" s="56"/>
      <c r="AU9" s="9"/>
      <c r="AV9" s="9"/>
      <c r="AW9" s="56"/>
      <c r="AX9" s="9"/>
      <c r="AY9" s="9"/>
      <c r="AZ9" s="56"/>
      <c r="BA9" s="9"/>
      <c r="BC9" t="s">
        <v>25</v>
      </c>
      <c r="BD9" s="2">
        <v>3</v>
      </c>
      <c r="BE9" s="2">
        <v>4</v>
      </c>
      <c r="BF9" s="2">
        <v>3</v>
      </c>
      <c r="BG9" s="2">
        <v>1</v>
      </c>
      <c r="BH9" s="2">
        <v>1</v>
      </c>
      <c r="BI9" s="2" t="s">
        <v>26</v>
      </c>
      <c r="BJ9" s="2">
        <f>BI10</f>
        <v>3</v>
      </c>
      <c r="BK9" s="2">
        <f>BI11</f>
        <v>1</v>
      </c>
      <c r="BL9" s="2">
        <f>BI12</f>
        <v>3</v>
      </c>
      <c r="BM9" s="2">
        <f>BI13</f>
        <v>1</v>
      </c>
      <c r="BN9" s="2">
        <f>BI14</f>
        <v>0</v>
      </c>
      <c r="BO9" s="2">
        <f>BI15</f>
        <v>3</v>
      </c>
      <c r="BP9" s="2">
        <f>BI16</f>
        <v>2</v>
      </c>
      <c r="BQ9" s="2">
        <f>BI17</f>
        <v>2</v>
      </c>
      <c r="BR9" s="2">
        <f>BI18</f>
        <v>2</v>
      </c>
    </row>
    <row r="10" spans="1:70" ht="12" customHeight="1" x14ac:dyDescent="0.2">
      <c r="A10" s="1"/>
      <c r="B10" s="2">
        <v>5</v>
      </c>
      <c r="C10" s="123" t="s">
        <v>45</v>
      </c>
      <c r="D10" s="124"/>
      <c r="E10" s="125"/>
      <c r="F10" s="123" t="s">
        <v>2</v>
      </c>
      <c r="G10" s="124"/>
      <c r="H10" s="125"/>
      <c r="I10" s="123" t="s">
        <v>9</v>
      </c>
      <c r="J10" s="124"/>
      <c r="K10" s="125"/>
      <c r="L10" s="123" t="s">
        <v>68</v>
      </c>
      <c r="M10" s="124"/>
      <c r="N10" s="125"/>
      <c r="P10" s="123" t="s">
        <v>3</v>
      </c>
      <c r="Q10" s="124"/>
      <c r="R10" s="125"/>
      <c r="S10" s="123" t="s">
        <v>101</v>
      </c>
      <c r="T10" s="124"/>
      <c r="U10" s="125"/>
      <c r="V10" s="123" t="s">
        <v>102</v>
      </c>
      <c r="W10" s="124"/>
      <c r="X10" s="125"/>
      <c r="Y10" s="123" t="s">
        <v>91</v>
      </c>
      <c r="Z10" s="124"/>
      <c r="AA10" s="125"/>
      <c r="AC10" s="123" t="s">
        <v>56</v>
      </c>
      <c r="AD10" s="124"/>
      <c r="AE10" s="125"/>
      <c r="AF10" s="123" t="s">
        <v>42</v>
      </c>
      <c r="AG10" s="124"/>
      <c r="AH10" s="125"/>
      <c r="AI10" s="123" t="s">
        <v>103</v>
      </c>
      <c r="AJ10" s="124"/>
      <c r="AK10" s="125"/>
      <c r="AL10" s="123" t="s">
        <v>10</v>
      </c>
      <c r="AM10" s="124"/>
      <c r="AN10" s="125"/>
      <c r="AO10" s="20"/>
      <c r="AP10" s="123" t="s">
        <v>41</v>
      </c>
      <c r="AQ10" s="124"/>
      <c r="AR10" s="125"/>
      <c r="AS10" s="123" t="s">
        <v>11</v>
      </c>
      <c r="AT10" s="124"/>
      <c r="AU10" s="125"/>
      <c r="AV10" s="123" t="s">
        <v>99</v>
      </c>
      <c r="AW10" s="124"/>
      <c r="AX10" s="125"/>
      <c r="AY10" s="123" t="s">
        <v>63</v>
      </c>
      <c r="AZ10" s="124"/>
      <c r="BA10" s="125"/>
      <c r="BB10" s="20"/>
      <c r="BC10" t="s">
        <v>40</v>
      </c>
      <c r="BD10" s="2">
        <v>3</v>
      </c>
      <c r="BE10" s="2">
        <v>1</v>
      </c>
      <c r="BF10" s="2">
        <v>1</v>
      </c>
      <c r="BG10" s="2">
        <v>3</v>
      </c>
      <c r="BH10" s="2">
        <v>1</v>
      </c>
      <c r="BI10" s="2">
        <v>3</v>
      </c>
      <c r="BJ10" s="2" t="s">
        <v>26</v>
      </c>
      <c r="BK10" s="2">
        <f>BJ11</f>
        <v>2</v>
      </c>
      <c r="BL10" s="2">
        <f>BJ12</f>
        <v>3</v>
      </c>
      <c r="BM10" s="2">
        <f>BJ13</f>
        <v>3</v>
      </c>
      <c r="BN10" s="2">
        <f>BJ14</f>
        <v>1</v>
      </c>
      <c r="BO10" s="2">
        <f>BJ15</f>
        <v>3</v>
      </c>
      <c r="BP10" s="2">
        <f>BJ16</f>
        <v>1</v>
      </c>
      <c r="BQ10" s="2">
        <f>BJ17</f>
        <v>2</v>
      </c>
      <c r="BR10" s="2">
        <f>BJ18</f>
        <v>2</v>
      </c>
    </row>
    <row r="11" spans="1:70" ht="12" customHeight="1" x14ac:dyDescent="0.2">
      <c r="A11" s="121" t="s">
        <v>13</v>
      </c>
      <c r="B11" s="122"/>
      <c r="C11" s="9">
        <v>98</v>
      </c>
      <c r="D11" s="56">
        <v>-3</v>
      </c>
      <c r="E11" s="9">
        <v>34</v>
      </c>
      <c r="F11" s="9">
        <v>91</v>
      </c>
      <c r="G11" s="56">
        <v>1</v>
      </c>
      <c r="H11" s="9">
        <v>35</v>
      </c>
      <c r="I11" s="9">
        <v>92</v>
      </c>
      <c r="J11" s="56">
        <v>3</v>
      </c>
      <c r="K11" s="9">
        <v>33</v>
      </c>
      <c r="L11" s="9">
        <v>93</v>
      </c>
      <c r="M11" s="56">
        <v>-1</v>
      </c>
      <c r="N11" s="9">
        <v>30</v>
      </c>
      <c r="P11" s="9">
        <v>83</v>
      </c>
      <c r="Q11" s="56">
        <v>-33</v>
      </c>
      <c r="R11" s="9">
        <v>29</v>
      </c>
      <c r="S11" s="9">
        <v>88</v>
      </c>
      <c r="T11" s="56">
        <v>9</v>
      </c>
      <c r="U11" s="9">
        <v>34</v>
      </c>
      <c r="V11" s="9">
        <v>87</v>
      </c>
      <c r="W11" s="66" t="s">
        <v>104</v>
      </c>
      <c r="X11" s="9">
        <v>34</v>
      </c>
      <c r="Y11" s="9">
        <v>89</v>
      </c>
      <c r="Z11" s="56">
        <v>13</v>
      </c>
      <c r="AA11" s="9">
        <v>32</v>
      </c>
      <c r="AC11" s="9">
        <v>94</v>
      </c>
      <c r="AD11" s="56">
        <v>19</v>
      </c>
      <c r="AE11" s="9">
        <v>30</v>
      </c>
      <c r="AF11" s="9">
        <v>106</v>
      </c>
      <c r="AG11" s="56">
        <v>-3</v>
      </c>
      <c r="AH11" s="9">
        <v>23</v>
      </c>
      <c r="AI11" s="9">
        <v>100</v>
      </c>
      <c r="AJ11" s="56">
        <v>9</v>
      </c>
      <c r="AK11" s="9">
        <v>33</v>
      </c>
      <c r="AL11" s="9">
        <v>87</v>
      </c>
      <c r="AM11" s="56">
        <v>-25</v>
      </c>
      <c r="AN11" s="9">
        <v>29</v>
      </c>
      <c r="AP11" s="9">
        <v>77</v>
      </c>
      <c r="AQ11" s="56">
        <v>11</v>
      </c>
      <c r="AR11" s="9">
        <v>38</v>
      </c>
      <c r="AS11" s="9">
        <v>89</v>
      </c>
      <c r="AT11" s="56">
        <v>23</v>
      </c>
      <c r="AU11" s="9">
        <v>34</v>
      </c>
      <c r="AV11" s="9">
        <v>95</v>
      </c>
      <c r="AW11" s="56">
        <v>-47</v>
      </c>
      <c r="AX11" s="9">
        <v>31</v>
      </c>
      <c r="AY11" s="9">
        <v>90</v>
      </c>
      <c r="AZ11" s="56">
        <v>13</v>
      </c>
      <c r="BA11" s="67" t="s">
        <v>104</v>
      </c>
      <c r="BC11" t="s">
        <v>38</v>
      </c>
      <c r="BD11" s="2">
        <v>2</v>
      </c>
      <c r="BE11" s="2">
        <v>1</v>
      </c>
      <c r="BF11" s="2">
        <v>1</v>
      </c>
      <c r="BG11" s="2">
        <v>3</v>
      </c>
      <c r="BH11" s="2">
        <v>1</v>
      </c>
      <c r="BI11" s="2">
        <v>1</v>
      </c>
      <c r="BJ11" s="2">
        <v>2</v>
      </c>
      <c r="BK11" s="2" t="s">
        <v>26</v>
      </c>
      <c r="BL11" s="2">
        <f>BK12</f>
        <v>2</v>
      </c>
      <c r="BM11" s="2">
        <f>BK13</f>
        <v>2</v>
      </c>
      <c r="BN11" s="2">
        <f>BK14</f>
        <v>1</v>
      </c>
      <c r="BO11" s="2">
        <f>BK15</f>
        <v>1</v>
      </c>
      <c r="BP11" s="2">
        <f>BK16</f>
        <v>2</v>
      </c>
      <c r="BQ11" s="2">
        <f>BK17</f>
        <v>0</v>
      </c>
      <c r="BR11" s="2">
        <f>BK18</f>
        <v>2</v>
      </c>
    </row>
    <row r="12" spans="1:70" ht="12" customHeight="1" x14ac:dyDescent="0.2">
      <c r="A12" s="1"/>
      <c r="B12" s="2">
        <v>6</v>
      </c>
      <c r="C12" s="123" t="s">
        <v>10</v>
      </c>
      <c r="D12" s="124"/>
      <c r="E12" s="125"/>
      <c r="F12" s="123" t="s">
        <v>9</v>
      </c>
      <c r="G12" s="124"/>
      <c r="H12" s="125"/>
      <c r="I12" s="123" t="s">
        <v>42</v>
      </c>
      <c r="J12" s="124"/>
      <c r="K12" s="125"/>
      <c r="L12" s="123" t="s">
        <v>64</v>
      </c>
      <c r="M12" s="124"/>
      <c r="N12" s="125"/>
      <c r="P12" s="123" t="s">
        <v>11</v>
      </c>
      <c r="Q12" s="124"/>
      <c r="R12" s="125"/>
      <c r="S12" s="123" t="s">
        <v>33</v>
      </c>
      <c r="T12" s="124"/>
      <c r="U12" s="125"/>
      <c r="V12" s="123" t="s">
        <v>99</v>
      </c>
      <c r="W12" s="124"/>
      <c r="X12" s="125"/>
      <c r="Y12" s="123" t="s">
        <v>68</v>
      </c>
      <c r="Z12" s="124"/>
      <c r="AA12" s="125"/>
      <c r="AC12" s="123" t="s">
        <v>41</v>
      </c>
      <c r="AD12" s="124"/>
      <c r="AE12" s="125"/>
      <c r="AF12" s="123" t="s">
        <v>56</v>
      </c>
      <c r="AG12" s="124"/>
      <c r="AH12" s="125"/>
      <c r="AI12" s="123" t="s">
        <v>103</v>
      </c>
      <c r="AJ12" s="124"/>
      <c r="AK12" s="125"/>
      <c r="AL12" s="123" t="s">
        <v>45</v>
      </c>
      <c r="AM12" s="124"/>
      <c r="AN12" s="125"/>
      <c r="AO12" s="20"/>
      <c r="AP12" s="123"/>
      <c r="AQ12" s="124"/>
      <c r="AR12" s="125"/>
      <c r="AS12" s="123"/>
      <c r="AT12" s="124"/>
      <c r="AU12" s="125"/>
      <c r="AV12" s="123"/>
      <c r="AW12" s="124"/>
      <c r="AX12" s="125"/>
      <c r="AY12" s="123"/>
      <c r="AZ12" s="124"/>
      <c r="BA12" s="125"/>
      <c r="BB12" s="20"/>
      <c r="BC12" t="s">
        <v>39</v>
      </c>
      <c r="BD12" s="2">
        <v>4</v>
      </c>
      <c r="BE12" s="2">
        <v>2</v>
      </c>
      <c r="BF12" s="2">
        <v>2</v>
      </c>
      <c r="BG12" s="2">
        <v>3</v>
      </c>
      <c r="BH12" s="2">
        <v>3</v>
      </c>
      <c r="BI12" s="2">
        <v>3</v>
      </c>
      <c r="BJ12" s="2">
        <v>3</v>
      </c>
      <c r="BK12" s="2">
        <v>2</v>
      </c>
      <c r="BL12" s="2" t="s">
        <v>26</v>
      </c>
      <c r="BM12" s="2">
        <f>BL13</f>
        <v>2</v>
      </c>
      <c r="BN12" s="2">
        <f>BL14</f>
        <v>4</v>
      </c>
      <c r="BO12" s="2">
        <f>BL15</f>
        <v>3</v>
      </c>
      <c r="BP12" s="2">
        <f>BL16</f>
        <v>2</v>
      </c>
      <c r="BQ12" s="2">
        <f>BL17</f>
        <v>3</v>
      </c>
      <c r="BR12" s="2">
        <f>BL18</f>
        <v>2</v>
      </c>
    </row>
    <row r="13" spans="1:70" ht="12" customHeight="1" x14ac:dyDescent="0.2">
      <c r="A13" s="121" t="s">
        <v>13</v>
      </c>
      <c r="B13" s="122"/>
      <c r="C13" s="9">
        <v>79</v>
      </c>
      <c r="D13" s="56">
        <v>-13</v>
      </c>
      <c r="E13" s="9">
        <v>38</v>
      </c>
      <c r="F13" s="9">
        <v>86</v>
      </c>
      <c r="G13" s="56">
        <v>13</v>
      </c>
      <c r="H13" s="9">
        <v>40</v>
      </c>
      <c r="I13" s="9">
        <v>90</v>
      </c>
      <c r="J13" s="56">
        <v>15</v>
      </c>
      <c r="K13" s="9">
        <v>35</v>
      </c>
      <c r="L13" s="9">
        <v>93</v>
      </c>
      <c r="M13" s="56">
        <v>-15</v>
      </c>
      <c r="N13" s="9">
        <v>30</v>
      </c>
      <c r="P13" s="9">
        <v>93</v>
      </c>
      <c r="Q13" s="56">
        <v>8</v>
      </c>
      <c r="R13" s="9">
        <v>31</v>
      </c>
      <c r="S13" s="9">
        <v>103</v>
      </c>
      <c r="T13" s="56">
        <v>-30</v>
      </c>
      <c r="U13" s="9">
        <v>29</v>
      </c>
      <c r="V13" s="9">
        <v>87</v>
      </c>
      <c r="W13" s="56">
        <v>14</v>
      </c>
      <c r="X13" s="9">
        <v>39</v>
      </c>
      <c r="Y13" s="9">
        <v>88</v>
      </c>
      <c r="Z13" s="56">
        <v>14</v>
      </c>
      <c r="AA13" s="9">
        <v>34</v>
      </c>
      <c r="AC13" s="9">
        <v>82</v>
      </c>
      <c r="AD13" s="56">
        <v>-32</v>
      </c>
      <c r="AE13" s="9">
        <v>33</v>
      </c>
      <c r="AF13" s="9">
        <v>95</v>
      </c>
      <c r="AG13" s="56">
        <v>8</v>
      </c>
      <c r="AH13" s="9">
        <v>30</v>
      </c>
      <c r="AI13" s="9">
        <v>98</v>
      </c>
      <c r="AJ13" s="56">
        <v>10</v>
      </c>
      <c r="AK13" s="9">
        <v>36</v>
      </c>
      <c r="AL13" s="9">
        <v>96</v>
      </c>
      <c r="AM13" s="56">
        <v>14</v>
      </c>
      <c r="AN13" s="9">
        <v>36</v>
      </c>
      <c r="AP13" s="9"/>
      <c r="AQ13" s="56"/>
      <c r="AR13" s="9"/>
      <c r="AS13" s="9"/>
      <c r="AT13" s="56"/>
      <c r="AU13" s="9"/>
      <c r="AV13" s="9"/>
      <c r="AW13" s="56"/>
      <c r="AX13" s="9"/>
      <c r="AY13" s="9"/>
      <c r="AZ13" s="56"/>
      <c r="BA13" s="9"/>
      <c r="BC13" t="s">
        <v>57</v>
      </c>
      <c r="BD13" s="2">
        <v>2</v>
      </c>
      <c r="BE13" s="2">
        <v>2</v>
      </c>
      <c r="BF13" s="2">
        <v>2</v>
      </c>
      <c r="BG13" s="2">
        <v>3</v>
      </c>
      <c r="BH13" s="2">
        <v>2</v>
      </c>
      <c r="BI13" s="2">
        <v>1</v>
      </c>
      <c r="BJ13" s="2">
        <v>3</v>
      </c>
      <c r="BK13" s="2">
        <v>2</v>
      </c>
      <c r="BL13" s="2">
        <v>2</v>
      </c>
      <c r="BM13" s="2" t="s">
        <v>26</v>
      </c>
      <c r="BN13" s="2">
        <f>BM14</f>
        <v>3</v>
      </c>
      <c r="BO13" s="2">
        <f>BM15</f>
        <v>3</v>
      </c>
      <c r="BP13" s="2">
        <f>BM16</f>
        <v>2</v>
      </c>
      <c r="BQ13" s="2">
        <f>BM17</f>
        <v>3</v>
      </c>
      <c r="BR13" s="2">
        <f>BM18</f>
        <v>3</v>
      </c>
    </row>
    <row r="14" spans="1:70" ht="12" customHeight="1" x14ac:dyDescent="0.2">
      <c r="A14" s="1"/>
      <c r="B14" s="2">
        <v>7</v>
      </c>
      <c r="C14" s="123" t="s">
        <v>32</v>
      </c>
      <c r="D14" s="124"/>
      <c r="E14" s="125"/>
      <c r="F14" s="123" t="s">
        <v>9</v>
      </c>
      <c r="G14" s="124"/>
      <c r="H14" s="125"/>
      <c r="I14" s="123" t="s">
        <v>68</v>
      </c>
      <c r="J14" s="124"/>
      <c r="K14" s="125"/>
      <c r="L14" s="123" t="s">
        <v>3</v>
      </c>
      <c r="M14" s="124"/>
      <c r="N14" s="125"/>
      <c r="P14" s="123" t="s">
        <v>41</v>
      </c>
      <c r="Q14" s="124"/>
      <c r="R14" s="125"/>
      <c r="S14" s="123" t="s">
        <v>56</v>
      </c>
      <c r="T14" s="124"/>
      <c r="U14" s="125"/>
      <c r="V14" s="123" t="s">
        <v>64</v>
      </c>
      <c r="W14" s="124"/>
      <c r="X14" s="125"/>
      <c r="Y14" s="123" t="s">
        <v>90</v>
      </c>
      <c r="Z14" s="124"/>
      <c r="AA14" s="125"/>
      <c r="AC14" s="123"/>
      <c r="AD14" s="124"/>
      <c r="AE14" s="125"/>
      <c r="AF14" s="123"/>
      <c r="AG14" s="124"/>
      <c r="AH14" s="125"/>
      <c r="AI14" s="123"/>
      <c r="AJ14" s="124"/>
      <c r="AK14" s="125"/>
      <c r="AL14" s="123"/>
      <c r="AM14" s="124"/>
      <c r="AN14" s="125"/>
      <c r="AO14" s="20"/>
      <c r="AP14" s="123"/>
      <c r="AQ14" s="124"/>
      <c r="AR14" s="125"/>
      <c r="AS14" s="123"/>
      <c r="AT14" s="124"/>
      <c r="AU14" s="125"/>
      <c r="AV14" s="123"/>
      <c r="AW14" s="124"/>
      <c r="AX14" s="125"/>
      <c r="AY14" s="123"/>
      <c r="AZ14" s="124"/>
      <c r="BA14" s="125"/>
      <c r="BB14" s="20"/>
      <c r="BC14" s="24" t="s">
        <v>44</v>
      </c>
      <c r="BD14" s="2">
        <v>3</v>
      </c>
      <c r="BE14" s="2">
        <v>2</v>
      </c>
      <c r="BF14" s="2">
        <v>1</v>
      </c>
      <c r="BG14" s="2">
        <v>2</v>
      </c>
      <c r="BH14" s="2">
        <v>2</v>
      </c>
      <c r="BI14" s="2"/>
      <c r="BJ14" s="2">
        <v>1</v>
      </c>
      <c r="BK14" s="2">
        <v>1</v>
      </c>
      <c r="BL14" s="2">
        <v>4</v>
      </c>
      <c r="BM14" s="2">
        <v>3</v>
      </c>
      <c r="BN14" s="2" t="s">
        <v>26</v>
      </c>
      <c r="BO14" s="2">
        <f>BN15</f>
        <v>2</v>
      </c>
      <c r="BP14" s="2">
        <f>BN16</f>
        <v>0</v>
      </c>
      <c r="BQ14" s="2">
        <f>BN17</f>
        <v>2</v>
      </c>
      <c r="BR14" s="2">
        <f>BN18</f>
        <v>2</v>
      </c>
    </row>
    <row r="15" spans="1:70" ht="12" customHeight="1" x14ac:dyDescent="0.2">
      <c r="A15" s="121" t="s">
        <v>13</v>
      </c>
      <c r="B15" s="122"/>
      <c r="C15" s="9">
        <v>100</v>
      </c>
      <c r="D15" s="56">
        <v>-5</v>
      </c>
      <c r="E15" s="9">
        <v>34</v>
      </c>
      <c r="F15" s="9">
        <v>83</v>
      </c>
      <c r="G15" s="56">
        <v>27</v>
      </c>
      <c r="H15" s="9">
        <v>43</v>
      </c>
      <c r="I15" s="9">
        <v>88</v>
      </c>
      <c r="J15" s="56">
        <v>-1</v>
      </c>
      <c r="K15" s="9">
        <v>34</v>
      </c>
      <c r="L15" s="9">
        <v>78</v>
      </c>
      <c r="M15" s="56">
        <v>-21</v>
      </c>
      <c r="N15" s="9">
        <v>35</v>
      </c>
      <c r="P15" s="9">
        <v>77</v>
      </c>
      <c r="Q15" s="56">
        <v>21</v>
      </c>
      <c r="R15" s="9">
        <v>38</v>
      </c>
      <c r="S15" s="9">
        <v>90</v>
      </c>
      <c r="T15" s="56">
        <v>3</v>
      </c>
      <c r="U15" s="9">
        <v>35</v>
      </c>
      <c r="V15" s="9">
        <v>95</v>
      </c>
      <c r="W15" s="56">
        <v>9</v>
      </c>
      <c r="X15" s="9">
        <v>28</v>
      </c>
      <c r="Y15" s="9">
        <v>92</v>
      </c>
      <c r="Z15" s="56">
        <v>-33</v>
      </c>
      <c r="AA15" s="9">
        <v>34</v>
      </c>
      <c r="AC15" s="9"/>
      <c r="AD15" s="56"/>
      <c r="AE15" s="9"/>
      <c r="AF15" s="9"/>
      <c r="AG15" s="56"/>
      <c r="AH15" s="9"/>
      <c r="AI15" s="9"/>
      <c r="AJ15" s="56"/>
      <c r="AK15" s="9"/>
      <c r="AL15" s="9"/>
      <c r="AM15" s="56"/>
      <c r="AN15" s="9"/>
      <c r="AP15" s="9"/>
      <c r="AQ15" s="56"/>
      <c r="AR15" s="9"/>
      <c r="AS15" s="9"/>
      <c r="AT15" s="56"/>
      <c r="AU15" s="9"/>
      <c r="AV15" s="9"/>
      <c r="AW15" s="56"/>
      <c r="AX15" s="9"/>
      <c r="AY15" s="9"/>
      <c r="AZ15" s="56"/>
      <c r="BA15" s="9"/>
      <c r="BC15" t="s">
        <v>59</v>
      </c>
      <c r="BD15" s="2">
        <v>2</v>
      </c>
      <c r="BE15" s="2">
        <v>3</v>
      </c>
      <c r="BF15" s="2">
        <v>3</v>
      </c>
      <c r="BG15" s="2">
        <v>3</v>
      </c>
      <c r="BH15" s="2">
        <v>3</v>
      </c>
      <c r="BI15" s="2">
        <v>3</v>
      </c>
      <c r="BJ15" s="2">
        <v>3</v>
      </c>
      <c r="BK15" s="2">
        <v>1</v>
      </c>
      <c r="BL15" s="2">
        <v>3</v>
      </c>
      <c r="BM15" s="2">
        <v>3</v>
      </c>
      <c r="BN15" s="2">
        <v>2</v>
      </c>
      <c r="BO15" s="2" t="s">
        <v>26</v>
      </c>
      <c r="BP15" s="2">
        <f>BO16</f>
        <v>1</v>
      </c>
      <c r="BQ15" s="2">
        <f>BO17</f>
        <v>2</v>
      </c>
      <c r="BR15" s="2">
        <f>BO18</f>
        <v>2</v>
      </c>
    </row>
    <row r="16" spans="1:70" ht="12" customHeight="1" x14ac:dyDescent="0.2">
      <c r="A16" s="1"/>
      <c r="B16" s="2">
        <v>8</v>
      </c>
      <c r="C16" s="123" t="s">
        <v>41</v>
      </c>
      <c r="D16" s="124"/>
      <c r="E16" s="125"/>
      <c r="F16" s="123" t="s">
        <v>5</v>
      </c>
      <c r="G16" s="124"/>
      <c r="H16" s="125"/>
      <c r="I16" s="123" t="s">
        <v>64</v>
      </c>
      <c r="J16" s="124"/>
      <c r="K16" s="125"/>
      <c r="L16" s="123" t="s">
        <v>99</v>
      </c>
      <c r="M16" s="124"/>
      <c r="N16" s="125"/>
      <c r="P16" s="123" t="s">
        <v>90</v>
      </c>
      <c r="Q16" s="124"/>
      <c r="R16" s="125"/>
      <c r="S16" s="123" t="s">
        <v>56</v>
      </c>
      <c r="T16" s="124"/>
      <c r="U16" s="125"/>
      <c r="V16" s="123" t="s">
        <v>110</v>
      </c>
      <c r="W16" s="124"/>
      <c r="X16" s="125"/>
      <c r="Y16" s="123" t="s">
        <v>109</v>
      </c>
      <c r="Z16" s="124"/>
      <c r="AA16" s="125"/>
      <c r="AC16" s="123" t="s">
        <v>9</v>
      </c>
      <c r="AD16" s="124"/>
      <c r="AE16" s="125"/>
      <c r="AF16" s="123" t="s">
        <v>111</v>
      </c>
      <c r="AG16" s="124"/>
      <c r="AH16" s="125"/>
      <c r="AI16" s="123" t="s">
        <v>112</v>
      </c>
      <c r="AJ16" s="124"/>
      <c r="AK16" s="125"/>
      <c r="AL16" s="123" t="s">
        <v>93</v>
      </c>
      <c r="AM16" s="124"/>
      <c r="AN16" s="125"/>
      <c r="AO16" s="20"/>
      <c r="AP16" s="123"/>
      <c r="AQ16" s="124"/>
      <c r="AR16" s="125"/>
      <c r="AS16" s="123"/>
      <c r="AT16" s="124"/>
      <c r="AU16" s="125"/>
      <c r="AV16" s="123"/>
      <c r="AW16" s="124"/>
      <c r="AX16" s="125"/>
      <c r="AY16" s="123"/>
      <c r="AZ16" s="124"/>
      <c r="BA16" s="125"/>
      <c r="BB16" s="20"/>
      <c r="BC16" t="s">
        <v>96</v>
      </c>
      <c r="BD16" s="2">
        <v>3</v>
      </c>
      <c r="BE16" s="2">
        <v>2</v>
      </c>
      <c r="BF16" s="2">
        <v>2</v>
      </c>
      <c r="BG16" s="2">
        <v>2</v>
      </c>
      <c r="BH16" s="2">
        <v>3</v>
      </c>
      <c r="BI16" s="2">
        <v>2</v>
      </c>
      <c r="BJ16" s="2">
        <v>1</v>
      </c>
      <c r="BK16" s="2">
        <v>2</v>
      </c>
      <c r="BL16" s="2">
        <v>2</v>
      </c>
      <c r="BM16" s="2">
        <v>2</v>
      </c>
      <c r="BO16" s="2">
        <v>1</v>
      </c>
      <c r="BP16" s="2" t="s">
        <v>26</v>
      </c>
      <c r="BQ16" s="2">
        <f>BP17</f>
        <v>2</v>
      </c>
      <c r="BR16" s="2">
        <f>BP18</f>
        <v>1</v>
      </c>
    </row>
    <row r="17" spans="1:70" ht="12" customHeight="1" x14ac:dyDescent="0.2">
      <c r="A17" s="121" t="s">
        <v>13</v>
      </c>
      <c r="B17" s="122"/>
      <c r="C17" s="9">
        <v>75</v>
      </c>
      <c r="D17" s="56">
        <v>-2</v>
      </c>
      <c r="E17" s="9">
        <v>40</v>
      </c>
      <c r="F17" s="9">
        <v>89</v>
      </c>
      <c r="G17" s="56">
        <v>26</v>
      </c>
      <c r="H17" s="9">
        <v>36</v>
      </c>
      <c r="I17" s="9">
        <v>89</v>
      </c>
      <c r="J17" s="56">
        <v>20</v>
      </c>
      <c r="K17" s="9">
        <v>35</v>
      </c>
      <c r="L17" s="9">
        <v>96</v>
      </c>
      <c r="M17" s="56">
        <v>-44</v>
      </c>
      <c r="N17" s="9">
        <v>29</v>
      </c>
      <c r="P17" s="9">
        <v>90</v>
      </c>
      <c r="Q17" s="56">
        <v>23</v>
      </c>
      <c r="R17" s="9">
        <v>37</v>
      </c>
      <c r="S17" s="9">
        <v>90</v>
      </c>
      <c r="T17" s="56">
        <v>-1</v>
      </c>
      <c r="U17" s="9">
        <v>35</v>
      </c>
      <c r="V17" s="9">
        <v>96</v>
      </c>
      <c r="W17" s="56">
        <v>-11</v>
      </c>
      <c r="X17" s="9">
        <v>29</v>
      </c>
      <c r="Y17" s="9">
        <v>77</v>
      </c>
      <c r="Z17" s="56">
        <v>-11</v>
      </c>
      <c r="AA17" s="9">
        <v>36</v>
      </c>
      <c r="AC17" s="9">
        <v>90</v>
      </c>
      <c r="AD17" s="56">
        <v>8</v>
      </c>
      <c r="AE17" s="9">
        <v>34</v>
      </c>
      <c r="AF17" s="9">
        <v>101</v>
      </c>
      <c r="AG17" s="56">
        <v>-10</v>
      </c>
      <c r="AH17" s="9">
        <v>31</v>
      </c>
      <c r="AI17" s="9">
        <v>104</v>
      </c>
      <c r="AJ17" s="56">
        <v>4</v>
      </c>
      <c r="AK17" s="9">
        <v>30</v>
      </c>
      <c r="AL17" s="9">
        <v>86</v>
      </c>
      <c r="AM17" s="56">
        <v>-2</v>
      </c>
      <c r="AN17" s="9">
        <v>34</v>
      </c>
      <c r="AP17" s="9"/>
      <c r="AQ17" s="56"/>
      <c r="AR17" s="9"/>
      <c r="AS17" s="9"/>
      <c r="AT17" s="56"/>
      <c r="AU17" s="9"/>
      <c r="AV17" s="9"/>
      <c r="AW17" s="56"/>
      <c r="AX17" s="9"/>
      <c r="AY17" s="9"/>
      <c r="AZ17" s="56"/>
      <c r="BA17" s="9"/>
      <c r="BC17" t="s">
        <v>108</v>
      </c>
      <c r="BD17" s="2">
        <v>2</v>
      </c>
      <c r="BE17" s="2">
        <v>2</v>
      </c>
      <c r="BF17" s="2">
        <v>3</v>
      </c>
      <c r="BG17" s="2">
        <v>2</v>
      </c>
      <c r="BH17" s="2">
        <v>2</v>
      </c>
      <c r="BI17" s="2">
        <v>2</v>
      </c>
      <c r="BJ17" s="2">
        <v>2</v>
      </c>
      <c r="BL17" s="2">
        <v>3</v>
      </c>
      <c r="BM17" s="2">
        <v>3</v>
      </c>
      <c r="BN17" s="2">
        <v>2</v>
      </c>
      <c r="BO17" s="2">
        <v>2</v>
      </c>
      <c r="BP17" s="2">
        <v>2</v>
      </c>
      <c r="BQ17" s="2" t="s">
        <v>26</v>
      </c>
      <c r="BR17" s="2">
        <f>BQ18</f>
        <v>2</v>
      </c>
    </row>
    <row r="18" spans="1:70" ht="12" customHeight="1" x14ac:dyDescent="0.2">
      <c r="A18" s="1"/>
      <c r="B18" s="2">
        <v>9</v>
      </c>
      <c r="C18" s="123" t="s">
        <v>41</v>
      </c>
      <c r="D18" s="124"/>
      <c r="E18" s="125"/>
      <c r="F18" s="123" t="s">
        <v>5</v>
      </c>
      <c r="G18" s="124"/>
      <c r="H18" s="125"/>
      <c r="I18" s="123" t="s">
        <v>91</v>
      </c>
      <c r="J18" s="124"/>
      <c r="K18" s="125"/>
      <c r="L18" s="123" t="s">
        <v>10</v>
      </c>
      <c r="M18" s="124"/>
      <c r="N18" s="125"/>
      <c r="P18" s="123" t="s">
        <v>42</v>
      </c>
      <c r="Q18" s="124"/>
      <c r="R18" s="125"/>
      <c r="S18" s="123" t="s">
        <v>99</v>
      </c>
      <c r="T18" s="124"/>
      <c r="U18" s="125"/>
      <c r="V18" s="123" t="s">
        <v>9</v>
      </c>
      <c r="W18" s="124"/>
      <c r="X18" s="125"/>
      <c r="Y18" s="123" t="s">
        <v>45</v>
      </c>
      <c r="Z18" s="124"/>
      <c r="AA18" s="125"/>
      <c r="AC18" s="123" t="s">
        <v>64</v>
      </c>
      <c r="AD18" s="124"/>
      <c r="AE18" s="125"/>
      <c r="AF18" s="123" t="s">
        <v>90</v>
      </c>
      <c r="AG18" s="124"/>
      <c r="AH18" s="125"/>
      <c r="AI18" s="123" t="s">
        <v>113</v>
      </c>
      <c r="AJ18" s="124"/>
      <c r="AK18" s="125"/>
      <c r="AL18" s="123" t="s">
        <v>32</v>
      </c>
      <c r="AM18" s="124"/>
      <c r="AN18" s="125"/>
      <c r="AO18" s="20"/>
      <c r="AP18" s="123"/>
      <c r="AQ18" s="124"/>
      <c r="AR18" s="125"/>
      <c r="AS18" s="123"/>
      <c r="AT18" s="124"/>
      <c r="AU18" s="125"/>
      <c r="AV18" s="123"/>
      <c r="AW18" s="124"/>
      <c r="AX18" s="125"/>
      <c r="AY18" s="123"/>
      <c r="AZ18" s="124"/>
      <c r="BA18" s="125"/>
      <c r="BB18" s="20"/>
      <c r="BC18" t="s">
        <v>114</v>
      </c>
      <c r="BD18" s="2">
        <v>3</v>
      </c>
      <c r="BE18" s="2">
        <v>1</v>
      </c>
      <c r="BF18" s="2">
        <v>1</v>
      </c>
      <c r="BG18" s="2">
        <v>3</v>
      </c>
      <c r="BH18" s="2">
        <v>3</v>
      </c>
      <c r="BI18" s="2">
        <v>2</v>
      </c>
      <c r="BJ18" s="2">
        <v>2</v>
      </c>
      <c r="BK18" s="2">
        <v>2</v>
      </c>
      <c r="BL18" s="2">
        <v>2</v>
      </c>
      <c r="BM18" s="2">
        <v>3</v>
      </c>
      <c r="BN18" s="2">
        <v>2</v>
      </c>
      <c r="BO18" s="2">
        <v>2</v>
      </c>
      <c r="BP18" s="2">
        <v>1</v>
      </c>
      <c r="BQ18" s="2">
        <v>2</v>
      </c>
      <c r="BR18" s="2" t="s">
        <v>26</v>
      </c>
    </row>
    <row r="19" spans="1:70" ht="12" customHeight="1" x14ac:dyDescent="0.2">
      <c r="A19" s="121" t="s">
        <v>13</v>
      </c>
      <c r="B19" s="122"/>
      <c r="C19" s="9">
        <v>81</v>
      </c>
      <c r="D19" s="56">
        <v>10</v>
      </c>
      <c r="E19" s="9">
        <v>34</v>
      </c>
      <c r="F19" s="9">
        <v>96</v>
      </c>
      <c r="G19" s="56">
        <v>12</v>
      </c>
      <c r="H19" s="9">
        <v>29</v>
      </c>
      <c r="I19" s="9">
        <v>83</v>
      </c>
      <c r="J19" s="56">
        <v>-16</v>
      </c>
      <c r="K19" s="9">
        <v>37</v>
      </c>
      <c r="L19" s="9">
        <v>92</v>
      </c>
      <c r="M19" s="56">
        <v>-6</v>
      </c>
      <c r="N19" s="9">
        <v>26</v>
      </c>
      <c r="P19" s="9">
        <v>94</v>
      </c>
      <c r="Q19" s="56">
        <v>-16</v>
      </c>
      <c r="R19" s="9">
        <v>30</v>
      </c>
      <c r="S19" s="9">
        <v>87</v>
      </c>
      <c r="T19" s="56">
        <v>38</v>
      </c>
      <c r="U19" s="9">
        <v>39</v>
      </c>
      <c r="V19" s="9">
        <v>82</v>
      </c>
      <c r="W19" s="56">
        <v>-10</v>
      </c>
      <c r="X19" s="9">
        <v>42</v>
      </c>
      <c r="Y19" s="9">
        <v>97</v>
      </c>
      <c r="Z19" s="56">
        <v>-12</v>
      </c>
      <c r="AA19" s="9">
        <v>37</v>
      </c>
      <c r="AC19" s="9">
        <v>89</v>
      </c>
      <c r="AD19" s="56">
        <v>8</v>
      </c>
      <c r="AE19" s="9">
        <v>35</v>
      </c>
      <c r="AF19" s="9">
        <v>90</v>
      </c>
      <c r="AG19" s="56">
        <v>4</v>
      </c>
      <c r="AH19" s="9">
        <v>37</v>
      </c>
      <c r="AI19" s="9">
        <v>110</v>
      </c>
      <c r="AJ19" s="56">
        <v>-14</v>
      </c>
      <c r="AK19" s="9">
        <v>25</v>
      </c>
      <c r="AL19" s="9">
        <v>98</v>
      </c>
      <c r="AM19" s="56">
        <v>2</v>
      </c>
      <c r="AN19" s="9">
        <v>36</v>
      </c>
      <c r="AP19" s="9"/>
      <c r="AQ19" s="56"/>
      <c r="AR19" s="9"/>
      <c r="AS19" s="9"/>
      <c r="AT19" s="56"/>
      <c r="AU19" s="9"/>
      <c r="AV19" s="9"/>
      <c r="AW19" s="56"/>
      <c r="AX19" s="9"/>
      <c r="AY19" s="9"/>
      <c r="AZ19" s="56"/>
      <c r="BA19" s="9"/>
      <c r="BC19" t="s">
        <v>14</v>
      </c>
      <c r="BD19" s="2">
        <f>SUM(BD5:BD18)</f>
        <v>40</v>
      </c>
      <c r="BE19" s="2">
        <f>SUM(BE4:BE18)</f>
        <v>27</v>
      </c>
      <c r="BF19" s="2">
        <f t="shared" ref="BF19:BR19" si="0">SUM(BF4:BF18)</f>
        <v>28</v>
      </c>
      <c r="BG19" s="2">
        <f t="shared" si="0"/>
        <v>41</v>
      </c>
      <c r="BH19" s="2">
        <f t="shared" si="0"/>
        <v>34</v>
      </c>
      <c r="BI19" s="2">
        <f t="shared" si="0"/>
        <v>29</v>
      </c>
      <c r="BJ19" s="2">
        <f t="shared" si="0"/>
        <v>29</v>
      </c>
      <c r="BK19" s="2">
        <f t="shared" si="0"/>
        <v>21</v>
      </c>
      <c r="BL19" s="2">
        <f t="shared" si="0"/>
        <v>38</v>
      </c>
      <c r="BM19" s="2">
        <f t="shared" si="0"/>
        <v>33</v>
      </c>
      <c r="BN19" s="2">
        <f t="shared" si="0"/>
        <v>25</v>
      </c>
      <c r="BO19" s="2">
        <f t="shared" si="0"/>
        <v>34</v>
      </c>
      <c r="BP19" s="2">
        <f t="shared" si="0"/>
        <v>25</v>
      </c>
      <c r="BQ19" s="2">
        <f t="shared" si="0"/>
        <v>29</v>
      </c>
      <c r="BR19" s="2">
        <f t="shared" si="0"/>
        <v>29</v>
      </c>
    </row>
    <row r="20" spans="1:70" ht="12" customHeight="1" x14ac:dyDescent="0.2">
      <c r="A20" s="1"/>
      <c r="B20" s="2">
        <v>10</v>
      </c>
      <c r="C20" s="123" t="s">
        <v>91</v>
      </c>
      <c r="D20" s="124"/>
      <c r="E20" s="125"/>
      <c r="F20" s="123" t="s">
        <v>3</v>
      </c>
      <c r="G20" s="124"/>
      <c r="H20" s="125"/>
      <c r="I20" s="123" t="s">
        <v>99</v>
      </c>
      <c r="J20" s="124"/>
      <c r="K20" s="125"/>
      <c r="L20" s="123" t="s">
        <v>45</v>
      </c>
      <c r="M20" s="124"/>
      <c r="N20" s="125"/>
      <c r="P20" s="123" t="s">
        <v>10</v>
      </c>
      <c r="Q20" s="124"/>
      <c r="R20" s="125"/>
      <c r="S20" s="123" t="s">
        <v>41</v>
      </c>
      <c r="T20" s="124"/>
      <c r="U20" s="125"/>
      <c r="V20" s="123" t="s">
        <v>33</v>
      </c>
      <c r="W20" s="124"/>
      <c r="X20" s="125"/>
      <c r="Y20" s="123" t="s">
        <v>68</v>
      </c>
      <c r="Z20" s="124"/>
      <c r="AA20" s="125"/>
      <c r="AC20" s="123"/>
      <c r="AD20" s="124"/>
      <c r="AE20" s="125"/>
      <c r="AF20" s="123"/>
      <c r="AG20" s="124"/>
      <c r="AH20" s="125"/>
      <c r="AI20" s="123"/>
      <c r="AJ20" s="124"/>
      <c r="AK20" s="125"/>
      <c r="AL20" s="123"/>
      <c r="AM20" s="124"/>
      <c r="AN20" s="125"/>
      <c r="AO20" s="20"/>
      <c r="AP20" s="123"/>
      <c r="AQ20" s="124"/>
      <c r="AR20" s="125"/>
      <c r="AS20" s="123"/>
      <c r="AT20" s="124"/>
      <c r="AU20" s="125"/>
      <c r="AV20" s="123"/>
      <c r="AW20" s="124"/>
      <c r="AX20" s="125"/>
      <c r="AY20" s="123"/>
      <c r="AZ20" s="124"/>
      <c r="BA20" s="125"/>
      <c r="BB20" s="20"/>
    </row>
    <row r="21" spans="1:70" ht="12" customHeight="1" x14ac:dyDescent="0.2">
      <c r="A21" s="121" t="s">
        <v>13</v>
      </c>
      <c r="B21" s="122"/>
      <c r="C21" s="9">
        <v>77</v>
      </c>
      <c r="D21" s="56">
        <v>10</v>
      </c>
      <c r="E21" s="9">
        <v>42</v>
      </c>
      <c r="F21" s="9">
        <v>75</v>
      </c>
      <c r="G21" s="56">
        <v>26</v>
      </c>
      <c r="H21" s="9">
        <v>38</v>
      </c>
      <c r="I21" s="9">
        <v>96</v>
      </c>
      <c r="J21" s="56">
        <v>-12</v>
      </c>
      <c r="K21" s="9">
        <v>30</v>
      </c>
      <c r="L21" s="9">
        <v>110</v>
      </c>
      <c r="M21" s="56">
        <v>-24</v>
      </c>
      <c r="N21" s="9">
        <v>25</v>
      </c>
      <c r="P21" s="9">
        <v>79</v>
      </c>
      <c r="Q21" s="56">
        <v>14</v>
      </c>
      <c r="R21" s="9">
        <v>37</v>
      </c>
      <c r="S21" s="9">
        <v>85</v>
      </c>
      <c r="T21" s="56">
        <v>8</v>
      </c>
      <c r="U21" s="9">
        <v>32</v>
      </c>
      <c r="V21" s="9">
        <v>103</v>
      </c>
      <c r="W21" s="56">
        <v>-8</v>
      </c>
      <c r="X21" s="9">
        <v>29</v>
      </c>
      <c r="Y21" s="9">
        <v>96</v>
      </c>
      <c r="Z21" s="56">
        <v>-12</v>
      </c>
      <c r="AA21" s="9">
        <v>30</v>
      </c>
      <c r="AC21" s="9"/>
      <c r="AD21" s="56"/>
      <c r="AE21" s="9"/>
      <c r="AF21" s="9"/>
      <c r="AG21" s="56"/>
      <c r="AH21" s="9"/>
      <c r="AI21" s="9"/>
      <c r="AJ21" s="56"/>
      <c r="AK21" s="9"/>
      <c r="AL21" s="9"/>
      <c r="AM21" s="56"/>
      <c r="AN21" s="9"/>
      <c r="AP21" s="9"/>
      <c r="AQ21" s="56"/>
      <c r="AR21" s="9"/>
      <c r="AS21" s="9"/>
      <c r="AT21" s="56"/>
      <c r="AU21" s="9"/>
      <c r="AV21" s="9"/>
      <c r="AW21" s="56"/>
      <c r="AX21" s="9"/>
      <c r="AY21" s="9"/>
      <c r="AZ21" s="56"/>
      <c r="BA21" s="9"/>
      <c r="BD21" s="2"/>
      <c r="BE21" s="2"/>
      <c r="BF21" s="2"/>
      <c r="BG21" s="2"/>
      <c r="BH21" s="2"/>
      <c r="BI21" s="2"/>
      <c r="BJ21" s="2"/>
      <c r="BK21" s="2"/>
      <c r="BL21" s="2"/>
      <c r="BM21" s="2"/>
      <c r="BO21" s="2"/>
    </row>
    <row r="22" spans="1:70" ht="12" customHeight="1" x14ac:dyDescent="0.2">
      <c r="A22" s="1"/>
      <c r="B22" s="2">
        <v>11</v>
      </c>
      <c r="C22" s="123" t="s">
        <v>115</v>
      </c>
      <c r="D22" s="124"/>
      <c r="E22" s="125"/>
      <c r="F22" s="123" t="s">
        <v>41</v>
      </c>
      <c r="G22" s="124"/>
      <c r="H22" s="125"/>
      <c r="I22" s="123" t="s">
        <v>68</v>
      </c>
      <c r="J22" s="124"/>
      <c r="K22" s="125"/>
      <c r="L22" s="123" t="s">
        <v>91</v>
      </c>
      <c r="M22" s="124"/>
      <c r="N22" s="125"/>
      <c r="P22" s="123" t="s">
        <v>86</v>
      </c>
      <c r="Q22" s="124"/>
      <c r="R22" s="125"/>
      <c r="S22" s="123" t="s">
        <v>10</v>
      </c>
      <c r="T22" s="124"/>
      <c r="U22" s="125"/>
      <c r="V22" s="123" t="s">
        <v>92</v>
      </c>
      <c r="W22" s="124"/>
      <c r="X22" s="125"/>
      <c r="Y22" s="123" t="s">
        <v>64</v>
      </c>
      <c r="Z22" s="124"/>
      <c r="AA22" s="125"/>
      <c r="AC22" s="123" t="s">
        <v>99</v>
      </c>
      <c r="AD22" s="124"/>
      <c r="AE22" s="125"/>
      <c r="AF22" s="123" t="s">
        <v>32</v>
      </c>
      <c r="AG22" s="124"/>
      <c r="AH22" s="125"/>
      <c r="AI22" s="123" t="s">
        <v>109</v>
      </c>
      <c r="AJ22" s="124"/>
      <c r="AK22" s="125"/>
      <c r="AL22" s="123" t="s">
        <v>2</v>
      </c>
      <c r="AM22" s="124"/>
      <c r="AN22" s="125"/>
      <c r="AO22" s="20"/>
      <c r="AP22" s="123"/>
      <c r="AQ22" s="124"/>
      <c r="AR22" s="125"/>
      <c r="AS22" s="123"/>
      <c r="AT22" s="124"/>
      <c r="AU22" s="125"/>
      <c r="AV22" s="123"/>
      <c r="AW22" s="124"/>
      <c r="AX22" s="125"/>
      <c r="AY22" s="123"/>
      <c r="AZ22" s="124"/>
      <c r="BA22" s="125"/>
      <c r="BB22" s="20"/>
    </row>
    <row r="23" spans="1:70" ht="12" customHeight="1" x14ac:dyDescent="0.2">
      <c r="A23" s="121" t="s">
        <v>13</v>
      </c>
      <c r="B23" s="122"/>
      <c r="C23" s="9">
        <v>113</v>
      </c>
      <c r="D23" s="56">
        <v>-3</v>
      </c>
      <c r="E23" s="9">
        <v>25</v>
      </c>
      <c r="F23" s="9">
        <v>85</v>
      </c>
      <c r="G23" s="56">
        <v>17</v>
      </c>
      <c r="H23" s="9">
        <v>30</v>
      </c>
      <c r="I23" s="9">
        <v>98</v>
      </c>
      <c r="J23" s="56">
        <v>-17</v>
      </c>
      <c r="K23" s="9">
        <v>25</v>
      </c>
      <c r="L23" s="9">
        <v>84</v>
      </c>
      <c r="M23" s="56">
        <v>3</v>
      </c>
      <c r="N23" s="9">
        <v>35</v>
      </c>
      <c r="P23" s="9">
        <v>75</v>
      </c>
      <c r="Q23" s="56">
        <v>-8</v>
      </c>
      <c r="R23" s="9">
        <v>33</v>
      </c>
      <c r="S23" s="9">
        <v>81</v>
      </c>
      <c r="T23" s="56">
        <v>42</v>
      </c>
      <c r="U23" s="9">
        <v>35</v>
      </c>
      <c r="V23" s="9">
        <v>106</v>
      </c>
      <c r="W23" s="56">
        <v>-10</v>
      </c>
      <c r="X23" s="9">
        <v>28</v>
      </c>
      <c r="Y23" s="9">
        <v>94</v>
      </c>
      <c r="Z23" s="56">
        <v>-24</v>
      </c>
      <c r="AA23" s="9">
        <v>30</v>
      </c>
      <c r="AC23" s="9">
        <v>98</v>
      </c>
      <c r="AD23" s="56">
        <v>-24</v>
      </c>
      <c r="AE23" s="9">
        <v>28</v>
      </c>
      <c r="AF23" s="9">
        <v>108</v>
      </c>
      <c r="AG23" s="56">
        <v>14</v>
      </c>
      <c r="AH23" s="9">
        <v>27</v>
      </c>
      <c r="AI23" s="9">
        <v>76</v>
      </c>
      <c r="AJ23" s="56">
        <v>-8</v>
      </c>
      <c r="AK23" s="9">
        <v>37</v>
      </c>
      <c r="AL23" s="9">
        <v>90</v>
      </c>
      <c r="AM23" s="56">
        <v>12</v>
      </c>
      <c r="AN23" s="9">
        <v>38</v>
      </c>
      <c r="AP23" s="9"/>
      <c r="AQ23" s="56"/>
      <c r="AR23" s="9"/>
      <c r="AS23" s="9"/>
      <c r="AT23" s="56"/>
      <c r="AU23" s="9"/>
      <c r="AV23" s="9"/>
      <c r="AW23" s="56"/>
      <c r="AX23" s="9"/>
      <c r="AY23" s="9"/>
      <c r="AZ23" s="56"/>
      <c r="BA23" s="9"/>
    </row>
    <row r="24" spans="1:70" ht="12" customHeight="1" x14ac:dyDescent="0.2">
      <c r="A24" s="1"/>
      <c r="B24" s="2">
        <v>12</v>
      </c>
      <c r="C24" s="123" t="s">
        <v>3</v>
      </c>
      <c r="D24" s="124"/>
      <c r="E24" s="125"/>
      <c r="F24" s="123" t="s">
        <v>64</v>
      </c>
      <c r="G24" s="124"/>
      <c r="H24" s="125"/>
      <c r="I24" s="123" t="s">
        <v>91</v>
      </c>
      <c r="J24" s="124"/>
      <c r="K24" s="125"/>
      <c r="L24" s="123" t="s">
        <v>9</v>
      </c>
      <c r="M24" s="124"/>
      <c r="N24" s="125"/>
      <c r="P24" s="123" t="s">
        <v>32</v>
      </c>
      <c r="Q24" s="124"/>
      <c r="R24" s="125"/>
      <c r="S24" s="123" t="s">
        <v>33</v>
      </c>
      <c r="T24" s="124"/>
      <c r="U24" s="125"/>
      <c r="V24" s="123" t="s">
        <v>97</v>
      </c>
      <c r="W24" s="124"/>
      <c r="X24" s="125"/>
      <c r="Y24" s="123" t="s">
        <v>42</v>
      </c>
      <c r="Z24" s="124"/>
      <c r="AA24" s="125"/>
      <c r="AC24" s="123"/>
      <c r="AD24" s="124"/>
      <c r="AE24" s="125"/>
      <c r="AF24" s="123"/>
      <c r="AG24" s="124"/>
      <c r="AH24" s="125"/>
      <c r="AI24" s="123"/>
      <c r="AJ24" s="124"/>
      <c r="AK24" s="125"/>
      <c r="AL24" s="123"/>
      <c r="AM24" s="124"/>
      <c r="AN24" s="125"/>
      <c r="AO24" s="20"/>
      <c r="AP24" s="123"/>
      <c r="AQ24" s="124"/>
      <c r="AR24" s="125"/>
      <c r="AS24" s="123"/>
      <c r="AT24" s="124"/>
      <c r="AU24" s="125"/>
      <c r="AV24" s="123"/>
      <c r="AW24" s="124"/>
      <c r="AX24" s="125"/>
      <c r="AY24" s="123"/>
      <c r="AZ24" s="124"/>
      <c r="BA24" s="125"/>
      <c r="BB24" s="20"/>
    </row>
    <row r="25" spans="1:70" ht="12" customHeight="1" x14ac:dyDescent="0.2">
      <c r="A25" s="121" t="s">
        <v>13</v>
      </c>
      <c r="B25" s="122"/>
      <c r="C25" s="9">
        <v>73</v>
      </c>
      <c r="D25" s="56">
        <v>27</v>
      </c>
      <c r="E25" s="9">
        <v>40</v>
      </c>
      <c r="F25" s="9">
        <v>95</v>
      </c>
      <c r="G25" s="56">
        <v>22</v>
      </c>
      <c r="H25" s="9">
        <v>29</v>
      </c>
      <c r="I25" s="9">
        <v>85</v>
      </c>
      <c r="J25" s="56">
        <v>-7</v>
      </c>
      <c r="K25" s="9">
        <v>34</v>
      </c>
      <c r="L25" s="9">
        <v>100</v>
      </c>
      <c r="M25" s="56">
        <v>-42</v>
      </c>
      <c r="N25" s="9">
        <v>24</v>
      </c>
      <c r="P25" s="9">
        <v>99</v>
      </c>
      <c r="Q25" s="56">
        <v>19</v>
      </c>
      <c r="R25" s="9">
        <v>35</v>
      </c>
      <c r="S25" s="9">
        <v>102</v>
      </c>
      <c r="T25" s="56">
        <v>7</v>
      </c>
      <c r="U25" s="9">
        <v>32</v>
      </c>
      <c r="V25" s="9">
        <v>103</v>
      </c>
      <c r="W25" s="56">
        <v>-29</v>
      </c>
      <c r="X25" s="9">
        <v>24</v>
      </c>
      <c r="Y25" s="9">
        <v>87</v>
      </c>
      <c r="Z25" s="56">
        <v>3</v>
      </c>
      <c r="AA25" s="9">
        <v>37</v>
      </c>
      <c r="AC25" s="9"/>
      <c r="AD25" s="56"/>
      <c r="AE25" s="9"/>
      <c r="AF25" s="9"/>
      <c r="AG25" s="56"/>
      <c r="AH25" s="9"/>
      <c r="AI25" s="9"/>
      <c r="AJ25" s="56"/>
      <c r="AK25" s="9"/>
      <c r="AL25" s="9"/>
      <c r="AM25" s="56"/>
      <c r="AN25" s="9"/>
      <c r="AP25" s="9"/>
      <c r="AQ25" s="56"/>
      <c r="AR25" s="9"/>
      <c r="AS25" s="9"/>
      <c r="AT25" s="56"/>
      <c r="AU25" s="9"/>
      <c r="AV25" s="9"/>
      <c r="AW25" s="56"/>
      <c r="AX25" s="9"/>
      <c r="AY25" s="9"/>
      <c r="AZ25" s="56"/>
      <c r="BA25" s="9"/>
    </row>
    <row r="26" spans="1:70" ht="12" customHeight="1" x14ac:dyDescent="0.2">
      <c r="A26" s="1"/>
      <c r="B26" s="2">
        <v>13</v>
      </c>
      <c r="C26" s="123" t="s">
        <v>41</v>
      </c>
      <c r="D26" s="124"/>
      <c r="E26" s="125"/>
      <c r="F26" s="123" t="s">
        <v>42</v>
      </c>
      <c r="G26" s="124"/>
      <c r="H26" s="125"/>
      <c r="I26" s="123" t="s">
        <v>9</v>
      </c>
      <c r="J26" s="124"/>
      <c r="K26" s="125"/>
      <c r="L26" s="123" t="s">
        <v>11</v>
      </c>
      <c r="M26" s="124"/>
      <c r="N26" s="125"/>
      <c r="P26" s="123" t="s">
        <v>45</v>
      </c>
      <c r="Q26" s="124"/>
      <c r="R26" s="125"/>
      <c r="S26" s="123" t="s">
        <v>32</v>
      </c>
      <c r="T26" s="124"/>
      <c r="U26" s="125"/>
      <c r="V26" s="123" t="s">
        <v>64</v>
      </c>
      <c r="W26" s="124"/>
      <c r="X26" s="125"/>
      <c r="Y26" s="123" t="s">
        <v>58</v>
      </c>
      <c r="Z26" s="124"/>
      <c r="AA26" s="125"/>
      <c r="AC26" s="123" t="s">
        <v>2</v>
      </c>
      <c r="AD26" s="124"/>
      <c r="AE26" s="125"/>
      <c r="AF26" s="123" t="s">
        <v>33</v>
      </c>
      <c r="AG26" s="124"/>
      <c r="AH26" s="125"/>
      <c r="AI26" s="123" t="s">
        <v>99</v>
      </c>
      <c r="AJ26" s="124"/>
      <c r="AK26" s="125"/>
      <c r="AL26" s="123" t="s">
        <v>56</v>
      </c>
      <c r="AM26" s="124"/>
      <c r="AN26" s="125"/>
      <c r="AO26" s="20"/>
      <c r="AP26" s="123"/>
      <c r="AQ26" s="124"/>
      <c r="AR26" s="125"/>
      <c r="AS26" s="123"/>
      <c r="AT26" s="124"/>
      <c r="AU26" s="125"/>
      <c r="AV26" s="123"/>
      <c r="AW26" s="124"/>
      <c r="AX26" s="125"/>
      <c r="AY26" s="123"/>
      <c r="AZ26" s="124"/>
      <c r="BA26" s="125"/>
      <c r="BB26" s="20"/>
    </row>
    <row r="27" spans="1:70" ht="12" customHeight="1" x14ac:dyDescent="0.2">
      <c r="A27" s="121" t="s">
        <v>13</v>
      </c>
      <c r="B27" s="122"/>
      <c r="C27" s="9">
        <v>89</v>
      </c>
      <c r="D27" s="56">
        <v>6</v>
      </c>
      <c r="E27" s="9">
        <v>27</v>
      </c>
      <c r="F27" s="9">
        <v>109</v>
      </c>
      <c r="G27" s="56">
        <v>-2</v>
      </c>
      <c r="H27" s="9">
        <v>17</v>
      </c>
      <c r="I27" s="9">
        <v>94</v>
      </c>
      <c r="J27" s="56">
        <v>-28</v>
      </c>
      <c r="K27" s="9">
        <v>29</v>
      </c>
      <c r="L27" s="9">
        <v>98</v>
      </c>
      <c r="M27" s="56">
        <v>20</v>
      </c>
      <c r="N27" s="9">
        <v>29</v>
      </c>
      <c r="P27" s="9">
        <v>113</v>
      </c>
      <c r="Q27" s="56">
        <v>-20</v>
      </c>
      <c r="R27" s="9">
        <v>19</v>
      </c>
      <c r="S27" s="9">
        <v>99</v>
      </c>
      <c r="T27" s="56">
        <v>12</v>
      </c>
      <c r="U27" s="9">
        <v>35</v>
      </c>
      <c r="V27" s="9">
        <v>92</v>
      </c>
      <c r="W27" s="56">
        <v>-6</v>
      </c>
      <c r="X27" s="9">
        <v>32</v>
      </c>
      <c r="Y27" s="9">
        <v>85</v>
      </c>
      <c r="Z27" s="56">
        <v>14</v>
      </c>
      <c r="AA27" s="9">
        <v>31</v>
      </c>
      <c r="AC27" s="9">
        <v>93</v>
      </c>
      <c r="AD27" s="56">
        <v>-3</v>
      </c>
      <c r="AE27" s="9">
        <v>32</v>
      </c>
      <c r="AF27" s="9">
        <v>114</v>
      </c>
      <c r="AG27" s="56">
        <v>-11</v>
      </c>
      <c r="AH27" s="9">
        <v>18</v>
      </c>
      <c r="AI27" s="9">
        <v>89</v>
      </c>
      <c r="AJ27" s="56">
        <v>15</v>
      </c>
      <c r="AK27" s="9">
        <v>37</v>
      </c>
      <c r="AL27" s="9">
        <v>92</v>
      </c>
      <c r="AM27" s="56">
        <v>-1</v>
      </c>
      <c r="AN27" s="9">
        <v>33</v>
      </c>
      <c r="AP27" s="9"/>
      <c r="AQ27" s="56"/>
      <c r="AR27" s="9"/>
      <c r="AS27" s="9"/>
      <c r="AT27" s="56"/>
      <c r="AU27" s="9"/>
      <c r="AV27" s="9"/>
      <c r="AW27" s="56"/>
      <c r="AX27" s="9"/>
      <c r="AY27" s="9"/>
      <c r="AZ27" s="56"/>
      <c r="BA27" s="9"/>
    </row>
    <row r="28" spans="1:70" ht="12" customHeight="1" x14ac:dyDescent="0.2">
      <c r="A28" s="1"/>
      <c r="B28" s="2">
        <v>14</v>
      </c>
      <c r="C28" s="123" t="s">
        <v>41</v>
      </c>
      <c r="D28" s="124"/>
      <c r="E28" s="125"/>
      <c r="F28" s="123" t="s">
        <v>91</v>
      </c>
      <c r="G28" s="124"/>
      <c r="H28" s="125"/>
      <c r="I28" s="123" t="s">
        <v>90</v>
      </c>
      <c r="J28" s="124"/>
      <c r="K28" s="125"/>
      <c r="L28" s="123" t="s">
        <v>45</v>
      </c>
      <c r="M28" s="124"/>
      <c r="N28" s="125"/>
      <c r="P28" s="123" t="s">
        <v>10</v>
      </c>
      <c r="Q28" s="124"/>
      <c r="R28" s="125"/>
      <c r="S28" s="123" t="s">
        <v>99</v>
      </c>
      <c r="T28" s="124"/>
      <c r="U28" s="125"/>
      <c r="V28" s="123" t="s">
        <v>9</v>
      </c>
      <c r="W28" s="124"/>
      <c r="X28" s="125"/>
      <c r="Y28" s="123" t="s">
        <v>94</v>
      </c>
      <c r="Z28" s="124"/>
      <c r="AA28" s="125"/>
      <c r="AC28" s="123" t="s">
        <v>64</v>
      </c>
      <c r="AD28" s="124"/>
      <c r="AE28" s="125"/>
      <c r="AF28" s="123" t="s">
        <v>68</v>
      </c>
      <c r="AG28" s="124"/>
      <c r="AH28" s="125"/>
      <c r="AI28" s="123" t="s">
        <v>11</v>
      </c>
      <c r="AJ28" s="124"/>
      <c r="AK28" s="125"/>
      <c r="AL28" s="123" t="s">
        <v>32</v>
      </c>
      <c r="AM28" s="124"/>
      <c r="AN28" s="125"/>
      <c r="AO28" s="20"/>
      <c r="AP28" s="123"/>
      <c r="AQ28" s="124"/>
      <c r="AR28" s="125"/>
      <c r="AS28" s="123"/>
      <c r="AT28" s="124"/>
      <c r="AU28" s="125"/>
      <c r="AV28" s="123"/>
      <c r="AW28" s="124"/>
      <c r="AX28" s="125"/>
      <c r="AY28" s="123"/>
      <c r="AZ28" s="124"/>
      <c r="BA28" s="125"/>
      <c r="BB28" s="20"/>
    </row>
    <row r="29" spans="1:70" ht="12" customHeight="1" x14ac:dyDescent="0.2">
      <c r="A29" s="121" t="s">
        <v>13</v>
      </c>
      <c r="B29" s="122"/>
      <c r="C29" s="9">
        <v>78</v>
      </c>
      <c r="D29" s="56">
        <v>-2</v>
      </c>
      <c r="E29" s="9">
        <v>37</v>
      </c>
      <c r="F29" s="9">
        <v>83</v>
      </c>
      <c r="G29" s="56">
        <v>8</v>
      </c>
      <c r="H29" s="9">
        <v>36</v>
      </c>
      <c r="I29" s="9">
        <v>90</v>
      </c>
      <c r="J29" s="56">
        <v>20</v>
      </c>
      <c r="K29" s="9">
        <v>35</v>
      </c>
      <c r="L29" s="9">
        <v>107</v>
      </c>
      <c r="M29" s="56">
        <v>-26</v>
      </c>
      <c r="N29" s="9">
        <v>26</v>
      </c>
      <c r="P29" s="9">
        <v>78</v>
      </c>
      <c r="Q29" s="56">
        <v>35</v>
      </c>
      <c r="R29" s="9">
        <v>38</v>
      </c>
      <c r="S29" s="9">
        <v>94</v>
      </c>
      <c r="T29" s="56">
        <v>-13</v>
      </c>
      <c r="U29" s="9">
        <v>32</v>
      </c>
      <c r="V29" s="9">
        <v>93</v>
      </c>
      <c r="W29" s="56">
        <v>-9</v>
      </c>
      <c r="X29" s="9">
        <v>30</v>
      </c>
      <c r="Y29" s="9">
        <v>94</v>
      </c>
      <c r="Z29" s="56">
        <v>-13</v>
      </c>
      <c r="AA29" s="9">
        <v>31</v>
      </c>
      <c r="AC29" s="9">
        <v>91</v>
      </c>
      <c r="AD29" s="56">
        <v>3</v>
      </c>
      <c r="AE29" s="9">
        <v>33</v>
      </c>
      <c r="AF29" s="9">
        <v>91</v>
      </c>
      <c r="AG29" s="56">
        <v>3</v>
      </c>
      <c r="AH29" s="9">
        <v>32</v>
      </c>
      <c r="AI29" s="9">
        <v>92</v>
      </c>
      <c r="AJ29" s="56">
        <v>-17</v>
      </c>
      <c r="AK29" s="9">
        <v>33</v>
      </c>
      <c r="AL29" s="9">
        <v>100</v>
      </c>
      <c r="AM29" s="56">
        <v>11</v>
      </c>
      <c r="AN29" s="9">
        <v>34</v>
      </c>
      <c r="AP29" s="9"/>
      <c r="AQ29" s="56"/>
      <c r="AR29" s="9"/>
      <c r="AS29" s="9"/>
      <c r="AT29" s="56"/>
      <c r="AU29" s="9"/>
      <c r="AV29" s="9"/>
      <c r="AW29" s="56"/>
      <c r="AX29" s="9"/>
      <c r="AY29" s="9"/>
      <c r="AZ29" s="56"/>
      <c r="BA29" s="9"/>
    </row>
    <row r="30" spans="1:70" ht="12" customHeight="1" x14ac:dyDescent="0.2">
      <c r="A30" s="1"/>
      <c r="B30" s="2">
        <v>15</v>
      </c>
      <c r="C30" s="123" t="s">
        <v>11</v>
      </c>
      <c r="D30" s="124"/>
      <c r="E30" s="125"/>
      <c r="F30" s="123" t="s">
        <v>45</v>
      </c>
      <c r="G30" s="124"/>
      <c r="H30" s="125"/>
      <c r="I30" s="123" t="s">
        <v>3</v>
      </c>
      <c r="J30" s="124"/>
      <c r="K30" s="125"/>
      <c r="L30" s="123" t="s">
        <v>10</v>
      </c>
      <c r="M30" s="124"/>
      <c r="N30" s="125"/>
      <c r="P30" s="123" t="s">
        <v>41</v>
      </c>
      <c r="Q30" s="124"/>
      <c r="R30" s="125"/>
      <c r="S30" s="123" t="s">
        <v>32</v>
      </c>
      <c r="T30" s="124"/>
      <c r="U30" s="125"/>
      <c r="V30" s="123" t="s">
        <v>99</v>
      </c>
      <c r="W30" s="124"/>
      <c r="X30" s="125"/>
      <c r="Y30" s="123" t="s">
        <v>9</v>
      </c>
      <c r="Z30" s="124"/>
      <c r="AA30" s="125"/>
      <c r="AC30" s="123" t="s">
        <v>68</v>
      </c>
      <c r="AD30" s="124"/>
      <c r="AE30" s="125"/>
      <c r="AF30" s="123" t="s">
        <v>56</v>
      </c>
      <c r="AG30" s="124"/>
      <c r="AH30" s="125"/>
      <c r="AI30" s="123" t="s">
        <v>91</v>
      </c>
      <c r="AJ30" s="124"/>
      <c r="AK30" s="125"/>
      <c r="AL30" s="123" t="s">
        <v>64</v>
      </c>
      <c r="AM30" s="124"/>
      <c r="AN30" s="125"/>
      <c r="AO30" s="20"/>
      <c r="AP30" s="123"/>
      <c r="AQ30" s="124"/>
      <c r="AR30" s="125"/>
      <c r="AS30" s="123"/>
      <c r="AT30" s="124"/>
      <c r="AU30" s="125"/>
      <c r="AV30" s="123"/>
      <c r="AW30" s="124"/>
      <c r="AX30" s="125"/>
      <c r="AY30" s="123"/>
      <c r="AZ30" s="124"/>
      <c r="BA30" s="125"/>
      <c r="BB30" s="20"/>
    </row>
    <row r="31" spans="1:70" ht="12" customHeight="1" x14ac:dyDescent="0.2">
      <c r="A31" s="121" t="s">
        <v>13</v>
      </c>
      <c r="B31" s="122"/>
      <c r="C31" s="9">
        <v>91</v>
      </c>
      <c r="D31" s="56">
        <v>3</v>
      </c>
      <c r="E31" s="9">
        <v>37</v>
      </c>
      <c r="F31" s="9">
        <v>113</v>
      </c>
      <c r="G31" s="56">
        <v>-13</v>
      </c>
      <c r="H31" s="9">
        <v>20</v>
      </c>
      <c r="I31" s="9">
        <v>78</v>
      </c>
      <c r="J31" s="56">
        <v>-21</v>
      </c>
      <c r="K31" s="9">
        <v>34</v>
      </c>
      <c r="L31" s="9">
        <v>82</v>
      </c>
      <c r="M31" s="56">
        <v>31</v>
      </c>
      <c r="N31" s="9">
        <v>34</v>
      </c>
      <c r="P31" s="9">
        <v>85</v>
      </c>
      <c r="Q31" s="56">
        <v>9</v>
      </c>
      <c r="R31" s="9">
        <v>30</v>
      </c>
      <c r="S31" s="9">
        <v>104</v>
      </c>
      <c r="T31" s="56">
        <v>-13</v>
      </c>
      <c r="U31" s="9">
        <v>30</v>
      </c>
      <c r="V31" s="9">
        <v>93</v>
      </c>
      <c r="W31" s="56">
        <v>-1</v>
      </c>
      <c r="X31" s="9">
        <v>33</v>
      </c>
      <c r="Y31" s="9">
        <v>90</v>
      </c>
      <c r="Z31" s="56">
        <v>5</v>
      </c>
      <c r="AA31" s="9">
        <v>34</v>
      </c>
      <c r="AC31" s="9">
        <v>85</v>
      </c>
      <c r="AD31" s="56">
        <v>16</v>
      </c>
      <c r="AE31" s="9">
        <v>38</v>
      </c>
      <c r="AF31" s="9">
        <v>92</v>
      </c>
      <c r="AG31" s="56">
        <v>26</v>
      </c>
      <c r="AH31" s="9">
        <v>33</v>
      </c>
      <c r="AI31" s="9">
        <v>87</v>
      </c>
      <c r="AJ31" s="56">
        <v>-34</v>
      </c>
      <c r="AK31" s="9">
        <v>31</v>
      </c>
      <c r="AL31" s="9">
        <v>96</v>
      </c>
      <c r="AM31" s="56">
        <v>-8</v>
      </c>
      <c r="AN31" s="9">
        <v>28</v>
      </c>
      <c r="AP31" s="9"/>
      <c r="AQ31" s="56"/>
      <c r="AR31" s="9"/>
      <c r="AS31" s="9"/>
      <c r="AT31" s="56"/>
      <c r="AU31" s="9"/>
      <c r="AV31" s="9"/>
      <c r="AW31" s="56"/>
      <c r="AX31" s="9"/>
      <c r="AY31" s="9"/>
      <c r="AZ31" s="56"/>
      <c r="BA31" s="9"/>
    </row>
    <row r="32" spans="1:70" ht="12" customHeight="1" x14ac:dyDescent="0.2">
      <c r="A32" s="1"/>
      <c r="B32" s="2">
        <v>16</v>
      </c>
      <c r="C32" s="123" t="s">
        <v>42</v>
      </c>
      <c r="D32" s="124"/>
      <c r="E32" s="125"/>
      <c r="F32" s="123" t="s">
        <v>99</v>
      </c>
      <c r="G32" s="124"/>
      <c r="H32" s="125"/>
      <c r="I32" s="123" t="s">
        <v>56</v>
      </c>
      <c r="J32" s="124"/>
      <c r="K32" s="125"/>
      <c r="L32" s="123" t="s">
        <v>64</v>
      </c>
      <c r="M32" s="124"/>
      <c r="N32" s="125"/>
      <c r="P32" s="123" t="s">
        <v>58</v>
      </c>
      <c r="Q32" s="124"/>
      <c r="R32" s="125"/>
      <c r="S32" s="123" t="s">
        <v>32</v>
      </c>
      <c r="T32" s="124"/>
      <c r="U32" s="125"/>
      <c r="V32" s="123" t="s">
        <v>3</v>
      </c>
      <c r="W32" s="124"/>
      <c r="X32" s="125"/>
      <c r="Y32" s="123" t="s">
        <v>10</v>
      </c>
      <c r="Z32" s="124"/>
      <c r="AA32" s="125"/>
      <c r="AC32" s="123" t="s">
        <v>41</v>
      </c>
      <c r="AD32" s="124"/>
      <c r="AE32" s="125"/>
      <c r="AF32" s="123" t="s">
        <v>9</v>
      </c>
      <c r="AG32" s="124"/>
      <c r="AH32" s="125"/>
      <c r="AI32" s="123" t="s">
        <v>86</v>
      </c>
      <c r="AJ32" s="124"/>
      <c r="AK32" s="125"/>
      <c r="AL32" s="123" t="s">
        <v>11</v>
      </c>
      <c r="AM32" s="124"/>
      <c r="AN32" s="125"/>
      <c r="AO32" s="20"/>
      <c r="AP32" s="123"/>
      <c r="AQ32" s="124"/>
      <c r="AR32" s="125"/>
      <c r="AS32" s="123"/>
      <c r="AT32" s="124"/>
      <c r="AU32" s="125"/>
      <c r="AV32" s="123"/>
      <c r="AW32" s="124"/>
      <c r="AX32" s="125"/>
      <c r="AY32" s="123"/>
      <c r="AZ32" s="124"/>
      <c r="BA32" s="125"/>
      <c r="BB32" s="20"/>
    </row>
    <row r="33" spans="1:54" ht="12" customHeight="1" x14ac:dyDescent="0.2">
      <c r="A33" s="121" t="s">
        <v>13</v>
      </c>
      <c r="B33" s="122"/>
      <c r="C33" s="9">
        <v>97</v>
      </c>
      <c r="D33" s="56">
        <v>6</v>
      </c>
      <c r="E33" s="9">
        <v>29</v>
      </c>
      <c r="F33" s="9">
        <v>91</v>
      </c>
      <c r="G33" s="56">
        <v>-28</v>
      </c>
      <c r="H33" s="9">
        <v>35</v>
      </c>
      <c r="I33" s="9">
        <v>91</v>
      </c>
      <c r="J33" s="56">
        <v>14</v>
      </c>
      <c r="K33" s="9">
        <v>34</v>
      </c>
      <c r="L33" s="9">
        <v>86</v>
      </c>
      <c r="M33" s="56">
        <v>8</v>
      </c>
      <c r="N33" s="9">
        <v>38</v>
      </c>
      <c r="P33" s="9">
        <v>84</v>
      </c>
      <c r="Q33" s="56">
        <v>-3</v>
      </c>
      <c r="R33" s="9">
        <v>32</v>
      </c>
      <c r="S33" s="9">
        <v>96</v>
      </c>
      <c r="T33" s="56">
        <v>3</v>
      </c>
      <c r="U33" s="9">
        <v>37</v>
      </c>
      <c r="V33" s="9">
        <v>79</v>
      </c>
      <c r="W33" s="56">
        <v>3</v>
      </c>
      <c r="X33" s="9">
        <v>33</v>
      </c>
      <c r="Y33" s="9">
        <v>80</v>
      </c>
      <c r="Z33" s="56">
        <v>-3</v>
      </c>
      <c r="AA33" s="9">
        <v>36</v>
      </c>
      <c r="AC33" s="9">
        <v>76</v>
      </c>
      <c r="AD33" s="56">
        <v>9</v>
      </c>
      <c r="AE33" s="9">
        <v>39</v>
      </c>
      <c r="AF33" s="9">
        <v>96</v>
      </c>
      <c r="AG33" s="56">
        <v>-37</v>
      </c>
      <c r="AH33" s="9">
        <v>29</v>
      </c>
      <c r="AI33" s="9">
        <v>67</v>
      </c>
      <c r="AJ33" s="56">
        <v>13</v>
      </c>
      <c r="AK33" s="9">
        <v>42</v>
      </c>
      <c r="AL33" s="9">
        <v>90</v>
      </c>
      <c r="AM33" s="56">
        <v>15</v>
      </c>
      <c r="AN33" s="9">
        <v>37</v>
      </c>
      <c r="AP33" s="9"/>
      <c r="AQ33" s="56"/>
      <c r="AR33" s="9"/>
      <c r="AS33" s="9"/>
      <c r="AT33" s="56"/>
      <c r="AU33" s="9"/>
      <c r="AV33" s="9"/>
      <c r="AW33" s="56"/>
      <c r="AX33" s="9"/>
      <c r="AY33" s="9"/>
      <c r="AZ33" s="56"/>
      <c r="BA33" s="9"/>
    </row>
    <row r="34" spans="1:54" ht="12" customHeight="1" x14ac:dyDescent="0.2">
      <c r="A34" s="1"/>
      <c r="B34" s="2">
        <v>17</v>
      </c>
      <c r="C34" s="123" t="s">
        <v>11</v>
      </c>
      <c r="D34" s="124"/>
      <c r="E34" s="125"/>
      <c r="F34" s="123" t="s">
        <v>41</v>
      </c>
      <c r="G34" s="124"/>
      <c r="H34" s="125"/>
      <c r="I34" s="123" t="s">
        <v>10</v>
      </c>
      <c r="J34" s="124"/>
      <c r="K34" s="125"/>
      <c r="L34" s="123" t="s">
        <v>9</v>
      </c>
      <c r="M34" s="124"/>
      <c r="N34" s="125"/>
      <c r="P34" s="123" t="s">
        <v>3</v>
      </c>
      <c r="Q34" s="124"/>
      <c r="R34" s="125"/>
      <c r="S34" s="123" t="s">
        <v>32</v>
      </c>
      <c r="T34" s="124"/>
      <c r="U34" s="125"/>
      <c r="V34" s="123" t="s">
        <v>68</v>
      </c>
      <c r="W34" s="124"/>
      <c r="X34" s="125"/>
      <c r="Y34" s="123" t="s">
        <v>42</v>
      </c>
      <c r="Z34" s="124"/>
      <c r="AA34" s="125"/>
      <c r="AC34" s="123" t="s">
        <v>125</v>
      </c>
      <c r="AD34" s="124"/>
      <c r="AE34" s="125"/>
      <c r="AF34" s="123" t="s">
        <v>91</v>
      </c>
      <c r="AG34" s="124"/>
      <c r="AH34" s="125"/>
      <c r="AI34" s="123" t="s">
        <v>64</v>
      </c>
      <c r="AJ34" s="124"/>
      <c r="AK34" s="125"/>
      <c r="AL34" s="123" t="s">
        <v>56</v>
      </c>
      <c r="AM34" s="124"/>
      <c r="AN34" s="125"/>
      <c r="AO34" s="20"/>
      <c r="AP34" s="123"/>
      <c r="AQ34" s="124"/>
      <c r="AR34" s="125"/>
      <c r="AS34" s="123"/>
      <c r="AT34" s="124"/>
      <c r="AU34" s="125"/>
      <c r="AV34" s="123"/>
      <c r="AW34" s="124"/>
      <c r="AX34" s="125"/>
      <c r="AY34" s="123"/>
      <c r="AZ34" s="124"/>
      <c r="BA34" s="125"/>
      <c r="BB34" s="20"/>
    </row>
    <row r="35" spans="1:54" ht="12" customHeight="1" x14ac:dyDescent="0.2">
      <c r="A35" s="121" t="s">
        <v>13</v>
      </c>
      <c r="B35" s="122"/>
      <c r="C35" s="9">
        <v>83</v>
      </c>
      <c r="D35" s="56">
        <v>35</v>
      </c>
      <c r="E35" s="9">
        <v>44</v>
      </c>
      <c r="F35" s="9">
        <v>80</v>
      </c>
      <c r="G35" s="56">
        <v>-33</v>
      </c>
      <c r="H35" s="9">
        <v>34</v>
      </c>
      <c r="I35" s="9">
        <v>80</v>
      </c>
      <c r="J35" s="56">
        <v>9</v>
      </c>
      <c r="K35" s="9">
        <v>36</v>
      </c>
      <c r="L35" s="9">
        <v>91</v>
      </c>
      <c r="M35" s="56">
        <v>-11</v>
      </c>
      <c r="N35" s="9">
        <v>33</v>
      </c>
      <c r="O35" s="39"/>
      <c r="P35" s="9">
        <v>79</v>
      </c>
      <c r="Q35" s="56">
        <v>23</v>
      </c>
      <c r="R35" s="9">
        <v>35</v>
      </c>
      <c r="S35" s="9">
        <v>99</v>
      </c>
      <c r="T35" s="56">
        <v>-19</v>
      </c>
      <c r="U35" s="9">
        <v>34</v>
      </c>
      <c r="V35" s="9">
        <v>94</v>
      </c>
      <c r="W35" s="56">
        <v>-11</v>
      </c>
      <c r="X35" s="9">
        <v>30</v>
      </c>
      <c r="Y35" s="9">
        <v>103</v>
      </c>
      <c r="Z35" s="56">
        <v>7</v>
      </c>
      <c r="AA35" s="9">
        <v>22</v>
      </c>
      <c r="AB35" s="3"/>
      <c r="AC35" s="9">
        <v>91</v>
      </c>
      <c r="AD35" s="56">
        <v>-2</v>
      </c>
      <c r="AE35" s="9">
        <v>35</v>
      </c>
      <c r="AF35" s="9">
        <v>87</v>
      </c>
      <c r="AG35" s="56">
        <v>20</v>
      </c>
      <c r="AH35" s="9">
        <v>33</v>
      </c>
      <c r="AI35" s="9">
        <v>99</v>
      </c>
      <c r="AJ35" s="56">
        <v>-38</v>
      </c>
      <c r="AK35" s="9">
        <v>30</v>
      </c>
      <c r="AL35" s="9">
        <v>85</v>
      </c>
      <c r="AM35" s="56">
        <v>20</v>
      </c>
      <c r="AN35" s="9">
        <v>41</v>
      </c>
      <c r="AP35" s="9"/>
      <c r="AQ35" s="56"/>
      <c r="AR35" s="9"/>
      <c r="AS35" s="9"/>
      <c r="AT35" s="56"/>
      <c r="AU35" s="9"/>
      <c r="AV35" s="9"/>
      <c r="AW35" s="56"/>
      <c r="AX35" s="9"/>
      <c r="AY35" s="9"/>
      <c r="AZ35" s="56"/>
      <c r="BA35" s="9"/>
    </row>
    <row r="36" spans="1:54" ht="12" customHeight="1" x14ac:dyDescent="0.2">
      <c r="A36" s="1"/>
      <c r="B36" s="2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20"/>
      <c r="AP36" s="124"/>
      <c r="AQ36" s="124"/>
      <c r="AR36" s="125"/>
      <c r="AS36" s="123"/>
      <c r="AT36" s="124"/>
      <c r="AU36" s="125"/>
      <c r="AV36" s="123"/>
      <c r="AW36" s="124"/>
      <c r="AX36" s="125"/>
      <c r="AY36" s="123"/>
      <c r="AZ36" s="124"/>
      <c r="BA36" s="125"/>
      <c r="BB36" s="20"/>
    </row>
    <row r="37" spans="1:54" ht="12" customHeight="1" x14ac:dyDescent="0.2">
      <c r="A37" s="121"/>
      <c r="B37" s="121"/>
      <c r="D37" s="82"/>
      <c r="G37" s="82"/>
      <c r="J37" s="82"/>
      <c r="M37" s="82"/>
      <c r="Q37" s="82"/>
      <c r="T37" s="82"/>
      <c r="W37" s="82"/>
      <c r="Z37" s="82"/>
      <c r="AD37" s="82"/>
      <c r="AG37" s="82"/>
      <c r="AJ37" s="82"/>
      <c r="AM37" s="82"/>
      <c r="AP37" s="81"/>
      <c r="AQ37" s="56"/>
      <c r="AR37" s="9"/>
      <c r="AS37" s="9"/>
      <c r="AT37" s="56"/>
      <c r="AU37" s="9"/>
      <c r="AV37" s="9"/>
      <c r="AW37" s="56"/>
      <c r="AX37" s="9"/>
      <c r="AY37" s="9"/>
      <c r="AZ37" s="56"/>
      <c r="BA37" s="9"/>
    </row>
    <row r="42" spans="1:54" x14ac:dyDescent="0.2">
      <c r="A42" t="s">
        <v>70</v>
      </c>
    </row>
  </sheetData>
  <mergeCells count="310"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A35:B35"/>
    <mergeCell ref="A37:B37"/>
    <mergeCell ref="A21:B21"/>
    <mergeCell ref="A23:B23"/>
    <mergeCell ref="A25:B25"/>
    <mergeCell ref="A27:B27"/>
    <mergeCell ref="A29:B29"/>
    <mergeCell ref="A13:B13"/>
    <mergeCell ref="A15:B15"/>
    <mergeCell ref="A17:B17"/>
    <mergeCell ref="A19:B19"/>
    <mergeCell ref="L34:N34"/>
    <mergeCell ref="P34:R34"/>
    <mergeCell ref="C32:E32"/>
    <mergeCell ref="F32:H32"/>
    <mergeCell ref="I32:K32"/>
    <mergeCell ref="L32:N32"/>
    <mergeCell ref="A3:B3"/>
    <mergeCell ref="A5:B5"/>
    <mergeCell ref="A7:B7"/>
    <mergeCell ref="A9:B9"/>
    <mergeCell ref="A11:B11"/>
    <mergeCell ref="A31:B31"/>
    <mergeCell ref="A33:B33"/>
    <mergeCell ref="L30:N30"/>
    <mergeCell ref="P30:R30"/>
    <mergeCell ref="C16:E16"/>
    <mergeCell ref="F16:H16"/>
    <mergeCell ref="I16:K16"/>
    <mergeCell ref="L16:N16"/>
    <mergeCell ref="P16:R16"/>
    <mergeCell ref="S30:U30"/>
    <mergeCell ref="V30:X30"/>
    <mergeCell ref="V36:X36"/>
    <mergeCell ref="Y36:AA36"/>
    <mergeCell ref="C36:E36"/>
    <mergeCell ref="F36:H36"/>
    <mergeCell ref="I36:K36"/>
    <mergeCell ref="L36:N36"/>
    <mergeCell ref="P36:R36"/>
    <mergeCell ref="S36:U36"/>
    <mergeCell ref="S34:U34"/>
    <mergeCell ref="V34:X34"/>
    <mergeCell ref="Y34:AA34"/>
    <mergeCell ref="Y30:AA30"/>
    <mergeCell ref="V32:X32"/>
    <mergeCell ref="Y32:AA32"/>
    <mergeCell ref="P32:R32"/>
    <mergeCell ref="S32:U32"/>
    <mergeCell ref="C30:E30"/>
    <mergeCell ref="F30:H30"/>
    <mergeCell ref="I30:K30"/>
    <mergeCell ref="C34:E34"/>
    <mergeCell ref="F34:H34"/>
    <mergeCell ref="I34:K34"/>
    <mergeCell ref="V26:X26"/>
    <mergeCell ref="Y26:AA26"/>
    <mergeCell ref="C28:E28"/>
    <mergeCell ref="F28:H28"/>
    <mergeCell ref="I28:K28"/>
    <mergeCell ref="L28:N28"/>
    <mergeCell ref="P28:R28"/>
    <mergeCell ref="S28:U28"/>
    <mergeCell ref="V28:X28"/>
    <mergeCell ref="Y28:AA28"/>
    <mergeCell ref="C26:E26"/>
    <mergeCell ref="F26:H26"/>
    <mergeCell ref="I26:K26"/>
    <mergeCell ref="L26:N26"/>
    <mergeCell ref="P26:R26"/>
    <mergeCell ref="S26:U26"/>
    <mergeCell ref="V22:X22"/>
    <mergeCell ref="Y22:AA22"/>
    <mergeCell ref="C24:E24"/>
    <mergeCell ref="F24:H24"/>
    <mergeCell ref="I24:K24"/>
    <mergeCell ref="L24:N24"/>
    <mergeCell ref="P24:R24"/>
    <mergeCell ref="S24:U24"/>
    <mergeCell ref="V24:X24"/>
    <mergeCell ref="Y24:AA24"/>
    <mergeCell ref="C22:E22"/>
    <mergeCell ref="F22:H22"/>
    <mergeCell ref="I22:K22"/>
    <mergeCell ref="L22:N22"/>
    <mergeCell ref="P22:R22"/>
    <mergeCell ref="S22:U22"/>
    <mergeCell ref="V18:X18"/>
    <mergeCell ref="Y18:AA18"/>
    <mergeCell ref="C20:E20"/>
    <mergeCell ref="F20:H20"/>
    <mergeCell ref="I20:K20"/>
    <mergeCell ref="L20:N20"/>
    <mergeCell ref="P20:R20"/>
    <mergeCell ref="S20:U20"/>
    <mergeCell ref="V20:X20"/>
    <mergeCell ref="Y20:AA20"/>
    <mergeCell ref="C18:E18"/>
    <mergeCell ref="F18:H18"/>
    <mergeCell ref="I18:K18"/>
    <mergeCell ref="L18:N18"/>
    <mergeCell ref="P18:R18"/>
    <mergeCell ref="S18:U18"/>
    <mergeCell ref="S16:U16"/>
    <mergeCell ref="V16:X16"/>
    <mergeCell ref="Y16:AA16"/>
    <mergeCell ref="C14:E14"/>
    <mergeCell ref="F14:H14"/>
    <mergeCell ref="I14:K14"/>
    <mergeCell ref="L14:N14"/>
    <mergeCell ref="P14:R14"/>
    <mergeCell ref="S14:U14"/>
    <mergeCell ref="V12:X12"/>
    <mergeCell ref="Y12:AA12"/>
    <mergeCell ref="C12:E12"/>
    <mergeCell ref="F12:H12"/>
    <mergeCell ref="I12:K12"/>
    <mergeCell ref="L12:N12"/>
    <mergeCell ref="P12:R12"/>
    <mergeCell ref="S12:U12"/>
    <mergeCell ref="V14:X14"/>
    <mergeCell ref="Y14:AA14"/>
    <mergeCell ref="V8:X8"/>
    <mergeCell ref="Y8:AA8"/>
    <mergeCell ref="V10:X10"/>
    <mergeCell ref="P10:R10"/>
    <mergeCell ref="I10:K10"/>
    <mergeCell ref="L10:N10"/>
    <mergeCell ref="C10:E10"/>
    <mergeCell ref="C8:E8"/>
    <mergeCell ref="F8:H8"/>
    <mergeCell ref="I8:K8"/>
    <mergeCell ref="P8:R8"/>
    <mergeCell ref="S8:U8"/>
    <mergeCell ref="S10:U10"/>
    <mergeCell ref="Y10:AA10"/>
    <mergeCell ref="F10:H10"/>
    <mergeCell ref="L8:N8"/>
    <mergeCell ref="V4:X4"/>
    <mergeCell ref="Y4:AA4"/>
    <mergeCell ref="C6:E6"/>
    <mergeCell ref="F6:H6"/>
    <mergeCell ref="I6:K6"/>
    <mergeCell ref="L6:N6"/>
    <mergeCell ref="P6:R6"/>
    <mergeCell ref="S6:U6"/>
    <mergeCell ref="V6:X6"/>
    <mergeCell ref="Y6:AA6"/>
    <mergeCell ref="C4:E4"/>
    <mergeCell ref="F4:H4"/>
    <mergeCell ref="I4:K4"/>
    <mergeCell ref="L4:N4"/>
    <mergeCell ref="P4:R4"/>
    <mergeCell ref="S4:U4"/>
    <mergeCell ref="C1:L1"/>
    <mergeCell ref="P1:Y1"/>
    <mergeCell ref="C2:E2"/>
    <mergeCell ref="F2:H2"/>
    <mergeCell ref="I2:K2"/>
    <mergeCell ref="L2:N2"/>
    <mergeCell ref="P2:R2"/>
    <mergeCell ref="S2:U2"/>
    <mergeCell ref="V2:X2"/>
    <mergeCell ref="Y2:AA2"/>
    <mergeCell ref="AC1:AL1"/>
    <mergeCell ref="AC2:AE2"/>
    <mergeCell ref="AF2:AH2"/>
    <mergeCell ref="AI2:AK2"/>
    <mergeCell ref="AL2:AN2"/>
    <mergeCell ref="AC4:AE4"/>
    <mergeCell ref="AF4:AH4"/>
    <mergeCell ref="AI4:AK4"/>
    <mergeCell ref="AL4:AN4"/>
    <mergeCell ref="AC6:AE6"/>
    <mergeCell ref="AF6:AH6"/>
    <mergeCell ref="AI6:AK6"/>
    <mergeCell ref="AL6:AN6"/>
    <mergeCell ref="AC8:AE8"/>
    <mergeCell ref="AF8:AH8"/>
    <mergeCell ref="AI8:AK8"/>
    <mergeCell ref="AL8:AN8"/>
    <mergeCell ref="AC10:AE10"/>
    <mergeCell ref="AF10:AH10"/>
    <mergeCell ref="AI10:AK10"/>
    <mergeCell ref="AL10:AN10"/>
    <mergeCell ref="AC12:AE12"/>
    <mergeCell ref="AF12:AH12"/>
    <mergeCell ref="AI12:AK12"/>
    <mergeCell ref="AL12:AN12"/>
    <mergeCell ref="AC14:AE14"/>
    <mergeCell ref="AF14:AH14"/>
    <mergeCell ref="AI14:AK14"/>
    <mergeCell ref="AL14:AN14"/>
    <mergeCell ref="AC16:AE16"/>
    <mergeCell ref="AF16:AH16"/>
    <mergeCell ref="AI16:AK16"/>
    <mergeCell ref="AL16:AN16"/>
    <mergeCell ref="AC18:AE18"/>
    <mergeCell ref="AF18:AH18"/>
    <mergeCell ref="AI18:AK18"/>
    <mergeCell ref="AL18:AN18"/>
    <mergeCell ref="AC20:AE20"/>
    <mergeCell ref="AF20:AH20"/>
    <mergeCell ref="AI20:AK20"/>
    <mergeCell ref="AL20:AN20"/>
    <mergeCell ref="AC22:AE22"/>
    <mergeCell ref="AF22:AH22"/>
    <mergeCell ref="AI22:AK22"/>
    <mergeCell ref="AL22:AN22"/>
    <mergeCell ref="AC24:AE24"/>
    <mergeCell ref="AF24:AH24"/>
    <mergeCell ref="AI24:AK24"/>
    <mergeCell ref="AL24:AN24"/>
    <mergeCell ref="AC26:AE26"/>
    <mergeCell ref="AF26:AH26"/>
    <mergeCell ref="AI26:AK26"/>
    <mergeCell ref="AL26:AN26"/>
    <mergeCell ref="AC28:AE28"/>
    <mergeCell ref="AF28:AH28"/>
    <mergeCell ref="AI28:AK28"/>
    <mergeCell ref="AL28:AN28"/>
    <mergeCell ref="AC36:AE36"/>
    <mergeCell ref="AF36:AH36"/>
    <mergeCell ref="AI36:AK36"/>
    <mergeCell ref="AL36:AN36"/>
    <mergeCell ref="AC30:AE30"/>
    <mergeCell ref="AF30:AH30"/>
    <mergeCell ref="AI30:AK30"/>
    <mergeCell ref="AL30:AN30"/>
    <mergeCell ref="AC32:AE32"/>
    <mergeCell ref="AF32:AH32"/>
    <mergeCell ref="AI32:AK32"/>
    <mergeCell ref="AL32:AN32"/>
    <mergeCell ref="AC34:AE34"/>
    <mergeCell ref="AF34:AH34"/>
    <mergeCell ref="AI34:AK34"/>
    <mergeCell ref="AL34:AN34"/>
  </mergeCells>
  <pageMargins left="0.2" right="0.2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Standings</vt:lpstr>
      <vt:lpstr>Printable</vt:lpstr>
      <vt:lpstr>Pairings</vt:lpstr>
      <vt:lpstr>Tee Sheet</vt:lpstr>
      <vt:lpstr>Sub list</vt:lpstr>
      <vt:lpstr>Playoffs</vt:lpstr>
      <vt:lpstr>Money</vt:lpstr>
      <vt:lpstr>2016 Playoffs</vt:lpstr>
      <vt:lpstr>2016 Pairings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Josh Stoll</cp:lastModifiedBy>
  <cp:lastPrinted>2017-11-04T13:47:13Z</cp:lastPrinted>
  <dcterms:created xsi:type="dcterms:W3CDTF">2014-04-02T21:11:50Z</dcterms:created>
  <dcterms:modified xsi:type="dcterms:W3CDTF">2026-03-18T22:57:02Z</dcterms:modified>
</cp:coreProperties>
</file>