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60" yWindow="-195" windowWidth="13740" windowHeight="9825" activeTab="6"/>
  </bookViews>
  <sheets>
    <sheet name="Printable" sheetId="6" r:id="rId1"/>
    <sheet name="Standings" sheetId="9" r:id="rId2"/>
    <sheet name="Pairings" sheetId="27" r:id="rId3"/>
    <sheet name="Tee Sheet" sheetId="4" r:id="rId4"/>
    <sheet name="Sub list" sheetId="10" r:id="rId5"/>
    <sheet name="Playoffs" sheetId="28" r:id="rId6"/>
    <sheet name="Money" sheetId="22" r:id="rId7"/>
    <sheet name="Updated sub list" sheetId="30" r:id="rId8"/>
  </sheets>
  <calcPr calcId="145621"/>
</workbook>
</file>

<file path=xl/calcChain.xml><?xml version="1.0" encoding="utf-8"?>
<calcChain xmlns="http://schemas.openxmlformats.org/spreadsheetml/2006/main">
  <c r="P12" i="28" l="1"/>
  <c r="P3" i="28"/>
  <c r="P9" i="28"/>
  <c r="P6" i="28"/>
  <c r="N12" i="28"/>
  <c r="N3" i="28"/>
  <c r="N9" i="28"/>
  <c r="N6" i="28"/>
  <c r="G3" i="28" l="1"/>
  <c r="G9" i="28"/>
  <c r="G6" i="28"/>
  <c r="G24" i="28"/>
  <c r="G21" i="28"/>
  <c r="G18" i="28"/>
  <c r="G12" i="28"/>
  <c r="G15" i="28"/>
  <c r="E3" i="28" l="1"/>
  <c r="E9" i="28"/>
  <c r="E24" i="28"/>
  <c r="E6" i="28"/>
  <c r="E15" i="28"/>
  <c r="E18" i="28"/>
  <c r="E21" i="28"/>
  <c r="E12" i="28"/>
  <c r="G8" i="30" l="1"/>
  <c r="G16" i="30"/>
  <c r="G4" i="30"/>
  <c r="G7" i="30"/>
  <c r="G9" i="30"/>
  <c r="G15" i="30"/>
  <c r="G14" i="30"/>
  <c r="G5" i="30"/>
  <c r="G12" i="30"/>
  <c r="G10" i="30"/>
  <c r="G11" i="30"/>
  <c r="G3" i="30"/>
  <c r="G13" i="30"/>
  <c r="G6" i="30"/>
  <c r="AL60" i="9" l="1"/>
  <c r="AL57" i="9"/>
  <c r="AL32" i="9"/>
  <c r="AL29" i="9"/>
  <c r="AL26" i="9"/>
  <c r="AL17" i="9"/>
  <c r="AL23" i="9"/>
  <c r="AL20" i="9"/>
  <c r="AL14" i="9"/>
  <c r="AL8" i="9"/>
  <c r="AL11" i="9"/>
  <c r="AL5" i="9"/>
  <c r="AJ41" i="9" l="1"/>
  <c r="AB29" i="9"/>
  <c r="AJ29" i="9"/>
  <c r="AJ26" i="9"/>
  <c r="AJ23" i="9"/>
  <c r="AJ17" i="9"/>
  <c r="AJ14" i="9"/>
  <c r="AJ11" i="9"/>
  <c r="AJ5" i="9"/>
  <c r="S21" i="4"/>
  <c r="K21" i="4"/>
  <c r="J21" i="4"/>
  <c r="X19" i="4"/>
  <c r="X18" i="4"/>
  <c r="W18" i="4"/>
  <c r="X17" i="4"/>
  <c r="W17" i="4"/>
  <c r="V17" i="4"/>
  <c r="X16" i="4"/>
  <c r="W16" i="4"/>
  <c r="V16" i="4"/>
  <c r="U16" i="4"/>
  <c r="X15" i="4"/>
  <c r="W15" i="4"/>
  <c r="V15" i="4"/>
  <c r="U15" i="4"/>
  <c r="T15" i="4"/>
  <c r="X14" i="4"/>
  <c r="W14" i="4"/>
  <c r="V14" i="4"/>
  <c r="U14" i="4"/>
  <c r="T14" i="4"/>
  <c r="S14" i="4"/>
  <c r="X13" i="4"/>
  <c r="W13" i="4"/>
  <c r="V13" i="4"/>
  <c r="U13" i="4"/>
  <c r="T13" i="4"/>
  <c r="S13" i="4"/>
  <c r="R13" i="4"/>
  <c r="X12" i="4"/>
  <c r="W12" i="4"/>
  <c r="V12" i="4"/>
  <c r="U12" i="4"/>
  <c r="T12" i="4"/>
  <c r="S12" i="4"/>
  <c r="R12" i="4"/>
  <c r="Q12" i="4"/>
  <c r="X11" i="4"/>
  <c r="W11" i="4"/>
  <c r="V11" i="4"/>
  <c r="U11" i="4"/>
  <c r="T11" i="4"/>
  <c r="S11" i="4"/>
  <c r="R11" i="4"/>
  <c r="Q11" i="4"/>
  <c r="P11" i="4"/>
  <c r="X10" i="4"/>
  <c r="W10" i="4"/>
  <c r="V10" i="4"/>
  <c r="U10" i="4"/>
  <c r="T10" i="4"/>
  <c r="S10" i="4"/>
  <c r="R10" i="4"/>
  <c r="Q10" i="4"/>
  <c r="P10" i="4"/>
  <c r="O10" i="4"/>
  <c r="O21" i="4" s="1"/>
  <c r="X9" i="4"/>
  <c r="W9" i="4"/>
  <c r="V9" i="4"/>
  <c r="U9" i="4"/>
  <c r="T9" i="4"/>
  <c r="S9" i="4"/>
  <c r="R9" i="4"/>
  <c r="Q9" i="4"/>
  <c r="P9" i="4"/>
  <c r="O9" i="4"/>
  <c r="N9" i="4"/>
  <c r="X8" i="4"/>
  <c r="W8" i="4"/>
  <c r="V8" i="4"/>
  <c r="U8" i="4"/>
  <c r="T8" i="4"/>
  <c r="S8" i="4"/>
  <c r="R8" i="4"/>
  <c r="Q8" i="4"/>
  <c r="P8" i="4"/>
  <c r="O8" i="4"/>
  <c r="N8" i="4"/>
  <c r="M8" i="4"/>
  <c r="X7" i="4"/>
  <c r="X21" i="4" s="1"/>
  <c r="W7" i="4"/>
  <c r="V7" i="4"/>
  <c r="U7" i="4"/>
  <c r="T7" i="4"/>
  <c r="T21" i="4" s="1"/>
  <c r="S7" i="4"/>
  <c r="R7" i="4"/>
  <c r="Q7" i="4"/>
  <c r="P7" i="4"/>
  <c r="P21" i="4" s="1"/>
  <c r="O7" i="4"/>
  <c r="N7" i="4"/>
  <c r="M7" i="4"/>
  <c r="L7" i="4"/>
  <c r="L21" i="4" s="1"/>
  <c r="X6" i="4"/>
  <c r="W6" i="4"/>
  <c r="W21" i="4" s="1"/>
  <c r="V6" i="4"/>
  <c r="V21" i="4" s="1"/>
  <c r="U6" i="4"/>
  <c r="U21" i="4" s="1"/>
  <c r="T6" i="4"/>
  <c r="S6" i="4"/>
  <c r="R6" i="4"/>
  <c r="R21" i="4" s="1"/>
  <c r="Q6" i="4"/>
  <c r="Q21" i="4" s="1"/>
  <c r="P6" i="4"/>
  <c r="O6" i="4"/>
  <c r="N6" i="4"/>
  <c r="N21" i="4" s="1"/>
  <c r="M6" i="4"/>
  <c r="M21" i="4" s="1"/>
  <c r="L6" i="4"/>
  <c r="K6" i="4"/>
  <c r="AH29" i="9" l="1"/>
  <c r="AH26" i="9"/>
  <c r="AH17" i="9"/>
  <c r="AH11" i="9"/>
  <c r="AH14" i="9"/>
  <c r="AH20" i="9"/>
  <c r="AH8" i="9"/>
  <c r="AH5" i="9"/>
  <c r="AF32" i="9" l="1"/>
  <c r="AF26" i="9"/>
  <c r="AF23" i="9"/>
  <c r="AF17" i="9"/>
  <c r="AF14" i="9"/>
  <c r="AF20" i="9"/>
  <c r="AF8" i="9"/>
  <c r="AF69" i="9"/>
  <c r="AD32" i="9" l="1"/>
  <c r="AD38" i="9"/>
  <c r="AD26" i="9"/>
  <c r="AD29" i="9"/>
  <c r="AD17" i="9"/>
  <c r="AD11" i="9"/>
  <c r="AD23" i="9"/>
  <c r="AD14" i="9"/>
  <c r="AD8" i="9"/>
  <c r="AD20" i="9"/>
  <c r="AD5" i="9"/>
  <c r="AD78" i="9"/>
  <c r="AM80" i="9"/>
  <c r="AM79" i="9"/>
  <c r="H78" i="9"/>
  <c r="AM78" i="9" s="1"/>
  <c r="AB32" i="9" l="1"/>
  <c r="AB38" i="9"/>
  <c r="AB26" i="9"/>
  <c r="AB35" i="9"/>
  <c r="AB17" i="9"/>
  <c r="AB23" i="9"/>
  <c r="AB11" i="9"/>
  <c r="AB20" i="9"/>
  <c r="AB14" i="9"/>
  <c r="AB8" i="9"/>
  <c r="AB5" i="9"/>
  <c r="D5" i="9" l="1"/>
  <c r="AM68" i="9"/>
  <c r="AM67" i="9"/>
  <c r="Z66" i="9"/>
  <c r="AM66" i="9" s="1"/>
  <c r="AM83" i="9"/>
  <c r="AM82" i="9"/>
  <c r="Z41" i="9"/>
  <c r="Z32" i="9"/>
  <c r="Z26" i="9"/>
  <c r="Z29" i="9"/>
  <c r="Z17" i="9"/>
  <c r="Z11" i="9"/>
  <c r="Z8" i="9"/>
  <c r="Z20" i="9"/>
  <c r="Z14" i="9"/>
  <c r="Z5" i="9"/>
  <c r="Z57" i="9"/>
  <c r="X81" i="9" l="1"/>
  <c r="AM81" i="9" s="1"/>
  <c r="X26" i="9"/>
  <c r="X29" i="9"/>
  <c r="X38" i="9"/>
  <c r="X17" i="9"/>
  <c r="X11" i="9"/>
  <c r="X35" i="9"/>
  <c r="X23" i="9"/>
  <c r="X20" i="9"/>
  <c r="X8" i="9"/>
  <c r="X14" i="9"/>
  <c r="X5" i="9"/>
  <c r="V41" i="9" l="1"/>
  <c r="V32" i="9"/>
  <c r="V8" i="9"/>
  <c r="V14" i="9"/>
  <c r="V5" i="9"/>
  <c r="V75" i="9"/>
  <c r="V72" i="9" s="1"/>
  <c r="V60" i="9"/>
  <c r="AM60" i="9" s="1"/>
  <c r="T41" i="9" l="1"/>
  <c r="T26" i="9"/>
  <c r="T38" i="9"/>
  <c r="T8" i="9"/>
  <c r="T11" i="9"/>
  <c r="T14" i="9"/>
  <c r="T17" i="9"/>
  <c r="T35" i="9"/>
  <c r="T23" i="9"/>
  <c r="T84" i="9"/>
  <c r="AM84" i="9" s="1"/>
  <c r="T20" i="9"/>
  <c r="T5" i="9"/>
  <c r="R63" i="9" l="1"/>
  <c r="R41" i="9"/>
  <c r="R32" i="9"/>
  <c r="R38" i="9"/>
  <c r="R8" i="9"/>
  <c r="R14" i="9"/>
  <c r="R35" i="9"/>
  <c r="R5" i="9"/>
  <c r="P17" i="9" l="1"/>
  <c r="P5" i="9"/>
  <c r="P23" i="9"/>
  <c r="P35" i="9"/>
  <c r="P11" i="9"/>
  <c r="P26" i="9"/>
  <c r="P38" i="9"/>
  <c r="P69" i="9"/>
  <c r="AM69" i="9" s="1"/>
  <c r="AN6" i="9" l="1"/>
  <c r="N23" i="9"/>
  <c r="N14" i="9"/>
  <c r="N38" i="9"/>
  <c r="N20" i="9"/>
  <c r="N32" i="9"/>
  <c r="N35" i="9"/>
  <c r="N5" i="9"/>
  <c r="N17" i="9"/>
  <c r="L38" i="9" l="1"/>
  <c r="L41" i="9"/>
  <c r="L32" i="9"/>
  <c r="L26" i="9"/>
  <c r="L8" i="9"/>
  <c r="L17" i="9"/>
  <c r="L14" i="9"/>
  <c r="L35" i="9"/>
  <c r="L23" i="9"/>
  <c r="L29" i="9"/>
  <c r="L5" i="9"/>
  <c r="L20" i="9"/>
  <c r="J38" i="9" l="1"/>
  <c r="J41" i="9"/>
  <c r="J32" i="9"/>
  <c r="J26" i="9"/>
  <c r="J17" i="9"/>
  <c r="J14" i="9"/>
  <c r="J35" i="9"/>
  <c r="J5" i="9"/>
  <c r="J29" i="9"/>
  <c r="J23" i="9"/>
  <c r="J20" i="9"/>
  <c r="J11" i="9"/>
  <c r="BF5" i="27" l="1"/>
  <c r="BG5" i="27"/>
  <c r="BH5" i="27"/>
  <c r="BI5" i="27"/>
  <c r="BJ5" i="27"/>
  <c r="BK5" i="27"/>
  <c r="BL5" i="27"/>
  <c r="BM5" i="27"/>
  <c r="BN5" i="27"/>
  <c r="BG6" i="27"/>
  <c r="BH6" i="27"/>
  <c r="BI6" i="27"/>
  <c r="BJ6" i="27"/>
  <c r="BK6" i="27"/>
  <c r="BL6" i="27"/>
  <c r="BM6" i="27"/>
  <c r="BN6" i="27"/>
  <c r="BH7" i="27"/>
  <c r="BI7" i="27"/>
  <c r="BJ7" i="27"/>
  <c r="BK7" i="27"/>
  <c r="BL7" i="27"/>
  <c r="BM7" i="27"/>
  <c r="BN7" i="27"/>
  <c r="BI8" i="27"/>
  <c r="BJ8" i="27"/>
  <c r="BK8" i="27"/>
  <c r="BL8" i="27"/>
  <c r="BM8" i="27"/>
  <c r="BN8" i="27"/>
  <c r="BJ9" i="27"/>
  <c r="BK9" i="27"/>
  <c r="BL9" i="27"/>
  <c r="BM9" i="27"/>
  <c r="BN9" i="27"/>
  <c r="BK10" i="27"/>
  <c r="BL10" i="27"/>
  <c r="BM10" i="27"/>
  <c r="BN10" i="27"/>
  <c r="BL11" i="27"/>
  <c r="BM11" i="27"/>
  <c r="BN11" i="27"/>
  <c r="BM12" i="27"/>
  <c r="BN12" i="27"/>
  <c r="BN13" i="27"/>
  <c r="BD19" i="27"/>
  <c r="H87" i="9"/>
  <c r="AM87" i="9" s="1"/>
  <c r="H63" i="9"/>
  <c r="H57" i="9"/>
  <c r="AM57" i="9" s="1"/>
  <c r="H41" i="9"/>
  <c r="H26" i="9"/>
  <c r="H17" i="9"/>
  <c r="H23" i="9"/>
  <c r="H14" i="9"/>
  <c r="H29" i="9"/>
  <c r="H8" i="9"/>
  <c r="H20" i="9"/>
  <c r="H11" i="9"/>
  <c r="H51" i="9" l="1"/>
  <c r="F41" i="9"/>
  <c r="F38" i="9"/>
  <c r="F32" i="9"/>
  <c r="F8" i="9"/>
  <c r="AM8" i="9" s="1"/>
  <c r="F23" i="9"/>
  <c r="AM23" i="9" s="1"/>
  <c r="F14" i="9"/>
  <c r="F26" i="9"/>
  <c r="F35" i="9"/>
  <c r="F29" i="9"/>
  <c r="F5" i="9"/>
  <c r="AM5" i="9" s="1"/>
  <c r="F20" i="9"/>
  <c r="F11" i="9"/>
  <c r="AN49" i="9" l="1"/>
  <c r="AM49" i="9"/>
  <c r="AN48" i="9"/>
  <c r="AM48" i="9"/>
  <c r="AN43" i="9"/>
  <c r="AM43" i="9"/>
  <c r="AN42" i="9"/>
  <c r="AM42" i="9"/>
  <c r="AN41" i="9"/>
  <c r="AM41" i="9"/>
  <c r="AN46" i="9"/>
  <c r="AM7" i="9"/>
  <c r="AN45" i="9"/>
  <c r="AM6" i="9"/>
  <c r="AN44" i="9"/>
  <c r="AN40" i="9"/>
  <c r="AM46" i="9"/>
  <c r="AN39" i="9"/>
  <c r="AM45" i="9"/>
  <c r="AM44" i="9"/>
  <c r="AN34" i="9"/>
  <c r="AM40" i="9"/>
  <c r="AN33" i="9"/>
  <c r="AM39" i="9"/>
  <c r="AN10" i="9"/>
  <c r="AM34" i="9"/>
  <c r="AN9" i="9"/>
  <c r="AM33" i="9"/>
  <c r="AN25" i="9"/>
  <c r="AM10" i="9"/>
  <c r="AN24" i="9"/>
  <c r="AM9" i="9"/>
  <c r="AN16" i="9"/>
  <c r="AM25" i="9"/>
  <c r="AN15" i="9"/>
  <c r="AM24" i="9"/>
  <c r="AN28" i="9"/>
  <c r="AM16" i="9"/>
  <c r="AN27" i="9"/>
  <c r="AM15" i="9"/>
  <c r="AN37" i="9"/>
  <c r="AM28" i="9"/>
  <c r="AN36" i="9"/>
  <c r="AM27" i="9"/>
  <c r="AN31" i="9"/>
  <c r="AM37" i="9"/>
  <c r="AN30" i="9"/>
  <c r="AM36" i="9"/>
  <c r="AN7" i="9"/>
  <c r="AM31" i="9"/>
  <c r="AM30" i="9"/>
  <c r="AN19" i="9"/>
  <c r="AM19" i="9"/>
  <c r="AN18" i="9"/>
  <c r="AM18" i="9"/>
  <c r="AN22" i="9"/>
  <c r="AM22" i="9"/>
  <c r="AN21" i="9"/>
  <c r="AM21" i="9"/>
  <c r="AN13" i="9"/>
  <c r="AN12" i="9"/>
  <c r="AM13" i="9"/>
  <c r="AM12" i="9"/>
  <c r="D29" i="9"/>
  <c r="AM29" i="9" s="1"/>
  <c r="D32" i="9"/>
  <c r="AM32" i="9" s="1"/>
  <c r="D23" i="9"/>
  <c r="D26" i="9"/>
  <c r="AM26" i="9" s="1"/>
  <c r="D14" i="9"/>
  <c r="AM14" i="9" s="1"/>
  <c r="D20" i="9"/>
  <c r="AM20" i="9" s="1"/>
  <c r="D17" i="9"/>
  <c r="AM17" i="9" s="1"/>
  <c r="D38" i="9"/>
  <c r="AM38" i="9" s="1"/>
  <c r="D11" i="9"/>
  <c r="AM11" i="9" s="1"/>
  <c r="D35" i="9"/>
  <c r="AN35" i="9" s="1"/>
  <c r="D8" i="9"/>
  <c r="AN8" i="9" s="1"/>
  <c r="AN47" i="9"/>
  <c r="AM47" i="9"/>
  <c r="AN11" i="9" l="1"/>
  <c r="AN17" i="9"/>
  <c r="AN14" i="9"/>
  <c r="AN5" i="9"/>
  <c r="AN20" i="9"/>
  <c r="AN32" i="9"/>
  <c r="AM35" i="9"/>
  <c r="AN38" i="9"/>
  <c r="AN26" i="9"/>
  <c r="AN29" i="9"/>
  <c r="AN23" i="9"/>
  <c r="N8" i="10"/>
  <c r="N7" i="10"/>
  <c r="N6" i="10"/>
  <c r="N5" i="10"/>
  <c r="N4" i="10"/>
  <c r="N3" i="10"/>
  <c r="AM51" i="9" l="1"/>
  <c r="AL51" i="9"/>
  <c r="AL53" i="9"/>
  <c r="AJ51" i="9"/>
  <c r="AH51" i="9"/>
  <c r="AH53" i="9"/>
  <c r="AJ53" i="9" l="1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C19" i="22"/>
  <c r="E28" i="28" l="1"/>
  <c r="AM62" i="9" l="1"/>
  <c r="AM61" i="9"/>
  <c r="AM77" i="9"/>
  <c r="AM76" i="9"/>
  <c r="AM75" i="9"/>
  <c r="AM86" i="9"/>
  <c r="AM85" i="9"/>
  <c r="AM74" i="9"/>
  <c r="AM73" i="9"/>
  <c r="AM71" i="9"/>
  <c r="AM70" i="9"/>
  <c r="AM89" i="9"/>
  <c r="AM88" i="9"/>
  <c r="AM65" i="9"/>
  <c r="AM64" i="9"/>
  <c r="AM59" i="9"/>
  <c r="AM58" i="9"/>
  <c r="AM63" i="9" l="1"/>
  <c r="AM72" i="9"/>
  <c r="F53" i="9" l="1"/>
  <c r="G30" i="28" l="1"/>
  <c r="E30" i="28"/>
  <c r="H21" i="28"/>
  <c r="H18" i="28"/>
  <c r="H24" i="28"/>
  <c r="Q12" i="28"/>
  <c r="H9" i="28"/>
  <c r="Q6" i="28"/>
  <c r="H3" i="28"/>
  <c r="Q3" i="28"/>
  <c r="H12" i="28"/>
  <c r="Q9" i="28"/>
  <c r="G28" i="28"/>
  <c r="BR17" i="27"/>
  <c r="BR16" i="27"/>
  <c r="BQ16" i="27"/>
  <c r="BR15" i="27"/>
  <c r="BQ15" i="27"/>
  <c r="BP15" i="27"/>
  <c r="BR14" i="27"/>
  <c r="BQ14" i="27"/>
  <c r="BP14" i="27"/>
  <c r="BO14" i="27"/>
  <c r="BR13" i="27"/>
  <c r="BQ13" i="27"/>
  <c r="BP13" i="27"/>
  <c r="BO13" i="27"/>
  <c r="BR12" i="27"/>
  <c r="BQ12" i="27"/>
  <c r="BP12" i="27"/>
  <c r="BO12" i="27"/>
  <c r="BR11" i="27"/>
  <c r="BQ11" i="27"/>
  <c r="BP11" i="27"/>
  <c r="BO11" i="27"/>
  <c r="BR10" i="27"/>
  <c r="BQ10" i="27"/>
  <c r="BP10" i="27"/>
  <c r="BO10" i="27"/>
  <c r="BR9" i="27"/>
  <c r="BQ9" i="27"/>
  <c r="BP9" i="27"/>
  <c r="BO9" i="27"/>
  <c r="BR8" i="27"/>
  <c r="BQ8" i="27"/>
  <c r="BP8" i="27"/>
  <c r="BO8" i="27"/>
  <c r="BR7" i="27"/>
  <c r="BQ7" i="27"/>
  <c r="BP7" i="27"/>
  <c r="BO7" i="27"/>
  <c r="BR6" i="27"/>
  <c r="BQ6" i="27"/>
  <c r="BP6" i="27"/>
  <c r="BO6" i="27"/>
  <c r="BR5" i="27"/>
  <c r="BQ5" i="27"/>
  <c r="BP5" i="27"/>
  <c r="BO5" i="27"/>
  <c r="BR4" i="27"/>
  <c r="BQ4" i="27"/>
  <c r="BP4" i="27"/>
  <c r="BO4" i="27"/>
  <c r="BN4" i="27"/>
  <c r="BN19" i="27" s="1"/>
  <c r="BM4" i="27"/>
  <c r="BM19" i="27" s="1"/>
  <c r="BL4" i="27"/>
  <c r="BL19" i="27" s="1"/>
  <c r="BK4" i="27"/>
  <c r="BK19" i="27" s="1"/>
  <c r="BJ4" i="27"/>
  <c r="BJ19" i="27" s="1"/>
  <c r="BI4" i="27"/>
  <c r="BI19" i="27" s="1"/>
  <c r="BH4" i="27"/>
  <c r="BH19" i="27" s="1"/>
  <c r="BG4" i="27"/>
  <c r="BG19" i="27" s="1"/>
  <c r="BF4" i="27"/>
  <c r="BF19" i="27" s="1"/>
  <c r="BE4" i="27"/>
  <c r="BE19" i="27" s="1"/>
  <c r="H15" i="28" l="1"/>
  <c r="H6" i="28"/>
  <c r="BR19" i="27"/>
  <c r="BO19" i="27"/>
  <c r="BQ19" i="27"/>
  <c r="BP19" i="27"/>
  <c r="N9" i="10" l="1"/>
  <c r="I15" i="22"/>
  <c r="I3" i="22" l="1"/>
  <c r="I17" i="22" s="1"/>
  <c r="I21" i="22" s="1"/>
  <c r="R53" i="9" l="1"/>
  <c r="H53" i="9"/>
  <c r="Z53" i="9"/>
  <c r="N53" i="9"/>
  <c r="L51" i="9"/>
  <c r="J51" i="9"/>
  <c r="X51" i="9"/>
  <c r="J53" i="9"/>
  <c r="AB53" i="9"/>
  <c r="N51" i="9"/>
  <c r="AB51" i="9"/>
  <c r="P53" i="9"/>
  <c r="AF53" i="9"/>
  <c r="AD53" i="9"/>
  <c r="P51" i="9"/>
  <c r="Z51" i="9"/>
  <c r="AD51" i="9"/>
  <c r="R51" i="9"/>
  <c r="AF51" i="9"/>
  <c r="V53" i="9"/>
  <c r="L53" i="9"/>
  <c r="T53" i="9"/>
  <c r="T51" i="9"/>
  <c r="F51" i="9"/>
  <c r="V51" i="9"/>
  <c r="X53" i="9"/>
  <c r="D53" i="9" l="1"/>
  <c r="D51" i="9"/>
  <c r="AM53" i="9" l="1"/>
</calcChain>
</file>

<file path=xl/sharedStrings.xml><?xml version="1.0" encoding="utf-8"?>
<sst xmlns="http://schemas.openxmlformats.org/spreadsheetml/2006/main" count="726" uniqueCount="193">
  <si>
    <t>matt white</t>
  </si>
  <si>
    <t>BDM</t>
  </si>
  <si>
    <t>Chris McNeely</t>
  </si>
  <si>
    <t>Chris Preston</t>
  </si>
  <si>
    <t>Steve Flesher</t>
  </si>
  <si>
    <t>matt jaquint</t>
  </si>
  <si>
    <t>cash +/-</t>
  </si>
  <si>
    <t>Group A</t>
  </si>
  <si>
    <t>Group B</t>
  </si>
  <si>
    <t>Matt White</t>
  </si>
  <si>
    <t>Matt Jaquint</t>
  </si>
  <si>
    <t>Week</t>
  </si>
  <si>
    <t>Score/$/Points</t>
  </si>
  <si>
    <t>TOTAL</t>
  </si>
  <si>
    <t>WEEK</t>
  </si>
  <si>
    <t>AVERAGE</t>
  </si>
  <si>
    <t>Subs</t>
  </si>
  <si>
    <t>1:00 pm Group</t>
  </si>
  <si>
    <t>1:10 pm Group</t>
  </si>
  <si>
    <t xml:space="preserve">Name </t>
  </si>
  <si>
    <t>Handicap</t>
  </si>
  <si>
    <t>MW</t>
  </si>
  <si>
    <t>MJ</t>
  </si>
  <si>
    <t>CP</t>
  </si>
  <si>
    <t>X</t>
  </si>
  <si>
    <t>Ben Hardman</t>
  </si>
  <si>
    <t>AVG</t>
  </si>
  <si>
    <t>Nick Mayo</t>
  </si>
  <si>
    <t>Sid Torlone</t>
  </si>
  <si>
    <t>Andrew Dawson</t>
  </si>
  <si>
    <t>Group C</t>
  </si>
  <si>
    <t>1:20 pm Group</t>
  </si>
  <si>
    <t>AD</t>
  </si>
  <si>
    <t>ST</t>
  </si>
  <si>
    <t>Bagger</t>
  </si>
  <si>
    <t>Jason Moses</t>
  </si>
  <si>
    <t>Josh Stoll</t>
  </si>
  <si>
    <t>Harvey Points</t>
  </si>
  <si>
    <t>JS</t>
  </si>
  <si>
    <t>Chris Keaton</t>
  </si>
  <si>
    <t>Moses</t>
  </si>
  <si>
    <t>Nathan Adkins</t>
  </si>
  <si>
    <t>Corky Hammers</t>
  </si>
  <si>
    <t>Stan Tao</t>
  </si>
  <si>
    <t>Don Ray</t>
  </si>
  <si>
    <t>Ryan Keaton</t>
  </si>
  <si>
    <t>304.654.0983</t>
  </si>
  <si>
    <t>Mark Cross</t>
  </si>
  <si>
    <t>Monte Ward</t>
  </si>
  <si>
    <t>Bryan Vance</t>
  </si>
  <si>
    <t>JDS</t>
  </si>
  <si>
    <t>Ronnie Adkins</t>
  </si>
  <si>
    <t>CK</t>
  </si>
  <si>
    <t>Kurt Fleckenstein</t>
  </si>
  <si>
    <t>Robbie Simmons</t>
  </si>
  <si>
    <t>A. Dawson</t>
  </si>
  <si>
    <t>Reggie Opimo</t>
  </si>
  <si>
    <t>Matt Boggs</t>
  </si>
  <si>
    <t>Jay Patterson</t>
  </si>
  <si>
    <t>Jim Freeman</t>
  </si>
  <si>
    <t>go aggressive on Subs early in the year and have 3 foursomes for the most part.  See if any of the subs become full timers</t>
  </si>
  <si>
    <t>PLAYOFFS</t>
  </si>
  <si>
    <t>Round</t>
  </si>
  <si>
    <t>FINAL</t>
  </si>
  <si>
    <t>Todd Williams</t>
  </si>
  <si>
    <t>Revenue</t>
  </si>
  <si>
    <t>Expenses</t>
  </si>
  <si>
    <t>Weekly Cash prize</t>
  </si>
  <si>
    <t>plaque</t>
  </si>
  <si>
    <t>2nd place</t>
  </si>
  <si>
    <t>3rd place</t>
  </si>
  <si>
    <t>Total</t>
  </si>
  <si>
    <t>Remaining</t>
  </si>
  <si>
    <t>Brandon Cline</t>
  </si>
  <si>
    <t>Ian Wiley</t>
  </si>
  <si>
    <t>Adam Yeager</t>
  </si>
  <si>
    <t>Marc Hettlinger</t>
  </si>
  <si>
    <t>turned down invites</t>
  </si>
  <si>
    <t>Jeff Madden</t>
  </si>
  <si>
    <t>JEFF</t>
  </si>
  <si>
    <t>JAY</t>
  </si>
  <si>
    <t>Allan Thacker</t>
  </si>
  <si>
    <t>David Sheils</t>
  </si>
  <si>
    <t>Tim Eves</t>
  </si>
  <si>
    <t>Group D</t>
  </si>
  <si>
    <t>Side Game</t>
  </si>
  <si>
    <t>Winners</t>
  </si>
  <si>
    <t>Rounds</t>
  </si>
  <si>
    <t>EVES</t>
  </si>
  <si>
    <t>Joe McDonie</t>
  </si>
  <si>
    <t>Chris Tatum</t>
  </si>
  <si>
    <t>Sean Wilson</t>
  </si>
  <si>
    <t>group 1</t>
  </si>
  <si>
    <t>group 3</t>
  </si>
  <si>
    <t>group 2</t>
  </si>
  <si>
    <t>pods</t>
  </si>
  <si>
    <t>top3</t>
  </si>
  <si>
    <t>plays</t>
  </si>
  <si>
    <t>1:30 pm Group</t>
  </si>
  <si>
    <t>plus embroidery</t>
  </si>
  <si>
    <t>Ronnie A.</t>
  </si>
  <si>
    <t>RA</t>
  </si>
  <si>
    <t>Mike Insco</t>
  </si>
  <si>
    <t>Joe White</t>
  </si>
  <si>
    <t>turn downs</t>
  </si>
  <si>
    <t>Mike Barbera</t>
  </si>
  <si>
    <t>Paul Jacobsen</t>
  </si>
  <si>
    <t>SW</t>
  </si>
  <si>
    <t>SUBS:</t>
  </si>
  <si>
    <t>banquet</t>
  </si>
  <si>
    <t>carryover from '17</t>
  </si>
  <si>
    <t>Nick Goff</t>
  </si>
  <si>
    <t>Apr 27th</t>
  </si>
  <si>
    <t>Nick Collins</t>
  </si>
  <si>
    <t>May 4th</t>
  </si>
  <si>
    <t>May 11th</t>
  </si>
  <si>
    <t>May 18th</t>
  </si>
  <si>
    <t>May 25th</t>
  </si>
  <si>
    <t>June 1st</t>
  </si>
  <si>
    <t>June 15th</t>
  </si>
  <si>
    <t>June 22nd</t>
  </si>
  <si>
    <t>June 29th</t>
  </si>
  <si>
    <t>July 6th</t>
  </si>
  <si>
    <t>July 13th</t>
  </si>
  <si>
    <t>July 20th</t>
  </si>
  <si>
    <t>July 27th</t>
  </si>
  <si>
    <t>August 3rd</t>
  </si>
  <si>
    <t>Aug 10th</t>
  </si>
  <si>
    <t>Aug 17th</t>
  </si>
  <si>
    <t>Aug 24th</t>
  </si>
  <si>
    <t>Aug 31st</t>
  </si>
  <si>
    <t>(emergency only)</t>
  </si>
  <si>
    <t>Rick Ellison</t>
  </si>
  <si>
    <t>Noah</t>
  </si>
  <si>
    <t>Mark Newfeld</t>
  </si>
  <si>
    <t>Rocco Morabito</t>
  </si>
  <si>
    <t>Tyler Gatrell</t>
  </si>
  <si>
    <t>Net Pars</t>
  </si>
  <si>
    <t>Least Putt</t>
  </si>
  <si>
    <t>Close 2 Pin</t>
  </si>
  <si>
    <t>Skins</t>
  </si>
  <si>
    <t>Under Par</t>
  </si>
  <si>
    <t>Goff</t>
  </si>
  <si>
    <t>NG</t>
  </si>
  <si>
    <t>Stoll,Jay</t>
  </si>
  <si>
    <t>Eves</t>
  </si>
  <si>
    <t>Paul Jacobson</t>
  </si>
  <si>
    <t>Madden, JMx2, SW</t>
  </si>
  <si>
    <t>group 4</t>
  </si>
  <si>
    <t>AD,JS,JM, SW,RA</t>
  </si>
  <si>
    <t>Madden</t>
  </si>
  <si>
    <t>Chris Smith</t>
  </si>
  <si>
    <t>andrew dawson</t>
  </si>
  <si>
    <t>ronnie adkins</t>
  </si>
  <si>
    <t>chris smith</t>
  </si>
  <si>
    <t>chris keaton</t>
  </si>
  <si>
    <t>jay patterson</t>
  </si>
  <si>
    <t>RA,MW</t>
  </si>
  <si>
    <t>McBags</t>
  </si>
  <si>
    <t>MW,JS, Jeff,CP</t>
  </si>
  <si>
    <t>Brad "El Nino" Wright</t>
  </si>
  <si>
    <t>Alan Thacker</t>
  </si>
  <si>
    <t>CP, JMx2, MJx2, Jayx2</t>
  </si>
  <si>
    <t>Hubbard</t>
  </si>
  <si>
    <t>McNeely</t>
  </si>
  <si>
    <t>Preston</t>
  </si>
  <si>
    <t>Stoll</t>
  </si>
  <si>
    <t>Pierson</t>
  </si>
  <si>
    <t>Sweeney</t>
  </si>
  <si>
    <t>Scott Pierson</t>
  </si>
  <si>
    <t>Bob Hubbard</t>
  </si>
  <si>
    <t>Chip Sweeney</t>
  </si>
  <si>
    <t>Scotty Pierson</t>
  </si>
  <si>
    <t>Joe Jaquint</t>
  </si>
  <si>
    <t>Noah Mullens</t>
  </si>
  <si>
    <t>Matt jaquint</t>
  </si>
  <si>
    <t>RA, MW, SW, JP</t>
  </si>
  <si>
    <t>jason moses</t>
  </si>
  <si>
    <t>jeff madden</t>
  </si>
  <si>
    <t>marc hettlinger</t>
  </si>
  <si>
    <t>chris preston</t>
  </si>
  <si>
    <t>bagger</t>
  </si>
  <si>
    <t>sean wilson</t>
  </si>
  <si>
    <t>CMx2,JP, MJ,SWx2, JS,RA</t>
  </si>
  <si>
    <t>Keaton</t>
  </si>
  <si>
    <t>JS, Jeff, JM</t>
  </si>
  <si>
    <t>Scottie Pierson</t>
  </si>
  <si>
    <t>Jay, CP, Jeff x2</t>
  </si>
  <si>
    <t>Matt Jaquinit</t>
  </si>
  <si>
    <t>Lee VanHorn</t>
  </si>
  <si>
    <t>Party</t>
  </si>
  <si>
    <t>Remainder</t>
  </si>
  <si>
    <t>Wolf golf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</si>
</sst>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0.0"/>
  </numFmts>
  <fonts count="14" x14ac:knownFonts="1">
    <font>
      <sz val="11"/>
      <color theme="1"/>
      <name val="Georgia"/>
      <family val="2"/>
      <scheme val="minor"/>
    </font>
    <font>
      <sz val="8"/>
      <color theme="1"/>
      <name val="Georgia"/>
      <family val="2"/>
      <scheme val="minor"/>
    </font>
    <font>
      <sz val="10"/>
      <color theme="1"/>
      <name val="Georgia"/>
      <family val="2"/>
      <scheme val="minor"/>
    </font>
    <font>
      <b/>
      <sz val="10"/>
      <color theme="1"/>
      <name val="Georgia"/>
      <family val="2"/>
      <scheme val="minor"/>
    </font>
    <font>
      <sz val="9"/>
      <color theme="1"/>
      <name val="Georgia"/>
      <family val="2"/>
      <scheme val="minor"/>
    </font>
    <font>
      <sz val="11"/>
      <color theme="1"/>
      <name val="Georgia"/>
      <family val="1"/>
      <scheme val="minor"/>
    </font>
    <font>
      <sz val="10"/>
      <color theme="1"/>
      <name val="Georgia"/>
      <family val="1"/>
      <scheme val="minor"/>
    </font>
    <font>
      <sz val="11"/>
      <color theme="1"/>
      <name val="Georgia"/>
      <family val="2"/>
      <scheme val="minor"/>
    </font>
    <font>
      <sz val="11"/>
      <name val="Georgia"/>
      <family val="2"/>
      <scheme val="minor"/>
    </font>
    <font>
      <sz val="9"/>
      <color rgb="FF000000"/>
      <name val="Arial"/>
      <family val="2"/>
    </font>
    <font>
      <sz val="10"/>
      <name val="Georgia"/>
      <family val="2"/>
      <scheme val="minor"/>
    </font>
    <font>
      <sz val="12"/>
      <color theme="1"/>
      <name val="Georgia"/>
      <family val="2"/>
      <scheme val="minor"/>
    </font>
    <font>
      <b/>
      <sz val="11"/>
      <color theme="1"/>
      <name val="Georgia"/>
      <family val="1"/>
      <scheme val="minor"/>
    </font>
    <font>
      <b/>
      <sz val="9"/>
      <color theme="1"/>
      <name val="Georgia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Fill="1" applyBorder="1"/>
    <xf numFmtId="0" fontId="3" fillId="3" borderId="9" xfId="0" applyFont="1" applyFill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0" fontId="4" fillId="0" borderId="0" xfId="0" applyFont="1" applyBorder="1"/>
    <xf numFmtId="0" fontId="4" fillId="0" borderId="0" xfId="0" applyFont="1" applyFill="1"/>
    <xf numFmtId="0" fontId="0" fillId="0" borderId="1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0" fillId="0" borderId="0" xfId="0" applyFill="1"/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 vertical="center"/>
    </xf>
    <xf numFmtId="165" fontId="0" fillId="0" borderId="0" xfId="0" applyNumberFormat="1" applyBorder="1"/>
    <xf numFmtId="165" fontId="0" fillId="0" borderId="0" xfId="0" applyNumberFormat="1" applyAlignment="1">
      <alignment horizontal="center"/>
    </xf>
    <xf numFmtId="1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/>
    </xf>
    <xf numFmtId="0" fontId="2" fillId="0" borderId="0" xfId="0" applyFont="1" applyBorder="1"/>
    <xf numFmtId="0" fontId="2" fillId="0" borderId="0" xfId="0" applyFont="1" applyFill="1" applyBorder="1"/>
    <xf numFmtId="165" fontId="2" fillId="0" borderId="0" xfId="0" applyNumberFormat="1" applyFont="1" applyBorder="1"/>
    <xf numFmtId="0" fontId="2" fillId="0" borderId="6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4" fillId="0" borderId="0" xfId="0" applyFont="1" applyFill="1" applyBorder="1"/>
    <xf numFmtId="165" fontId="4" fillId="0" borderId="0" xfId="0" applyNumberFormat="1" applyFont="1" applyBorder="1"/>
    <xf numFmtId="0" fontId="4" fillId="0" borderId="6" xfId="0" applyFont="1" applyFill="1" applyBorder="1"/>
    <xf numFmtId="0" fontId="1" fillId="0" borderId="0" xfId="0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165" fontId="0" fillId="0" borderId="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3" xfId="0" applyNumberFormat="1" applyFill="1" applyBorder="1" applyAlignment="1">
      <alignment horizontal="center"/>
    </xf>
    <xf numFmtId="165" fontId="4" fillId="0" borderId="0" xfId="0" applyNumberFormat="1" applyFont="1" applyFill="1" applyBorder="1"/>
    <xf numFmtId="165" fontId="6" fillId="0" borderId="0" xfId="0" applyNumberFormat="1" applyFont="1" applyBorder="1" applyAlignment="1">
      <alignment horizontal="center"/>
    </xf>
    <xf numFmtId="164" fontId="4" fillId="0" borderId="6" xfId="0" applyNumberFormat="1" applyFont="1" applyFill="1" applyBorder="1"/>
    <xf numFmtId="165" fontId="4" fillId="0" borderId="6" xfId="0" applyNumberFormat="1" applyFont="1" applyFill="1" applyBorder="1"/>
    <xf numFmtId="164" fontId="4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0" fontId="2" fillId="0" borderId="6" xfId="0" applyFont="1" applyFill="1" applyBorder="1" applyAlignment="1">
      <alignment horizontal="right"/>
    </xf>
    <xf numFmtId="0" fontId="1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6" fontId="0" fillId="0" borderId="0" xfId="0" applyNumberFormat="1"/>
    <xf numFmtId="44" fontId="0" fillId="0" borderId="0" xfId="1" applyFont="1"/>
    <xf numFmtId="6" fontId="0" fillId="0" borderId="0" xfId="1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6" fontId="4" fillId="0" borderId="2" xfId="0" applyNumberFormat="1" applyFont="1" applyBorder="1"/>
    <xf numFmtId="0" fontId="1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164" fontId="4" fillId="0" borderId="0" xfId="0" applyNumberFormat="1" applyFont="1" applyBorder="1"/>
    <xf numFmtId="0" fontId="2" fillId="4" borderId="20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10" fillId="4" borderId="18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4" fillId="0" borderId="2" xfId="0" applyFont="1" applyFill="1" applyBorder="1"/>
    <xf numFmtId="6" fontId="4" fillId="0" borderId="2" xfId="0" applyNumberFormat="1" applyFont="1" applyFill="1" applyBorder="1"/>
    <xf numFmtId="6" fontId="4" fillId="0" borderId="2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165" fontId="3" fillId="3" borderId="9" xfId="0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 vertical="center"/>
    </xf>
    <xf numFmtId="164" fontId="6" fillId="3" borderId="13" xfId="0" applyNumberFormat="1" applyFont="1" applyFill="1" applyBorder="1" applyAlignment="1">
      <alignment horizontal="center" vertical="center"/>
    </xf>
    <xf numFmtId="165" fontId="3" fillId="3" borderId="14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/>
    </xf>
    <xf numFmtId="165" fontId="3" fillId="3" borderId="10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4" fillId="0" borderId="6" xfId="0" applyFont="1" applyBorder="1"/>
    <xf numFmtId="165" fontId="0" fillId="0" borderId="11" xfId="0" applyNumberForma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12" fillId="0" borderId="0" xfId="0" applyNumberFormat="1" applyFont="1" applyBorder="1" applyAlignment="1">
      <alignment horizontal="center"/>
    </xf>
    <xf numFmtId="165" fontId="12" fillId="0" borderId="0" xfId="0" applyNumberFormat="1" applyFont="1" applyBorder="1"/>
    <xf numFmtId="0" fontId="12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/>
    <xf numFmtId="165" fontId="0" fillId="0" borderId="0" xfId="0" applyNumberFormat="1" applyFont="1" applyFill="1" applyBorder="1"/>
    <xf numFmtId="164" fontId="0" fillId="0" borderId="6" xfId="0" applyNumberFormat="1" applyFont="1" applyFill="1" applyBorder="1"/>
    <xf numFmtId="165" fontId="0" fillId="0" borderId="6" xfId="0" applyNumberFormat="1" applyFont="1" applyFill="1" applyBorder="1"/>
    <xf numFmtId="165" fontId="0" fillId="0" borderId="0" xfId="0" applyNumberFormat="1" applyFill="1" applyBorder="1" applyAlignment="1">
      <alignment horizontal="center"/>
    </xf>
    <xf numFmtId="6" fontId="4" fillId="0" borderId="0" xfId="0" applyNumberFormat="1" applyFont="1" applyBorder="1" applyAlignment="1">
      <alignment horizontal="right"/>
    </xf>
    <xf numFmtId="0" fontId="0" fillId="0" borderId="6" xfId="0" applyFill="1" applyBorder="1" applyAlignment="1">
      <alignment horizontal="right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1" fontId="4" fillId="0" borderId="0" xfId="0" applyNumberFormat="1" applyFont="1" applyFill="1" applyBorder="1"/>
    <xf numFmtId="1" fontId="13" fillId="0" borderId="0" xfId="0" applyNumberFormat="1" applyFont="1" applyFill="1" applyBorder="1"/>
    <xf numFmtId="165" fontId="13" fillId="0" borderId="0" xfId="0" applyNumberFormat="1" applyFont="1" applyFill="1" applyBorder="1"/>
    <xf numFmtId="6" fontId="0" fillId="0" borderId="0" xfId="0" applyNumberFormat="1" applyFill="1"/>
    <xf numFmtId="0" fontId="2" fillId="2" borderId="0" xfId="0" applyFont="1" applyFill="1" applyBorder="1"/>
    <xf numFmtId="6" fontId="0" fillId="2" borderId="0" xfId="0" applyNumberFormat="1" applyFill="1"/>
    <xf numFmtId="0" fontId="2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164" fontId="4" fillId="0" borderId="6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165" fontId="4" fillId="2" borderId="0" xfId="0" applyNumberFormat="1" applyFont="1" applyFill="1" applyBorder="1"/>
    <xf numFmtId="0" fontId="0" fillId="2" borderId="0" xfId="0" applyFill="1"/>
    <xf numFmtId="0" fontId="0" fillId="0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2" borderId="2" xfId="0" applyNumberForma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44" fontId="0" fillId="0" borderId="0" xfId="0" applyNumberFormat="1"/>
    <xf numFmtId="0" fontId="11" fillId="4" borderId="18" xfId="0" applyFont="1" applyFill="1" applyBorder="1" applyAlignment="1">
      <alignment horizontal="center" vertical="center" textRotation="255" wrapText="1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0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4" fillId="0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vic">
  <a:themeElements>
    <a:clrScheme name="Civic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00A3D6"/>
      </a:hlink>
      <a:folHlink>
        <a:srgbClr val="694F07"/>
      </a:folHlink>
    </a:clrScheme>
    <a:fontScheme name="Civic">
      <a:majorFont>
        <a:latin typeface="Georgia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eorgia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Civic">
      <a:fillStyleLst>
        <a:solidFill>
          <a:schemeClr val="phClr"/>
        </a:solidFill>
        <a:solidFill>
          <a:schemeClr val="phClr">
            <a:tint val="45000"/>
          </a:schemeClr>
        </a:solidFill>
        <a:solidFill>
          <a:schemeClr val="phClr">
            <a:tint val="95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1429" cap="flat" cmpd="sng" algn="ctr">
          <a:solidFill>
            <a:schemeClr val="phClr"/>
          </a:solidFill>
          <a:prstDash val="sysDash"/>
        </a:ln>
        <a:ln w="200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contourW="9525" prstMaterial="matte">
            <a:bevelT w="0" h="0"/>
            <a:contourClr>
              <a:schemeClr val="phClr">
                <a:shade val="70000"/>
                <a:satMod val="105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soft" dir="b">
              <a:rot lat="0" lon="0" rev="0"/>
            </a:lightRig>
          </a:scene3d>
          <a:sp3d prstMaterial="dkEdge">
            <a:bevelT w="63500" h="63500" prst="cross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70000"/>
                <a:satMod val="115000"/>
              </a:schemeClr>
              <a:schemeClr val="phClr">
                <a:tint val="85000"/>
              </a:schemeClr>
            </a:duotone>
          </a:blip>
          <a:tile tx="0" ty="0" sx="85000" sy="85000" flip="none" algn="tl"/>
        </a:blipFill>
        <a:blipFill>
          <a:blip xmlns:r="http://schemas.openxmlformats.org/officeDocument/2006/relationships" r:embed="rId2">
            <a:duotone>
              <a:schemeClr val="phClr">
                <a:shade val="65000"/>
                <a:satMod val="115000"/>
              </a:schemeClr>
              <a:schemeClr val="phClr">
                <a:tint val="85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  <pageSetUpPr fitToPage="1"/>
  </sheetPr>
  <dimension ref="A1:L49"/>
  <sheetViews>
    <sheetView workbookViewId="0">
      <selection activeCell="K49" sqref="A1:K49"/>
    </sheetView>
  </sheetViews>
  <sheetFormatPr defaultColWidth="8.88671875" defaultRowHeight="14.25" x14ac:dyDescent="0.2"/>
  <cols>
    <col min="1" max="1" width="2" style="1" bestFit="1" customWidth="1"/>
    <col min="2" max="2" width="11.88671875" style="1" bestFit="1" customWidth="1"/>
    <col min="3" max="3" width="3.21875" style="38" customWidth="1"/>
    <col min="4" max="4" width="4.6640625" style="1" bestFit="1" customWidth="1"/>
    <col min="5" max="8" width="4.33203125" style="1" customWidth="1"/>
    <col min="9" max="9" width="5" style="1" bestFit="1" customWidth="1"/>
    <col min="10" max="10" width="6.5546875" style="1" bestFit="1" customWidth="1"/>
    <col min="11" max="11" width="4.5546875" style="1" customWidth="1"/>
    <col min="12" max="35" width="7.109375" style="1"/>
    <col min="36" max="16384" width="8.88671875" style="1"/>
  </cols>
  <sheetData>
    <row r="1" spans="1:12" s="5" customFormat="1" ht="30" customHeight="1" x14ac:dyDescent="0.2">
      <c r="B1" s="73"/>
      <c r="C1" s="158" t="s">
        <v>87</v>
      </c>
      <c r="D1" s="163">
        <v>16</v>
      </c>
      <c r="E1" s="164"/>
      <c r="F1" s="163">
        <v>17</v>
      </c>
      <c r="G1" s="164"/>
      <c r="H1" s="163">
        <v>18</v>
      </c>
      <c r="I1" s="164"/>
      <c r="J1" s="55"/>
      <c r="K1" s="91"/>
    </row>
    <row r="2" spans="1:12" ht="42.75" customHeight="1" thickBot="1" x14ac:dyDescent="0.25">
      <c r="B2" s="74" t="s">
        <v>14</v>
      </c>
      <c r="C2" s="158"/>
      <c r="D2" s="161" t="s">
        <v>128</v>
      </c>
      <c r="E2" s="162"/>
      <c r="F2" s="161" t="s">
        <v>129</v>
      </c>
      <c r="G2" s="162"/>
      <c r="H2" s="161" t="s">
        <v>130</v>
      </c>
      <c r="I2" s="162"/>
      <c r="J2" s="98" t="s">
        <v>13</v>
      </c>
      <c r="K2" s="56" t="s">
        <v>26</v>
      </c>
    </row>
    <row r="3" spans="1:12" ht="14.45" customHeight="1" thickTop="1" x14ac:dyDescent="0.2">
      <c r="B3" s="80" t="s">
        <v>85</v>
      </c>
      <c r="C3" s="159"/>
      <c r="D3" s="165" t="s">
        <v>137</v>
      </c>
      <c r="E3" s="166"/>
      <c r="F3" s="165" t="s">
        <v>138</v>
      </c>
      <c r="G3" s="166"/>
      <c r="H3" s="165" t="s">
        <v>139</v>
      </c>
      <c r="I3" s="166"/>
      <c r="J3" s="99"/>
      <c r="K3" s="78"/>
    </row>
    <row r="4" spans="1:12" ht="35.25" customHeight="1" thickBot="1" x14ac:dyDescent="0.25">
      <c r="B4" s="79" t="s">
        <v>86</v>
      </c>
      <c r="C4" s="160"/>
      <c r="D4" s="167" t="s">
        <v>185</v>
      </c>
      <c r="E4" s="168"/>
      <c r="F4" s="167" t="s">
        <v>145</v>
      </c>
      <c r="G4" s="168"/>
      <c r="H4" s="167" t="s">
        <v>187</v>
      </c>
      <c r="I4" s="168"/>
      <c r="J4" s="100"/>
      <c r="K4" s="78"/>
    </row>
    <row r="5" spans="1:12" ht="15.75" customHeight="1" thickTop="1" thickBot="1" x14ac:dyDescent="0.3">
      <c r="A5" s="1">
        <v>1</v>
      </c>
      <c r="B5" s="42" t="s">
        <v>36</v>
      </c>
      <c r="C5" s="82">
        <v>15</v>
      </c>
      <c r="D5" s="114">
        <v>86</v>
      </c>
      <c r="E5" s="115">
        <v>12</v>
      </c>
      <c r="F5" s="14">
        <v>90</v>
      </c>
      <c r="G5" s="57">
        <v>10</v>
      </c>
      <c r="H5" s="14">
        <v>92</v>
      </c>
      <c r="I5" s="57">
        <v>15.5</v>
      </c>
      <c r="J5" s="9">
        <v>190.5</v>
      </c>
      <c r="K5" s="92">
        <v>16.28125</v>
      </c>
    </row>
    <row r="6" spans="1:12" ht="15.75" customHeight="1" thickTop="1" x14ac:dyDescent="0.25">
      <c r="B6" s="65" t="s">
        <v>37</v>
      </c>
      <c r="C6" s="85"/>
      <c r="D6" s="114">
        <v>36</v>
      </c>
      <c r="E6" s="115">
        <v>7</v>
      </c>
      <c r="F6" s="16">
        <v>33</v>
      </c>
      <c r="G6" s="118">
        <v>6</v>
      </c>
      <c r="H6" s="16">
        <v>31</v>
      </c>
      <c r="I6" s="118">
        <v>3.5</v>
      </c>
      <c r="J6" s="23">
        <v>114.5</v>
      </c>
      <c r="K6" s="93">
        <v>7.15625</v>
      </c>
    </row>
    <row r="7" spans="1:12" ht="15.75" customHeight="1" thickBot="1" x14ac:dyDescent="0.3">
      <c r="B7" s="66" t="s">
        <v>6</v>
      </c>
      <c r="C7" s="86"/>
      <c r="D7" s="116">
        <v>-16</v>
      </c>
      <c r="E7" s="117">
        <v>5</v>
      </c>
      <c r="F7" s="59">
        <v>-19</v>
      </c>
      <c r="G7" s="102">
        <v>4</v>
      </c>
      <c r="H7" s="59">
        <v>21</v>
      </c>
      <c r="I7" s="102">
        <v>12</v>
      </c>
      <c r="J7" s="27">
        <v>146</v>
      </c>
      <c r="K7" s="94">
        <v>9.125</v>
      </c>
    </row>
    <row r="8" spans="1:12" ht="15" customHeight="1" thickBot="1" x14ac:dyDescent="0.3">
      <c r="A8" s="1">
        <v>2</v>
      </c>
      <c r="B8" s="42" t="s">
        <v>78</v>
      </c>
      <c r="C8" s="83">
        <v>12</v>
      </c>
      <c r="D8" s="114">
        <v>78</v>
      </c>
      <c r="E8" s="115">
        <v>14</v>
      </c>
      <c r="F8" s="14"/>
      <c r="G8" s="57"/>
      <c r="H8" s="14">
        <v>76</v>
      </c>
      <c r="I8" s="57">
        <v>18.5</v>
      </c>
      <c r="J8" s="25">
        <v>172</v>
      </c>
      <c r="K8" s="95">
        <v>15.035714285714286</v>
      </c>
      <c r="L8" s="8"/>
    </row>
    <row r="9" spans="1:12" ht="15" customHeight="1" thickTop="1" x14ac:dyDescent="0.25">
      <c r="B9" s="65" t="s">
        <v>37</v>
      </c>
      <c r="C9" s="85"/>
      <c r="D9" s="114">
        <v>37</v>
      </c>
      <c r="E9" s="115">
        <v>8</v>
      </c>
      <c r="F9" s="16"/>
      <c r="G9" s="118"/>
      <c r="H9" s="16">
        <v>38</v>
      </c>
      <c r="I9" s="118">
        <v>11.5</v>
      </c>
      <c r="J9" s="23">
        <v>122</v>
      </c>
      <c r="K9" s="93">
        <v>8.7142857142857135</v>
      </c>
    </row>
    <row r="10" spans="1:12" ht="15" customHeight="1" thickBot="1" x14ac:dyDescent="0.3">
      <c r="B10" s="66" t="s">
        <v>6</v>
      </c>
      <c r="C10" s="86"/>
      <c r="D10" s="116">
        <v>6</v>
      </c>
      <c r="E10" s="117">
        <v>6</v>
      </c>
      <c r="F10" s="59"/>
      <c r="G10" s="102"/>
      <c r="H10" s="59">
        <v>1</v>
      </c>
      <c r="I10" s="102">
        <v>7</v>
      </c>
      <c r="J10" s="24">
        <v>88.5</v>
      </c>
      <c r="K10" s="96">
        <v>6.3214285714285712</v>
      </c>
    </row>
    <row r="11" spans="1:12" ht="15" customHeight="1" thickBot="1" x14ac:dyDescent="0.3">
      <c r="A11" s="1">
        <v>3</v>
      </c>
      <c r="B11" s="112" t="s">
        <v>5</v>
      </c>
      <c r="C11" s="83">
        <v>12</v>
      </c>
      <c r="D11" s="114">
        <v>92</v>
      </c>
      <c r="E11" s="115">
        <v>14</v>
      </c>
      <c r="F11" s="14">
        <v>89</v>
      </c>
      <c r="G11" s="57">
        <v>17.5</v>
      </c>
      <c r="H11" s="14">
        <v>93</v>
      </c>
      <c r="I11" s="57">
        <v>6</v>
      </c>
      <c r="J11" s="25">
        <v>168.5</v>
      </c>
      <c r="K11" s="95">
        <v>14.615384615384615</v>
      </c>
    </row>
    <row r="12" spans="1:12" ht="15" customHeight="1" thickTop="1" x14ac:dyDescent="0.25">
      <c r="B12" s="65" t="s">
        <v>37</v>
      </c>
      <c r="C12" s="85"/>
      <c r="D12" s="114">
        <v>35</v>
      </c>
      <c r="E12" s="115">
        <v>5</v>
      </c>
      <c r="F12" s="16">
        <v>36</v>
      </c>
      <c r="G12" s="118">
        <v>9.5</v>
      </c>
      <c r="H12" s="16">
        <v>32</v>
      </c>
      <c r="I12" s="118">
        <v>5</v>
      </c>
      <c r="J12" s="23">
        <v>101</v>
      </c>
      <c r="K12" s="93">
        <v>7.7692307692307692</v>
      </c>
    </row>
    <row r="13" spans="1:12" ht="15" customHeight="1" thickBot="1" x14ac:dyDescent="0.3">
      <c r="B13" s="66" t="s">
        <v>6</v>
      </c>
      <c r="C13" s="86"/>
      <c r="D13" s="116">
        <v>11</v>
      </c>
      <c r="E13" s="117">
        <v>9</v>
      </c>
      <c r="F13" s="59">
        <v>11</v>
      </c>
      <c r="G13" s="102">
        <v>8</v>
      </c>
      <c r="H13" s="59">
        <v>-19</v>
      </c>
      <c r="I13" s="102">
        <v>1</v>
      </c>
      <c r="J13" s="27">
        <v>89</v>
      </c>
      <c r="K13" s="94">
        <v>6.8461538461538458</v>
      </c>
    </row>
    <row r="14" spans="1:12" ht="15" customHeight="1" thickBot="1" x14ac:dyDescent="0.3">
      <c r="A14" s="1">
        <v>4</v>
      </c>
      <c r="B14" s="68" t="s">
        <v>3</v>
      </c>
      <c r="C14" s="83">
        <v>15</v>
      </c>
      <c r="D14" s="114">
        <v>86</v>
      </c>
      <c r="E14" s="115">
        <v>7</v>
      </c>
      <c r="F14" s="14">
        <v>77</v>
      </c>
      <c r="G14" s="57">
        <v>13</v>
      </c>
      <c r="H14" s="14">
        <v>78</v>
      </c>
      <c r="I14" s="57">
        <v>13.5</v>
      </c>
      <c r="J14" s="25">
        <v>165</v>
      </c>
      <c r="K14" s="95">
        <v>13.441176470588236</v>
      </c>
    </row>
    <row r="15" spans="1:12" ht="15" customHeight="1" thickTop="1" x14ac:dyDescent="0.25">
      <c r="B15" s="65" t="s">
        <v>37</v>
      </c>
      <c r="C15" s="85"/>
      <c r="D15" s="114">
        <v>26</v>
      </c>
      <c r="E15" s="115">
        <v>3</v>
      </c>
      <c r="F15" s="14">
        <v>35</v>
      </c>
      <c r="G15" s="57">
        <v>8</v>
      </c>
      <c r="H15" s="14">
        <v>34</v>
      </c>
      <c r="I15" s="57">
        <v>7.5</v>
      </c>
      <c r="J15" s="23">
        <v>114</v>
      </c>
      <c r="K15" s="93">
        <v>6.7058823529411766</v>
      </c>
    </row>
    <row r="16" spans="1:12" ht="15" customHeight="1" thickBot="1" x14ac:dyDescent="0.3">
      <c r="B16" s="66" t="s">
        <v>6</v>
      </c>
      <c r="C16" s="86"/>
      <c r="D16" s="116">
        <v>-19</v>
      </c>
      <c r="E16" s="117">
        <v>4</v>
      </c>
      <c r="F16" s="58">
        <v>-7</v>
      </c>
      <c r="G16" s="103">
        <v>5</v>
      </c>
      <c r="H16" s="58">
        <v>-3</v>
      </c>
      <c r="I16" s="103">
        <v>6</v>
      </c>
      <c r="J16" s="27">
        <v>114.5</v>
      </c>
      <c r="K16" s="94">
        <v>6.7352941176470589</v>
      </c>
    </row>
    <row r="17" spans="1:11" ht="15" customHeight="1" thickBot="1" x14ac:dyDescent="0.3">
      <c r="A17" s="1">
        <v>5</v>
      </c>
      <c r="B17" s="42" t="s">
        <v>58</v>
      </c>
      <c r="C17" s="84">
        <v>13</v>
      </c>
      <c r="D17" s="114">
        <v>75</v>
      </c>
      <c r="E17" s="115">
        <v>20</v>
      </c>
      <c r="F17" s="14">
        <v>98</v>
      </c>
      <c r="G17" s="57">
        <v>6</v>
      </c>
      <c r="H17" s="14">
        <v>83</v>
      </c>
      <c r="I17" s="57">
        <v>20.5</v>
      </c>
      <c r="J17" s="25">
        <v>164</v>
      </c>
      <c r="K17" s="95">
        <v>13.933333333333334</v>
      </c>
    </row>
    <row r="18" spans="1:11" ht="15" customHeight="1" thickTop="1" x14ac:dyDescent="0.25">
      <c r="B18" s="65" t="s">
        <v>37</v>
      </c>
      <c r="C18" s="85"/>
      <c r="D18" s="114">
        <v>46</v>
      </c>
      <c r="E18" s="115">
        <v>10</v>
      </c>
      <c r="F18" s="16">
        <v>24</v>
      </c>
      <c r="G18" s="118">
        <v>3</v>
      </c>
      <c r="H18" s="16">
        <v>38</v>
      </c>
      <c r="I18" s="118">
        <v>11.5</v>
      </c>
      <c r="J18" s="23">
        <v>113</v>
      </c>
      <c r="K18" s="93">
        <v>7.5333333333333332</v>
      </c>
    </row>
    <row r="19" spans="1:11" ht="15" customHeight="1" thickBot="1" x14ac:dyDescent="0.3">
      <c r="B19" s="66" t="s">
        <v>6</v>
      </c>
      <c r="C19" s="86"/>
      <c r="D19" s="116">
        <v>33</v>
      </c>
      <c r="E19" s="117">
        <v>10</v>
      </c>
      <c r="F19" s="59">
        <v>-36</v>
      </c>
      <c r="G19" s="102">
        <v>3</v>
      </c>
      <c r="H19" s="59">
        <v>13</v>
      </c>
      <c r="I19" s="102">
        <v>9</v>
      </c>
      <c r="J19" s="27">
        <v>96</v>
      </c>
      <c r="K19" s="94">
        <v>6.4</v>
      </c>
    </row>
    <row r="20" spans="1:11" ht="15" customHeight="1" thickBot="1" x14ac:dyDescent="0.3">
      <c r="A20" s="1">
        <v>6</v>
      </c>
      <c r="B20" s="42" t="s">
        <v>100</v>
      </c>
      <c r="C20" s="83">
        <v>13</v>
      </c>
      <c r="D20" s="114"/>
      <c r="E20" s="115"/>
      <c r="F20" s="14">
        <v>78</v>
      </c>
      <c r="G20" s="57">
        <v>19.5</v>
      </c>
      <c r="H20" s="14">
        <v>79</v>
      </c>
      <c r="I20" s="57">
        <v>10.5</v>
      </c>
      <c r="J20" s="26">
        <v>160.5</v>
      </c>
      <c r="K20" s="97">
        <v>13.857142857142858</v>
      </c>
    </row>
    <row r="21" spans="1:11" ht="15" customHeight="1" thickTop="1" x14ac:dyDescent="0.25">
      <c r="B21" s="65" t="s">
        <v>37</v>
      </c>
      <c r="C21" s="85"/>
      <c r="D21" s="114"/>
      <c r="E21" s="115"/>
      <c r="F21" s="14">
        <v>36</v>
      </c>
      <c r="G21" s="57">
        <v>9.5</v>
      </c>
      <c r="H21" s="14">
        <v>34</v>
      </c>
      <c r="I21" s="57">
        <v>7.5</v>
      </c>
      <c r="J21" s="23">
        <v>99</v>
      </c>
      <c r="K21" s="93">
        <v>7.0714285714285712</v>
      </c>
    </row>
    <row r="22" spans="1:11" ht="15" customHeight="1" thickBot="1" x14ac:dyDescent="0.3">
      <c r="B22" s="66" t="s">
        <v>6</v>
      </c>
      <c r="C22" s="86"/>
      <c r="D22" s="116"/>
      <c r="E22" s="117"/>
      <c r="F22" s="58">
        <v>34</v>
      </c>
      <c r="G22" s="103">
        <v>10</v>
      </c>
      <c r="H22" s="58">
        <v>-13</v>
      </c>
      <c r="I22" s="103">
        <v>3</v>
      </c>
      <c r="J22" s="24">
        <v>95</v>
      </c>
      <c r="K22" s="96">
        <v>6.7857142857142856</v>
      </c>
    </row>
    <row r="23" spans="1:11" ht="15" customHeight="1" thickBot="1" x14ac:dyDescent="0.3">
      <c r="A23" s="1">
        <v>7</v>
      </c>
      <c r="B23" s="42" t="s">
        <v>40</v>
      </c>
      <c r="C23" s="83">
        <v>13</v>
      </c>
      <c r="D23" s="114">
        <v>78</v>
      </c>
      <c r="E23" s="115">
        <v>8</v>
      </c>
      <c r="F23" s="14"/>
      <c r="G23" s="57"/>
      <c r="H23" s="14">
        <v>87</v>
      </c>
      <c r="I23" s="57">
        <v>3.5</v>
      </c>
      <c r="J23" s="26">
        <v>160.5</v>
      </c>
      <c r="K23" s="97">
        <v>13.571428571428571</v>
      </c>
    </row>
    <row r="24" spans="1:11" ht="15" customHeight="1" thickTop="1" x14ac:dyDescent="0.25">
      <c r="B24" s="65" t="s">
        <v>37</v>
      </c>
      <c r="C24" s="85"/>
      <c r="D24" s="114">
        <v>35</v>
      </c>
      <c r="E24" s="115">
        <v>5</v>
      </c>
      <c r="F24" s="14"/>
      <c r="G24" s="57"/>
      <c r="H24" s="14">
        <v>28</v>
      </c>
      <c r="I24" s="57">
        <v>1.5</v>
      </c>
      <c r="J24" s="23">
        <v>90</v>
      </c>
      <c r="K24" s="93">
        <v>6.4285714285714288</v>
      </c>
    </row>
    <row r="25" spans="1:11" ht="15" customHeight="1" thickBot="1" x14ac:dyDescent="0.3">
      <c r="B25" s="66" t="s">
        <v>6</v>
      </c>
      <c r="C25" s="86"/>
      <c r="D25" s="116">
        <v>-25</v>
      </c>
      <c r="E25" s="117">
        <v>3</v>
      </c>
      <c r="F25" s="58"/>
      <c r="G25" s="103"/>
      <c r="H25" s="58">
        <v>-15</v>
      </c>
      <c r="I25" s="103">
        <v>2</v>
      </c>
      <c r="J25" s="27">
        <v>100</v>
      </c>
      <c r="K25" s="94">
        <v>7.1428571428571432</v>
      </c>
    </row>
    <row r="26" spans="1:11" ht="15" customHeight="1" thickBot="1" x14ac:dyDescent="0.25">
      <c r="A26" s="1">
        <v>8</v>
      </c>
      <c r="B26" s="42" t="s">
        <v>39</v>
      </c>
      <c r="C26" s="83">
        <v>14</v>
      </c>
      <c r="D26" s="114">
        <v>92</v>
      </c>
      <c r="E26" s="115">
        <v>16</v>
      </c>
      <c r="F26" s="14">
        <v>104</v>
      </c>
      <c r="G26" s="57">
        <v>11</v>
      </c>
      <c r="H26" s="14">
        <v>107</v>
      </c>
      <c r="I26" s="57">
        <v>11.5</v>
      </c>
      <c r="J26" s="25">
        <v>149.5</v>
      </c>
      <c r="K26" s="95">
        <v>12.166666666666666</v>
      </c>
    </row>
    <row r="27" spans="1:11" ht="15" customHeight="1" thickTop="1" x14ac:dyDescent="0.2">
      <c r="B27" s="65" t="s">
        <v>37</v>
      </c>
      <c r="C27" s="85"/>
      <c r="D27" s="114">
        <v>42</v>
      </c>
      <c r="E27" s="115">
        <v>9</v>
      </c>
      <c r="F27" s="14">
        <v>30</v>
      </c>
      <c r="G27" s="57">
        <v>5</v>
      </c>
      <c r="H27" s="14">
        <v>28</v>
      </c>
      <c r="I27" s="57">
        <v>1.5</v>
      </c>
      <c r="J27" s="23">
        <v>85</v>
      </c>
      <c r="K27" s="93">
        <v>5.666666666666667</v>
      </c>
    </row>
    <row r="28" spans="1:11" ht="15" customHeight="1" thickBot="1" x14ac:dyDescent="0.25">
      <c r="B28" s="66" t="s">
        <v>6</v>
      </c>
      <c r="C28" s="86"/>
      <c r="D28" s="116">
        <v>2</v>
      </c>
      <c r="E28" s="117">
        <v>7</v>
      </c>
      <c r="F28" s="58">
        <v>0</v>
      </c>
      <c r="G28" s="103">
        <v>6</v>
      </c>
      <c r="H28" s="58">
        <v>14</v>
      </c>
      <c r="I28" s="103">
        <v>10</v>
      </c>
      <c r="J28" s="27">
        <v>97.5</v>
      </c>
      <c r="K28" s="94">
        <v>6.5</v>
      </c>
    </row>
    <row r="29" spans="1:11" ht="15" customHeight="1" thickBot="1" x14ac:dyDescent="0.25">
      <c r="B29" s="68" t="s">
        <v>91</v>
      </c>
      <c r="C29" s="83">
        <v>11</v>
      </c>
      <c r="D29" s="114">
        <v>97</v>
      </c>
      <c r="E29" s="115">
        <v>13</v>
      </c>
      <c r="F29" s="14">
        <v>106</v>
      </c>
      <c r="G29" s="57">
        <v>11</v>
      </c>
      <c r="H29" s="14">
        <v>98</v>
      </c>
      <c r="I29" s="57">
        <v>14</v>
      </c>
      <c r="J29" s="26">
        <v>148</v>
      </c>
      <c r="K29" s="97">
        <v>13.625</v>
      </c>
    </row>
    <row r="30" spans="1:11" ht="15" thickTop="1" x14ac:dyDescent="0.2">
      <c r="B30" s="65" t="s">
        <v>37</v>
      </c>
      <c r="C30" s="85"/>
      <c r="D30" s="114">
        <v>35</v>
      </c>
      <c r="E30" s="115">
        <v>5</v>
      </c>
      <c r="F30" s="14">
        <v>27</v>
      </c>
      <c r="G30" s="57">
        <v>4</v>
      </c>
      <c r="H30" s="14">
        <v>35</v>
      </c>
      <c r="I30" s="57">
        <v>9</v>
      </c>
      <c r="J30" s="23">
        <v>84.5</v>
      </c>
      <c r="K30" s="93">
        <v>7.041666666666667</v>
      </c>
    </row>
    <row r="31" spans="1:11" ht="15" thickBot="1" x14ac:dyDescent="0.25">
      <c r="B31" s="66" t="s">
        <v>6</v>
      </c>
      <c r="C31" s="86"/>
      <c r="D31" s="116">
        <v>8</v>
      </c>
      <c r="E31" s="117">
        <v>8</v>
      </c>
      <c r="F31" s="58">
        <v>2</v>
      </c>
      <c r="G31" s="104">
        <v>7</v>
      </c>
      <c r="H31" s="58">
        <v>-6</v>
      </c>
      <c r="I31" s="104">
        <v>5</v>
      </c>
      <c r="J31" s="27">
        <v>79</v>
      </c>
      <c r="K31" s="94">
        <v>6.583333333333333</v>
      </c>
    </row>
    <row r="32" spans="1:11" ht="15" thickBot="1" x14ac:dyDescent="0.25">
      <c r="B32" s="42" t="s">
        <v>2</v>
      </c>
      <c r="C32" s="83">
        <v>11</v>
      </c>
      <c r="D32" s="114"/>
      <c r="E32" s="115"/>
      <c r="F32" s="14"/>
      <c r="G32" s="57"/>
      <c r="H32" s="14">
        <v>95</v>
      </c>
      <c r="I32" s="57">
        <v>7.5</v>
      </c>
      <c r="J32" s="25">
        <v>122.5</v>
      </c>
      <c r="K32" s="95">
        <v>10.875</v>
      </c>
    </row>
    <row r="33" spans="2:11" ht="15" thickTop="1" x14ac:dyDescent="0.2">
      <c r="B33" s="65" t="s">
        <v>37</v>
      </c>
      <c r="C33" s="85"/>
      <c r="D33" s="114"/>
      <c r="E33" s="115"/>
      <c r="F33" s="14"/>
      <c r="G33" s="57"/>
      <c r="H33" s="14">
        <v>31</v>
      </c>
      <c r="I33" s="57">
        <v>3.5</v>
      </c>
      <c r="J33" s="23">
        <v>67</v>
      </c>
      <c r="K33" s="93">
        <v>5.583333333333333</v>
      </c>
    </row>
    <row r="34" spans="2:11" ht="15" thickBot="1" x14ac:dyDescent="0.25">
      <c r="B34" s="66" t="s">
        <v>6</v>
      </c>
      <c r="C34" s="86"/>
      <c r="D34" s="116"/>
      <c r="E34" s="117"/>
      <c r="F34" s="58"/>
      <c r="G34" s="104"/>
      <c r="H34" s="58">
        <v>-12</v>
      </c>
      <c r="I34" s="104">
        <v>4</v>
      </c>
      <c r="J34" s="27">
        <v>63.5</v>
      </c>
      <c r="K34" s="94">
        <v>5.291666666666667</v>
      </c>
    </row>
    <row r="35" spans="2:11" ht="15" thickBot="1" x14ac:dyDescent="0.25">
      <c r="B35" s="67" t="s">
        <v>9</v>
      </c>
      <c r="C35" s="83">
        <v>10</v>
      </c>
      <c r="D35" s="114"/>
      <c r="E35" s="115"/>
      <c r="F35" s="14"/>
      <c r="G35" s="57"/>
      <c r="H35" s="14"/>
      <c r="I35" s="57"/>
      <c r="J35" s="25">
        <v>119</v>
      </c>
      <c r="K35" s="95">
        <v>11.9</v>
      </c>
    </row>
    <row r="36" spans="2:11" ht="15" thickTop="1" x14ac:dyDescent="0.2">
      <c r="B36" s="65" t="s">
        <v>37</v>
      </c>
      <c r="C36" s="85"/>
      <c r="D36" s="114"/>
      <c r="E36" s="115"/>
      <c r="F36" s="14"/>
      <c r="G36" s="57"/>
      <c r="H36" s="14"/>
      <c r="I36" s="57"/>
      <c r="J36" s="23">
        <v>62.5</v>
      </c>
      <c r="K36" s="93">
        <v>6.25</v>
      </c>
    </row>
    <row r="37" spans="2:11" ht="15" thickBot="1" x14ac:dyDescent="0.25">
      <c r="B37" s="66" t="s">
        <v>6</v>
      </c>
      <c r="C37" s="86"/>
      <c r="D37" s="116"/>
      <c r="E37" s="117"/>
      <c r="F37" s="58"/>
      <c r="G37" s="104"/>
      <c r="H37" s="58"/>
      <c r="I37" s="104"/>
      <c r="J37" s="27">
        <v>56.5</v>
      </c>
      <c r="K37" s="94">
        <v>5.65</v>
      </c>
    </row>
    <row r="38" spans="2:11" ht="15" thickBot="1" x14ac:dyDescent="0.25">
      <c r="B38" s="42" t="s">
        <v>55</v>
      </c>
      <c r="C38" s="83">
        <v>11</v>
      </c>
      <c r="D38" s="114"/>
      <c r="E38" s="115"/>
      <c r="F38" s="14"/>
      <c r="G38" s="57"/>
      <c r="H38" s="14"/>
      <c r="I38" s="57"/>
      <c r="J38" s="25">
        <v>99.5</v>
      </c>
      <c r="K38" s="95">
        <v>9.4090909090909083</v>
      </c>
    </row>
    <row r="39" spans="2:11" ht="15" thickTop="1" x14ac:dyDescent="0.2">
      <c r="B39" s="65" t="s">
        <v>37</v>
      </c>
      <c r="C39" s="85"/>
      <c r="D39" s="114"/>
      <c r="E39" s="115"/>
      <c r="F39" s="14"/>
      <c r="G39" s="57"/>
      <c r="H39" s="14"/>
      <c r="I39" s="57"/>
      <c r="J39" s="23">
        <v>40.5</v>
      </c>
      <c r="K39" s="93">
        <v>3.6818181818181817</v>
      </c>
    </row>
    <row r="40" spans="2:11" ht="15" thickBot="1" x14ac:dyDescent="0.25">
      <c r="B40" s="66" t="s">
        <v>6</v>
      </c>
      <c r="C40" s="86"/>
      <c r="D40" s="116"/>
      <c r="E40" s="117"/>
      <c r="F40" s="58"/>
      <c r="G40" s="104"/>
      <c r="H40" s="58"/>
      <c r="I40" s="104"/>
      <c r="J40" s="27">
        <v>63</v>
      </c>
      <c r="K40" s="94">
        <v>5.7272727272727275</v>
      </c>
    </row>
    <row r="41" spans="2:11" ht="15" thickBot="1" x14ac:dyDescent="0.25">
      <c r="B41" s="68" t="s">
        <v>83</v>
      </c>
      <c r="C41" s="83">
        <v>9</v>
      </c>
      <c r="D41" s="114"/>
      <c r="E41" s="115"/>
      <c r="F41" s="14">
        <v>93</v>
      </c>
      <c r="G41" s="57">
        <v>16</v>
      </c>
      <c r="H41" s="14"/>
      <c r="I41" s="57"/>
      <c r="J41" s="25">
        <v>83</v>
      </c>
      <c r="K41" s="95">
        <v>9.2222222222222214</v>
      </c>
    </row>
    <row r="42" spans="2:11" ht="15" thickTop="1" x14ac:dyDescent="0.2">
      <c r="B42" s="65" t="s">
        <v>37</v>
      </c>
      <c r="C42" s="85"/>
      <c r="D42" s="114"/>
      <c r="E42" s="115"/>
      <c r="F42" s="14">
        <v>34</v>
      </c>
      <c r="G42" s="57">
        <v>7</v>
      </c>
      <c r="H42" s="14"/>
      <c r="I42" s="57"/>
      <c r="J42" s="23">
        <v>44</v>
      </c>
      <c r="K42" s="93">
        <v>4.8888888888888893</v>
      </c>
    </row>
    <row r="43" spans="2:11" ht="15" thickBot="1" x14ac:dyDescent="0.25">
      <c r="B43" s="120" t="s">
        <v>6</v>
      </c>
      <c r="C43" s="86"/>
      <c r="D43" s="116"/>
      <c r="E43" s="117"/>
      <c r="F43" s="58">
        <v>15</v>
      </c>
      <c r="G43" s="104">
        <v>9</v>
      </c>
      <c r="H43" s="58"/>
      <c r="I43" s="104"/>
      <c r="J43" s="27">
        <v>39</v>
      </c>
      <c r="K43" s="94">
        <v>4.333333333333333</v>
      </c>
    </row>
    <row r="44" spans="2:11" ht="15" thickBot="1" x14ac:dyDescent="0.25">
      <c r="B44" s="67" t="s">
        <v>28</v>
      </c>
      <c r="C44" s="83">
        <v>0</v>
      </c>
      <c r="D44" s="114"/>
      <c r="E44" s="115"/>
      <c r="F44" s="14"/>
      <c r="G44" s="57"/>
      <c r="H44" s="14"/>
      <c r="I44" s="57"/>
      <c r="J44" s="25">
        <v>0</v>
      </c>
      <c r="K44" s="95">
        <v>0</v>
      </c>
    </row>
    <row r="45" spans="2:11" ht="15" thickTop="1" x14ac:dyDescent="0.2">
      <c r="B45" s="65" t="s">
        <v>37</v>
      </c>
      <c r="C45" s="85"/>
      <c r="D45" s="114"/>
      <c r="E45" s="115"/>
      <c r="F45" s="14"/>
      <c r="G45" s="57"/>
      <c r="H45" s="14"/>
      <c r="I45" s="57"/>
      <c r="J45" s="23">
        <v>0</v>
      </c>
      <c r="K45" s="93">
        <v>0</v>
      </c>
    </row>
    <row r="46" spans="2:11" ht="15" thickBot="1" x14ac:dyDescent="0.25">
      <c r="B46" s="66" t="s">
        <v>6</v>
      </c>
      <c r="C46" s="86"/>
      <c r="D46" s="116"/>
      <c r="E46" s="117"/>
      <c r="F46" s="58"/>
      <c r="G46" s="104"/>
      <c r="H46" s="58"/>
      <c r="I46" s="104"/>
      <c r="J46" s="27">
        <v>0</v>
      </c>
      <c r="K46" s="94">
        <v>0</v>
      </c>
    </row>
    <row r="47" spans="2:11" ht="15" thickBot="1" x14ac:dyDescent="0.25">
      <c r="B47" s="67" t="s">
        <v>111</v>
      </c>
      <c r="C47" s="83">
        <v>0</v>
      </c>
      <c r="D47" s="114"/>
      <c r="E47" s="115"/>
      <c r="F47" s="14"/>
      <c r="G47" s="57"/>
      <c r="H47" s="14"/>
      <c r="I47" s="57"/>
      <c r="J47" s="25">
        <v>0</v>
      </c>
      <c r="K47" s="25">
        <v>0</v>
      </c>
    </row>
    <row r="48" spans="2:11" ht="15" thickTop="1" x14ac:dyDescent="0.2">
      <c r="B48" s="65" t="s">
        <v>37</v>
      </c>
      <c r="C48" s="85"/>
      <c r="D48" s="114"/>
      <c r="E48" s="115"/>
      <c r="F48" s="14"/>
      <c r="G48" s="57"/>
      <c r="H48" s="14"/>
      <c r="I48" s="57"/>
      <c r="J48" s="23">
        <v>0</v>
      </c>
      <c r="K48" s="23">
        <v>0</v>
      </c>
    </row>
    <row r="49" spans="2:11" ht="15" thickBot="1" x14ac:dyDescent="0.25">
      <c r="B49" s="66" t="s">
        <v>6</v>
      </c>
      <c r="C49" s="86"/>
      <c r="D49" s="116"/>
      <c r="E49" s="117"/>
      <c r="F49" s="58"/>
      <c r="G49" s="104"/>
      <c r="H49" s="58"/>
      <c r="I49" s="104"/>
      <c r="J49" s="27">
        <v>0</v>
      </c>
      <c r="K49" s="94">
        <v>0</v>
      </c>
    </row>
  </sheetData>
  <dataConsolidate/>
  <mergeCells count="13">
    <mergeCell ref="C1:C4"/>
    <mergeCell ref="H2:I2"/>
    <mergeCell ref="H1:I1"/>
    <mergeCell ref="H3:I3"/>
    <mergeCell ref="H4:I4"/>
    <mergeCell ref="D3:E3"/>
    <mergeCell ref="F3:G3"/>
    <mergeCell ref="D4:E4"/>
    <mergeCell ref="F4:G4"/>
    <mergeCell ref="D1:E1"/>
    <mergeCell ref="F1:G1"/>
    <mergeCell ref="D2:E2"/>
    <mergeCell ref="F2:G2"/>
  </mergeCells>
  <pageMargins left="0.2" right="0.2" top="0.25" bottom="0.25" header="0.3" footer="0.3"/>
  <pageSetup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AN89"/>
  <sheetViews>
    <sheetView zoomScaleNormal="100" workbookViewId="0">
      <selection activeCell="AM57" sqref="AM57:AM87"/>
    </sheetView>
  </sheetViews>
  <sheetFormatPr defaultColWidth="8.88671875" defaultRowHeight="14.25" outlineLevelRow="1" x14ac:dyDescent="0.2"/>
  <cols>
    <col min="1" max="1" width="2.21875" style="47" customWidth="1"/>
    <col min="2" max="2" width="10" style="1" customWidth="1"/>
    <col min="3" max="20" width="3.77734375" style="1" customWidth="1"/>
    <col min="21" max="21" width="3.44140625" style="1" customWidth="1"/>
    <col min="22" max="22" width="3.6640625" style="1" customWidth="1"/>
    <col min="23" max="38" width="3.44140625" style="1" customWidth="1"/>
    <col min="39" max="39" width="5.33203125" style="1" customWidth="1"/>
    <col min="40" max="40" width="4.33203125" style="1" customWidth="1"/>
    <col min="41" max="16384" width="8.88671875" style="1"/>
  </cols>
  <sheetData>
    <row r="1" spans="1:40" s="5" customFormat="1" ht="14.25" customHeight="1" x14ac:dyDescent="0.25">
      <c r="A1" s="48"/>
      <c r="B1" s="39"/>
      <c r="C1" s="175">
        <v>1</v>
      </c>
      <c r="D1" s="175"/>
      <c r="E1" s="175">
        <v>2</v>
      </c>
      <c r="F1" s="175"/>
      <c r="G1" s="175">
        <v>3</v>
      </c>
      <c r="H1" s="175"/>
      <c r="I1" s="175">
        <v>4</v>
      </c>
      <c r="J1" s="175"/>
      <c r="K1" s="175">
        <v>5</v>
      </c>
      <c r="L1" s="175"/>
      <c r="M1" s="175">
        <v>6</v>
      </c>
      <c r="N1" s="175"/>
      <c r="O1" s="175">
        <v>7</v>
      </c>
      <c r="P1" s="175"/>
      <c r="Q1" s="175">
        <v>8</v>
      </c>
      <c r="R1" s="175"/>
      <c r="S1" s="175">
        <v>9</v>
      </c>
      <c r="T1" s="175"/>
      <c r="U1" s="175">
        <v>10</v>
      </c>
      <c r="V1" s="175"/>
      <c r="W1" s="175">
        <v>11</v>
      </c>
      <c r="X1" s="175"/>
      <c r="Y1" s="175">
        <v>12</v>
      </c>
      <c r="Z1" s="175"/>
      <c r="AA1" s="175">
        <v>13</v>
      </c>
      <c r="AB1" s="175"/>
      <c r="AC1" s="175">
        <v>14</v>
      </c>
      <c r="AD1" s="175"/>
      <c r="AE1" s="175">
        <v>15</v>
      </c>
      <c r="AF1" s="175"/>
      <c r="AG1" s="175">
        <v>16</v>
      </c>
      <c r="AH1" s="175"/>
      <c r="AI1" s="175">
        <v>17</v>
      </c>
      <c r="AJ1" s="175"/>
      <c r="AK1" s="175">
        <v>18</v>
      </c>
      <c r="AL1" s="175"/>
      <c r="AM1" s="39"/>
      <c r="AN1" s="39"/>
    </row>
    <row r="2" spans="1:40" ht="13.9" x14ac:dyDescent="0.25">
      <c r="B2" s="40" t="s">
        <v>14</v>
      </c>
      <c r="C2" s="173" t="s">
        <v>112</v>
      </c>
      <c r="D2" s="174"/>
      <c r="E2" s="173" t="s">
        <v>114</v>
      </c>
      <c r="F2" s="174"/>
      <c r="G2" s="173" t="s">
        <v>115</v>
      </c>
      <c r="H2" s="174"/>
      <c r="I2" s="173" t="s">
        <v>116</v>
      </c>
      <c r="J2" s="174"/>
      <c r="K2" s="173" t="s">
        <v>117</v>
      </c>
      <c r="L2" s="174"/>
      <c r="M2" s="173" t="s">
        <v>118</v>
      </c>
      <c r="N2" s="174"/>
      <c r="O2" s="173" t="s">
        <v>119</v>
      </c>
      <c r="P2" s="174"/>
      <c r="Q2" s="173" t="s">
        <v>120</v>
      </c>
      <c r="R2" s="174"/>
      <c r="S2" s="173" t="s">
        <v>121</v>
      </c>
      <c r="T2" s="174"/>
      <c r="U2" s="173" t="s">
        <v>122</v>
      </c>
      <c r="V2" s="174"/>
      <c r="W2" s="173" t="s">
        <v>123</v>
      </c>
      <c r="X2" s="174"/>
      <c r="Y2" s="173" t="s">
        <v>124</v>
      </c>
      <c r="Z2" s="174"/>
      <c r="AA2" s="173" t="s">
        <v>125</v>
      </c>
      <c r="AB2" s="174"/>
      <c r="AC2" s="173" t="s">
        <v>126</v>
      </c>
      <c r="AD2" s="174"/>
      <c r="AE2" s="173" t="s">
        <v>127</v>
      </c>
      <c r="AF2" s="174"/>
      <c r="AG2" s="173" t="s">
        <v>128</v>
      </c>
      <c r="AH2" s="174"/>
      <c r="AI2" s="173" t="s">
        <v>129</v>
      </c>
      <c r="AJ2" s="174"/>
      <c r="AK2" s="173" t="s">
        <v>130</v>
      </c>
      <c r="AL2" s="174"/>
      <c r="AM2" s="41" t="s">
        <v>13</v>
      </c>
      <c r="AN2" s="41" t="s">
        <v>26</v>
      </c>
    </row>
    <row r="3" spans="1:40" ht="23.25" customHeight="1" x14ac:dyDescent="0.25">
      <c r="B3" s="40"/>
      <c r="C3" s="171" t="s">
        <v>137</v>
      </c>
      <c r="D3" s="172"/>
      <c r="E3" s="169" t="s">
        <v>138</v>
      </c>
      <c r="F3" s="170"/>
      <c r="G3" s="171" t="s">
        <v>139</v>
      </c>
      <c r="H3" s="172"/>
      <c r="I3" s="171" t="s">
        <v>140</v>
      </c>
      <c r="J3" s="172"/>
      <c r="K3" s="171" t="s">
        <v>141</v>
      </c>
      <c r="L3" s="172"/>
      <c r="M3" s="171" t="s">
        <v>137</v>
      </c>
      <c r="N3" s="172"/>
      <c r="O3" s="169" t="s">
        <v>138</v>
      </c>
      <c r="P3" s="170"/>
      <c r="Q3" s="171" t="s">
        <v>139</v>
      </c>
      <c r="R3" s="172"/>
      <c r="S3" s="171" t="s">
        <v>140</v>
      </c>
      <c r="T3" s="172"/>
      <c r="U3" s="171" t="s">
        <v>141</v>
      </c>
      <c r="V3" s="172"/>
      <c r="W3" s="171" t="s">
        <v>137</v>
      </c>
      <c r="X3" s="172"/>
      <c r="Y3" s="169" t="s">
        <v>138</v>
      </c>
      <c r="Z3" s="170"/>
      <c r="AA3" s="171" t="s">
        <v>139</v>
      </c>
      <c r="AB3" s="172"/>
      <c r="AC3" s="171" t="s">
        <v>140</v>
      </c>
      <c r="AD3" s="172"/>
      <c r="AE3" s="171" t="s">
        <v>141</v>
      </c>
      <c r="AF3" s="172"/>
      <c r="AG3" s="171" t="s">
        <v>137</v>
      </c>
      <c r="AH3" s="172"/>
      <c r="AI3" s="169" t="s">
        <v>138</v>
      </c>
      <c r="AJ3" s="170"/>
      <c r="AK3" s="171" t="s">
        <v>139</v>
      </c>
      <c r="AL3" s="172"/>
      <c r="AM3" s="41"/>
      <c r="AN3" s="41"/>
    </row>
    <row r="4" spans="1:40" s="46" customFormat="1" ht="38.25" customHeight="1" x14ac:dyDescent="0.2">
      <c r="A4" s="47"/>
      <c r="B4" s="45"/>
      <c r="C4" s="171" t="s">
        <v>144</v>
      </c>
      <c r="D4" s="172"/>
      <c r="E4" s="171" t="s">
        <v>145</v>
      </c>
      <c r="F4" s="172"/>
      <c r="G4" s="171" t="s">
        <v>147</v>
      </c>
      <c r="H4" s="172"/>
      <c r="I4" s="171" t="s">
        <v>149</v>
      </c>
      <c r="J4" s="172"/>
      <c r="K4" s="171" t="s">
        <v>150</v>
      </c>
      <c r="L4" s="172"/>
      <c r="M4" s="171" t="s">
        <v>34</v>
      </c>
      <c r="N4" s="172"/>
      <c r="O4" s="169" t="s">
        <v>157</v>
      </c>
      <c r="P4" s="170"/>
      <c r="Q4" s="169" t="s">
        <v>159</v>
      </c>
      <c r="R4" s="170"/>
      <c r="S4" s="169" t="s">
        <v>162</v>
      </c>
      <c r="T4" s="170"/>
      <c r="U4" s="171" t="s">
        <v>34</v>
      </c>
      <c r="V4" s="171"/>
      <c r="W4" s="171" t="s">
        <v>35</v>
      </c>
      <c r="X4" s="172"/>
      <c r="Y4" s="169" t="s">
        <v>166</v>
      </c>
      <c r="Z4" s="170"/>
      <c r="AA4" s="171" t="s">
        <v>176</v>
      </c>
      <c r="AB4" s="172"/>
      <c r="AC4" s="171" t="s">
        <v>183</v>
      </c>
      <c r="AD4" s="172"/>
      <c r="AE4" s="171" t="s">
        <v>184</v>
      </c>
      <c r="AF4" s="172"/>
      <c r="AG4" s="171" t="s">
        <v>185</v>
      </c>
      <c r="AH4" s="172"/>
      <c r="AI4" s="171" t="s">
        <v>145</v>
      </c>
      <c r="AJ4" s="172"/>
      <c r="AK4" s="171" t="s">
        <v>187</v>
      </c>
      <c r="AL4" s="172"/>
    </row>
    <row r="5" spans="1:40" ht="13.9" x14ac:dyDescent="0.25">
      <c r="A5" s="47">
        <v>1</v>
      </c>
      <c r="B5" s="42" t="s">
        <v>36</v>
      </c>
      <c r="C5" s="50">
        <v>95</v>
      </c>
      <c r="D5" s="137">
        <f>D6+D7</f>
        <v>16</v>
      </c>
      <c r="E5" s="50">
        <v>91</v>
      </c>
      <c r="F5" s="137">
        <f>F6+F7</f>
        <v>22.5</v>
      </c>
      <c r="G5" s="50"/>
      <c r="H5" s="60"/>
      <c r="I5" s="50">
        <v>89</v>
      </c>
      <c r="J5" s="137">
        <f>J6+J7</f>
        <v>23.5</v>
      </c>
      <c r="K5" s="50">
        <v>90</v>
      </c>
      <c r="L5" s="137">
        <f>L6+L7</f>
        <v>21.5</v>
      </c>
      <c r="M5" s="50">
        <v>86</v>
      </c>
      <c r="N5" s="137">
        <f>N6+N7</f>
        <v>17.5</v>
      </c>
      <c r="O5" s="50">
        <v>94</v>
      </c>
      <c r="P5" s="60">
        <f>P6+P7</f>
        <v>13</v>
      </c>
      <c r="Q5" s="50">
        <v>92</v>
      </c>
      <c r="R5" s="60">
        <f>R6+R7</f>
        <v>11.5</v>
      </c>
      <c r="S5" s="50">
        <v>92</v>
      </c>
      <c r="T5" s="60">
        <f>T6+T7</f>
        <v>11.5</v>
      </c>
      <c r="U5" s="50">
        <v>84</v>
      </c>
      <c r="V5" s="60">
        <f>V6+V7</f>
        <v>12</v>
      </c>
      <c r="W5" s="50">
        <v>87</v>
      </c>
      <c r="X5" s="137">
        <f>X6+X7</f>
        <v>16</v>
      </c>
      <c r="Y5" s="50">
        <v>82</v>
      </c>
      <c r="Z5" s="137">
        <f>Z6+Z7</f>
        <v>19.5</v>
      </c>
      <c r="AA5" s="50">
        <v>87</v>
      </c>
      <c r="AB5" s="137">
        <f>AB6+AB7</f>
        <v>17</v>
      </c>
      <c r="AC5" s="50">
        <v>84</v>
      </c>
      <c r="AD5" s="137">
        <f>AD6+AD7</f>
        <v>21.5</v>
      </c>
      <c r="AE5" s="50"/>
      <c r="AF5" s="60"/>
      <c r="AG5" s="50">
        <v>86</v>
      </c>
      <c r="AH5" s="60">
        <f>AH6+AH7</f>
        <v>12</v>
      </c>
      <c r="AI5" s="50">
        <v>90</v>
      </c>
      <c r="AJ5" s="60">
        <f>AJ6+AJ7</f>
        <v>10</v>
      </c>
      <c r="AK5" s="50">
        <v>92</v>
      </c>
      <c r="AL5" s="137">
        <f>AL6+AL7</f>
        <v>15.5</v>
      </c>
      <c r="AM5" s="54">
        <f>D5+F5+H5+J5+L5+N5+X5+Z5+AD5+AF5+AB5+AL5</f>
        <v>190.5</v>
      </c>
      <c r="AN5" s="43">
        <f t="shared" ref="AN5:AN49" si="0">AVERAGE(D5,F5,H5,J5,L5,N5,P5,R5,T5,V5,X5,Z5,AB5,AD5,AF5,AH5,AJ5,AL5)</f>
        <v>16.28125</v>
      </c>
    </row>
    <row r="6" spans="1:40" ht="13.9" outlineLevel="1" x14ac:dyDescent="0.25">
      <c r="B6" s="65" t="s">
        <v>37</v>
      </c>
      <c r="C6" s="50">
        <v>31</v>
      </c>
      <c r="D6" s="60">
        <v>8</v>
      </c>
      <c r="E6" s="50">
        <v>37</v>
      </c>
      <c r="F6" s="60">
        <v>10.5</v>
      </c>
      <c r="G6" s="50"/>
      <c r="H6" s="60"/>
      <c r="I6" s="50">
        <v>38</v>
      </c>
      <c r="J6" s="60">
        <v>11.5</v>
      </c>
      <c r="K6" s="50">
        <v>37</v>
      </c>
      <c r="L6" s="60">
        <v>9.5</v>
      </c>
      <c r="M6" s="50">
        <v>38</v>
      </c>
      <c r="N6" s="60">
        <v>8.5</v>
      </c>
      <c r="O6" s="50">
        <v>30</v>
      </c>
      <c r="P6" s="60">
        <v>4</v>
      </c>
      <c r="Q6" s="50">
        <v>32</v>
      </c>
      <c r="R6" s="60">
        <v>3.5</v>
      </c>
      <c r="S6" s="50">
        <v>30</v>
      </c>
      <c r="T6" s="60">
        <v>2.5</v>
      </c>
      <c r="U6" s="50">
        <v>38</v>
      </c>
      <c r="V6" s="60">
        <v>8</v>
      </c>
      <c r="W6" s="50">
        <v>35</v>
      </c>
      <c r="X6" s="60">
        <v>6</v>
      </c>
      <c r="Y6" s="50">
        <v>39</v>
      </c>
      <c r="Z6" s="60">
        <v>10.5</v>
      </c>
      <c r="AA6" s="50">
        <v>34</v>
      </c>
      <c r="AB6" s="60">
        <v>6</v>
      </c>
      <c r="AC6" s="50">
        <v>37</v>
      </c>
      <c r="AD6" s="60">
        <v>9.5</v>
      </c>
      <c r="AE6" s="50"/>
      <c r="AF6" s="60"/>
      <c r="AG6" s="50">
        <v>36</v>
      </c>
      <c r="AH6" s="60">
        <v>7</v>
      </c>
      <c r="AI6" s="50">
        <v>33</v>
      </c>
      <c r="AJ6" s="60">
        <v>6</v>
      </c>
      <c r="AK6" s="50">
        <v>31</v>
      </c>
      <c r="AL6" s="60">
        <v>3.5</v>
      </c>
      <c r="AM6" s="61">
        <f>D6+F6+H6+J6+L6+N6+P6+R6+T6+V6+X6+Z6+AB6+AD6+AF6+AH6+AJ6+AL6</f>
        <v>114.5</v>
      </c>
      <c r="AN6" s="43">
        <f t="shared" si="0"/>
        <v>7.15625</v>
      </c>
    </row>
    <row r="7" spans="1:40" ht="13.9" outlineLevel="1" x14ac:dyDescent="0.25">
      <c r="A7" s="49"/>
      <c r="B7" s="66" t="s">
        <v>6</v>
      </c>
      <c r="C7" s="62">
        <v>6</v>
      </c>
      <c r="D7" s="63">
        <v>8</v>
      </c>
      <c r="E7" s="62">
        <v>35</v>
      </c>
      <c r="F7" s="63">
        <v>12</v>
      </c>
      <c r="G7" s="62"/>
      <c r="H7" s="63"/>
      <c r="I7" s="62">
        <v>25</v>
      </c>
      <c r="J7" s="63">
        <v>12</v>
      </c>
      <c r="K7" s="62">
        <v>36</v>
      </c>
      <c r="L7" s="63">
        <v>12</v>
      </c>
      <c r="M7" s="62">
        <v>14</v>
      </c>
      <c r="N7" s="63">
        <v>9</v>
      </c>
      <c r="O7" s="62">
        <v>6</v>
      </c>
      <c r="P7" s="63">
        <v>9</v>
      </c>
      <c r="Q7" s="62">
        <v>5</v>
      </c>
      <c r="R7" s="63">
        <v>8</v>
      </c>
      <c r="S7" s="62">
        <v>6</v>
      </c>
      <c r="T7" s="63">
        <v>9</v>
      </c>
      <c r="U7" s="62">
        <v>-11</v>
      </c>
      <c r="V7" s="63">
        <v>4</v>
      </c>
      <c r="W7" s="62">
        <v>7</v>
      </c>
      <c r="X7" s="63">
        <v>10</v>
      </c>
      <c r="Y7" s="62">
        <v>12</v>
      </c>
      <c r="Z7" s="63">
        <v>9</v>
      </c>
      <c r="AA7" s="62">
        <v>20</v>
      </c>
      <c r="AB7" s="63">
        <v>11</v>
      </c>
      <c r="AC7" s="62">
        <v>44</v>
      </c>
      <c r="AD7" s="63">
        <v>12</v>
      </c>
      <c r="AE7" s="62"/>
      <c r="AF7" s="63"/>
      <c r="AG7" s="62">
        <v>-16</v>
      </c>
      <c r="AH7" s="63">
        <v>5</v>
      </c>
      <c r="AI7" s="62">
        <v>-19</v>
      </c>
      <c r="AJ7" s="63">
        <v>4</v>
      </c>
      <c r="AK7" s="62">
        <v>21</v>
      </c>
      <c r="AL7" s="63">
        <v>12</v>
      </c>
      <c r="AM7" s="133">
        <f>D7+F7+H7+J7+L7+N7+P7+R7+T7+V7+X7+Z7+AB7+AD7+AF7+AH7+AJ7+AL7</f>
        <v>146</v>
      </c>
      <c r="AN7" s="62">
        <f t="shared" si="0"/>
        <v>9.125</v>
      </c>
    </row>
    <row r="8" spans="1:40" ht="13.9" x14ac:dyDescent="0.25">
      <c r="A8" s="47">
        <v>2</v>
      </c>
      <c r="B8" s="68" t="s">
        <v>78</v>
      </c>
      <c r="C8" s="50">
        <v>91</v>
      </c>
      <c r="D8" s="60">
        <f>D9+D10</f>
        <v>8</v>
      </c>
      <c r="E8" s="50">
        <v>80</v>
      </c>
      <c r="F8" s="137">
        <f>F9+F10</f>
        <v>22</v>
      </c>
      <c r="G8" s="50">
        <v>84</v>
      </c>
      <c r="H8" s="137">
        <f>H9+H10</f>
        <v>14</v>
      </c>
      <c r="I8" s="50"/>
      <c r="J8" s="60"/>
      <c r="K8" s="50">
        <v>73</v>
      </c>
      <c r="L8" s="137">
        <f>L9+L10</f>
        <v>22.5</v>
      </c>
      <c r="M8" s="50"/>
      <c r="N8" s="60"/>
      <c r="O8" s="50"/>
      <c r="P8" s="60"/>
      <c r="Q8" s="50">
        <v>78</v>
      </c>
      <c r="R8" s="137">
        <f>R9+R10</f>
        <v>14</v>
      </c>
      <c r="S8" s="50">
        <v>80</v>
      </c>
      <c r="T8" s="137">
        <f>T9+T10</f>
        <v>14</v>
      </c>
      <c r="U8" s="50">
        <v>79</v>
      </c>
      <c r="V8" s="137">
        <f>V9+V10</f>
        <v>16.5</v>
      </c>
      <c r="W8" s="50">
        <v>80</v>
      </c>
      <c r="X8" s="60">
        <f>X9+X10</f>
        <v>10.5</v>
      </c>
      <c r="Y8" s="50">
        <v>79</v>
      </c>
      <c r="Z8" s="137">
        <f>Z9+Z10</f>
        <v>19.5</v>
      </c>
      <c r="AA8" s="50">
        <v>79</v>
      </c>
      <c r="AB8" s="60">
        <f>AB9+AB10</f>
        <v>13</v>
      </c>
      <c r="AC8" s="50">
        <v>80</v>
      </c>
      <c r="AD8" s="137">
        <f>AD9+AD10</f>
        <v>17</v>
      </c>
      <c r="AE8" s="50">
        <v>85</v>
      </c>
      <c r="AF8" s="60">
        <f>AF9+AF10</f>
        <v>7</v>
      </c>
      <c r="AG8" s="50">
        <v>78</v>
      </c>
      <c r="AH8" s="137">
        <f>AH9+AH10</f>
        <v>14</v>
      </c>
      <c r="AI8" s="50"/>
      <c r="AJ8" s="60"/>
      <c r="AK8" s="50">
        <v>76</v>
      </c>
      <c r="AL8" s="137">
        <f>AL9+AL10</f>
        <v>18.5</v>
      </c>
      <c r="AM8" s="54">
        <f>F8+H8+J8+L8+N8+P8+T8+V8+Z8+AD8+R8+AH8+AJ8+AL8</f>
        <v>172</v>
      </c>
      <c r="AN8" s="43">
        <f t="shared" si="0"/>
        <v>15.035714285714286</v>
      </c>
    </row>
    <row r="9" spans="1:40" ht="13.9" outlineLevel="1" collapsed="1" x14ac:dyDescent="0.25">
      <c r="B9" s="65" t="s">
        <v>37</v>
      </c>
      <c r="C9" s="50">
        <v>29</v>
      </c>
      <c r="D9" s="60">
        <v>6</v>
      </c>
      <c r="E9" s="50">
        <v>38</v>
      </c>
      <c r="F9" s="60">
        <v>12</v>
      </c>
      <c r="G9" s="50">
        <v>35</v>
      </c>
      <c r="H9" s="60">
        <v>11</v>
      </c>
      <c r="I9" s="50"/>
      <c r="J9" s="60"/>
      <c r="K9" s="50">
        <v>46</v>
      </c>
      <c r="L9" s="60">
        <v>12</v>
      </c>
      <c r="M9" s="50"/>
      <c r="N9" s="60"/>
      <c r="O9" s="50"/>
      <c r="P9" s="60"/>
      <c r="Q9" s="50">
        <v>39</v>
      </c>
      <c r="R9" s="60">
        <v>9</v>
      </c>
      <c r="S9" s="50">
        <v>37</v>
      </c>
      <c r="T9" s="60">
        <v>10</v>
      </c>
      <c r="U9" s="50">
        <v>37</v>
      </c>
      <c r="V9" s="60">
        <v>6.5</v>
      </c>
      <c r="W9" s="50">
        <v>36</v>
      </c>
      <c r="X9" s="60">
        <v>7.5</v>
      </c>
      <c r="Y9" s="50">
        <v>36</v>
      </c>
      <c r="Z9" s="60">
        <v>8.5</v>
      </c>
      <c r="AA9" s="50">
        <v>36</v>
      </c>
      <c r="AB9" s="60">
        <v>10</v>
      </c>
      <c r="AC9" s="50">
        <v>34</v>
      </c>
      <c r="AD9" s="60">
        <v>6</v>
      </c>
      <c r="AE9" s="50">
        <v>30</v>
      </c>
      <c r="AF9" s="60">
        <v>4</v>
      </c>
      <c r="AG9" s="50">
        <v>37</v>
      </c>
      <c r="AH9" s="60">
        <v>8</v>
      </c>
      <c r="AI9" s="50"/>
      <c r="AJ9" s="60"/>
      <c r="AK9" s="50">
        <v>38</v>
      </c>
      <c r="AL9" s="60">
        <v>11.5</v>
      </c>
      <c r="AM9" s="61">
        <f>D9+F9+H9+J9+L9+N9+P9+R9+T9+V9+X9+Z9+AB9+AD9+AF9+AH9+AJ9+AL9</f>
        <v>122</v>
      </c>
      <c r="AN9" s="43">
        <f t="shared" si="0"/>
        <v>8.7142857142857135</v>
      </c>
    </row>
    <row r="10" spans="1:40" ht="13.9" outlineLevel="1" x14ac:dyDescent="0.25">
      <c r="A10" s="49"/>
      <c r="B10" s="66" t="s">
        <v>6</v>
      </c>
      <c r="C10" s="62">
        <v>-18</v>
      </c>
      <c r="D10" s="63">
        <v>2</v>
      </c>
      <c r="E10" s="62">
        <v>11</v>
      </c>
      <c r="F10" s="63">
        <v>10</v>
      </c>
      <c r="G10" s="62">
        <v>-11</v>
      </c>
      <c r="H10" s="63">
        <v>3</v>
      </c>
      <c r="I10" s="62"/>
      <c r="J10" s="63"/>
      <c r="K10" s="62">
        <v>30</v>
      </c>
      <c r="L10" s="63">
        <v>10.5</v>
      </c>
      <c r="M10" s="62"/>
      <c r="N10" s="63"/>
      <c r="O10" s="62"/>
      <c r="P10" s="63"/>
      <c r="Q10" s="62">
        <v>-3</v>
      </c>
      <c r="R10" s="63">
        <v>5</v>
      </c>
      <c r="S10" s="62">
        <v>-6</v>
      </c>
      <c r="T10" s="63">
        <v>4</v>
      </c>
      <c r="U10" s="62">
        <v>28</v>
      </c>
      <c r="V10" s="63">
        <v>10</v>
      </c>
      <c r="W10" s="62">
        <v>-7</v>
      </c>
      <c r="X10" s="63">
        <v>3</v>
      </c>
      <c r="Y10" s="62">
        <v>16</v>
      </c>
      <c r="Z10" s="63">
        <v>11</v>
      </c>
      <c r="AA10" s="62">
        <v>-13</v>
      </c>
      <c r="AB10" s="63">
        <v>3</v>
      </c>
      <c r="AC10" s="62">
        <v>17</v>
      </c>
      <c r="AD10" s="63">
        <v>11</v>
      </c>
      <c r="AE10" s="62">
        <v>-41</v>
      </c>
      <c r="AF10" s="63">
        <v>3</v>
      </c>
      <c r="AG10" s="62">
        <v>6</v>
      </c>
      <c r="AH10" s="63">
        <v>6</v>
      </c>
      <c r="AI10" s="62"/>
      <c r="AJ10" s="63"/>
      <c r="AK10" s="62">
        <v>1</v>
      </c>
      <c r="AL10" s="63">
        <v>7</v>
      </c>
      <c r="AM10" s="133">
        <f>D10+F10+H10+J10+L10+N10+P10+R10+T10+V10+X10+Z10+AB10+AD10+AF10+AH10+AJ10+AL10</f>
        <v>88.5</v>
      </c>
      <c r="AN10" s="62">
        <f t="shared" si="0"/>
        <v>6.3214285714285712</v>
      </c>
    </row>
    <row r="11" spans="1:40" ht="13.9" x14ac:dyDescent="0.25">
      <c r="A11" s="47">
        <v>3</v>
      </c>
      <c r="B11" s="42" t="s">
        <v>5</v>
      </c>
      <c r="C11" s="50">
        <v>93</v>
      </c>
      <c r="D11" s="137">
        <f>D12+D13</f>
        <v>20</v>
      </c>
      <c r="E11" s="50">
        <v>88</v>
      </c>
      <c r="F11" s="137">
        <f>F12+F13</f>
        <v>17.5</v>
      </c>
      <c r="G11" s="50">
        <v>87</v>
      </c>
      <c r="H11" s="137">
        <f>H12+H13</f>
        <v>17</v>
      </c>
      <c r="I11" s="50">
        <v>92</v>
      </c>
      <c r="J11" s="137">
        <f>J12+J13</f>
        <v>14.5</v>
      </c>
      <c r="K11" s="50"/>
      <c r="L11" s="60"/>
      <c r="M11" s="50"/>
      <c r="N11" s="60"/>
      <c r="O11" s="50">
        <v>87</v>
      </c>
      <c r="P11" s="137">
        <f>P12+P13</f>
        <v>16</v>
      </c>
      <c r="Q11" s="50"/>
      <c r="R11" s="60"/>
      <c r="S11" s="50">
        <v>90</v>
      </c>
      <c r="T11" s="137">
        <f>T12+T13</f>
        <v>20</v>
      </c>
      <c r="U11" s="50"/>
      <c r="V11" s="60"/>
      <c r="W11" s="50">
        <v>83</v>
      </c>
      <c r="X11" s="137">
        <f>X12+X13</f>
        <v>16.5</v>
      </c>
      <c r="Y11" s="50">
        <v>94</v>
      </c>
      <c r="Z11" s="60">
        <f>Z12+Z13</f>
        <v>3.5</v>
      </c>
      <c r="AA11" s="50">
        <v>90</v>
      </c>
      <c r="AB11" s="60">
        <f>AB12+AB13</f>
        <v>12</v>
      </c>
      <c r="AC11" s="50">
        <v>88</v>
      </c>
      <c r="AD11" s="137">
        <f>AD12+AD13</f>
        <v>15.5</v>
      </c>
      <c r="AE11" s="50"/>
      <c r="AF11" s="60"/>
      <c r="AG11" s="50">
        <v>92</v>
      </c>
      <c r="AH11" s="137">
        <f>AH12+AH13</f>
        <v>14</v>
      </c>
      <c r="AI11" s="50">
        <v>89</v>
      </c>
      <c r="AJ11" s="137">
        <f>AJ12+AJ13</f>
        <v>17.5</v>
      </c>
      <c r="AK11" s="50">
        <v>93</v>
      </c>
      <c r="AL11" s="60">
        <f>AL12+AL13</f>
        <v>6</v>
      </c>
      <c r="AM11" s="54">
        <f>D11+F11+H11+J11+L11+N11+P11+T11+V11+X11+AD11+AF11+R11+AH11+AJ11</f>
        <v>168.5</v>
      </c>
      <c r="AN11" s="43">
        <f t="shared" si="0"/>
        <v>14.615384615384615</v>
      </c>
    </row>
    <row r="12" spans="1:40" ht="13.9" outlineLevel="1" x14ac:dyDescent="0.25">
      <c r="B12" s="65" t="s">
        <v>37</v>
      </c>
      <c r="C12" s="50">
        <v>31</v>
      </c>
      <c r="D12" s="60">
        <v>8</v>
      </c>
      <c r="E12" s="50">
        <v>37</v>
      </c>
      <c r="F12" s="60">
        <v>10.5</v>
      </c>
      <c r="G12" s="50">
        <v>38</v>
      </c>
      <c r="H12" s="60">
        <v>12</v>
      </c>
      <c r="I12" s="50">
        <v>33</v>
      </c>
      <c r="J12" s="60">
        <v>6</v>
      </c>
      <c r="K12" s="50"/>
      <c r="L12" s="60"/>
      <c r="M12" s="50"/>
      <c r="N12" s="60"/>
      <c r="O12" s="50">
        <v>38</v>
      </c>
      <c r="P12" s="60">
        <v>10</v>
      </c>
      <c r="Q12" s="50"/>
      <c r="R12" s="60"/>
      <c r="S12" s="50">
        <v>35</v>
      </c>
      <c r="T12" s="60">
        <v>8</v>
      </c>
      <c r="U12" s="50"/>
      <c r="V12" s="60"/>
      <c r="W12" s="50">
        <v>42</v>
      </c>
      <c r="X12" s="60">
        <v>12</v>
      </c>
      <c r="Y12" s="50">
        <v>30</v>
      </c>
      <c r="Z12" s="60">
        <v>1.5</v>
      </c>
      <c r="AA12" s="50">
        <v>34</v>
      </c>
      <c r="AB12" s="60">
        <v>6</v>
      </c>
      <c r="AC12" s="50">
        <v>36</v>
      </c>
      <c r="AD12" s="60">
        <v>7.5</v>
      </c>
      <c r="AE12" s="50"/>
      <c r="AF12" s="60"/>
      <c r="AG12" s="50">
        <v>35</v>
      </c>
      <c r="AH12" s="60">
        <v>5</v>
      </c>
      <c r="AI12" s="50">
        <v>36</v>
      </c>
      <c r="AJ12" s="60">
        <v>9.5</v>
      </c>
      <c r="AK12" s="50">
        <v>32</v>
      </c>
      <c r="AL12" s="60">
        <v>5</v>
      </c>
      <c r="AM12" s="61">
        <f>D12+F12+H12+J12+L12+N12+P12+R12+T12+V12+X12+Z12+AB12+AD12+AF12+AH12+AJ12+AL12</f>
        <v>101</v>
      </c>
      <c r="AN12" s="43">
        <f t="shared" si="0"/>
        <v>7.7692307692307692</v>
      </c>
    </row>
    <row r="13" spans="1:40" ht="13.9" outlineLevel="1" collapsed="1" x14ac:dyDescent="0.25">
      <c r="A13" s="49"/>
      <c r="B13" s="66" t="s">
        <v>6</v>
      </c>
      <c r="C13" s="62">
        <v>27</v>
      </c>
      <c r="D13" s="63">
        <v>12</v>
      </c>
      <c r="E13" s="62">
        <v>2</v>
      </c>
      <c r="F13" s="63">
        <v>7</v>
      </c>
      <c r="G13" s="62">
        <v>-8</v>
      </c>
      <c r="H13" s="63">
        <v>5</v>
      </c>
      <c r="I13" s="62">
        <v>15</v>
      </c>
      <c r="J13" s="63">
        <v>8.5</v>
      </c>
      <c r="K13" s="62"/>
      <c r="L13" s="63"/>
      <c r="M13" s="62"/>
      <c r="N13" s="63"/>
      <c r="O13" s="62">
        <v>-4</v>
      </c>
      <c r="P13" s="63">
        <v>6</v>
      </c>
      <c r="Q13" s="62"/>
      <c r="R13" s="63"/>
      <c r="S13" s="62">
        <v>24</v>
      </c>
      <c r="T13" s="63">
        <v>12</v>
      </c>
      <c r="U13" s="62"/>
      <c r="V13" s="63"/>
      <c r="W13" s="62">
        <v>-5</v>
      </c>
      <c r="X13" s="63">
        <v>4.5</v>
      </c>
      <c r="Y13" s="62">
        <v>-24</v>
      </c>
      <c r="Z13" s="63">
        <v>2</v>
      </c>
      <c r="AA13" s="62">
        <v>1</v>
      </c>
      <c r="AB13" s="63">
        <v>6</v>
      </c>
      <c r="AC13" s="62">
        <v>12</v>
      </c>
      <c r="AD13" s="63">
        <v>8</v>
      </c>
      <c r="AE13" s="62"/>
      <c r="AF13" s="63"/>
      <c r="AG13" s="62">
        <v>11</v>
      </c>
      <c r="AH13" s="63">
        <v>9</v>
      </c>
      <c r="AI13" s="62">
        <v>11</v>
      </c>
      <c r="AJ13" s="63">
        <v>8</v>
      </c>
      <c r="AK13" s="62">
        <v>-19</v>
      </c>
      <c r="AL13" s="63">
        <v>1</v>
      </c>
      <c r="AM13" s="133">
        <f>D13+F13+H13+J13+L13+N13+P13+R13+T13+V13+X13+Z13+AB13+AD13+AF13+AH13+AJ13+AL13</f>
        <v>89</v>
      </c>
      <c r="AN13" s="62">
        <f t="shared" si="0"/>
        <v>6.8461538461538458</v>
      </c>
    </row>
    <row r="14" spans="1:40" ht="13.9" x14ac:dyDescent="0.25">
      <c r="A14" s="47">
        <v>4</v>
      </c>
      <c r="B14" s="42" t="s">
        <v>3</v>
      </c>
      <c r="C14" s="50">
        <v>87</v>
      </c>
      <c r="D14" s="137">
        <f>D15+D16</f>
        <v>12</v>
      </c>
      <c r="E14" s="50">
        <v>80</v>
      </c>
      <c r="F14" s="60">
        <f>F15+F16</f>
        <v>11.5</v>
      </c>
      <c r="G14" s="50">
        <v>85</v>
      </c>
      <c r="H14" s="60">
        <f>H15+H16</f>
        <v>8</v>
      </c>
      <c r="I14" s="50">
        <v>80</v>
      </c>
      <c r="J14" s="137">
        <f>J15+J16</f>
        <v>18</v>
      </c>
      <c r="K14" s="50">
        <v>79</v>
      </c>
      <c r="L14" s="60">
        <f>L15+L16</f>
        <v>10</v>
      </c>
      <c r="M14" s="50">
        <v>81</v>
      </c>
      <c r="N14" s="60">
        <f>N15+N16</f>
        <v>8.5</v>
      </c>
      <c r="O14" s="50"/>
      <c r="P14" s="60"/>
      <c r="Q14" s="50">
        <v>73</v>
      </c>
      <c r="R14" s="137">
        <f>R15+R16</f>
        <v>19</v>
      </c>
      <c r="S14" s="50">
        <v>72</v>
      </c>
      <c r="T14" s="137">
        <f>T15+T16</f>
        <v>23</v>
      </c>
      <c r="U14" s="50">
        <v>82</v>
      </c>
      <c r="V14" s="60">
        <f>V15+V16</f>
        <v>8</v>
      </c>
      <c r="W14" s="50">
        <v>76</v>
      </c>
      <c r="X14" s="137">
        <f>X15+X16</f>
        <v>18</v>
      </c>
      <c r="Y14" s="50">
        <v>78</v>
      </c>
      <c r="Z14" s="60">
        <f>Z15+Z16</f>
        <v>10.5</v>
      </c>
      <c r="AA14" s="50">
        <v>77</v>
      </c>
      <c r="AB14" s="137">
        <f>AB15+AB16</f>
        <v>17.5</v>
      </c>
      <c r="AC14" s="50">
        <v>75</v>
      </c>
      <c r="AD14" s="137">
        <f>AD15+AD16</f>
        <v>16.5</v>
      </c>
      <c r="AE14" s="50">
        <v>78</v>
      </c>
      <c r="AF14" s="137">
        <f>AF15+AF16</f>
        <v>14.5</v>
      </c>
      <c r="AG14" s="50">
        <v>86</v>
      </c>
      <c r="AH14" s="60">
        <f>AH15+AH16</f>
        <v>7</v>
      </c>
      <c r="AI14" s="50">
        <v>77</v>
      </c>
      <c r="AJ14" s="137">
        <f>AJ15+AJ16</f>
        <v>13</v>
      </c>
      <c r="AK14" s="50">
        <v>78</v>
      </c>
      <c r="AL14" s="137">
        <f>AL15+AL16</f>
        <v>13.5</v>
      </c>
      <c r="AM14" s="54">
        <f>D14+J14+P14+T14+X14+AD14+AF14+R14+AB14+AJ14+AL14</f>
        <v>165</v>
      </c>
      <c r="AN14" s="43">
        <f t="shared" si="0"/>
        <v>13.441176470588236</v>
      </c>
    </row>
    <row r="15" spans="1:40" ht="13.9" outlineLevel="1" x14ac:dyDescent="0.25">
      <c r="B15" s="65" t="s">
        <v>37</v>
      </c>
      <c r="C15" s="50">
        <v>24</v>
      </c>
      <c r="D15" s="60">
        <v>1</v>
      </c>
      <c r="E15" s="50">
        <v>34</v>
      </c>
      <c r="F15" s="60">
        <v>5.5</v>
      </c>
      <c r="G15" s="50">
        <v>30</v>
      </c>
      <c r="H15" s="60">
        <v>4</v>
      </c>
      <c r="I15" s="50">
        <v>34</v>
      </c>
      <c r="J15" s="60">
        <v>8</v>
      </c>
      <c r="K15" s="50">
        <v>35</v>
      </c>
      <c r="L15" s="60">
        <v>6.5</v>
      </c>
      <c r="M15" s="50">
        <v>32</v>
      </c>
      <c r="N15" s="60">
        <v>3.5</v>
      </c>
      <c r="O15" s="50"/>
      <c r="P15" s="60"/>
      <c r="Q15" s="50">
        <v>40</v>
      </c>
      <c r="R15" s="60">
        <v>10</v>
      </c>
      <c r="S15" s="50">
        <v>41</v>
      </c>
      <c r="T15" s="60">
        <v>12</v>
      </c>
      <c r="U15" s="50">
        <v>31</v>
      </c>
      <c r="V15" s="60">
        <v>3</v>
      </c>
      <c r="W15" s="50">
        <v>37</v>
      </c>
      <c r="X15" s="60">
        <v>9</v>
      </c>
      <c r="Y15" s="50">
        <v>35</v>
      </c>
      <c r="Z15" s="60">
        <v>6.5</v>
      </c>
      <c r="AA15" s="50">
        <v>36</v>
      </c>
      <c r="AB15" s="60">
        <v>10</v>
      </c>
      <c r="AC15" s="50">
        <v>38</v>
      </c>
      <c r="AD15" s="60">
        <v>11</v>
      </c>
      <c r="AE15" s="50">
        <v>35</v>
      </c>
      <c r="AF15" s="60">
        <v>5.5</v>
      </c>
      <c r="AG15" s="50">
        <v>26</v>
      </c>
      <c r="AH15" s="60">
        <v>3</v>
      </c>
      <c r="AI15" s="50">
        <v>35</v>
      </c>
      <c r="AJ15" s="60">
        <v>8</v>
      </c>
      <c r="AK15" s="50">
        <v>34</v>
      </c>
      <c r="AL15" s="60">
        <v>7.5</v>
      </c>
      <c r="AM15" s="61">
        <f>D15+F15+H15+J15+L15+N15+P15+R15+T15+V15+X15+Z15+AB15+AD15+AF15+AH15+AJ15+AL15</f>
        <v>114</v>
      </c>
      <c r="AN15" s="43">
        <f t="shared" si="0"/>
        <v>6.7058823529411766</v>
      </c>
    </row>
    <row r="16" spans="1:40" ht="13.9" outlineLevel="1" x14ac:dyDescent="0.25">
      <c r="A16" s="49"/>
      <c r="B16" s="66" t="s">
        <v>6</v>
      </c>
      <c r="C16" s="62">
        <v>11</v>
      </c>
      <c r="D16" s="63">
        <v>11</v>
      </c>
      <c r="E16" s="62">
        <v>1</v>
      </c>
      <c r="F16" s="63">
        <v>6</v>
      </c>
      <c r="G16" s="62">
        <v>-9</v>
      </c>
      <c r="H16" s="63">
        <v>4</v>
      </c>
      <c r="I16" s="62">
        <v>18</v>
      </c>
      <c r="J16" s="63">
        <v>10</v>
      </c>
      <c r="K16" s="62">
        <v>-16</v>
      </c>
      <c r="L16" s="63">
        <v>3.5</v>
      </c>
      <c r="M16" s="62">
        <v>-8</v>
      </c>
      <c r="N16" s="63">
        <v>5</v>
      </c>
      <c r="O16" s="62"/>
      <c r="P16" s="63"/>
      <c r="Q16" s="62">
        <v>13</v>
      </c>
      <c r="R16" s="63">
        <v>9</v>
      </c>
      <c r="S16" s="62">
        <v>20</v>
      </c>
      <c r="T16" s="63">
        <v>11</v>
      </c>
      <c r="U16" s="62">
        <v>-7</v>
      </c>
      <c r="V16" s="63">
        <v>5</v>
      </c>
      <c r="W16" s="62">
        <v>5</v>
      </c>
      <c r="X16" s="63">
        <v>9</v>
      </c>
      <c r="Y16" s="62">
        <v>-11</v>
      </c>
      <c r="Z16" s="63">
        <v>4</v>
      </c>
      <c r="AA16" s="62">
        <v>3</v>
      </c>
      <c r="AB16" s="63">
        <v>7.5</v>
      </c>
      <c r="AC16" s="62">
        <v>3</v>
      </c>
      <c r="AD16" s="63">
        <v>5.5</v>
      </c>
      <c r="AE16" s="62">
        <v>15</v>
      </c>
      <c r="AF16" s="63">
        <v>9</v>
      </c>
      <c r="AG16" s="62">
        <v>-19</v>
      </c>
      <c r="AH16" s="63">
        <v>4</v>
      </c>
      <c r="AI16" s="62">
        <v>-7</v>
      </c>
      <c r="AJ16" s="63">
        <v>5</v>
      </c>
      <c r="AK16" s="62">
        <v>-3</v>
      </c>
      <c r="AL16" s="63">
        <v>6</v>
      </c>
      <c r="AM16" s="133">
        <f>D16+F16+H16+J16+L16+N16+P16+R16+T16+V16+X16+Z16+AB16+AD16+AF16+AH16+AJ16+AL16</f>
        <v>114.5</v>
      </c>
      <c r="AN16" s="62">
        <f t="shared" si="0"/>
        <v>6.7352941176470589</v>
      </c>
    </row>
    <row r="17" spans="1:40" ht="13.9" x14ac:dyDescent="0.25">
      <c r="A17" s="47">
        <v>5</v>
      </c>
      <c r="B17" s="68" t="s">
        <v>58</v>
      </c>
      <c r="C17" s="50">
        <v>89</v>
      </c>
      <c r="D17" s="137">
        <f>D18+D19</f>
        <v>17.5</v>
      </c>
      <c r="E17" s="50"/>
      <c r="F17" s="60"/>
      <c r="G17" s="50">
        <v>92</v>
      </c>
      <c r="H17" s="137">
        <f>H18+H19</f>
        <v>14</v>
      </c>
      <c r="I17" s="50">
        <v>89</v>
      </c>
      <c r="J17" s="137">
        <f>J18+J19</f>
        <v>14</v>
      </c>
      <c r="K17" s="50">
        <v>97</v>
      </c>
      <c r="L17" s="60">
        <f>L18+L19</f>
        <v>6.5</v>
      </c>
      <c r="M17" s="50">
        <v>81</v>
      </c>
      <c r="N17" s="137">
        <f>N18+N19</f>
        <v>20</v>
      </c>
      <c r="O17" s="50">
        <v>89</v>
      </c>
      <c r="P17" s="137">
        <f>P18+P19</f>
        <v>16</v>
      </c>
      <c r="Q17" s="50"/>
      <c r="R17" s="60"/>
      <c r="S17" s="50">
        <v>88</v>
      </c>
      <c r="T17" s="60">
        <f>T18+T19</f>
        <v>10</v>
      </c>
      <c r="U17" s="50"/>
      <c r="V17" s="60"/>
      <c r="W17" s="50">
        <v>92</v>
      </c>
      <c r="X17" s="60">
        <f>X18+X19</f>
        <v>10</v>
      </c>
      <c r="Y17" s="50">
        <v>91</v>
      </c>
      <c r="Z17" s="137">
        <f>Z18+Z19</f>
        <v>13.5</v>
      </c>
      <c r="AA17" s="50">
        <v>87</v>
      </c>
      <c r="AB17" s="137">
        <f>AB18+AB19</f>
        <v>15</v>
      </c>
      <c r="AC17" s="50">
        <v>86</v>
      </c>
      <c r="AD17" s="137">
        <f>AD18+AD19</f>
        <v>13.5</v>
      </c>
      <c r="AE17" s="50">
        <v>86</v>
      </c>
      <c r="AF17" s="60">
        <f>AF18+AF19</f>
        <v>12.5</v>
      </c>
      <c r="AG17" s="50">
        <v>75</v>
      </c>
      <c r="AH17" s="137">
        <f>AH18+AH19</f>
        <v>20</v>
      </c>
      <c r="AI17" s="50">
        <v>98</v>
      </c>
      <c r="AJ17" s="60">
        <f>AJ18+AJ19</f>
        <v>6</v>
      </c>
      <c r="AK17" s="50">
        <v>83</v>
      </c>
      <c r="AL17" s="137">
        <f>AL18+AL19</f>
        <v>20.5</v>
      </c>
      <c r="AM17" s="54">
        <f>D17+F17+H17+J17+N17+P17+V17+Z17+AD17+R17+AB17+AH17+AL17</f>
        <v>164</v>
      </c>
      <c r="AN17" s="43">
        <f t="shared" si="0"/>
        <v>13.933333333333334</v>
      </c>
    </row>
    <row r="18" spans="1:40" ht="13.9" outlineLevel="1" x14ac:dyDescent="0.25">
      <c r="B18" s="65" t="s">
        <v>37</v>
      </c>
      <c r="C18" s="50">
        <v>34</v>
      </c>
      <c r="D18" s="60">
        <v>11.5</v>
      </c>
      <c r="E18" s="50"/>
      <c r="F18" s="60"/>
      <c r="G18" s="50">
        <v>32</v>
      </c>
      <c r="H18" s="60">
        <v>8</v>
      </c>
      <c r="I18" s="50">
        <v>34</v>
      </c>
      <c r="J18" s="60">
        <v>8</v>
      </c>
      <c r="K18" s="50">
        <v>26</v>
      </c>
      <c r="L18" s="60">
        <v>1.5</v>
      </c>
      <c r="M18" s="50">
        <v>42</v>
      </c>
      <c r="N18" s="60">
        <v>10</v>
      </c>
      <c r="O18" s="50">
        <v>34</v>
      </c>
      <c r="P18" s="60">
        <v>8</v>
      </c>
      <c r="Q18" s="50"/>
      <c r="R18" s="60"/>
      <c r="S18" s="50">
        <v>35</v>
      </c>
      <c r="T18" s="60">
        <v>8</v>
      </c>
      <c r="U18" s="50"/>
      <c r="V18" s="60"/>
      <c r="W18" s="50">
        <v>32</v>
      </c>
      <c r="X18" s="60">
        <v>3</v>
      </c>
      <c r="Y18" s="50">
        <v>32</v>
      </c>
      <c r="Z18" s="60">
        <v>3.5</v>
      </c>
      <c r="AA18" s="50">
        <v>36</v>
      </c>
      <c r="AB18" s="60">
        <v>10</v>
      </c>
      <c r="AC18" s="50">
        <v>37</v>
      </c>
      <c r="AD18" s="60">
        <v>9.5</v>
      </c>
      <c r="AE18" s="50">
        <v>37</v>
      </c>
      <c r="AF18" s="60">
        <v>7.5</v>
      </c>
      <c r="AG18" s="50">
        <v>46</v>
      </c>
      <c r="AH18" s="60">
        <v>10</v>
      </c>
      <c r="AI18" s="50">
        <v>24</v>
      </c>
      <c r="AJ18" s="60">
        <v>3</v>
      </c>
      <c r="AK18" s="50">
        <v>38</v>
      </c>
      <c r="AL18" s="60">
        <v>11.5</v>
      </c>
      <c r="AM18" s="61">
        <f>D18+F18+H18+J18+L18+N18+P18+R18+T18+V18+X18+Z18+AB18+AD18+AF18+AH18+AJ18+AL18</f>
        <v>113</v>
      </c>
      <c r="AN18" s="43">
        <f t="shared" si="0"/>
        <v>7.5333333333333332</v>
      </c>
    </row>
    <row r="19" spans="1:40" ht="13.9" outlineLevel="1" x14ac:dyDescent="0.25">
      <c r="A19" s="49"/>
      <c r="B19" s="66" t="s">
        <v>6</v>
      </c>
      <c r="C19" s="62">
        <v>1</v>
      </c>
      <c r="D19" s="63">
        <v>6</v>
      </c>
      <c r="E19" s="62"/>
      <c r="F19" s="63"/>
      <c r="G19" s="62">
        <v>1</v>
      </c>
      <c r="H19" s="63">
        <v>6</v>
      </c>
      <c r="I19" s="62">
        <v>9</v>
      </c>
      <c r="J19" s="63">
        <v>6</v>
      </c>
      <c r="K19" s="62">
        <v>-14</v>
      </c>
      <c r="L19" s="63">
        <v>5</v>
      </c>
      <c r="M19" s="62">
        <v>16</v>
      </c>
      <c r="N19" s="63">
        <v>10</v>
      </c>
      <c r="O19" s="62">
        <v>4</v>
      </c>
      <c r="P19" s="63">
        <v>8</v>
      </c>
      <c r="Q19" s="62"/>
      <c r="R19" s="63"/>
      <c r="S19" s="62">
        <v>-20</v>
      </c>
      <c r="T19" s="63">
        <v>2</v>
      </c>
      <c r="U19" s="62"/>
      <c r="V19" s="63"/>
      <c r="W19" s="62">
        <v>1</v>
      </c>
      <c r="X19" s="63">
        <v>7</v>
      </c>
      <c r="Y19" s="62">
        <v>14</v>
      </c>
      <c r="Z19" s="63">
        <v>10</v>
      </c>
      <c r="AA19" s="62">
        <v>-10</v>
      </c>
      <c r="AB19" s="63">
        <v>5</v>
      </c>
      <c r="AC19" s="62">
        <v>-7</v>
      </c>
      <c r="AD19" s="63">
        <v>4</v>
      </c>
      <c r="AE19" s="62">
        <v>-9</v>
      </c>
      <c r="AF19" s="63">
        <v>5</v>
      </c>
      <c r="AG19" s="62">
        <v>33</v>
      </c>
      <c r="AH19" s="63">
        <v>10</v>
      </c>
      <c r="AI19" s="62">
        <v>-36</v>
      </c>
      <c r="AJ19" s="63">
        <v>3</v>
      </c>
      <c r="AK19" s="62">
        <v>13</v>
      </c>
      <c r="AL19" s="63">
        <v>9</v>
      </c>
      <c r="AM19" s="133">
        <f>D19+F19+H19+J19+L19+N19+P19+R19+T19+V19+X19+Z19+AB19+AD19+AF19+AH19+AJ19+AL19</f>
        <v>96</v>
      </c>
      <c r="AN19" s="62">
        <f t="shared" si="0"/>
        <v>6.4</v>
      </c>
    </row>
    <row r="20" spans="1:40" ht="13.9" x14ac:dyDescent="0.25">
      <c r="A20" s="47">
        <v>6</v>
      </c>
      <c r="B20" s="42" t="s">
        <v>40</v>
      </c>
      <c r="C20" s="50">
        <v>81</v>
      </c>
      <c r="D20" s="137">
        <f>D21+D22</f>
        <v>20</v>
      </c>
      <c r="E20" s="50">
        <v>80</v>
      </c>
      <c r="F20" s="137">
        <f>F21+F22</f>
        <v>13.5</v>
      </c>
      <c r="G20" s="50">
        <v>86</v>
      </c>
      <c r="H20" s="137">
        <f>H21+H22</f>
        <v>15</v>
      </c>
      <c r="I20" s="50">
        <v>76</v>
      </c>
      <c r="J20" s="137">
        <f>J21+J22</f>
        <v>20</v>
      </c>
      <c r="K20" s="50">
        <v>78</v>
      </c>
      <c r="L20" s="137">
        <f>L21+L22</f>
        <v>17</v>
      </c>
      <c r="M20" s="50">
        <v>78</v>
      </c>
      <c r="N20" s="137">
        <f>N21+N22</f>
        <v>13</v>
      </c>
      <c r="O20" s="50"/>
      <c r="P20" s="60"/>
      <c r="Q20" s="50"/>
      <c r="R20" s="60"/>
      <c r="S20" s="50">
        <v>82</v>
      </c>
      <c r="T20" s="137">
        <f>T21+T22</f>
        <v>12</v>
      </c>
      <c r="U20" s="50"/>
      <c r="V20" s="60"/>
      <c r="W20" s="50">
        <v>76</v>
      </c>
      <c r="X20" s="137">
        <f>X21+X22</f>
        <v>18</v>
      </c>
      <c r="Y20" s="50">
        <v>84</v>
      </c>
      <c r="Z20" s="60">
        <f>Z21+Z22</f>
        <v>8.5</v>
      </c>
      <c r="AA20" s="50">
        <v>75</v>
      </c>
      <c r="AB20" s="137">
        <f>AB21+AB22</f>
        <v>22</v>
      </c>
      <c r="AC20" s="50">
        <v>80</v>
      </c>
      <c r="AD20" s="137">
        <f>AD21+AD22</f>
        <v>10</v>
      </c>
      <c r="AE20" s="50">
        <v>78</v>
      </c>
      <c r="AF20" s="60">
        <f>AF21+AF22</f>
        <v>9.5</v>
      </c>
      <c r="AG20" s="50">
        <v>78</v>
      </c>
      <c r="AH20" s="60">
        <f>AH21+AH22</f>
        <v>8</v>
      </c>
      <c r="AI20" s="50"/>
      <c r="AJ20" s="60"/>
      <c r="AK20" s="50">
        <v>87</v>
      </c>
      <c r="AL20" s="60">
        <f>AL21+AL22</f>
        <v>3.5</v>
      </c>
      <c r="AM20" s="54">
        <f>D20+F20+H20+J20+L20+N20+P20+T20+V20+X20+AD20+R20+AB20+AJ20</f>
        <v>160.5</v>
      </c>
      <c r="AN20" s="43">
        <f t="shared" si="0"/>
        <v>13.571428571428571</v>
      </c>
    </row>
    <row r="21" spans="1:40" ht="13.9" outlineLevel="1" collapsed="1" x14ac:dyDescent="0.25">
      <c r="B21" s="65" t="s">
        <v>37</v>
      </c>
      <c r="C21" s="50">
        <v>33</v>
      </c>
      <c r="D21" s="60">
        <v>10</v>
      </c>
      <c r="E21" s="50">
        <v>34</v>
      </c>
      <c r="F21" s="60">
        <v>5.5</v>
      </c>
      <c r="G21" s="50">
        <v>28</v>
      </c>
      <c r="H21" s="60">
        <v>3</v>
      </c>
      <c r="I21" s="50">
        <v>38</v>
      </c>
      <c r="J21" s="60">
        <v>11.5</v>
      </c>
      <c r="K21" s="50">
        <v>36</v>
      </c>
      <c r="L21" s="60">
        <v>8</v>
      </c>
      <c r="M21" s="50">
        <v>37</v>
      </c>
      <c r="N21" s="60">
        <v>7</v>
      </c>
      <c r="O21" s="50"/>
      <c r="P21" s="60"/>
      <c r="Q21" s="50"/>
      <c r="R21" s="60"/>
      <c r="S21" s="50">
        <v>32</v>
      </c>
      <c r="T21" s="60">
        <v>5</v>
      </c>
      <c r="U21" s="50"/>
      <c r="V21" s="60"/>
      <c r="W21" s="50">
        <v>39</v>
      </c>
      <c r="X21" s="60">
        <v>10</v>
      </c>
      <c r="Y21" s="50">
        <v>30</v>
      </c>
      <c r="Z21" s="60">
        <v>1.5</v>
      </c>
      <c r="AA21" s="50">
        <v>39</v>
      </c>
      <c r="AB21" s="60">
        <v>12</v>
      </c>
      <c r="AC21" s="50">
        <v>33</v>
      </c>
      <c r="AD21" s="60">
        <v>4.5</v>
      </c>
      <c r="AE21" s="50">
        <v>35</v>
      </c>
      <c r="AF21" s="60">
        <v>5.5</v>
      </c>
      <c r="AG21" s="50">
        <v>35</v>
      </c>
      <c r="AH21" s="60">
        <v>5</v>
      </c>
      <c r="AI21" s="50"/>
      <c r="AJ21" s="60"/>
      <c r="AK21" s="50">
        <v>28</v>
      </c>
      <c r="AL21" s="60">
        <v>1.5</v>
      </c>
      <c r="AM21" s="61">
        <f>D21+F21+H21+J21+L21+N21+P21+R21+T21+V21+X21+Z21+AB21+AD21+AF21+AH21+AJ21+AL21</f>
        <v>90</v>
      </c>
      <c r="AN21" s="43">
        <f t="shared" si="0"/>
        <v>6.4285714285714288</v>
      </c>
    </row>
    <row r="22" spans="1:40" ht="13.9" outlineLevel="1" x14ac:dyDescent="0.25">
      <c r="A22" s="49"/>
      <c r="B22" s="66" t="s">
        <v>6</v>
      </c>
      <c r="C22" s="62">
        <v>10</v>
      </c>
      <c r="D22" s="63">
        <v>10</v>
      </c>
      <c r="E22" s="62">
        <v>6</v>
      </c>
      <c r="F22" s="63">
        <v>8</v>
      </c>
      <c r="G22" s="62">
        <v>21</v>
      </c>
      <c r="H22" s="63">
        <v>12</v>
      </c>
      <c r="I22" s="62">
        <v>15</v>
      </c>
      <c r="J22" s="63">
        <v>8.5</v>
      </c>
      <c r="K22" s="62">
        <v>26</v>
      </c>
      <c r="L22" s="63">
        <v>9</v>
      </c>
      <c r="M22" s="62">
        <v>-3</v>
      </c>
      <c r="N22" s="63">
        <v>6</v>
      </c>
      <c r="O22" s="62"/>
      <c r="P22" s="63"/>
      <c r="Q22" s="62"/>
      <c r="R22" s="63"/>
      <c r="S22" s="62">
        <v>5</v>
      </c>
      <c r="T22" s="63">
        <v>7</v>
      </c>
      <c r="U22" s="62"/>
      <c r="V22" s="63"/>
      <c r="W22" s="62">
        <v>3</v>
      </c>
      <c r="X22" s="63">
        <v>8</v>
      </c>
      <c r="Y22" s="62">
        <v>6</v>
      </c>
      <c r="Z22" s="63">
        <v>7</v>
      </c>
      <c r="AA22" s="62">
        <v>12</v>
      </c>
      <c r="AB22" s="63">
        <v>10</v>
      </c>
      <c r="AC22" s="62">
        <v>3</v>
      </c>
      <c r="AD22" s="63">
        <v>5.5</v>
      </c>
      <c r="AE22" s="62">
        <v>-20</v>
      </c>
      <c r="AF22" s="63">
        <v>4</v>
      </c>
      <c r="AG22" s="62">
        <v>-25</v>
      </c>
      <c r="AH22" s="63">
        <v>3</v>
      </c>
      <c r="AI22" s="62"/>
      <c r="AJ22" s="63"/>
      <c r="AK22" s="62">
        <v>-15</v>
      </c>
      <c r="AL22" s="63">
        <v>2</v>
      </c>
      <c r="AM22" s="133">
        <f>D22+F22+H22+J22+L22+N22+P22+R22+T22+V22+X22+Z22+AB22+AD22+AF22+AH22+AJ22+AL22</f>
        <v>100</v>
      </c>
      <c r="AN22" s="62">
        <f t="shared" si="0"/>
        <v>7.1428571428571432</v>
      </c>
    </row>
    <row r="23" spans="1:40" ht="13.9" x14ac:dyDescent="0.25">
      <c r="A23" s="47">
        <v>7</v>
      </c>
      <c r="B23" s="112" t="s">
        <v>100</v>
      </c>
      <c r="C23" s="50">
        <v>89</v>
      </c>
      <c r="D23" s="60">
        <f>D24+D25</f>
        <v>10</v>
      </c>
      <c r="E23" s="50">
        <v>86</v>
      </c>
      <c r="F23" s="137">
        <f>F24+F25</f>
        <v>12.5</v>
      </c>
      <c r="G23" s="50">
        <v>84</v>
      </c>
      <c r="H23" s="137">
        <f>H24+H25</f>
        <v>21</v>
      </c>
      <c r="I23" s="50">
        <v>87</v>
      </c>
      <c r="J23" s="60">
        <f>J24+J25</f>
        <v>10</v>
      </c>
      <c r="K23" s="50">
        <v>79</v>
      </c>
      <c r="L23" s="137">
        <f>L24+L25</f>
        <v>21.5</v>
      </c>
      <c r="M23" s="50">
        <v>82</v>
      </c>
      <c r="N23" s="60">
        <f>N24+N25</f>
        <v>10</v>
      </c>
      <c r="O23" s="50">
        <v>84</v>
      </c>
      <c r="P23" s="137">
        <f>P24+P25</f>
        <v>12.5</v>
      </c>
      <c r="Q23" s="50"/>
      <c r="R23" s="60"/>
      <c r="S23" s="50">
        <v>81</v>
      </c>
      <c r="T23" s="137">
        <f>T24+T25</f>
        <v>13</v>
      </c>
      <c r="U23" s="50"/>
      <c r="V23" s="60"/>
      <c r="W23" s="50">
        <v>79</v>
      </c>
      <c r="X23" s="137">
        <f>X24+X25</f>
        <v>12</v>
      </c>
      <c r="Y23" s="50"/>
      <c r="Z23" s="60"/>
      <c r="AA23" s="50">
        <v>81</v>
      </c>
      <c r="AB23" s="137">
        <f>AB24+AB25</f>
        <v>20</v>
      </c>
      <c r="AC23" s="50">
        <v>85</v>
      </c>
      <c r="AD23" s="60">
        <f>AD24+AD25</f>
        <v>3.5</v>
      </c>
      <c r="AE23" s="50">
        <v>71</v>
      </c>
      <c r="AF23" s="137">
        <f>AF24+AF25</f>
        <v>18</v>
      </c>
      <c r="AG23" s="50"/>
      <c r="AH23" s="60"/>
      <c r="AI23" s="50">
        <v>78</v>
      </c>
      <c r="AJ23" s="137">
        <f>AJ24+AJ25</f>
        <v>19.5</v>
      </c>
      <c r="AK23" s="50">
        <v>79</v>
      </c>
      <c r="AL23" s="137">
        <f>AL24+AL25</f>
        <v>10.5</v>
      </c>
      <c r="AM23" s="54">
        <f>F23+H23+L23+P23+T23+V23+X23+Z23+AF23+R23+AB23+AH23+AJ23+AL23</f>
        <v>160.5</v>
      </c>
      <c r="AN23" s="43">
        <f t="shared" si="0"/>
        <v>13.857142857142858</v>
      </c>
    </row>
    <row r="24" spans="1:40" ht="13.9" outlineLevel="1" x14ac:dyDescent="0.25">
      <c r="B24" s="65" t="s">
        <v>37</v>
      </c>
      <c r="C24" s="50">
        <v>27</v>
      </c>
      <c r="D24" s="60">
        <v>5</v>
      </c>
      <c r="E24" s="50">
        <v>32</v>
      </c>
      <c r="F24" s="60">
        <v>3.5</v>
      </c>
      <c r="G24" s="50">
        <v>34</v>
      </c>
      <c r="H24" s="60">
        <v>10</v>
      </c>
      <c r="I24" s="50">
        <v>31</v>
      </c>
      <c r="J24" s="60">
        <v>5</v>
      </c>
      <c r="K24" s="50">
        <v>39</v>
      </c>
      <c r="L24" s="60">
        <v>11</v>
      </c>
      <c r="M24" s="50">
        <v>35</v>
      </c>
      <c r="N24" s="60">
        <v>6</v>
      </c>
      <c r="O24" s="50">
        <v>31</v>
      </c>
      <c r="P24" s="60">
        <v>5.5</v>
      </c>
      <c r="Q24" s="50"/>
      <c r="R24" s="60"/>
      <c r="S24" s="50">
        <v>35</v>
      </c>
      <c r="T24" s="60">
        <v>8</v>
      </c>
      <c r="U24" s="50"/>
      <c r="V24" s="60"/>
      <c r="W24" s="50">
        <v>36</v>
      </c>
      <c r="X24" s="60">
        <v>7.5</v>
      </c>
      <c r="Y24" s="50"/>
      <c r="Z24" s="60"/>
      <c r="AA24" s="50">
        <v>35</v>
      </c>
      <c r="AB24" s="60">
        <v>8</v>
      </c>
      <c r="AC24" s="50">
        <v>29</v>
      </c>
      <c r="AD24" s="60">
        <v>2.5</v>
      </c>
      <c r="AE24" s="50">
        <v>43</v>
      </c>
      <c r="AF24" s="60">
        <v>10</v>
      </c>
      <c r="AG24" s="50"/>
      <c r="AH24" s="60"/>
      <c r="AI24" s="50">
        <v>36</v>
      </c>
      <c r="AJ24" s="60">
        <v>9.5</v>
      </c>
      <c r="AK24" s="50">
        <v>34</v>
      </c>
      <c r="AL24" s="60">
        <v>7.5</v>
      </c>
      <c r="AM24" s="61">
        <f>D24+F24+H24+J24+L24+N24+P24+R24+T24+V24+X24+Z24+AB24+AD24+AF24+AH24+AJ24+AL24</f>
        <v>99</v>
      </c>
      <c r="AN24" s="43">
        <f t="shared" si="0"/>
        <v>7.0714285714285712</v>
      </c>
    </row>
    <row r="25" spans="1:40" ht="13.9" outlineLevel="1" collapsed="1" x14ac:dyDescent="0.25">
      <c r="A25" s="49"/>
      <c r="B25" s="66" t="s">
        <v>6</v>
      </c>
      <c r="C25" s="62">
        <v>-1</v>
      </c>
      <c r="D25" s="63">
        <v>5</v>
      </c>
      <c r="E25" s="62">
        <v>10</v>
      </c>
      <c r="F25" s="63">
        <v>9</v>
      </c>
      <c r="G25" s="62">
        <v>17</v>
      </c>
      <c r="H25" s="63">
        <v>11</v>
      </c>
      <c r="I25" s="62">
        <v>6</v>
      </c>
      <c r="J25" s="63">
        <v>5</v>
      </c>
      <c r="K25" s="62">
        <v>30</v>
      </c>
      <c r="L25" s="63">
        <v>10.5</v>
      </c>
      <c r="M25" s="62">
        <v>-11</v>
      </c>
      <c r="N25" s="63">
        <v>4</v>
      </c>
      <c r="O25" s="62">
        <v>3</v>
      </c>
      <c r="P25" s="63">
        <v>7</v>
      </c>
      <c r="Q25" s="62"/>
      <c r="R25" s="63"/>
      <c r="S25" s="62">
        <v>-1</v>
      </c>
      <c r="T25" s="63">
        <v>5</v>
      </c>
      <c r="U25" s="62"/>
      <c r="V25" s="63"/>
      <c r="W25" s="62">
        <v>-5</v>
      </c>
      <c r="X25" s="63">
        <v>4.5</v>
      </c>
      <c r="Y25" s="62"/>
      <c r="Z25" s="63"/>
      <c r="AA25" s="62">
        <v>24</v>
      </c>
      <c r="AB25" s="63">
        <v>12</v>
      </c>
      <c r="AC25" s="62">
        <v>-64</v>
      </c>
      <c r="AD25" s="63">
        <v>1</v>
      </c>
      <c r="AE25" s="62">
        <v>14</v>
      </c>
      <c r="AF25" s="63">
        <v>8</v>
      </c>
      <c r="AG25" s="62"/>
      <c r="AH25" s="63"/>
      <c r="AI25" s="62">
        <v>34</v>
      </c>
      <c r="AJ25" s="63">
        <v>10</v>
      </c>
      <c r="AK25" s="62">
        <v>-13</v>
      </c>
      <c r="AL25" s="63">
        <v>3</v>
      </c>
      <c r="AM25" s="133">
        <f>D25+F25+H25+J25+L25+N25+P25+R25+T25+V25+X25+Z25+AB25+AD25+AF25+AH25+AJ25+AL25</f>
        <v>95</v>
      </c>
      <c r="AN25" s="62">
        <f t="shared" si="0"/>
        <v>6.7857142857142856</v>
      </c>
    </row>
    <row r="26" spans="1:40" ht="13.9" x14ac:dyDescent="0.25">
      <c r="A26" s="47">
        <v>8</v>
      </c>
      <c r="B26" s="67" t="s">
        <v>39</v>
      </c>
      <c r="C26" s="50">
        <v>106</v>
      </c>
      <c r="D26" s="137">
        <f>D27+D28</f>
        <v>12.5</v>
      </c>
      <c r="E26" s="50">
        <v>115</v>
      </c>
      <c r="F26" s="60">
        <f>F27+F28</f>
        <v>2</v>
      </c>
      <c r="G26" s="50">
        <v>102</v>
      </c>
      <c r="H26" s="137">
        <f>H27+H28</f>
        <v>14.5</v>
      </c>
      <c r="I26" s="50">
        <v>116</v>
      </c>
      <c r="J26" s="60">
        <f>J27+J28</f>
        <v>2</v>
      </c>
      <c r="K26" s="50">
        <v>100</v>
      </c>
      <c r="L26" s="60">
        <f>L27+L28</f>
        <v>7</v>
      </c>
      <c r="M26" s="50"/>
      <c r="N26" s="60"/>
      <c r="O26" s="50">
        <v>103</v>
      </c>
      <c r="P26" s="60">
        <f>P27+P28</f>
        <v>11</v>
      </c>
      <c r="Q26" s="50"/>
      <c r="R26" s="60"/>
      <c r="S26" s="50">
        <v>96</v>
      </c>
      <c r="T26" s="137">
        <f>T27+T28</f>
        <v>17</v>
      </c>
      <c r="U26" s="50"/>
      <c r="V26" s="60"/>
      <c r="W26" s="50">
        <v>105</v>
      </c>
      <c r="X26" s="137">
        <f>X27+X28</f>
        <v>13</v>
      </c>
      <c r="Y26" s="50">
        <v>94</v>
      </c>
      <c r="Z26" s="137">
        <f>Z27+Z28</f>
        <v>18</v>
      </c>
      <c r="AA26" s="50">
        <v>102</v>
      </c>
      <c r="AB26" s="137">
        <f>AB27+AB28</f>
        <v>13.5</v>
      </c>
      <c r="AC26" s="50">
        <v>99</v>
      </c>
      <c r="AD26" s="137">
        <f>AD27+AD28</f>
        <v>14.5</v>
      </c>
      <c r="AE26" s="50">
        <v>95</v>
      </c>
      <c r="AF26" s="137">
        <f>AF27+AF28</f>
        <v>19</v>
      </c>
      <c r="AG26" s="50">
        <v>92</v>
      </c>
      <c r="AH26" s="137">
        <f>AH27+AH28</f>
        <v>16</v>
      </c>
      <c r="AI26" s="50">
        <v>104</v>
      </c>
      <c r="AJ26" s="60">
        <f>AJ27+AJ28</f>
        <v>11</v>
      </c>
      <c r="AK26" s="50">
        <v>107</v>
      </c>
      <c r="AL26" s="137">
        <f>AL27+AL28</f>
        <v>11.5</v>
      </c>
      <c r="AM26" s="54">
        <f>D26+H26+N26+T26+V26+X26+Z26+AD26+AF26+R26+AB26+AH26+AL26</f>
        <v>149.5</v>
      </c>
      <c r="AN26" s="43">
        <f t="shared" si="0"/>
        <v>12.166666666666666</v>
      </c>
    </row>
    <row r="27" spans="1:40" ht="13.9" outlineLevel="1" x14ac:dyDescent="0.25">
      <c r="B27" s="65" t="s">
        <v>37</v>
      </c>
      <c r="C27" s="50">
        <v>26</v>
      </c>
      <c r="D27" s="60">
        <v>3.5</v>
      </c>
      <c r="E27" s="50">
        <v>18</v>
      </c>
      <c r="F27" s="60">
        <v>1</v>
      </c>
      <c r="G27" s="50">
        <v>31</v>
      </c>
      <c r="H27" s="60">
        <v>5.5</v>
      </c>
      <c r="I27" s="50">
        <v>18</v>
      </c>
      <c r="J27" s="60">
        <v>1</v>
      </c>
      <c r="K27" s="50">
        <v>32</v>
      </c>
      <c r="L27" s="60">
        <v>5</v>
      </c>
      <c r="M27" s="50"/>
      <c r="N27" s="60"/>
      <c r="O27" s="50">
        <v>32</v>
      </c>
      <c r="P27" s="60">
        <v>7</v>
      </c>
      <c r="Q27" s="50"/>
      <c r="R27" s="60"/>
      <c r="S27" s="50">
        <v>39</v>
      </c>
      <c r="T27" s="60">
        <v>11</v>
      </c>
      <c r="U27" s="50"/>
      <c r="V27" s="60"/>
      <c r="W27" s="50">
        <v>30</v>
      </c>
      <c r="X27" s="60">
        <v>1</v>
      </c>
      <c r="Y27" s="50">
        <v>43</v>
      </c>
      <c r="Z27" s="60">
        <v>12</v>
      </c>
      <c r="AA27" s="50">
        <v>34</v>
      </c>
      <c r="AB27" s="60">
        <v>6</v>
      </c>
      <c r="AC27" s="50">
        <v>36</v>
      </c>
      <c r="AD27" s="60">
        <v>7.5</v>
      </c>
      <c r="AE27" s="50">
        <v>40</v>
      </c>
      <c r="AF27" s="60">
        <v>9</v>
      </c>
      <c r="AG27" s="50">
        <v>42</v>
      </c>
      <c r="AH27" s="60">
        <v>9</v>
      </c>
      <c r="AI27" s="50">
        <v>30</v>
      </c>
      <c r="AJ27" s="60">
        <v>5</v>
      </c>
      <c r="AK27" s="50">
        <v>28</v>
      </c>
      <c r="AL27" s="60">
        <v>1.5</v>
      </c>
      <c r="AM27" s="61">
        <f>D27+F27+H27+J27+L27+N27+P27+R27+T27+V27+X27+Z27+AB27+AD27+AF27+AH27+AJ27+AL27</f>
        <v>85</v>
      </c>
      <c r="AN27" s="43">
        <f t="shared" si="0"/>
        <v>5.666666666666667</v>
      </c>
    </row>
    <row r="28" spans="1:40" outlineLevel="1" x14ac:dyDescent="0.2">
      <c r="A28" s="49"/>
      <c r="B28" s="66" t="s">
        <v>6</v>
      </c>
      <c r="C28" s="62">
        <v>7</v>
      </c>
      <c r="D28" s="63">
        <v>9</v>
      </c>
      <c r="E28" s="62">
        <v>-27</v>
      </c>
      <c r="F28" s="63">
        <v>1</v>
      </c>
      <c r="G28" s="62">
        <v>10</v>
      </c>
      <c r="H28" s="63">
        <v>9</v>
      </c>
      <c r="I28" s="62">
        <v>-47</v>
      </c>
      <c r="J28" s="63">
        <v>1</v>
      </c>
      <c r="K28" s="62">
        <v>-20</v>
      </c>
      <c r="L28" s="63">
        <v>2</v>
      </c>
      <c r="M28" s="62"/>
      <c r="N28" s="63"/>
      <c r="O28" s="62">
        <v>-9</v>
      </c>
      <c r="P28" s="63">
        <v>4</v>
      </c>
      <c r="Q28" s="62"/>
      <c r="R28" s="63"/>
      <c r="S28" s="62">
        <v>3</v>
      </c>
      <c r="T28" s="63">
        <v>6</v>
      </c>
      <c r="U28" s="62"/>
      <c r="V28" s="63"/>
      <c r="W28" s="62">
        <v>31</v>
      </c>
      <c r="X28" s="63">
        <v>12</v>
      </c>
      <c r="Y28" s="62">
        <v>5</v>
      </c>
      <c r="Z28" s="63">
        <v>6</v>
      </c>
      <c r="AA28" s="62">
        <v>3</v>
      </c>
      <c r="AB28" s="63">
        <v>7.5</v>
      </c>
      <c r="AC28" s="62">
        <v>8</v>
      </c>
      <c r="AD28" s="63">
        <v>7</v>
      </c>
      <c r="AE28" s="62">
        <v>35</v>
      </c>
      <c r="AF28" s="63">
        <v>10</v>
      </c>
      <c r="AG28" s="62">
        <v>2</v>
      </c>
      <c r="AH28" s="63">
        <v>7</v>
      </c>
      <c r="AI28" s="62">
        <v>0</v>
      </c>
      <c r="AJ28" s="63">
        <v>6</v>
      </c>
      <c r="AK28" s="62">
        <v>14</v>
      </c>
      <c r="AL28" s="63">
        <v>10</v>
      </c>
      <c r="AM28" s="133">
        <f>D28+F28+H28+J28+L28+N28+P28+R28+T28+V28+X28+Z28+AB28+AD28+AF28+AH28+AJ28+AL28</f>
        <v>97.5</v>
      </c>
      <c r="AN28" s="62">
        <f t="shared" si="0"/>
        <v>6.5</v>
      </c>
    </row>
    <row r="29" spans="1:40" x14ac:dyDescent="0.2">
      <c r="A29" s="47">
        <v>9</v>
      </c>
      <c r="B29" s="42" t="s">
        <v>91</v>
      </c>
      <c r="C29" s="50">
        <v>102</v>
      </c>
      <c r="D29" s="137">
        <f>D30+D31</f>
        <v>15</v>
      </c>
      <c r="E29" s="50">
        <v>100</v>
      </c>
      <c r="F29" s="137">
        <f>F30+F31</f>
        <v>12.5</v>
      </c>
      <c r="G29" s="50">
        <v>102</v>
      </c>
      <c r="H29" s="137">
        <f>H30+H31</f>
        <v>15.5</v>
      </c>
      <c r="I29" s="50">
        <v>100</v>
      </c>
      <c r="J29" s="137">
        <f>J30+J31</f>
        <v>17</v>
      </c>
      <c r="K29" s="50">
        <v>97</v>
      </c>
      <c r="L29" s="137">
        <f>L30+L31</f>
        <v>16.5</v>
      </c>
      <c r="M29" s="50"/>
      <c r="N29" s="60"/>
      <c r="O29" s="50"/>
      <c r="P29" s="60"/>
      <c r="Q29" s="50"/>
      <c r="R29" s="60"/>
      <c r="S29" s="50"/>
      <c r="T29" s="60"/>
      <c r="U29" s="50"/>
      <c r="V29" s="60"/>
      <c r="W29" s="50">
        <v>93</v>
      </c>
      <c r="X29" s="137">
        <f>X30+X31</f>
        <v>22</v>
      </c>
      <c r="Y29" s="50">
        <v>97</v>
      </c>
      <c r="Z29" s="60">
        <f>Z30+Z31</f>
        <v>9.5</v>
      </c>
      <c r="AA29" s="50">
        <v>100</v>
      </c>
      <c r="AB29" s="60">
        <f>AB30+AB31</f>
        <v>6</v>
      </c>
      <c r="AC29" s="50">
        <v>106</v>
      </c>
      <c r="AD29" s="137">
        <f>AD30+AD31</f>
        <v>11.5</v>
      </c>
      <c r="AE29" s="50"/>
      <c r="AF29" s="60"/>
      <c r="AG29" s="50">
        <v>97</v>
      </c>
      <c r="AH29" s="137">
        <f>AH30+AH31</f>
        <v>13</v>
      </c>
      <c r="AI29" s="50">
        <v>106</v>
      </c>
      <c r="AJ29" s="137">
        <f>AJ30+AJ31</f>
        <v>11</v>
      </c>
      <c r="AK29" s="50">
        <v>98</v>
      </c>
      <c r="AL29" s="137">
        <f>AL30+AL31</f>
        <v>14</v>
      </c>
      <c r="AM29" s="54">
        <f>D29+F29+H29+J29+L29+N29+P29+T29+V29+X29+AD29+AF29+R29+AH29+AJ29+AL29</f>
        <v>148</v>
      </c>
      <c r="AN29" s="43">
        <f t="shared" si="0"/>
        <v>13.625</v>
      </c>
    </row>
    <row r="30" spans="1:40" outlineLevel="1" x14ac:dyDescent="0.2">
      <c r="B30" s="65" t="s">
        <v>37</v>
      </c>
      <c r="C30" s="50">
        <v>31</v>
      </c>
      <c r="D30" s="60">
        <v>8</v>
      </c>
      <c r="E30" s="50">
        <v>35</v>
      </c>
      <c r="F30" s="60">
        <v>7.5</v>
      </c>
      <c r="G30" s="50">
        <v>31</v>
      </c>
      <c r="H30" s="60">
        <v>5.5</v>
      </c>
      <c r="I30" s="50">
        <v>35</v>
      </c>
      <c r="J30" s="60">
        <v>10</v>
      </c>
      <c r="K30" s="50">
        <v>37</v>
      </c>
      <c r="L30" s="60">
        <v>9.5</v>
      </c>
      <c r="M30" s="50"/>
      <c r="N30" s="60"/>
      <c r="O30" s="50"/>
      <c r="P30" s="60"/>
      <c r="Q30" s="50"/>
      <c r="R30" s="60"/>
      <c r="S30" s="50"/>
      <c r="T30" s="60"/>
      <c r="U30" s="50"/>
      <c r="V30" s="60"/>
      <c r="W30" s="50">
        <v>41</v>
      </c>
      <c r="X30" s="60">
        <v>11</v>
      </c>
      <c r="Y30" s="50">
        <v>36</v>
      </c>
      <c r="Z30" s="60">
        <v>8.5</v>
      </c>
      <c r="AA30" s="50">
        <v>33</v>
      </c>
      <c r="AB30" s="60">
        <v>4</v>
      </c>
      <c r="AC30" s="50">
        <v>29</v>
      </c>
      <c r="AD30" s="60">
        <v>2.5</v>
      </c>
      <c r="AE30" s="50"/>
      <c r="AF30" s="60"/>
      <c r="AG30" s="50">
        <v>35</v>
      </c>
      <c r="AH30" s="60">
        <v>5</v>
      </c>
      <c r="AI30" s="50">
        <v>27</v>
      </c>
      <c r="AJ30" s="60">
        <v>4</v>
      </c>
      <c r="AK30" s="50">
        <v>35</v>
      </c>
      <c r="AL30" s="60">
        <v>9</v>
      </c>
      <c r="AM30" s="61">
        <f>D30+F30+H30+J30+L30+N30+P30+R30+T30+V30+X30+Z30+AB30+AD30+AF30+AH30+AJ30+AL30</f>
        <v>84.5</v>
      </c>
      <c r="AN30" s="43">
        <f t="shared" si="0"/>
        <v>7.041666666666667</v>
      </c>
    </row>
    <row r="31" spans="1:40" outlineLevel="1" x14ac:dyDescent="0.2">
      <c r="A31" s="49"/>
      <c r="B31" s="66" t="s">
        <v>6</v>
      </c>
      <c r="C31" s="62">
        <v>2</v>
      </c>
      <c r="D31" s="63">
        <v>7</v>
      </c>
      <c r="E31" s="62">
        <v>-1</v>
      </c>
      <c r="F31" s="63">
        <v>5</v>
      </c>
      <c r="G31" s="62">
        <v>12</v>
      </c>
      <c r="H31" s="63">
        <v>10</v>
      </c>
      <c r="I31" s="62">
        <v>14</v>
      </c>
      <c r="J31" s="63">
        <v>7</v>
      </c>
      <c r="K31" s="62">
        <v>-6</v>
      </c>
      <c r="L31" s="63">
        <v>7</v>
      </c>
      <c r="M31" s="62"/>
      <c r="N31" s="63"/>
      <c r="O31" s="62"/>
      <c r="P31" s="63"/>
      <c r="Q31" s="62"/>
      <c r="R31" s="63"/>
      <c r="S31" s="62"/>
      <c r="T31" s="63"/>
      <c r="U31" s="62"/>
      <c r="V31" s="63"/>
      <c r="W31" s="62">
        <v>13</v>
      </c>
      <c r="X31" s="63">
        <v>11</v>
      </c>
      <c r="Y31" s="62">
        <v>-26</v>
      </c>
      <c r="Z31" s="63">
        <v>1</v>
      </c>
      <c r="AA31" s="62">
        <v>-15</v>
      </c>
      <c r="AB31" s="63">
        <v>2</v>
      </c>
      <c r="AC31" s="62">
        <v>13</v>
      </c>
      <c r="AD31" s="63">
        <v>9</v>
      </c>
      <c r="AE31" s="62"/>
      <c r="AF31" s="63"/>
      <c r="AG31" s="62">
        <v>8</v>
      </c>
      <c r="AH31" s="63">
        <v>8</v>
      </c>
      <c r="AI31" s="62">
        <v>2</v>
      </c>
      <c r="AJ31" s="63">
        <v>7</v>
      </c>
      <c r="AK31" s="62">
        <v>-6</v>
      </c>
      <c r="AL31" s="63">
        <v>5</v>
      </c>
      <c r="AM31" s="133">
        <f>D31+F31+H31+J31+L31+N31+P31+R31+T31+V31+X31+Z31+AB31+AD31+AF31+AH31+AJ31+AL31</f>
        <v>79</v>
      </c>
      <c r="AN31" s="62">
        <f t="shared" si="0"/>
        <v>6.583333333333333</v>
      </c>
    </row>
    <row r="32" spans="1:40" x14ac:dyDescent="0.2">
      <c r="A32" s="113">
        <v>10</v>
      </c>
      <c r="B32" s="42" t="s">
        <v>2</v>
      </c>
      <c r="C32" s="50">
        <v>105</v>
      </c>
      <c r="D32" s="137">
        <f>D33+D34</f>
        <v>7.5</v>
      </c>
      <c r="E32" s="50">
        <v>97</v>
      </c>
      <c r="F32" s="137">
        <f>F33+F34</f>
        <v>7.5</v>
      </c>
      <c r="G32" s="50"/>
      <c r="H32" s="60"/>
      <c r="I32" s="50">
        <v>100</v>
      </c>
      <c r="J32" s="60">
        <f>J33+J34</f>
        <v>5</v>
      </c>
      <c r="K32" s="50">
        <v>92</v>
      </c>
      <c r="L32" s="137">
        <f>L33+L34</f>
        <v>12.5</v>
      </c>
      <c r="M32" s="50">
        <v>95</v>
      </c>
      <c r="N32" s="137">
        <f>N33+N34</f>
        <v>12</v>
      </c>
      <c r="O32" s="50"/>
      <c r="P32" s="60"/>
      <c r="Q32" s="50">
        <v>94</v>
      </c>
      <c r="R32" s="137">
        <f>R33+R34</f>
        <v>11.5</v>
      </c>
      <c r="S32" s="50"/>
      <c r="T32" s="60"/>
      <c r="U32" s="50">
        <v>84</v>
      </c>
      <c r="V32" s="137">
        <f>V33+V34</f>
        <v>17</v>
      </c>
      <c r="W32" s="50"/>
      <c r="X32" s="60"/>
      <c r="Y32" s="50">
        <v>92</v>
      </c>
      <c r="Z32" s="137">
        <f>Z33+Z34</f>
        <v>11.5</v>
      </c>
      <c r="AA32" s="50">
        <v>95</v>
      </c>
      <c r="AB32" s="60">
        <f>AB33+AB34</f>
        <v>3</v>
      </c>
      <c r="AC32" s="50">
        <v>83</v>
      </c>
      <c r="AD32" s="137">
        <f>AD33+AD34</f>
        <v>22</v>
      </c>
      <c r="AE32" s="50">
        <v>92</v>
      </c>
      <c r="AF32" s="137">
        <f>AF33+AF34</f>
        <v>13.5</v>
      </c>
      <c r="AG32" s="50"/>
      <c r="AH32" s="60"/>
      <c r="AI32" s="50"/>
      <c r="AJ32" s="60"/>
      <c r="AK32" s="50">
        <v>95</v>
      </c>
      <c r="AL32" s="137">
        <f>AL33+AL34</f>
        <v>7.5</v>
      </c>
      <c r="AM32" s="54">
        <f>D32+F32+H32+L32+N32+P32+T32+V32+X32+Z32+AD32+AF32+R32+AH32+AJ32+AL32</f>
        <v>122.5</v>
      </c>
      <c r="AN32" s="43">
        <f t="shared" si="0"/>
        <v>10.875</v>
      </c>
    </row>
    <row r="33" spans="1:40" outlineLevel="1" x14ac:dyDescent="0.2">
      <c r="B33" s="65" t="s">
        <v>37</v>
      </c>
      <c r="C33" s="50">
        <v>26</v>
      </c>
      <c r="D33" s="60">
        <v>3.5</v>
      </c>
      <c r="E33" s="50">
        <v>32</v>
      </c>
      <c r="F33" s="60">
        <v>3.5</v>
      </c>
      <c r="G33" s="50"/>
      <c r="H33" s="60"/>
      <c r="I33" s="50">
        <v>27</v>
      </c>
      <c r="J33" s="60">
        <v>2</v>
      </c>
      <c r="K33" s="50">
        <v>35</v>
      </c>
      <c r="L33" s="60">
        <v>6.5</v>
      </c>
      <c r="M33" s="50">
        <v>33</v>
      </c>
      <c r="N33" s="60">
        <v>5</v>
      </c>
      <c r="O33" s="50"/>
      <c r="P33" s="60"/>
      <c r="Q33" s="50">
        <v>33</v>
      </c>
      <c r="R33" s="60">
        <v>5</v>
      </c>
      <c r="S33" s="50"/>
      <c r="T33" s="60"/>
      <c r="U33" s="50">
        <v>43</v>
      </c>
      <c r="V33" s="60">
        <v>10</v>
      </c>
      <c r="W33" s="50"/>
      <c r="X33" s="60"/>
      <c r="Y33" s="50">
        <v>35</v>
      </c>
      <c r="Z33" s="60">
        <v>6.5</v>
      </c>
      <c r="AA33" s="50">
        <v>32</v>
      </c>
      <c r="AB33" s="60">
        <v>2</v>
      </c>
      <c r="AC33" s="50">
        <v>44</v>
      </c>
      <c r="AD33" s="60">
        <v>12</v>
      </c>
      <c r="AE33" s="50">
        <v>37</v>
      </c>
      <c r="AF33" s="60">
        <v>7.5</v>
      </c>
      <c r="AG33" s="50"/>
      <c r="AH33" s="60"/>
      <c r="AI33" s="50"/>
      <c r="AJ33" s="60"/>
      <c r="AK33" s="50">
        <v>31</v>
      </c>
      <c r="AL33" s="60">
        <v>3.5</v>
      </c>
      <c r="AM33" s="61">
        <f>D33+F33+H33+J33+L33+N33+P33+R33+T33+V33+X33+Z33+AB33+AD33+AF33+AH33+AJ33+AL33</f>
        <v>67</v>
      </c>
      <c r="AN33" s="43">
        <f t="shared" si="0"/>
        <v>5.583333333333333</v>
      </c>
    </row>
    <row r="34" spans="1:40" outlineLevel="1" x14ac:dyDescent="0.2">
      <c r="A34" s="49"/>
      <c r="B34" s="66" t="s">
        <v>6</v>
      </c>
      <c r="C34" s="62">
        <v>-7</v>
      </c>
      <c r="D34" s="63">
        <v>4</v>
      </c>
      <c r="E34" s="62">
        <v>-9</v>
      </c>
      <c r="F34" s="63">
        <v>4</v>
      </c>
      <c r="G34" s="62"/>
      <c r="H34" s="63"/>
      <c r="I34" s="62">
        <v>-33</v>
      </c>
      <c r="J34" s="63">
        <v>3</v>
      </c>
      <c r="K34" s="62">
        <v>-10</v>
      </c>
      <c r="L34" s="63">
        <v>6</v>
      </c>
      <c r="M34" s="62">
        <v>5</v>
      </c>
      <c r="N34" s="63">
        <v>7</v>
      </c>
      <c r="O34" s="62"/>
      <c r="P34" s="63"/>
      <c r="Q34" s="62">
        <v>3</v>
      </c>
      <c r="R34" s="63">
        <v>6.5</v>
      </c>
      <c r="S34" s="62"/>
      <c r="T34" s="63"/>
      <c r="U34" s="62">
        <v>5</v>
      </c>
      <c r="V34" s="63">
        <v>7</v>
      </c>
      <c r="W34" s="62"/>
      <c r="X34" s="63"/>
      <c r="Y34" s="62">
        <v>-6</v>
      </c>
      <c r="Z34" s="63">
        <v>5</v>
      </c>
      <c r="AA34" s="62">
        <v>-22</v>
      </c>
      <c r="AB34" s="63">
        <v>1</v>
      </c>
      <c r="AC34" s="62">
        <v>15</v>
      </c>
      <c r="AD34" s="63">
        <v>10</v>
      </c>
      <c r="AE34" s="62">
        <v>-6</v>
      </c>
      <c r="AF34" s="63">
        <v>6</v>
      </c>
      <c r="AG34" s="62"/>
      <c r="AH34" s="63"/>
      <c r="AI34" s="62"/>
      <c r="AJ34" s="63"/>
      <c r="AK34" s="62">
        <v>-12</v>
      </c>
      <c r="AL34" s="63">
        <v>4</v>
      </c>
      <c r="AM34" s="133">
        <f>D34+F34+H34+J34+L34+N34+P34+R34+T34+V34+X34+Z34+AB34+AD34+AF34+AH34+AJ34+AL34</f>
        <v>63.5</v>
      </c>
      <c r="AN34" s="62">
        <f t="shared" si="0"/>
        <v>5.291666666666667</v>
      </c>
    </row>
    <row r="35" spans="1:40" x14ac:dyDescent="0.2">
      <c r="A35" s="47">
        <v>11</v>
      </c>
      <c r="B35" s="42" t="s">
        <v>9</v>
      </c>
      <c r="C35" s="50">
        <v>82</v>
      </c>
      <c r="D35" s="137">
        <f>D36+D37</f>
        <v>12.5</v>
      </c>
      <c r="E35" s="50">
        <v>80</v>
      </c>
      <c r="F35" s="137">
        <f>F36+F37</f>
        <v>20</v>
      </c>
      <c r="G35" s="50"/>
      <c r="H35" s="60"/>
      <c r="I35" s="50">
        <v>82</v>
      </c>
      <c r="J35" s="137">
        <f>J36+J37</f>
        <v>19</v>
      </c>
      <c r="K35" s="50">
        <v>90</v>
      </c>
      <c r="L35" s="137">
        <f>L36+L37</f>
        <v>5</v>
      </c>
      <c r="M35" s="50">
        <v>79</v>
      </c>
      <c r="N35" s="137">
        <f>N36+N37</f>
        <v>16.5</v>
      </c>
      <c r="O35" s="50">
        <v>85</v>
      </c>
      <c r="P35" s="137">
        <f>P36+P37</f>
        <v>10.5</v>
      </c>
      <c r="Q35" s="50">
        <v>80</v>
      </c>
      <c r="R35" s="137">
        <f>R36+R37</f>
        <v>9</v>
      </c>
      <c r="S35" s="50">
        <v>83</v>
      </c>
      <c r="T35" s="137">
        <f>T36+T37</f>
        <v>15</v>
      </c>
      <c r="U35" s="50"/>
      <c r="V35" s="60"/>
      <c r="W35" s="50">
        <v>83</v>
      </c>
      <c r="X35" s="137">
        <f>X36+X37</f>
        <v>5.5</v>
      </c>
      <c r="Y35" s="50"/>
      <c r="Z35" s="60"/>
      <c r="AA35" s="50">
        <v>84</v>
      </c>
      <c r="AB35" s="137">
        <f>AB36+AB37</f>
        <v>6</v>
      </c>
      <c r="AC35" s="50"/>
      <c r="AD35" s="60"/>
      <c r="AE35" s="50"/>
      <c r="AF35" s="60"/>
      <c r="AG35" s="50"/>
      <c r="AH35" s="60"/>
      <c r="AI35" s="50"/>
      <c r="AJ35" s="60"/>
      <c r="AK35" s="50"/>
      <c r="AL35" s="60"/>
      <c r="AM35" s="54">
        <f>D35+F35+H35+J35+L35+N35+P35+T35+V35+X35+Z35+AD35+AF35+R35+AB35+AH35+AJ35+AL35</f>
        <v>119</v>
      </c>
      <c r="AN35" s="43">
        <f t="shared" si="0"/>
        <v>11.9</v>
      </c>
    </row>
    <row r="36" spans="1:40" outlineLevel="1" x14ac:dyDescent="0.2">
      <c r="B36" s="65" t="s">
        <v>37</v>
      </c>
      <c r="C36" s="50">
        <v>34</v>
      </c>
      <c r="D36" s="60">
        <v>11.5</v>
      </c>
      <c r="E36" s="50">
        <v>36</v>
      </c>
      <c r="F36" s="60">
        <v>9</v>
      </c>
      <c r="G36" s="50"/>
      <c r="H36" s="60"/>
      <c r="I36" s="50">
        <v>34</v>
      </c>
      <c r="J36" s="60">
        <v>8</v>
      </c>
      <c r="K36" s="50">
        <v>26</v>
      </c>
      <c r="L36" s="60">
        <v>1.5</v>
      </c>
      <c r="M36" s="50">
        <v>38</v>
      </c>
      <c r="N36" s="60">
        <v>8.5</v>
      </c>
      <c r="O36" s="50">
        <v>31</v>
      </c>
      <c r="P36" s="60">
        <v>5.5</v>
      </c>
      <c r="Q36" s="50">
        <v>36</v>
      </c>
      <c r="R36" s="60">
        <v>6</v>
      </c>
      <c r="S36" s="50">
        <v>33</v>
      </c>
      <c r="T36" s="60">
        <v>6</v>
      </c>
      <c r="U36" s="50"/>
      <c r="V36" s="60"/>
      <c r="W36" s="50">
        <v>33</v>
      </c>
      <c r="X36" s="60">
        <v>4.5</v>
      </c>
      <c r="Y36" s="50"/>
      <c r="Z36" s="60"/>
      <c r="AA36" s="50">
        <v>32</v>
      </c>
      <c r="AB36" s="60">
        <v>2</v>
      </c>
      <c r="AC36" s="50"/>
      <c r="AD36" s="60"/>
      <c r="AE36" s="50"/>
      <c r="AF36" s="60"/>
      <c r="AG36" s="50"/>
      <c r="AH36" s="60"/>
      <c r="AI36" s="50"/>
      <c r="AJ36" s="60"/>
      <c r="AK36" s="50"/>
      <c r="AL36" s="60"/>
      <c r="AM36" s="61">
        <f>D36+F36+H36+J36+L36+N36+P36+R36+T36+V36+X36+Z36+AB36+AD36+AF36+AH36+AJ36+AL36</f>
        <v>62.5</v>
      </c>
      <c r="AN36" s="43">
        <f t="shared" si="0"/>
        <v>6.25</v>
      </c>
    </row>
    <row r="37" spans="1:40" outlineLevel="1" x14ac:dyDescent="0.2">
      <c r="A37" s="49"/>
      <c r="B37" s="66" t="s">
        <v>6</v>
      </c>
      <c r="C37" s="62">
        <v>-21</v>
      </c>
      <c r="D37" s="63">
        <v>1</v>
      </c>
      <c r="E37" s="62">
        <v>15</v>
      </c>
      <c r="F37" s="63">
        <v>11</v>
      </c>
      <c r="G37" s="62"/>
      <c r="H37" s="63"/>
      <c r="I37" s="62">
        <v>23</v>
      </c>
      <c r="J37" s="63">
        <v>11</v>
      </c>
      <c r="K37" s="62">
        <v>-16</v>
      </c>
      <c r="L37" s="63">
        <v>3.5</v>
      </c>
      <c r="M37" s="62">
        <v>9</v>
      </c>
      <c r="N37" s="63">
        <v>8</v>
      </c>
      <c r="O37" s="62">
        <v>-6</v>
      </c>
      <c r="P37" s="63">
        <v>5</v>
      </c>
      <c r="Q37" s="62">
        <v>-19</v>
      </c>
      <c r="R37" s="63">
        <v>3</v>
      </c>
      <c r="S37" s="62">
        <v>6</v>
      </c>
      <c r="T37" s="63">
        <v>9</v>
      </c>
      <c r="U37" s="62"/>
      <c r="V37" s="63"/>
      <c r="W37" s="62">
        <v>-31</v>
      </c>
      <c r="X37" s="63">
        <v>1</v>
      </c>
      <c r="Y37" s="62"/>
      <c r="Z37" s="63"/>
      <c r="AA37" s="62">
        <v>-12</v>
      </c>
      <c r="AB37" s="63">
        <v>4</v>
      </c>
      <c r="AC37" s="62"/>
      <c r="AD37" s="63"/>
      <c r="AE37" s="62"/>
      <c r="AF37" s="63"/>
      <c r="AG37" s="62"/>
      <c r="AH37" s="63"/>
      <c r="AI37" s="62"/>
      <c r="AJ37" s="63"/>
      <c r="AK37" s="62"/>
      <c r="AL37" s="63"/>
      <c r="AM37" s="133">
        <f>D37+F37+H37+J37+L37+N37+P37+R37+T37+V37+X37+Z37+AB37+AD37+AF37+AH37+AJ37+AL37</f>
        <v>56.5</v>
      </c>
      <c r="AN37" s="62">
        <f t="shared" si="0"/>
        <v>5.65</v>
      </c>
    </row>
    <row r="38" spans="1:40" x14ac:dyDescent="0.2">
      <c r="A38" s="47">
        <v>12</v>
      </c>
      <c r="B38" s="42" t="s">
        <v>55</v>
      </c>
      <c r="C38" s="50">
        <v>107</v>
      </c>
      <c r="D38" s="137">
        <f>D39+D40</f>
        <v>5</v>
      </c>
      <c r="E38" s="50">
        <v>108</v>
      </c>
      <c r="F38" s="137">
        <f>F39+F40</f>
        <v>4</v>
      </c>
      <c r="G38" s="50"/>
      <c r="H38" s="60"/>
      <c r="I38" s="50">
        <v>102</v>
      </c>
      <c r="J38" s="137">
        <f>J39+J40</f>
        <v>7.5</v>
      </c>
      <c r="K38" s="50">
        <v>100</v>
      </c>
      <c r="L38" s="137">
        <f>L39+L40</f>
        <v>12</v>
      </c>
      <c r="M38" s="50">
        <v>98</v>
      </c>
      <c r="N38" s="137">
        <f>N39+N40</f>
        <v>6.5</v>
      </c>
      <c r="O38" s="50">
        <v>95</v>
      </c>
      <c r="P38" s="137">
        <f>P39+P40</f>
        <v>19</v>
      </c>
      <c r="Q38" s="50">
        <v>93</v>
      </c>
      <c r="R38" s="137">
        <f>R39+R40</f>
        <v>18</v>
      </c>
      <c r="S38" s="50">
        <v>105</v>
      </c>
      <c r="T38" s="137">
        <f>T39+T40</f>
        <v>10</v>
      </c>
      <c r="U38" s="50"/>
      <c r="V38" s="60"/>
      <c r="W38" s="50">
        <v>97</v>
      </c>
      <c r="X38" s="137">
        <f>X39+X40</f>
        <v>6.5</v>
      </c>
      <c r="Y38" s="50"/>
      <c r="Z38" s="60"/>
      <c r="AA38" s="50">
        <v>98</v>
      </c>
      <c r="AB38" s="137">
        <f>AB39+AB40</f>
        <v>11</v>
      </c>
      <c r="AC38" s="50">
        <v>102</v>
      </c>
      <c r="AD38" s="60">
        <f>AD39+AD40</f>
        <v>4</v>
      </c>
      <c r="AE38" s="50"/>
      <c r="AF38" s="60"/>
      <c r="AG38" s="50"/>
      <c r="AH38" s="60"/>
      <c r="AI38" s="50"/>
      <c r="AJ38" s="60"/>
      <c r="AK38" s="50"/>
      <c r="AL38" s="60"/>
      <c r="AM38" s="54">
        <f>D38+F38+H38+J38+L38+N38+P38+T38+V38+X38+Z38+AF38+R38+AB38+AH38+AJ38+AL38</f>
        <v>99.5</v>
      </c>
      <c r="AN38" s="43">
        <f t="shared" si="0"/>
        <v>9.4090909090909083</v>
      </c>
    </row>
    <row r="39" spans="1:40" outlineLevel="1" x14ac:dyDescent="0.2">
      <c r="B39" s="65" t="s">
        <v>37</v>
      </c>
      <c r="C39" s="50">
        <v>25</v>
      </c>
      <c r="D39" s="60">
        <v>2</v>
      </c>
      <c r="E39" s="50">
        <v>23</v>
      </c>
      <c r="F39" s="60">
        <v>2</v>
      </c>
      <c r="G39" s="50"/>
      <c r="H39" s="60"/>
      <c r="I39" s="50">
        <v>28</v>
      </c>
      <c r="J39" s="60">
        <v>3.5</v>
      </c>
      <c r="K39" s="50">
        <v>30</v>
      </c>
      <c r="L39" s="60">
        <v>4</v>
      </c>
      <c r="M39" s="50">
        <v>32</v>
      </c>
      <c r="N39" s="60">
        <v>3.5</v>
      </c>
      <c r="O39" s="50">
        <v>35</v>
      </c>
      <c r="P39" s="60">
        <v>9</v>
      </c>
      <c r="Q39" s="50">
        <v>38</v>
      </c>
      <c r="R39" s="60">
        <v>8</v>
      </c>
      <c r="S39" s="50">
        <v>25</v>
      </c>
      <c r="T39" s="60">
        <v>1</v>
      </c>
      <c r="U39" s="50"/>
      <c r="V39" s="60"/>
      <c r="W39" s="50">
        <v>33</v>
      </c>
      <c r="X39" s="60">
        <v>4.5</v>
      </c>
      <c r="Y39" s="50"/>
      <c r="Z39" s="60"/>
      <c r="AA39" s="50">
        <v>32</v>
      </c>
      <c r="AB39" s="60">
        <v>2</v>
      </c>
      <c r="AC39" s="50">
        <v>28</v>
      </c>
      <c r="AD39" s="60">
        <v>1</v>
      </c>
      <c r="AE39" s="50"/>
      <c r="AF39" s="60"/>
      <c r="AG39" s="50"/>
      <c r="AH39" s="60"/>
      <c r="AI39" s="50"/>
      <c r="AJ39" s="60"/>
      <c r="AK39" s="50"/>
      <c r="AL39" s="60"/>
      <c r="AM39" s="61">
        <f>D39+F39+H39+J39+L39+N39+P39+R39+T39+V39+X39+Z39+AB39+AD39+AF39+AH39+AJ39+AL39</f>
        <v>40.5</v>
      </c>
      <c r="AN39" s="43">
        <f t="shared" si="0"/>
        <v>3.6818181818181817</v>
      </c>
    </row>
    <row r="40" spans="1:40" outlineLevel="1" x14ac:dyDescent="0.2">
      <c r="A40" s="49"/>
      <c r="B40" s="66" t="s">
        <v>6</v>
      </c>
      <c r="C40" s="62">
        <v>-17</v>
      </c>
      <c r="D40" s="63">
        <v>3</v>
      </c>
      <c r="E40" s="62">
        <v>-25</v>
      </c>
      <c r="F40" s="63">
        <v>2</v>
      </c>
      <c r="G40" s="62"/>
      <c r="H40" s="63"/>
      <c r="I40" s="62">
        <v>-7</v>
      </c>
      <c r="J40" s="63">
        <v>4</v>
      </c>
      <c r="K40" s="62">
        <v>10</v>
      </c>
      <c r="L40" s="63">
        <v>8</v>
      </c>
      <c r="M40" s="62">
        <v>-22</v>
      </c>
      <c r="N40" s="63">
        <v>3</v>
      </c>
      <c r="O40" s="62">
        <v>33</v>
      </c>
      <c r="P40" s="63">
        <v>10</v>
      </c>
      <c r="Q40" s="62">
        <v>15</v>
      </c>
      <c r="R40" s="63">
        <v>10</v>
      </c>
      <c r="S40" s="62">
        <v>6</v>
      </c>
      <c r="T40" s="63">
        <v>9</v>
      </c>
      <c r="U40" s="62"/>
      <c r="V40" s="63"/>
      <c r="W40" s="62">
        <v>-9</v>
      </c>
      <c r="X40" s="63">
        <v>2</v>
      </c>
      <c r="Y40" s="62"/>
      <c r="Z40" s="63"/>
      <c r="AA40" s="62">
        <v>9</v>
      </c>
      <c r="AB40" s="63">
        <v>9</v>
      </c>
      <c r="AC40" s="62">
        <v>-21</v>
      </c>
      <c r="AD40" s="63">
        <v>3</v>
      </c>
      <c r="AE40" s="62"/>
      <c r="AF40" s="63"/>
      <c r="AG40" s="62"/>
      <c r="AH40" s="63"/>
      <c r="AI40" s="62"/>
      <c r="AJ40" s="63"/>
      <c r="AK40" s="62"/>
      <c r="AL40" s="63"/>
      <c r="AM40" s="133">
        <f>D40+F40+H40+J40+L40+N40+P40+R40+T40+V40+X40+Z40+AB40+AD40+AF40+AH40+AJ40+AL40</f>
        <v>63</v>
      </c>
      <c r="AN40" s="62">
        <f t="shared" si="0"/>
        <v>5.7272727272727275</v>
      </c>
    </row>
    <row r="41" spans="1:40" x14ac:dyDescent="0.2">
      <c r="A41" s="76">
        <v>13</v>
      </c>
      <c r="B41" s="68" t="s">
        <v>83</v>
      </c>
      <c r="C41" s="50"/>
      <c r="D41" s="60"/>
      <c r="E41" s="50">
        <v>92</v>
      </c>
      <c r="F41" s="60">
        <f>F42+F43</f>
        <v>10.5</v>
      </c>
      <c r="G41" s="50">
        <v>102</v>
      </c>
      <c r="H41" s="60">
        <f>H42+H43</f>
        <v>3</v>
      </c>
      <c r="I41" s="50">
        <v>100</v>
      </c>
      <c r="J41" s="60">
        <f>J42+J43</f>
        <v>5.5</v>
      </c>
      <c r="K41" s="50">
        <v>99</v>
      </c>
      <c r="L41" s="60">
        <f>L42+L43</f>
        <v>4</v>
      </c>
      <c r="M41" s="50"/>
      <c r="N41" s="60"/>
      <c r="O41" s="50"/>
      <c r="P41" s="60"/>
      <c r="Q41" s="50">
        <v>90</v>
      </c>
      <c r="R41" s="60">
        <f>R42+R43</f>
        <v>11</v>
      </c>
      <c r="S41" s="50">
        <v>96</v>
      </c>
      <c r="T41" s="60">
        <f>T42+T43</f>
        <v>5</v>
      </c>
      <c r="U41" s="50">
        <v>90</v>
      </c>
      <c r="V41" s="60">
        <f>V42+V43</f>
        <v>12.5</v>
      </c>
      <c r="W41" s="50"/>
      <c r="X41" s="60"/>
      <c r="Y41" s="50">
        <v>95</v>
      </c>
      <c r="Z41" s="60">
        <f>Z42+Z43</f>
        <v>15.5</v>
      </c>
      <c r="AA41" s="50"/>
      <c r="AB41" s="60"/>
      <c r="AC41" s="50"/>
      <c r="AD41" s="60"/>
      <c r="AE41" s="50"/>
      <c r="AF41" s="60"/>
      <c r="AG41" s="50"/>
      <c r="AH41" s="60"/>
      <c r="AI41" s="50">
        <v>93</v>
      </c>
      <c r="AJ41" s="60">
        <f>AJ42+AJ43</f>
        <v>16</v>
      </c>
      <c r="AK41" s="50"/>
      <c r="AL41" s="60"/>
      <c r="AM41" s="54">
        <f>D41+F41+H41+J41+L41+N41+P41+T41+V41+X41+Z41+AD41+AF41+R41+AB41+AH41+AJ41+AL41</f>
        <v>83</v>
      </c>
      <c r="AN41" s="43">
        <f t="shared" si="0"/>
        <v>9.2222222222222214</v>
      </c>
    </row>
    <row r="42" spans="1:40" outlineLevel="1" x14ac:dyDescent="0.2">
      <c r="A42" s="76"/>
      <c r="B42" s="65" t="s">
        <v>37</v>
      </c>
      <c r="C42" s="50"/>
      <c r="D42" s="60"/>
      <c r="E42" s="50">
        <v>35</v>
      </c>
      <c r="F42" s="60">
        <v>7.5</v>
      </c>
      <c r="G42" s="50">
        <v>26</v>
      </c>
      <c r="H42" s="60">
        <v>2</v>
      </c>
      <c r="I42" s="50">
        <v>28</v>
      </c>
      <c r="J42" s="60">
        <v>3.5</v>
      </c>
      <c r="K42" s="50">
        <v>28</v>
      </c>
      <c r="L42" s="60">
        <v>3</v>
      </c>
      <c r="M42" s="50"/>
      <c r="N42" s="60"/>
      <c r="O42" s="50"/>
      <c r="P42" s="60"/>
      <c r="Q42" s="50">
        <v>37</v>
      </c>
      <c r="R42" s="60">
        <v>7</v>
      </c>
      <c r="S42" s="50">
        <v>31</v>
      </c>
      <c r="T42" s="60">
        <v>4</v>
      </c>
      <c r="U42" s="50">
        <v>37</v>
      </c>
      <c r="V42" s="60">
        <v>6.5</v>
      </c>
      <c r="W42" s="50"/>
      <c r="X42" s="60"/>
      <c r="Y42" s="50">
        <v>32</v>
      </c>
      <c r="Z42" s="60">
        <v>3.5</v>
      </c>
      <c r="AA42" s="50"/>
      <c r="AB42" s="60"/>
      <c r="AC42" s="50"/>
      <c r="AD42" s="60"/>
      <c r="AE42" s="50"/>
      <c r="AF42" s="60"/>
      <c r="AG42" s="50"/>
      <c r="AH42" s="60"/>
      <c r="AI42" s="50">
        <v>34</v>
      </c>
      <c r="AJ42" s="60">
        <v>7</v>
      </c>
      <c r="AK42" s="50"/>
      <c r="AL42" s="60"/>
      <c r="AM42" s="61">
        <f>D42+F42+H42+J42+L42+N42+P42+R42+T42+V42+X42+Z42+AB42+AD42+AF42+AH42+AJ42+AL42</f>
        <v>44</v>
      </c>
      <c r="AN42" s="43">
        <f t="shared" si="0"/>
        <v>4.8888888888888893</v>
      </c>
    </row>
    <row r="43" spans="1:40" outlineLevel="1" x14ac:dyDescent="0.2">
      <c r="A43" s="49"/>
      <c r="B43" s="120" t="s">
        <v>6</v>
      </c>
      <c r="C43" s="62"/>
      <c r="D43" s="63"/>
      <c r="E43" s="62">
        <v>-18</v>
      </c>
      <c r="F43" s="63">
        <v>3</v>
      </c>
      <c r="G43" s="62">
        <v>-25</v>
      </c>
      <c r="H43" s="63">
        <v>1</v>
      </c>
      <c r="I43" s="62">
        <v>-38</v>
      </c>
      <c r="J43" s="63">
        <v>2</v>
      </c>
      <c r="K43" s="62">
        <v>-50</v>
      </c>
      <c r="L43" s="63">
        <v>1</v>
      </c>
      <c r="M43" s="62"/>
      <c r="N43" s="63"/>
      <c r="O43" s="62"/>
      <c r="P43" s="63"/>
      <c r="Q43" s="62">
        <v>-17</v>
      </c>
      <c r="R43" s="63">
        <v>4</v>
      </c>
      <c r="S43" s="62">
        <v>-36</v>
      </c>
      <c r="T43" s="63">
        <v>1</v>
      </c>
      <c r="U43" s="62">
        <v>-6</v>
      </c>
      <c r="V43" s="63">
        <v>6</v>
      </c>
      <c r="W43" s="62"/>
      <c r="X43" s="63"/>
      <c r="Y43" s="62">
        <v>29</v>
      </c>
      <c r="Z43" s="63">
        <v>12</v>
      </c>
      <c r="AA43" s="62"/>
      <c r="AB43" s="63"/>
      <c r="AC43" s="62"/>
      <c r="AD43" s="63"/>
      <c r="AE43" s="62"/>
      <c r="AF43" s="63"/>
      <c r="AG43" s="62"/>
      <c r="AH43" s="63"/>
      <c r="AI43" s="62">
        <v>15</v>
      </c>
      <c r="AJ43" s="63">
        <v>9</v>
      </c>
      <c r="AK43" s="62"/>
      <c r="AL43" s="63"/>
      <c r="AM43" s="133">
        <f>D43+F43+H43+J43+L43+N43+P43+R43+T43+V43+X43+Z43+AB43+AD43+AF43+AH43+AJ43+AL43</f>
        <v>39</v>
      </c>
      <c r="AN43" s="62">
        <f t="shared" si="0"/>
        <v>4.333333333333333</v>
      </c>
    </row>
    <row r="44" spans="1:40" x14ac:dyDescent="0.2">
      <c r="A44" s="90">
        <v>14</v>
      </c>
      <c r="B44" s="42" t="s">
        <v>28</v>
      </c>
      <c r="C44" s="50"/>
      <c r="D44" s="60"/>
      <c r="E44" s="50"/>
      <c r="F44" s="60"/>
      <c r="G44" s="50"/>
      <c r="H44" s="60"/>
      <c r="I44" s="50"/>
      <c r="J44" s="60"/>
      <c r="K44" s="50"/>
      <c r="L44" s="60"/>
      <c r="M44" s="50"/>
      <c r="N44" s="60"/>
      <c r="O44" s="50"/>
      <c r="P44" s="60"/>
      <c r="Q44" s="50"/>
      <c r="R44" s="60"/>
      <c r="S44" s="50"/>
      <c r="T44" s="60"/>
      <c r="U44" s="50"/>
      <c r="V44" s="60"/>
      <c r="W44" s="50"/>
      <c r="X44" s="60"/>
      <c r="Y44" s="50"/>
      <c r="Z44" s="60"/>
      <c r="AA44" s="50"/>
      <c r="AB44" s="60"/>
      <c r="AC44" s="50"/>
      <c r="AD44" s="60"/>
      <c r="AE44" s="50"/>
      <c r="AF44" s="60"/>
      <c r="AG44" s="50"/>
      <c r="AH44" s="60"/>
      <c r="AI44" s="50"/>
      <c r="AJ44" s="60"/>
      <c r="AK44" s="50"/>
      <c r="AL44" s="60"/>
      <c r="AM44" s="54">
        <f>D44+F44+H44+J44+L44+N44+P44+T44+V44+X44+Z44+AD44+AF44+R44+AB44+AH44+AJ44+AL44</f>
        <v>0</v>
      </c>
      <c r="AN44" s="43" t="e">
        <f t="shared" si="0"/>
        <v>#DIV/0!</v>
      </c>
    </row>
    <row r="45" spans="1:40" outlineLevel="1" x14ac:dyDescent="0.2">
      <c r="A45" s="90"/>
      <c r="B45" s="65" t="s">
        <v>37</v>
      </c>
      <c r="C45" s="50"/>
      <c r="D45" s="60"/>
      <c r="E45" s="50"/>
      <c r="F45" s="60"/>
      <c r="G45" s="50"/>
      <c r="H45" s="60"/>
      <c r="I45" s="50"/>
      <c r="J45" s="60"/>
      <c r="K45" s="50"/>
      <c r="L45" s="60"/>
      <c r="M45" s="50"/>
      <c r="N45" s="60"/>
      <c r="O45" s="50"/>
      <c r="P45" s="60"/>
      <c r="Q45" s="50"/>
      <c r="R45" s="60"/>
      <c r="S45" s="50"/>
      <c r="T45" s="60"/>
      <c r="U45" s="50"/>
      <c r="V45" s="60"/>
      <c r="W45" s="50"/>
      <c r="X45" s="60"/>
      <c r="Y45" s="50"/>
      <c r="Z45" s="60"/>
      <c r="AA45" s="50"/>
      <c r="AB45" s="60"/>
      <c r="AC45" s="50"/>
      <c r="AD45" s="60"/>
      <c r="AE45" s="50"/>
      <c r="AF45" s="60"/>
      <c r="AG45" s="50"/>
      <c r="AH45" s="60"/>
      <c r="AI45" s="50"/>
      <c r="AJ45" s="60"/>
      <c r="AK45" s="50"/>
      <c r="AL45" s="60"/>
      <c r="AM45" s="61">
        <f>D45+F45+H45+J45+L45+N45+P45+R45+T45+V45+X45+Z45+AB45+AD45+AF45+AH45+AJ45+AL45</f>
        <v>0</v>
      </c>
      <c r="AN45" s="43" t="e">
        <f t="shared" si="0"/>
        <v>#DIV/0!</v>
      </c>
    </row>
    <row r="46" spans="1:40" outlineLevel="1" x14ac:dyDescent="0.2">
      <c r="A46" s="49"/>
      <c r="B46" s="66" t="s">
        <v>6</v>
      </c>
      <c r="C46" s="62"/>
      <c r="D46" s="63"/>
      <c r="E46" s="62"/>
      <c r="F46" s="63"/>
      <c r="G46" s="62"/>
      <c r="H46" s="63"/>
      <c r="I46" s="62"/>
      <c r="J46" s="63"/>
      <c r="K46" s="62"/>
      <c r="L46" s="63"/>
      <c r="M46" s="62"/>
      <c r="N46" s="63"/>
      <c r="O46" s="62"/>
      <c r="P46" s="63"/>
      <c r="Q46" s="62"/>
      <c r="R46" s="63"/>
      <c r="S46" s="62"/>
      <c r="T46" s="63"/>
      <c r="U46" s="62"/>
      <c r="V46" s="63"/>
      <c r="W46" s="62"/>
      <c r="X46" s="63"/>
      <c r="Y46" s="62"/>
      <c r="Z46" s="63"/>
      <c r="AA46" s="62"/>
      <c r="AB46" s="63"/>
      <c r="AC46" s="62"/>
      <c r="AD46" s="63"/>
      <c r="AE46" s="62"/>
      <c r="AF46" s="63"/>
      <c r="AG46" s="62"/>
      <c r="AH46" s="63"/>
      <c r="AI46" s="62"/>
      <c r="AJ46" s="63"/>
      <c r="AK46" s="62"/>
      <c r="AL46" s="63"/>
      <c r="AM46" s="133">
        <f>D46+F46+H46+J46+L46+N46+P46+R46+T46+V46+X46+Z46+AB46+AD46+AF46+AH46+AJ46+AL46</f>
        <v>0</v>
      </c>
      <c r="AN46" s="62" t="e">
        <f t="shared" si="0"/>
        <v>#DIV/0!</v>
      </c>
    </row>
    <row r="47" spans="1:40" x14ac:dyDescent="0.2">
      <c r="A47" s="47">
        <v>15</v>
      </c>
      <c r="B47" s="42" t="s">
        <v>111</v>
      </c>
      <c r="C47" s="50"/>
      <c r="D47" s="60"/>
      <c r="E47" s="50"/>
      <c r="F47" s="60"/>
      <c r="G47" s="50"/>
      <c r="H47" s="60"/>
      <c r="I47" s="50"/>
      <c r="J47" s="60"/>
      <c r="K47" s="50"/>
      <c r="L47" s="60"/>
      <c r="M47" s="50"/>
      <c r="N47" s="60"/>
      <c r="O47" s="50"/>
      <c r="P47" s="60"/>
      <c r="Q47" s="50"/>
      <c r="R47" s="60"/>
      <c r="S47" s="50"/>
      <c r="T47" s="60"/>
      <c r="U47" s="50"/>
      <c r="V47" s="60"/>
      <c r="W47" s="50"/>
      <c r="X47" s="60"/>
      <c r="Y47" s="50"/>
      <c r="Z47" s="60"/>
      <c r="AA47" s="50"/>
      <c r="AB47" s="60"/>
      <c r="AC47" s="50"/>
      <c r="AD47" s="60"/>
      <c r="AE47" s="50"/>
      <c r="AF47" s="60"/>
      <c r="AG47" s="50"/>
      <c r="AH47" s="60"/>
      <c r="AI47" s="50"/>
      <c r="AJ47" s="60"/>
      <c r="AK47" s="50"/>
      <c r="AL47" s="60"/>
      <c r="AM47" s="54">
        <f>D47+F47+H47+J47+L47+N47+P47+T47+V47+X47+Z47+AD47+AF47+R47+AB47+AH47+AJ47+AL47</f>
        <v>0</v>
      </c>
      <c r="AN47" s="43" t="e">
        <f t="shared" si="0"/>
        <v>#DIV/0!</v>
      </c>
    </row>
    <row r="48" spans="1:40" outlineLevel="1" x14ac:dyDescent="0.2">
      <c r="B48" s="65" t="s">
        <v>37</v>
      </c>
      <c r="C48" s="50"/>
      <c r="D48" s="60"/>
      <c r="E48" s="50"/>
      <c r="F48" s="60"/>
      <c r="G48" s="50"/>
      <c r="H48" s="60"/>
      <c r="I48" s="50"/>
      <c r="J48" s="60"/>
      <c r="K48" s="50"/>
      <c r="L48" s="60"/>
      <c r="M48" s="50"/>
      <c r="N48" s="60"/>
      <c r="O48" s="50"/>
      <c r="P48" s="60"/>
      <c r="Q48" s="50"/>
      <c r="R48" s="60"/>
      <c r="S48" s="50"/>
      <c r="T48" s="60"/>
      <c r="U48" s="50"/>
      <c r="V48" s="60"/>
      <c r="W48" s="50"/>
      <c r="X48" s="60"/>
      <c r="Y48" s="50"/>
      <c r="Z48" s="60"/>
      <c r="AA48" s="50"/>
      <c r="AB48" s="60"/>
      <c r="AC48" s="50"/>
      <c r="AD48" s="60"/>
      <c r="AE48" s="50"/>
      <c r="AF48" s="60"/>
      <c r="AG48" s="50"/>
      <c r="AH48" s="60"/>
      <c r="AI48" s="50"/>
      <c r="AJ48" s="60"/>
      <c r="AK48" s="50"/>
      <c r="AL48" s="60"/>
      <c r="AM48" s="61">
        <f>D48+F48+H48+J48+L48+N48+P48+R48+T48+V48+X48+Z48+AB48+AD48+AF48+AH48+AJ48+AL48</f>
        <v>0</v>
      </c>
      <c r="AN48" s="43" t="e">
        <f t="shared" si="0"/>
        <v>#DIV/0!</v>
      </c>
    </row>
    <row r="49" spans="1:40" outlineLevel="1" x14ac:dyDescent="0.2">
      <c r="A49" s="49"/>
      <c r="B49" s="66" t="s">
        <v>6</v>
      </c>
      <c r="C49" s="62"/>
      <c r="D49" s="63"/>
      <c r="E49" s="62"/>
      <c r="F49" s="63"/>
      <c r="G49" s="62"/>
      <c r="H49" s="63"/>
      <c r="I49" s="62"/>
      <c r="J49" s="63"/>
      <c r="K49" s="62"/>
      <c r="L49" s="63"/>
      <c r="M49" s="62"/>
      <c r="N49" s="63"/>
      <c r="O49" s="62"/>
      <c r="P49" s="63"/>
      <c r="Q49" s="62"/>
      <c r="R49" s="63"/>
      <c r="S49" s="62"/>
      <c r="T49" s="63"/>
      <c r="U49" s="62"/>
      <c r="V49" s="63"/>
      <c r="W49" s="62"/>
      <c r="X49" s="63"/>
      <c r="Y49" s="62"/>
      <c r="Z49" s="63"/>
      <c r="AA49" s="62"/>
      <c r="AB49" s="63"/>
      <c r="AC49" s="62"/>
      <c r="AD49" s="63"/>
      <c r="AE49" s="62"/>
      <c r="AF49" s="63"/>
      <c r="AG49" s="62"/>
      <c r="AH49" s="63"/>
      <c r="AI49" s="62"/>
      <c r="AJ49" s="63"/>
      <c r="AK49" s="62"/>
      <c r="AL49" s="63"/>
      <c r="AM49" s="133">
        <f>D49+F49+H49+J49+L49+N49+P49+R49+T49+V49+X49+Z49+AB49+AD49+AF49+AH49+AJ49+AL49</f>
        <v>0</v>
      </c>
      <c r="AN49" s="62" t="e">
        <f t="shared" si="0"/>
        <v>#DIV/0!</v>
      </c>
    </row>
    <row r="50" spans="1:40" ht="5.25" customHeight="1" x14ac:dyDescent="0.2">
      <c r="B50" s="69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AM50" s="38"/>
    </row>
    <row r="51" spans="1:40" collapsed="1" x14ac:dyDescent="0.2">
      <c r="B51" s="22" t="s">
        <v>15</v>
      </c>
      <c r="D51" s="31">
        <f>AVERAGE(D5,D8,D11,D14,D17,D20,D23,D26,D29,D32,D35,D38,D41,D44,D47)</f>
        <v>13</v>
      </c>
      <c r="F51" s="31">
        <f>AVERAGE(F5,F8,F11,F14,F17,F20,F23,F26,F29,F32,F35,F38,F41,F44,F47)</f>
        <v>13</v>
      </c>
      <c r="H51" s="31">
        <f>AVERAGE(H5,H8,H11,H14,H17,H20,H23,H26,H29,H32,H35,H38,H41,H44,H47)</f>
        <v>13.555555555555555</v>
      </c>
      <c r="J51" s="31">
        <f>AVERAGE(J5,J8,J11,J14,J17,J20,J23,J26,J29,J32,J35,J38,J41,J44,J47)</f>
        <v>13</v>
      </c>
      <c r="L51" s="31">
        <f>AVERAGE(L5,L8,L11,L14,L17,L20,L23,L26,L29,L32,L35,L38,L41,L44,L47)</f>
        <v>13</v>
      </c>
      <c r="N51" s="31">
        <f>AVERAGE(N5,N8,N11,N14,N17,N20,N23,N26,N29,N32,N35,N38,N41,N44,N47)</f>
        <v>13</v>
      </c>
      <c r="P51" s="31">
        <f>AVERAGE(P5,P8,P11,P14,P17,P20,P23,P26,P29,P32,P35,P38,P41,P44,P47)</f>
        <v>14</v>
      </c>
      <c r="R51" s="31">
        <f>AVERAGE(R5,R8,R11,R14,R17,R20,R23,R26,R29,R32,R35,R38,R41,R44,R47)</f>
        <v>13.428571428571429</v>
      </c>
      <c r="T51" s="31">
        <f>AVERAGE(T5,T8,T11,T14,T17,T20,T23,T26,T29,T32,T35,T38,T41,T44,T47)</f>
        <v>13.681818181818182</v>
      </c>
      <c r="V51" s="31">
        <f>AVERAGE(V5,V8,V11,V14,V17,V20,V23,V26,V29,V32,V35,V38,V41,V44,V47)</f>
        <v>13.2</v>
      </c>
      <c r="X51" s="31">
        <f>AVERAGE(X5,X8,X11,X14,X17,X20,X23,X26,X29,X32,X35,X38,X41,X44,X47)</f>
        <v>13.454545454545455</v>
      </c>
      <c r="Z51" s="31">
        <f>AVERAGE(Z5,Z8,Z11,Z14,Z17,Z20,Z23,Z26,Z29,Z32,Z35,Z38,Z41,Z44,Z47)</f>
        <v>12.95</v>
      </c>
      <c r="AB51" s="31">
        <f>AVERAGE(AB5,AB8,AB11,AB14,AB17,AB20,AB23,AB26,AB29,AB32,AB35,AB38,AB41,AB44,AB47)</f>
        <v>13</v>
      </c>
      <c r="AD51" s="31">
        <f>AVERAGE(AD5,AD8,AD11,AD14,AD17,AD20,AD23,AD26,AD29,AD32,AD35,AD38,AD41,AD44,AD47)</f>
        <v>13.590909090909092</v>
      </c>
      <c r="AF51" s="31">
        <f>AVERAGE(AF5,AF8,AF11,AF14,AF17,AF20,AF23,AF26,AF29,AF32,AF35,AF38,AF41,AF44,AF47)</f>
        <v>13.428571428571429</v>
      </c>
      <c r="AH51" s="31">
        <f>AVERAGE(AH5,AH8,AH11,AH14,AH17,AH20,AH23,AH26,AH29,AH32,AH35,AH38,AH41,AH44,AH47)</f>
        <v>13</v>
      </c>
      <c r="AJ51" s="31">
        <f>AVERAGE(AJ5,AJ8,AJ11,AJ14,AJ17,AJ20,AJ23,AJ26,AJ29,AJ32,AJ35,AJ38,AJ41,AJ44,AJ47)</f>
        <v>13</v>
      </c>
      <c r="AL51" s="31">
        <f>AVERAGE(AL5,AL8,AL11,AL14,AL17,AL20,AL23,AL26,AL29,AL32,AL35,AL38,AL41,AL44,AL47)</f>
        <v>12.1</v>
      </c>
      <c r="AM51" s="31">
        <f>AVERAGE(AM5,AM8,AM11,AM14,AM17,AM20,AM23,AM26,AM29,AM32,AM35,AM38,AM41,AM44,AM47)</f>
        <v>126.83333333333333</v>
      </c>
    </row>
    <row r="52" spans="1:40" ht="6" customHeight="1" x14ac:dyDescent="0.2">
      <c r="B52" s="22"/>
      <c r="C52" s="7"/>
    </row>
    <row r="53" spans="1:40" x14ac:dyDescent="0.2">
      <c r="B53" t="s">
        <v>13</v>
      </c>
      <c r="C53" s="7"/>
      <c r="D53" s="32">
        <f>D29+D26+D23+D20+D17+D14+D11+D8+D5+D32+D35+D38+D41+D44+D47</f>
        <v>156</v>
      </c>
      <c r="F53" s="32">
        <f>F29+F26+F23+F20+F17+F14+F11+F8+F5+F32+F35+F38+F41+F44+F47</f>
        <v>156</v>
      </c>
      <c r="H53" s="32">
        <f>H29+H26+H23+H20+H17+H14+H11+H8+H5+H32+H35+H38+H41+H44+H47</f>
        <v>122</v>
      </c>
      <c r="J53" s="32">
        <f>J29+J26+J23+J20+J17+J14+J11+J8+J5+J32+J35+J38+J41+J44+J47</f>
        <v>156</v>
      </c>
      <c r="L53" s="32">
        <f>L29+L26+L23+L20+L17+L14+L11+L8+L5+L32+L35+L38+L41+L44+L47</f>
        <v>156</v>
      </c>
      <c r="N53" s="32">
        <f>N29+N26+N23+N20+N17+N14+N11+N8+N5+N32+N35+N38+N41+N44+N47</f>
        <v>104</v>
      </c>
      <c r="P53" s="32">
        <f>P29+P26+P23+P20+P17+P14+P11+P8+P5+P32+P35+P38+P41+P44+P47</f>
        <v>98</v>
      </c>
      <c r="R53" s="32">
        <f>R29+R26+R23+R20+R17+R14+R11+R8+R5+R32+R35+R38+R41+R44+R47</f>
        <v>94</v>
      </c>
      <c r="T53" s="32">
        <f>T29+T26+T23+T20+T17+T14+T11+T8+T5+T32+T35+T38+T41+T44+T47</f>
        <v>150.5</v>
      </c>
      <c r="V53" s="32">
        <f>V29+V26+V23+V20+V17+V14+V11+V8+V5+V32+V35+V38+V41+V44+V47</f>
        <v>66</v>
      </c>
      <c r="X53" s="32">
        <f>X29+X26+X23+X20+X17+X14+X11+X8+X5+X32+X35+X38+X41+X44+X47</f>
        <v>148</v>
      </c>
      <c r="Z53" s="32">
        <f>Z29+Z26+Z23+Z20+Z17+Z14+Z11+Z8+Z5+Z32+Z35+Z38+Z41+Z44+Z47</f>
        <v>129.5</v>
      </c>
      <c r="AB53" s="32">
        <f>AB29+AB26+AB23+AB20+AB17+AB14+AB11+AB8+AB5+AB32+AB35+AB38+AB41+AB44+AB47</f>
        <v>156</v>
      </c>
      <c r="AD53" s="32">
        <f>AD29+AD26+AD23+AD20+AD17+AD14+AD11+AD8+AD5+AD32+AD35+AD38+AD41+AD44+AD47</f>
        <v>149.5</v>
      </c>
      <c r="AF53" s="32">
        <f>AF29+AF26+AF23+AF20+AF17+AF14+AF11+AF8+AF5+AF32+AF35+AF38+AF41+AF44+AF47</f>
        <v>94</v>
      </c>
      <c r="AH53" s="32">
        <f>AH29+AH26+AH23+AH20+AH17+AH14+AH11+AH8+AH5+AH32+AH35+AH38+AH41+AH44+AH47</f>
        <v>104</v>
      </c>
      <c r="AJ53" s="32">
        <f>AJ29+AJ26+AJ23+AJ20+AJ17+AJ14+AJ11+AJ8+AJ5+AJ32+AJ35+AJ38+AJ41+AJ44+AJ47</f>
        <v>104</v>
      </c>
      <c r="AL53" s="32">
        <f>AL29+AL26+AL23+AL20+AL17+AL14+AL11+AL8+AL5+AL32+AL35+AL38+AL41+AL44+AL47</f>
        <v>121</v>
      </c>
      <c r="AM53" s="32">
        <f>AM29+AM26+AM23+AM20+AM17+AM14+AM11+AM8+AM5+AM32+AM35+AM38+AM41+AM44+AM47</f>
        <v>1902.5</v>
      </c>
    </row>
    <row r="54" spans="1:40" ht="9.75" customHeight="1" x14ac:dyDescent="0.2">
      <c r="B54"/>
      <c r="C54" s="7"/>
    </row>
    <row r="55" spans="1:40" x14ac:dyDescent="0.2">
      <c r="B55" s="3" t="s">
        <v>16</v>
      </c>
      <c r="C55" s="7"/>
    </row>
    <row r="56" spans="1:40" ht="6" customHeight="1" x14ac:dyDescent="0.2">
      <c r="C56" s="34"/>
    </row>
    <row r="57" spans="1:40" collapsed="1" x14ac:dyDescent="0.2">
      <c r="B57" s="123" t="s">
        <v>146</v>
      </c>
      <c r="C57" s="12"/>
      <c r="D57" s="12"/>
      <c r="E57" s="12"/>
      <c r="F57" s="12"/>
      <c r="G57" s="12">
        <v>90</v>
      </c>
      <c r="H57" s="60">
        <f>H58+H59</f>
        <v>15.5</v>
      </c>
      <c r="I57" s="12"/>
      <c r="J57" s="60"/>
      <c r="K57" s="12"/>
      <c r="L57" s="60"/>
      <c r="M57" s="12"/>
      <c r="N57" s="12"/>
      <c r="O57" s="12"/>
      <c r="P57" s="12"/>
      <c r="Q57" s="12"/>
      <c r="R57" s="60"/>
      <c r="S57" s="12"/>
      <c r="T57" s="12"/>
      <c r="U57" s="12"/>
      <c r="V57" s="60"/>
      <c r="W57" s="12"/>
      <c r="X57" s="12"/>
      <c r="Y57" s="12">
        <v>88</v>
      </c>
      <c r="Z57" s="60">
        <f>Z58+Z59</f>
        <v>8</v>
      </c>
      <c r="AA57" s="12"/>
      <c r="AB57" s="12"/>
      <c r="AC57" s="12"/>
      <c r="AD57" s="60"/>
      <c r="AE57" s="12"/>
      <c r="AF57" s="12"/>
      <c r="AG57" s="12"/>
      <c r="AH57" s="12"/>
      <c r="AI57" s="12"/>
      <c r="AJ57" s="12"/>
      <c r="AK57" s="12">
        <v>84</v>
      </c>
      <c r="AL57" s="60">
        <f>AL58+AL59</f>
        <v>18</v>
      </c>
      <c r="AM57" s="54">
        <f>D57+F57+H57+J57+L57+N57+P57+R57+T57+V57+X57+Z57+AB57+AD57+AF57+AH57+AJ57+AL57</f>
        <v>41.5</v>
      </c>
    </row>
    <row r="58" spans="1:40" hidden="1" outlineLevel="1" x14ac:dyDescent="0.2">
      <c r="B58" s="65" t="s">
        <v>37</v>
      </c>
      <c r="C58" s="12"/>
      <c r="D58" s="12"/>
      <c r="E58" s="12"/>
      <c r="F58" s="12"/>
      <c r="G58" s="12">
        <v>32</v>
      </c>
      <c r="H58" s="12">
        <v>8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>
        <v>33</v>
      </c>
      <c r="Z58" s="12">
        <v>5</v>
      </c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>
        <v>36</v>
      </c>
      <c r="AL58" s="12">
        <v>10</v>
      </c>
      <c r="AM58" s="61">
        <f>D58+F58+H58+J58+L58+N58+P58+R58+T58+V58++X58+Z58+AB58+AD58+AF58</f>
        <v>13</v>
      </c>
    </row>
    <row r="59" spans="1:40" hidden="1" outlineLevel="1" x14ac:dyDescent="0.2">
      <c r="B59" s="69" t="s">
        <v>6</v>
      </c>
      <c r="C59" s="12"/>
      <c r="D59" s="12"/>
      <c r="E59" s="12"/>
      <c r="F59" s="12"/>
      <c r="G59" s="81">
        <v>3</v>
      </c>
      <c r="H59" s="12">
        <v>7.5</v>
      </c>
      <c r="I59" s="81"/>
      <c r="J59" s="12"/>
      <c r="K59" s="81"/>
      <c r="L59" s="12"/>
      <c r="M59" s="12"/>
      <c r="N59" s="12"/>
      <c r="O59" s="12"/>
      <c r="P59" s="12"/>
      <c r="Q59" s="81"/>
      <c r="R59" s="12"/>
      <c r="S59" s="12"/>
      <c r="T59" s="12"/>
      <c r="U59" s="81"/>
      <c r="V59" s="12"/>
      <c r="W59" s="81"/>
      <c r="X59" s="12"/>
      <c r="Y59" s="81">
        <v>-23</v>
      </c>
      <c r="Z59" s="12">
        <v>3</v>
      </c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>
        <v>4</v>
      </c>
      <c r="AL59" s="12">
        <v>8</v>
      </c>
      <c r="AM59" s="61">
        <f>D59+F59+H59+J59+L59+N59+P59+R59+T59+V59+X59+Z59+AB59+AD59+AF59</f>
        <v>10.5</v>
      </c>
    </row>
    <row r="60" spans="1:40" collapsed="1" x14ac:dyDescent="0.2">
      <c r="B60" s="8" t="s">
        <v>169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>
        <v>87</v>
      </c>
      <c r="V60" s="60">
        <f>V61+V62</f>
        <v>12</v>
      </c>
      <c r="W60" s="12"/>
      <c r="X60" s="12"/>
      <c r="Y60" s="12"/>
      <c r="Z60" s="12"/>
      <c r="AA60" s="12"/>
      <c r="AB60" s="12"/>
      <c r="AC60" s="12"/>
      <c r="AD60" s="60"/>
      <c r="AE60" s="12"/>
      <c r="AF60" s="12"/>
      <c r="AG60" s="12"/>
      <c r="AH60" s="12"/>
      <c r="AI60" s="12"/>
      <c r="AJ60" s="12"/>
      <c r="AK60" s="12">
        <v>90</v>
      </c>
      <c r="AL60" s="60">
        <f>AL61+AL62</f>
        <v>17</v>
      </c>
      <c r="AM60" s="54">
        <f>D60+F60+H60+J60+L60+N60+P60+R60+T60+V60+X60+Z60+AB60+AD60+AF60+AH60+AJ60+AL60</f>
        <v>29</v>
      </c>
    </row>
    <row r="61" spans="1:40" hidden="1" outlineLevel="1" x14ac:dyDescent="0.2">
      <c r="B61" s="65" t="s">
        <v>37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>
        <v>39</v>
      </c>
      <c r="V61" s="12">
        <v>9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>
        <v>33</v>
      </c>
      <c r="AL61" s="12">
        <v>6</v>
      </c>
      <c r="AM61" s="61">
        <f>D61+F61+H61+J61+L61+N61+P61+R61+T61+V61++X61+Z61+AB61+AD61+AF61</f>
        <v>9</v>
      </c>
    </row>
    <row r="62" spans="1:40" hidden="1" outlineLevel="1" x14ac:dyDescent="0.2">
      <c r="B62" s="69" t="s">
        <v>6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81">
        <v>-36</v>
      </c>
      <c r="V62" s="12">
        <v>3</v>
      </c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>
        <v>15</v>
      </c>
      <c r="AL62" s="12">
        <v>11</v>
      </c>
      <c r="AM62" s="61">
        <f>D62+F62+H62+J62+L62+N62+P62+R62+T62+V62+X62+Z62+AB62+AD62+AF62</f>
        <v>3</v>
      </c>
    </row>
    <row r="63" spans="1:40" collapsed="1" x14ac:dyDescent="0.2">
      <c r="B63" s="123" t="s">
        <v>27</v>
      </c>
      <c r="C63" s="12"/>
      <c r="D63" s="12"/>
      <c r="E63" s="12"/>
      <c r="F63" s="60"/>
      <c r="G63" s="12">
        <v>102</v>
      </c>
      <c r="H63" s="60">
        <f>H64+H65</f>
        <v>15.5</v>
      </c>
      <c r="I63" s="12"/>
      <c r="J63" s="12"/>
      <c r="K63" s="12"/>
      <c r="L63" s="12"/>
      <c r="M63" s="12"/>
      <c r="N63" s="12"/>
      <c r="O63" s="12"/>
      <c r="P63" s="60"/>
      <c r="Q63" s="12">
        <v>98</v>
      </c>
      <c r="R63" s="60">
        <f>R64+R65</f>
        <v>10</v>
      </c>
      <c r="S63" s="12"/>
      <c r="T63" s="51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54">
        <f>D63+F63+H63+J63+L63+N63+P63+R63+T63+V63+X63+Z63+AB63+AD63+AF63</f>
        <v>25.5</v>
      </c>
    </row>
    <row r="64" spans="1:40" hidden="1" outlineLevel="1" x14ac:dyDescent="0.2">
      <c r="B64" s="65" t="s">
        <v>37</v>
      </c>
      <c r="C64" s="12"/>
      <c r="D64" s="12"/>
      <c r="E64" s="12"/>
      <c r="F64" s="51"/>
      <c r="G64" s="12">
        <v>32</v>
      </c>
      <c r="H64" s="12">
        <v>8</v>
      </c>
      <c r="I64" s="12"/>
      <c r="J64" s="12"/>
      <c r="K64" s="12"/>
      <c r="L64" s="12"/>
      <c r="M64" s="12"/>
      <c r="N64" s="12"/>
      <c r="O64" s="12"/>
      <c r="P64" s="12"/>
      <c r="Q64" s="12">
        <v>32</v>
      </c>
      <c r="R64" s="12">
        <v>3.5</v>
      </c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61">
        <f>D64+F64+H64+J64+L64+N64+P64+R64+T64+V64++X64+Z64+AB64+AD64+AF64</f>
        <v>11.5</v>
      </c>
    </row>
    <row r="65" spans="1:39" hidden="1" outlineLevel="1" x14ac:dyDescent="0.2">
      <c r="B65" s="69" t="s">
        <v>6</v>
      </c>
      <c r="C65" s="12"/>
      <c r="D65" s="12"/>
      <c r="E65" s="64"/>
      <c r="F65" s="12"/>
      <c r="G65" s="81">
        <v>3</v>
      </c>
      <c r="H65" s="12">
        <v>7.5</v>
      </c>
      <c r="I65" s="12"/>
      <c r="J65" s="12"/>
      <c r="K65" s="12"/>
      <c r="L65" s="12"/>
      <c r="M65" s="12"/>
      <c r="N65" s="12"/>
      <c r="O65" s="81"/>
      <c r="P65" s="12"/>
      <c r="Q65" s="81">
        <v>3</v>
      </c>
      <c r="R65" s="12">
        <v>6.5</v>
      </c>
      <c r="S65" s="81"/>
      <c r="T65" s="50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61">
        <f>D65+F65+H65+J65+L65+N65+P65+R65+T65+V65+X65+Z65+AB65+AD65+AF65</f>
        <v>14</v>
      </c>
    </row>
    <row r="66" spans="1:39" collapsed="1" x14ac:dyDescent="0.2">
      <c r="B66" s="123" t="s">
        <v>174</v>
      </c>
      <c r="C66" s="12"/>
      <c r="D66" s="60"/>
      <c r="E66" s="12"/>
      <c r="F66" s="12"/>
      <c r="G66" s="12"/>
      <c r="H66" s="60"/>
      <c r="I66" s="12"/>
      <c r="J66" s="12"/>
      <c r="K66" s="12"/>
      <c r="L66" s="12"/>
      <c r="M66" s="12"/>
      <c r="N66" s="12"/>
      <c r="O66" s="12"/>
      <c r="P66" s="12"/>
      <c r="Q66" s="12"/>
      <c r="R66" s="60"/>
      <c r="S66" s="12"/>
      <c r="T66" s="12"/>
      <c r="U66" s="12"/>
      <c r="V66" s="12"/>
      <c r="Y66" s="1">
        <v>68</v>
      </c>
      <c r="Z66" s="60">
        <f>Z67+Z68</f>
        <v>18.5</v>
      </c>
      <c r="AA66" s="12"/>
      <c r="AB66" s="60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54">
        <f>D66+F66+H66+J66+L66+N66+P66+R66+T66+V66+X66+Z66+AB66+AD66+AF66+AH66+AJ66+AL66</f>
        <v>18.5</v>
      </c>
    </row>
    <row r="67" spans="1:39" hidden="1" outlineLevel="1" x14ac:dyDescent="0.2">
      <c r="B67" s="65" t="s">
        <v>37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Y67" s="1">
        <v>39</v>
      </c>
      <c r="Z67" s="1">
        <v>10.5</v>
      </c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61">
        <f>D67+F67+H67+J67+L67+N67+P67+R67+T67+V67++X67+Z67+AB67+AD67+AF67</f>
        <v>10.5</v>
      </c>
    </row>
    <row r="68" spans="1:39" hidden="1" outlineLevel="1" x14ac:dyDescent="0.2">
      <c r="B68" s="69" t="s">
        <v>6</v>
      </c>
      <c r="C68" s="64"/>
      <c r="D68" s="12"/>
      <c r="E68" s="12"/>
      <c r="F68" s="12"/>
      <c r="G68" s="64"/>
      <c r="H68" s="12"/>
      <c r="I68" s="12"/>
      <c r="J68" s="12"/>
      <c r="K68" s="12"/>
      <c r="L68" s="12"/>
      <c r="M68" s="12"/>
      <c r="N68" s="12"/>
      <c r="O68" s="12"/>
      <c r="P68" s="12"/>
      <c r="Q68" s="64"/>
      <c r="R68" s="12"/>
      <c r="S68" s="50"/>
      <c r="T68" s="50"/>
      <c r="U68" s="12"/>
      <c r="V68" s="12"/>
      <c r="W68" s="12"/>
      <c r="X68" s="12"/>
      <c r="Y68" s="81">
        <v>8</v>
      </c>
      <c r="Z68" s="1">
        <v>8</v>
      </c>
      <c r="AA68" s="81"/>
      <c r="AB68" s="12"/>
      <c r="AC68" s="12"/>
      <c r="AD68" s="12"/>
      <c r="AE68" s="81"/>
      <c r="AF68" s="12"/>
      <c r="AG68" s="81"/>
      <c r="AH68" s="12"/>
      <c r="AI68" s="81"/>
      <c r="AJ68" s="12"/>
      <c r="AK68" s="81"/>
      <c r="AL68" s="12"/>
      <c r="AM68" s="61">
        <f>D68+F68+H68+J68+L68+N68+P68+R68+T68+V68+X68+Z68+AB68+AD68+AF68</f>
        <v>8</v>
      </c>
    </row>
    <row r="69" spans="1:39" collapsed="1" x14ac:dyDescent="0.2">
      <c r="B69" s="69" t="s">
        <v>151</v>
      </c>
      <c r="C69" s="12"/>
      <c r="D69" s="12"/>
      <c r="E69" s="12"/>
      <c r="F69" s="60"/>
      <c r="G69" s="50"/>
      <c r="H69" s="60"/>
      <c r="I69" s="12"/>
      <c r="J69" s="12"/>
      <c r="K69" s="12"/>
      <c r="L69" s="12"/>
      <c r="M69" s="12"/>
      <c r="N69" s="60"/>
      <c r="O69" s="12">
        <v>98</v>
      </c>
      <c r="P69" s="60">
        <f>P70+P71</f>
        <v>6</v>
      </c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60"/>
      <c r="AC69" s="12"/>
      <c r="AD69" s="12"/>
      <c r="AE69" s="12">
        <v>96</v>
      </c>
      <c r="AF69" s="60">
        <f>AF70+AF71</f>
        <v>10</v>
      </c>
      <c r="AG69" s="12"/>
      <c r="AH69" s="12"/>
      <c r="AI69" s="12"/>
      <c r="AJ69" s="12"/>
      <c r="AK69" s="12"/>
      <c r="AL69" s="12"/>
      <c r="AM69" s="54">
        <f>D69+F69+H69+J69+L69+N69+P69+R69+T69+V69+X69+Z69+AB69+AD69+AF69+AH69+AJ69+AL69</f>
        <v>16</v>
      </c>
    </row>
    <row r="70" spans="1:39" hidden="1" outlineLevel="1" x14ac:dyDescent="0.2">
      <c r="B70" s="65" t="s">
        <v>37</v>
      </c>
      <c r="C70" s="12"/>
      <c r="D70" s="12"/>
      <c r="E70" s="12"/>
      <c r="F70" s="12"/>
      <c r="G70" s="50"/>
      <c r="H70" s="12"/>
      <c r="I70" s="12"/>
      <c r="J70" s="12"/>
      <c r="K70" s="12"/>
      <c r="L70" s="12"/>
      <c r="M70" s="12"/>
      <c r="N70" s="12"/>
      <c r="O70" s="12">
        <v>24</v>
      </c>
      <c r="P70" s="12">
        <v>3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>
        <v>28</v>
      </c>
      <c r="AF70" s="12">
        <v>3</v>
      </c>
      <c r="AG70" s="12"/>
      <c r="AH70" s="12"/>
      <c r="AI70" s="12"/>
      <c r="AJ70" s="12"/>
      <c r="AK70" s="12"/>
      <c r="AL70" s="12"/>
      <c r="AM70" s="61">
        <f>D70+F70+H70+J70+L70+N70+P70+R70+T70+V70++X70+Z70+AB70+AD70+AF70</f>
        <v>6</v>
      </c>
    </row>
    <row r="71" spans="1:39" hidden="1" outlineLevel="1" x14ac:dyDescent="0.2">
      <c r="B71" s="69" t="s">
        <v>6</v>
      </c>
      <c r="C71" s="12"/>
      <c r="D71" s="12"/>
      <c r="E71" s="64"/>
      <c r="F71" s="60"/>
      <c r="G71" s="81"/>
      <c r="H71" s="12"/>
      <c r="I71" s="81"/>
      <c r="J71" s="12"/>
      <c r="K71" s="12"/>
      <c r="L71" s="12"/>
      <c r="M71" s="64"/>
      <c r="N71" s="12"/>
      <c r="O71" s="81">
        <v>-27</v>
      </c>
      <c r="P71" s="12">
        <v>3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81"/>
      <c r="AB71" s="12"/>
      <c r="AC71" s="12"/>
      <c r="AD71" s="12"/>
      <c r="AE71" s="81">
        <v>12</v>
      </c>
      <c r="AF71" s="12">
        <v>7</v>
      </c>
      <c r="AG71" s="12"/>
      <c r="AH71" s="12"/>
      <c r="AI71" s="12"/>
      <c r="AJ71" s="12"/>
      <c r="AK71" s="12"/>
      <c r="AL71" s="12"/>
      <c r="AM71" s="61">
        <f>D71+F71+H71+J71+L71+N71+P71+R71+T71+V71+X71+Z71+AB71+AD71+AF71</f>
        <v>10</v>
      </c>
    </row>
    <row r="72" spans="1:39" collapsed="1" x14ac:dyDescent="0.2">
      <c r="B72" s="69" t="s">
        <v>170</v>
      </c>
      <c r="C72" s="12"/>
      <c r="D72" s="12"/>
      <c r="E72" s="12"/>
      <c r="F72" s="60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>
        <v>87</v>
      </c>
      <c r="V72" s="60">
        <f>V73+V74</f>
        <v>13</v>
      </c>
      <c r="W72" s="12"/>
      <c r="X72" s="51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54">
        <f>D72+F72+H72+J72+L72+N72+P72+R72+T72+V72+X72+Z72+AB72+AD72+AF72</f>
        <v>13</v>
      </c>
    </row>
    <row r="73" spans="1:39" hidden="1" outlineLevel="1" x14ac:dyDescent="0.2">
      <c r="B73" s="65" t="s">
        <v>37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>
        <v>35</v>
      </c>
      <c r="V73" s="12">
        <v>5</v>
      </c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61">
        <f>D73+F73+H73+J73+L73+N73+P73+R73+T73+V73++X73+Z73+AB73+AD73+AF73</f>
        <v>5</v>
      </c>
    </row>
    <row r="74" spans="1:39" hidden="1" outlineLevel="1" x14ac:dyDescent="0.2">
      <c r="B74" s="69" t="s">
        <v>6</v>
      </c>
      <c r="C74" s="12"/>
      <c r="D74" s="12"/>
      <c r="E74" s="64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81">
        <v>13</v>
      </c>
      <c r="V74" s="12">
        <v>8</v>
      </c>
      <c r="W74" s="81"/>
      <c r="X74" s="12"/>
      <c r="Y74" s="12"/>
      <c r="Z74" s="12"/>
      <c r="AA74" s="12"/>
      <c r="AB74" s="12"/>
      <c r="AC74" s="12"/>
      <c r="AD74" s="12"/>
      <c r="AE74" s="81"/>
      <c r="AF74" s="12"/>
      <c r="AG74" s="81"/>
      <c r="AH74" s="12"/>
      <c r="AI74" s="81"/>
      <c r="AJ74" s="12"/>
      <c r="AK74" s="81"/>
      <c r="AL74" s="12"/>
      <c r="AM74" s="61">
        <f>D74+F74+H74+J74+L74+N74+P74+R74+T74+V74+X74+Z74+AB74+AD74+AF74</f>
        <v>8</v>
      </c>
    </row>
    <row r="75" spans="1:39" collapsed="1" x14ac:dyDescent="0.2">
      <c r="B75" s="69" t="s">
        <v>171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>
        <v>77</v>
      </c>
      <c r="V75" s="60">
        <f>V76+V77</f>
        <v>13</v>
      </c>
      <c r="W75" s="12"/>
      <c r="X75" s="12"/>
      <c r="Y75" s="12"/>
      <c r="Z75" s="12"/>
      <c r="AA75" s="12"/>
      <c r="AB75" s="12"/>
      <c r="AC75" s="12"/>
      <c r="AD75" s="60"/>
      <c r="AE75" s="12"/>
      <c r="AF75" s="12"/>
      <c r="AG75" s="12"/>
      <c r="AH75" s="12"/>
      <c r="AI75" s="12"/>
      <c r="AJ75" s="12"/>
      <c r="AK75" s="12"/>
      <c r="AL75" s="12"/>
      <c r="AM75" s="54">
        <f>D75+F75+H75+J75+L75+N75+P75+R75+T75+V75+X75+Z75+AB75+AD75+AF75</f>
        <v>13</v>
      </c>
    </row>
    <row r="76" spans="1:39" hidden="1" outlineLevel="1" x14ac:dyDescent="0.2">
      <c r="B76" s="65" t="s">
        <v>37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>
        <v>34</v>
      </c>
      <c r="V76" s="12">
        <v>4</v>
      </c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61">
        <f>D76+F76+H76+J76+L76+N76+P76+R76+T76+V76++X76+Z76+AB76+AD76+AF76</f>
        <v>4</v>
      </c>
    </row>
    <row r="77" spans="1:39" hidden="1" outlineLevel="1" x14ac:dyDescent="0.2">
      <c r="B77" s="69" t="s">
        <v>6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50"/>
      <c r="R77" s="50"/>
      <c r="S77" s="12"/>
      <c r="T77" s="12"/>
      <c r="U77" s="81">
        <v>14</v>
      </c>
      <c r="V77" s="12">
        <v>9</v>
      </c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61">
        <f>D77+F77+H77+J77+L77+N77+P77+R77+T77+V77+X77+Z77+AB77+AD77+AF77</f>
        <v>9</v>
      </c>
    </row>
    <row r="78" spans="1:39" collapsed="1" x14ac:dyDescent="0.2">
      <c r="A78" s="53"/>
      <c r="B78" s="123" t="s">
        <v>76</v>
      </c>
      <c r="C78" s="12"/>
      <c r="D78" s="60"/>
      <c r="E78" s="12"/>
      <c r="F78" s="12"/>
      <c r="G78" s="12">
        <v>93</v>
      </c>
      <c r="H78" s="60">
        <f>H79+H80</f>
        <v>3</v>
      </c>
      <c r="I78" s="12"/>
      <c r="J78" s="12"/>
      <c r="K78" s="12"/>
      <c r="L78" s="12"/>
      <c r="M78" s="12"/>
      <c r="N78" s="12"/>
      <c r="O78" s="12"/>
      <c r="P78" s="12"/>
      <c r="Q78" s="12"/>
      <c r="R78" s="60"/>
      <c r="S78" s="12"/>
      <c r="T78" s="12"/>
      <c r="U78" s="12"/>
      <c r="V78" s="12"/>
      <c r="W78" s="12"/>
      <c r="X78" s="12"/>
      <c r="Y78" s="12"/>
      <c r="Z78" s="12"/>
      <c r="AA78" s="12"/>
      <c r="AB78" s="60"/>
      <c r="AC78" s="12">
        <v>78</v>
      </c>
      <c r="AD78" s="60">
        <f>AD79+AD80</f>
        <v>6.5</v>
      </c>
      <c r="AE78" s="12"/>
      <c r="AF78" s="12"/>
      <c r="AG78" s="12"/>
      <c r="AH78" s="12"/>
      <c r="AI78" s="12"/>
      <c r="AJ78" s="12"/>
      <c r="AK78" s="12"/>
      <c r="AL78" s="12"/>
      <c r="AM78" s="54">
        <f>D78+F78+H78+J78+L78+N78+P78+R78+T78+V78+X78+Z78+AB78+AD78+AF78+AH78+AJ78+AL78</f>
        <v>9.5</v>
      </c>
    </row>
    <row r="79" spans="1:39" hidden="1" outlineLevel="1" x14ac:dyDescent="0.2">
      <c r="A79" s="53"/>
      <c r="B79" s="65" t="s">
        <v>37</v>
      </c>
      <c r="C79" s="12"/>
      <c r="D79" s="12"/>
      <c r="E79" s="12"/>
      <c r="F79" s="12"/>
      <c r="G79" s="12">
        <v>21</v>
      </c>
      <c r="H79" s="12">
        <v>1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>
        <v>33</v>
      </c>
      <c r="AD79" s="12">
        <v>4.5</v>
      </c>
      <c r="AE79" s="12"/>
      <c r="AF79" s="12"/>
      <c r="AG79" s="12"/>
      <c r="AH79" s="12"/>
      <c r="AI79" s="12"/>
      <c r="AJ79" s="12"/>
      <c r="AK79" s="12"/>
      <c r="AL79" s="12"/>
      <c r="AM79" s="61">
        <f>D79+F79+H79+J79+L79+N79+P79+R79+T79+V79++X79+Z79+AB79+AD79+AF79</f>
        <v>5.5</v>
      </c>
    </row>
    <row r="80" spans="1:39" hidden="1" outlineLevel="1" x14ac:dyDescent="0.2">
      <c r="A80" s="53"/>
      <c r="B80" s="69" t="s">
        <v>6</v>
      </c>
      <c r="C80" s="64"/>
      <c r="D80" s="12"/>
      <c r="E80" s="12"/>
      <c r="F80" s="12"/>
      <c r="G80" s="64">
        <v>-14</v>
      </c>
      <c r="H80" s="12">
        <v>2</v>
      </c>
      <c r="I80" s="12"/>
      <c r="J80" s="12"/>
      <c r="K80" s="12"/>
      <c r="L80" s="12"/>
      <c r="M80" s="12"/>
      <c r="N80" s="12"/>
      <c r="O80" s="12"/>
      <c r="P80" s="12"/>
      <c r="Q80" s="64"/>
      <c r="R80" s="12"/>
      <c r="S80" s="50"/>
      <c r="T80" s="50"/>
      <c r="U80" s="12"/>
      <c r="V80" s="12"/>
      <c r="W80" s="12"/>
      <c r="X80" s="12"/>
      <c r="Y80" s="81"/>
      <c r="Z80" s="12"/>
      <c r="AA80" s="81"/>
      <c r="AB80" s="12"/>
      <c r="AC80" s="81">
        <v>-23</v>
      </c>
      <c r="AD80" s="12">
        <v>2</v>
      </c>
      <c r="AE80" s="81"/>
      <c r="AF80" s="12"/>
      <c r="AG80" s="81"/>
      <c r="AH80" s="12"/>
      <c r="AI80" s="81"/>
      <c r="AJ80" s="12"/>
      <c r="AK80" s="81"/>
      <c r="AL80" s="12"/>
      <c r="AM80" s="61">
        <f>D80+F80+H80+J80+L80+N80+P80+R80+T80+V80+X80+Z80+AB80+AD80+AF80</f>
        <v>4</v>
      </c>
    </row>
    <row r="81" spans="1:39" collapsed="1" x14ac:dyDescent="0.2">
      <c r="A81" s="136"/>
      <c r="B81" s="123" t="s">
        <v>173</v>
      </c>
      <c r="C81" s="12"/>
      <c r="D81" s="60"/>
      <c r="E81" s="12"/>
      <c r="F81" s="12"/>
      <c r="G81" s="12"/>
      <c r="H81" s="60"/>
      <c r="I81" s="12"/>
      <c r="J81" s="12"/>
      <c r="K81" s="12"/>
      <c r="L81" s="12"/>
      <c r="M81" s="12"/>
      <c r="N81" s="12"/>
      <c r="O81" s="12"/>
      <c r="P81" s="12"/>
      <c r="Q81" s="12"/>
      <c r="R81" s="60"/>
      <c r="S81" s="12"/>
      <c r="T81" s="12"/>
      <c r="U81" s="12"/>
      <c r="V81" s="12"/>
      <c r="W81" s="12">
        <v>95</v>
      </c>
      <c r="X81" s="60">
        <f>X82+X83</f>
        <v>8</v>
      </c>
      <c r="AA81" s="12"/>
      <c r="AB81" s="60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54">
        <f>D81+F81+H81+J81+L81+N81+P81+R81+T81+V81+X81+Z81+AB81+AD81+AF81+AH81+AJ81+AL81</f>
        <v>8</v>
      </c>
    </row>
    <row r="82" spans="1:39" hidden="1" outlineLevel="1" x14ac:dyDescent="0.2">
      <c r="A82" s="136"/>
      <c r="B82" s="65" t="s">
        <v>37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>
        <v>31</v>
      </c>
      <c r="X82" s="1">
        <v>2</v>
      </c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61">
        <f>D82+F82+H82+J82+L82+N82+P82+R82+T82+V82++X82+Z82+AB82+AD82+AF82</f>
        <v>2</v>
      </c>
    </row>
    <row r="83" spans="1:39" hidden="1" outlineLevel="1" x14ac:dyDescent="0.2">
      <c r="A83" s="136"/>
      <c r="B83" s="69" t="s">
        <v>6</v>
      </c>
      <c r="C83" s="64"/>
      <c r="D83" s="12"/>
      <c r="E83" s="12"/>
      <c r="F83" s="12"/>
      <c r="G83" s="64"/>
      <c r="H83" s="12"/>
      <c r="I83" s="12"/>
      <c r="J83" s="12"/>
      <c r="K83" s="12"/>
      <c r="L83" s="12"/>
      <c r="M83" s="12"/>
      <c r="N83" s="12"/>
      <c r="O83" s="12"/>
      <c r="P83" s="12"/>
      <c r="Q83" s="64"/>
      <c r="R83" s="12"/>
      <c r="S83" s="50"/>
      <c r="T83" s="50"/>
      <c r="U83" s="12"/>
      <c r="V83" s="12"/>
      <c r="W83" s="81">
        <v>-3</v>
      </c>
      <c r="X83" s="1">
        <v>6</v>
      </c>
      <c r="AA83" s="81"/>
      <c r="AB83" s="12"/>
      <c r="AC83" s="12"/>
      <c r="AD83" s="12"/>
      <c r="AE83" s="81"/>
      <c r="AF83" s="12"/>
      <c r="AG83" s="81"/>
      <c r="AH83" s="12"/>
      <c r="AI83" s="81"/>
      <c r="AJ83" s="12"/>
      <c r="AK83" s="81"/>
      <c r="AL83" s="12"/>
      <c r="AM83" s="61">
        <f>D83+F83+H83+J83+L83+N83+P83+R83+T83+V83+X83+Z83+AB83+AD83+AF83</f>
        <v>6</v>
      </c>
    </row>
    <row r="84" spans="1:39" collapsed="1" x14ac:dyDescent="0.2">
      <c r="A84" s="136"/>
      <c r="B84" s="68" t="s">
        <v>161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>
        <v>95</v>
      </c>
      <c r="T84" s="60">
        <f>T85+T86</f>
        <v>5.5</v>
      </c>
      <c r="U84" s="12"/>
      <c r="V84" s="60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54">
        <f>D84+F84+H84+J84+L84+N84+P84+R84+T84+V84+X84+Z84+AB84+AD84+AF84+AH84+AJ84+AL84</f>
        <v>5.5</v>
      </c>
    </row>
    <row r="85" spans="1:39" hidden="1" outlineLevel="1" x14ac:dyDescent="0.2">
      <c r="A85" s="136"/>
      <c r="B85" s="65" t="s">
        <v>37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>
        <v>30</v>
      </c>
      <c r="T85" s="12">
        <v>2.5</v>
      </c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61">
        <f>D85+F85+H85+J85+L85+N85+P85+R85+T85+V85++X85+Z85+AB85+AD85+AF85</f>
        <v>2.5</v>
      </c>
    </row>
    <row r="86" spans="1:39" hidden="1" outlineLevel="1" x14ac:dyDescent="0.2">
      <c r="A86" s="136"/>
      <c r="B86" s="6" t="s">
        <v>6</v>
      </c>
      <c r="C86" s="12"/>
      <c r="D86" s="12"/>
      <c r="E86" s="64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81">
        <v>-7</v>
      </c>
      <c r="T86" s="12">
        <v>3</v>
      </c>
      <c r="U86" s="119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61">
        <f>D86+F86+H86+J86+L86+N86+P86+R86+T86+V86+X86+Z86+AB86+AD86+AF86</f>
        <v>3</v>
      </c>
    </row>
    <row r="87" spans="1:39" collapsed="1" x14ac:dyDescent="0.2">
      <c r="A87" s="140"/>
      <c r="B87" s="123" t="s">
        <v>113</v>
      </c>
      <c r="C87" s="12"/>
      <c r="D87" s="60"/>
      <c r="E87" s="12"/>
      <c r="F87" s="12"/>
      <c r="G87" s="12">
        <v>93</v>
      </c>
      <c r="H87" s="60">
        <f>H88+H89</f>
        <v>3</v>
      </c>
      <c r="I87" s="12"/>
      <c r="J87" s="12"/>
      <c r="K87" s="12"/>
      <c r="L87" s="12"/>
      <c r="M87" s="12"/>
      <c r="N87" s="12"/>
      <c r="O87" s="12"/>
      <c r="P87" s="12"/>
      <c r="Q87" s="12"/>
      <c r="R87" s="60"/>
      <c r="S87" s="12"/>
      <c r="T87" s="12"/>
      <c r="U87" s="12"/>
      <c r="V87" s="12"/>
      <c r="W87" s="12"/>
      <c r="X87" s="12"/>
      <c r="Y87" s="12"/>
      <c r="Z87" s="12"/>
      <c r="AA87" s="12"/>
      <c r="AB87" s="60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54">
        <f>D87+F87+H87+J87+L87+N87+P87+R87+T87+V87+X87+Z87+AB87+AD87+AF87+AH87+AJ87+AL87</f>
        <v>3</v>
      </c>
    </row>
    <row r="88" spans="1:39" hidden="1" outlineLevel="1" x14ac:dyDescent="0.2">
      <c r="A88" s="140"/>
      <c r="B88" s="65" t="s">
        <v>37</v>
      </c>
      <c r="C88" s="12"/>
      <c r="D88" s="12"/>
      <c r="E88" s="12"/>
      <c r="F88" s="12"/>
      <c r="G88" s="12">
        <v>21</v>
      </c>
      <c r="H88" s="12">
        <v>1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61">
        <f>D88+F88+H88+J88+L88+N88+P88+R88+T88+V88++X88+Z88+AB88+AD88+AF88</f>
        <v>1</v>
      </c>
    </row>
    <row r="89" spans="1:39" hidden="1" outlineLevel="1" x14ac:dyDescent="0.2">
      <c r="A89" s="140"/>
      <c r="B89" s="69" t="s">
        <v>6</v>
      </c>
      <c r="C89" s="64"/>
      <c r="D89" s="12"/>
      <c r="E89" s="12"/>
      <c r="F89" s="12"/>
      <c r="G89" s="64">
        <v>-14</v>
      </c>
      <c r="H89" s="12">
        <v>2</v>
      </c>
      <c r="I89" s="12"/>
      <c r="J89" s="12"/>
      <c r="K89" s="12"/>
      <c r="L89" s="12"/>
      <c r="M89" s="12"/>
      <c r="N89" s="12"/>
      <c r="O89" s="12"/>
      <c r="P89" s="12"/>
      <c r="Q89" s="64"/>
      <c r="R89" s="12"/>
      <c r="S89" s="50"/>
      <c r="T89" s="50"/>
      <c r="U89" s="12"/>
      <c r="V89" s="12"/>
      <c r="W89" s="12"/>
      <c r="X89" s="12"/>
      <c r="Y89" s="81"/>
      <c r="Z89" s="12"/>
      <c r="AA89" s="81"/>
      <c r="AB89" s="12"/>
      <c r="AC89" s="12"/>
      <c r="AD89" s="12"/>
      <c r="AE89" s="81"/>
      <c r="AF89" s="12"/>
      <c r="AG89" s="81"/>
      <c r="AH89" s="12"/>
      <c r="AI89" s="81"/>
      <c r="AJ89" s="12"/>
      <c r="AK89" s="81"/>
      <c r="AL89" s="12"/>
      <c r="AM89" s="61">
        <f>D89+F89+H89+J89+L89+N89+P89+R89+T89+V89+X89+Z89+AB89+AD89+AF89</f>
        <v>2</v>
      </c>
    </row>
  </sheetData>
  <sortState ref="B5:AN49">
    <sortCondition descending="1" ref="AM5:AM49"/>
  </sortState>
  <dataConsolidate/>
  <mergeCells count="72">
    <mergeCell ref="AK1:AL1"/>
    <mergeCell ref="AK2:AL2"/>
    <mergeCell ref="AK4:AL4"/>
    <mergeCell ref="AG1:AH1"/>
    <mergeCell ref="AG2:AH2"/>
    <mergeCell ref="AG4:AH4"/>
    <mergeCell ref="AI1:AJ1"/>
    <mergeCell ref="AI2:AJ2"/>
    <mergeCell ref="AI4:AJ4"/>
    <mergeCell ref="AI3:AJ3"/>
    <mergeCell ref="AK3:AL3"/>
    <mergeCell ref="AE4:AF4"/>
    <mergeCell ref="AE1:AF1"/>
    <mergeCell ref="AE2:AF2"/>
    <mergeCell ref="W4:X4"/>
    <mergeCell ref="Y4:Z4"/>
    <mergeCell ref="AA4:AB4"/>
    <mergeCell ref="AC4:AD4"/>
    <mergeCell ref="AC1:AD1"/>
    <mergeCell ref="AC2:AD2"/>
    <mergeCell ref="AA2:AB2"/>
    <mergeCell ref="Y2:Z2"/>
    <mergeCell ref="W2:X2"/>
    <mergeCell ref="W1:X1"/>
    <mergeCell ref="Y1:Z1"/>
    <mergeCell ref="AA1:AB1"/>
    <mergeCell ref="W3:X3"/>
    <mergeCell ref="M4:N4"/>
    <mergeCell ref="O4:P4"/>
    <mergeCell ref="Q4:R4"/>
    <mergeCell ref="S4:T4"/>
    <mergeCell ref="U4:V4"/>
    <mergeCell ref="C3:D3"/>
    <mergeCell ref="E3:F3"/>
    <mergeCell ref="G3:H3"/>
    <mergeCell ref="I4:J4"/>
    <mergeCell ref="K4:L4"/>
    <mergeCell ref="C4:D4"/>
    <mergeCell ref="E4:F4"/>
    <mergeCell ref="G4:H4"/>
    <mergeCell ref="I3:J3"/>
    <mergeCell ref="K3:L3"/>
    <mergeCell ref="C1:D1"/>
    <mergeCell ref="E1:F1"/>
    <mergeCell ref="G1:H1"/>
    <mergeCell ref="I1:J1"/>
    <mergeCell ref="K1:L1"/>
    <mergeCell ref="I2:J2"/>
    <mergeCell ref="Q2:R2"/>
    <mergeCell ref="M2:N2"/>
    <mergeCell ref="O2:P2"/>
    <mergeCell ref="C2:D2"/>
    <mergeCell ref="E2:F2"/>
    <mergeCell ref="K2:L2"/>
    <mergeCell ref="G2:H2"/>
    <mergeCell ref="U2:V2"/>
    <mergeCell ref="S2:T2"/>
    <mergeCell ref="M1:N1"/>
    <mergeCell ref="O1:P1"/>
    <mergeCell ref="Q1:R1"/>
    <mergeCell ref="S1:T1"/>
    <mergeCell ref="U1:V1"/>
    <mergeCell ref="M3:N3"/>
    <mergeCell ref="O3:P3"/>
    <mergeCell ref="Q3:R3"/>
    <mergeCell ref="S3:T3"/>
    <mergeCell ref="U3:V3"/>
    <mergeCell ref="Y3:Z3"/>
    <mergeCell ref="AA3:AB3"/>
    <mergeCell ref="AC3:AD3"/>
    <mergeCell ref="AE3:AF3"/>
    <mergeCell ref="AG3:AH3"/>
  </mergeCells>
  <pageMargins left="0.45" right="0.45" top="0.25" bottom="0.25" header="0.3" footer="0.3"/>
  <pageSetup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R42"/>
  <sheetViews>
    <sheetView topLeftCell="AQ1" workbookViewId="0">
      <selection activeCell="BC3" sqref="BC3"/>
    </sheetView>
  </sheetViews>
  <sheetFormatPr defaultRowHeight="14.25" x14ac:dyDescent="0.2"/>
  <cols>
    <col min="1" max="1" width="11.88671875" customWidth="1"/>
    <col min="2" max="2" width="5.21875" customWidth="1"/>
    <col min="3" max="3" width="3.77734375" style="10" customWidth="1"/>
    <col min="4" max="4" width="4.33203125" style="10" bestFit="1" customWidth="1"/>
    <col min="5" max="5" width="2.5546875" style="10" bestFit="1" customWidth="1"/>
    <col min="6" max="6" width="3.77734375" style="10" customWidth="1"/>
    <col min="7" max="7" width="4.44140625" style="10" bestFit="1" customWidth="1"/>
    <col min="8" max="9" width="3.77734375" style="10" customWidth="1"/>
    <col min="10" max="10" width="4.33203125" style="10" bestFit="1" customWidth="1"/>
    <col min="11" max="12" width="3.77734375" style="10" customWidth="1"/>
    <col min="13" max="13" width="4.44140625" style="10" bestFit="1" customWidth="1"/>
    <col min="14" max="16" width="3.77734375" style="10" customWidth="1"/>
    <col min="17" max="17" width="4.33203125" style="10" bestFit="1" customWidth="1"/>
    <col min="18" max="19" width="3.77734375" style="10" customWidth="1"/>
    <col min="20" max="20" width="4.44140625" style="10" bestFit="1" customWidth="1"/>
    <col min="21" max="21" width="4.33203125" style="10" bestFit="1" customWidth="1"/>
    <col min="22" max="22" width="3.77734375" style="10" customWidth="1"/>
    <col min="23" max="23" width="4.44140625" style="10" bestFit="1" customWidth="1"/>
    <col min="24" max="24" width="4.33203125" style="10" bestFit="1" customWidth="1"/>
    <col min="25" max="25" width="3.77734375" style="10" customWidth="1"/>
    <col min="26" max="26" width="4.44140625" style="10" bestFit="1" customWidth="1"/>
    <col min="27" max="27" width="4.33203125" style="10" bestFit="1" customWidth="1"/>
    <col min="28" max="28" width="2.5546875" customWidth="1"/>
    <col min="29" max="29" width="3.77734375" style="10" customWidth="1"/>
    <col min="30" max="30" width="4.44140625" style="10" bestFit="1" customWidth="1"/>
    <col min="31" max="32" width="3.77734375" style="10" customWidth="1"/>
    <col min="33" max="34" width="4.33203125" style="10" bestFit="1" customWidth="1"/>
    <col min="35" max="35" width="3.77734375" style="10" customWidth="1"/>
    <col min="36" max="37" width="4.33203125" style="10" bestFit="1" customWidth="1"/>
    <col min="38" max="38" width="3.77734375" style="10" customWidth="1"/>
    <col min="39" max="40" width="4.33203125" style="10" bestFit="1" customWidth="1"/>
    <col min="41" max="41" width="4.33203125" style="10" customWidth="1"/>
    <col min="42" max="42" width="3.77734375" style="10" customWidth="1"/>
    <col min="43" max="43" width="4.44140625" style="10" bestFit="1" customWidth="1"/>
    <col min="44" max="45" width="3.77734375" style="10" customWidth="1"/>
    <col min="46" max="47" width="4.33203125" style="10" bestFit="1" customWidth="1"/>
    <col min="48" max="48" width="3.77734375" style="10" customWidth="1"/>
    <col min="49" max="50" width="4.33203125" style="10" bestFit="1" customWidth="1"/>
    <col min="51" max="51" width="3.77734375" style="10" customWidth="1"/>
    <col min="52" max="53" width="4.33203125" style="10" bestFit="1" customWidth="1"/>
    <col min="54" max="54" width="4.33203125" style="10" customWidth="1"/>
    <col min="55" max="55" width="6.44140625" bestFit="1" customWidth="1"/>
    <col min="56" max="56" width="3.77734375" bestFit="1" customWidth="1"/>
    <col min="57" max="57" width="4.21875" bestFit="1" customWidth="1"/>
    <col min="58" max="58" width="5" bestFit="1" customWidth="1"/>
    <col min="59" max="59" width="4.88671875" bestFit="1" customWidth="1"/>
    <col min="60" max="60" width="3.44140625" bestFit="1" customWidth="1"/>
    <col min="61" max="61" width="3.109375" bestFit="1" customWidth="1"/>
    <col min="62" max="62" width="6.21875" customWidth="1"/>
    <col min="63" max="63" width="3.33203125" bestFit="1" customWidth="1"/>
    <col min="64" max="64" width="2.88671875" bestFit="1" customWidth="1"/>
    <col min="65" max="65" width="3.109375" bestFit="1" customWidth="1"/>
    <col min="66" max="66" width="2.77734375" style="36" bestFit="1" customWidth="1"/>
    <col min="67" max="67" width="3.21875" bestFit="1" customWidth="1"/>
    <col min="68" max="68" width="3.77734375" customWidth="1"/>
    <col min="69" max="69" width="3" style="36" bestFit="1" customWidth="1"/>
    <col min="70" max="70" width="5.21875" bestFit="1" customWidth="1"/>
  </cols>
  <sheetData>
    <row r="1" spans="1:70" ht="13.9" x14ac:dyDescent="0.25">
      <c r="B1" t="s">
        <v>11</v>
      </c>
      <c r="C1" s="185" t="s">
        <v>7</v>
      </c>
      <c r="D1" s="185"/>
      <c r="E1" s="185"/>
      <c r="F1" s="185"/>
      <c r="G1" s="185"/>
      <c r="H1" s="185"/>
      <c r="I1" s="185"/>
      <c r="J1" s="185"/>
      <c r="K1" s="185"/>
      <c r="L1" s="185"/>
      <c r="M1" s="111"/>
      <c r="N1" s="111"/>
      <c r="O1" s="13"/>
      <c r="P1" s="185" t="s">
        <v>8</v>
      </c>
      <c r="Q1" s="185"/>
      <c r="R1" s="185"/>
      <c r="S1" s="185"/>
      <c r="T1" s="185"/>
      <c r="U1" s="185"/>
      <c r="V1" s="185"/>
      <c r="W1" s="185"/>
      <c r="X1" s="185"/>
      <c r="Y1" s="185"/>
      <c r="Z1" s="13"/>
      <c r="AA1" s="13"/>
      <c r="AB1" s="22"/>
      <c r="AC1" s="185" t="s">
        <v>30</v>
      </c>
      <c r="AD1" s="185"/>
      <c r="AE1" s="185"/>
      <c r="AF1" s="185"/>
      <c r="AG1" s="185"/>
      <c r="AH1" s="185"/>
      <c r="AI1" s="185"/>
      <c r="AJ1" s="185"/>
      <c r="AK1" s="185"/>
      <c r="AL1" s="185"/>
      <c r="AM1" s="13"/>
      <c r="AN1" s="13"/>
      <c r="AO1" s="13"/>
      <c r="AP1" s="185" t="s">
        <v>84</v>
      </c>
      <c r="AQ1" s="185"/>
      <c r="AR1" s="185"/>
      <c r="AS1" s="185"/>
      <c r="AT1" s="185"/>
      <c r="AU1" s="185"/>
      <c r="AV1" s="185"/>
      <c r="AW1" s="185"/>
      <c r="AX1" s="185"/>
      <c r="AY1" s="185"/>
      <c r="AZ1" s="13"/>
      <c r="BA1" s="13"/>
    </row>
    <row r="2" spans="1:70" ht="12" customHeight="1" x14ac:dyDescent="0.25">
      <c r="A2" s="2"/>
      <c r="B2" s="38">
        <v>1</v>
      </c>
      <c r="C2" s="181" t="s">
        <v>10</v>
      </c>
      <c r="D2" s="182"/>
      <c r="E2" s="183"/>
      <c r="F2" s="181" t="s">
        <v>29</v>
      </c>
      <c r="G2" s="182"/>
      <c r="H2" s="183"/>
      <c r="I2" s="181" t="s">
        <v>3</v>
      </c>
      <c r="J2" s="182"/>
      <c r="K2" s="183"/>
      <c r="L2" s="181" t="s">
        <v>9</v>
      </c>
      <c r="M2" s="182"/>
      <c r="N2" s="183"/>
      <c r="O2" s="13"/>
      <c r="P2" s="181" t="s">
        <v>78</v>
      </c>
      <c r="Q2" s="182"/>
      <c r="R2" s="183"/>
      <c r="S2" s="181" t="s">
        <v>35</v>
      </c>
      <c r="T2" s="182"/>
      <c r="U2" s="183"/>
      <c r="V2" s="181" t="s">
        <v>36</v>
      </c>
      <c r="W2" s="182"/>
      <c r="X2" s="183"/>
      <c r="Y2" s="181" t="s">
        <v>91</v>
      </c>
      <c r="Z2" s="182"/>
      <c r="AA2" s="183"/>
      <c r="AB2" s="22"/>
      <c r="AC2" s="181" t="s">
        <v>51</v>
      </c>
      <c r="AD2" s="182"/>
      <c r="AE2" s="183"/>
      <c r="AF2" s="181" t="s">
        <v>2</v>
      </c>
      <c r="AG2" s="182"/>
      <c r="AH2" s="183"/>
      <c r="AI2" s="181" t="s">
        <v>58</v>
      </c>
      <c r="AJ2" s="182"/>
      <c r="AK2" s="183"/>
      <c r="AL2" s="181" t="s">
        <v>39</v>
      </c>
      <c r="AM2" s="182"/>
      <c r="AN2" s="183"/>
      <c r="AO2" s="28"/>
      <c r="AP2" s="181"/>
      <c r="AQ2" s="182"/>
      <c r="AR2" s="183"/>
      <c r="AS2" s="181"/>
      <c r="AT2" s="182"/>
      <c r="AU2" s="183"/>
      <c r="AV2" s="181"/>
      <c r="AW2" s="182"/>
      <c r="AX2" s="183"/>
      <c r="AY2" s="181"/>
      <c r="AZ2" s="182"/>
      <c r="BA2" s="183"/>
      <c r="BB2" s="110"/>
    </row>
    <row r="3" spans="1:70" ht="12" customHeight="1" x14ac:dyDescent="0.25">
      <c r="A3" s="179" t="s">
        <v>12</v>
      </c>
      <c r="B3" s="184"/>
      <c r="C3" s="87">
        <v>93</v>
      </c>
      <c r="D3" s="88">
        <v>27</v>
      </c>
      <c r="E3" s="87">
        <v>31</v>
      </c>
      <c r="F3" s="87">
        <v>107</v>
      </c>
      <c r="G3" s="88">
        <v>-17</v>
      </c>
      <c r="H3" s="87">
        <v>25</v>
      </c>
      <c r="I3" s="87">
        <v>87</v>
      </c>
      <c r="J3" s="88">
        <v>11</v>
      </c>
      <c r="K3" s="87">
        <v>24</v>
      </c>
      <c r="L3" s="87">
        <v>82</v>
      </c>
      <c r="M3" s="88">
        <v>-21</v>
      </c>
      <c r="N3" s="87">
        <v>34</v>
      </c>
      <c r="O3" s="13"/>
      <c r="P3" s="87">
        <v>91</v>
      </c>
      <c r="Q3" s="88">
        <v>-18</v>
      </c>
      <c r="R3" s="87">
        <v>29</v>
      </c>
      <c r="S3" s="87">
        <v>81</v>
      </c>
      <c r="T3" s="88">
        <v>10</v>
      </c>
      <c r="U3" s="87">
        <v>33</v>
      </c>
      <c r="V3" s="87">
        <v>95</v>
      </c>
      <c r="W3" s="88">
        <v>6</v>
      </c>
      <c r="X3" s="87">
        <v>31</v>
      </c>
      <c r="Y3" s="87">
        <v>102</v>
      </c>
      <c r="Z3" s="88">
        <v>2</v>
      </c>
      <c r="AA3" s="87">
        <v>31</v>
      </c>
      <c r="AB3" s="22"/>
      <c r="AC3" s="87">
        <v>89</v>
      </c>
      <c r="AD3" s="88">
        <v>-1</v>
      </c>
      <c r="AE3" s="87">
        <v>27</v>
      </c>
      <c r="AF3" s="87">
        <v>105</v>
      </c>
      <c r="AG3" s="88">
        <v>-7</v>
      </c>
      <c r="AH3" s="87">
        <v>26</v>
      </c>
      <c r="AI3" s="87">
        <v>89</v>
      </c>
      <c r="AJ3" s="88">
        <v>1</v>
      </c>
      <c r="AK3" s="87">
        <v>34</v>
      </c>
      <c r="AL3" s="87">
        <v>106</v>
      </c>
      <c r="AM3" s="88">
        <v>7</v>
      </c>
      <c r="AN3" s="87">
        <v>26</v>
      </c>
      <c r="AO3" s="50"/>
      <c r="AP3" s="87"/>
      <c r="AQ3" s="88"/>
      <c r="AR3" s="87"/>
      <c r="AS3" s="87"/>
      <c r="AT3" s="88"/>
      <c r="AU3" s="87"/>
      <c r="AV3" s="87"/>
      <c r="AW3" s="88"/>
      <c r="AX3" s="87"/>
      <c r="AY3" s="87"/>
      <c r="AZ3" s="88"/>
      <c r="BA3" s="87"/>
      <c r="BB3" s="12"/>
      <c r="BD3" t="s">
        <v>101</v>
      </c>
      <c r="BE3" t="s">
        <v>21</v>
      </c>
      <c r="BF3" t="s">
        <v>79</v>
      </c>
      <c r="BG3" t="s">
        <v>1</v>
      </c>
      <c r="BH3" t="s">
        <v>22</v>
      </c>
      <c r="BI3" t="s">
        <v>23</v>
      </c>
      <c r="BJ3" t="s">
        <v>34</v>
      </c>
      <c r="BK3" t="s">
        <v>32</v>
      </c>
      <c r="BL3" t="s">
        <v>33</v>
      </c>
      <c r="BM3" t="s">
        <v>143</v>
      </c>
      <c r="BN3" s="36" t="s">
        <v>38</v>
      </c>
      <c r="BO3" s="36" t="s">
        <v>52</v>
      </c>
      <c r="BP3" t="s">
        <v>80</v>
      </c>
      <c r="BQ3" s="36" t="s">
        <v>107</v>
      </c>
      <c r="BR3" t="s">
        <v>88</v>
      </c>
    </row>
    <row r="4" spans="1:70" ht="12" customHeight="1" x14ac:dyDescent="0.25">
      <c r="A4" s="2"/>
      <c r="B4" s="38">
        <v>2</v>
      </c>
      <c r="C4" s="181" t="s">
        <v>91</v>
      </c>
      <c r="D4" s="182"/>
      <c r="E4" s="183"/>
      <c r="F4" s="181" t="s">
        <v>29</v>
      </c>
      <c r="G4" s="182"/>
      <c r="H4" s="183"/>
      <c r="I4" s="181" t="s">
        <v>78</v>
      </c>
      <c r="J4" s="182"/>
      <c r="K4" s="183"/>
      <c r="L4" s="181" t="s">
        <v>9</v>
      </c>
      <c r="M4" s="182"/>
      <c r="N4" s="183"/>
      <c r="O4" s="13"/>
      <c r="P4" s="181" t="s">
        <v>83</v>
      </c>
      <c r="Q4" s="182"/>
      <c r="R4" s="183"/>
      <c r="S4" s="181" t="s">
        <v>35</v>
      </c>
      <c r="T4" s="182"/>
      <c r="U4" s="183"/>
      <c r="V4" s="181" t="s">
        <v>10</v>
      </c>
      <c r="W4" s="182"/>
      <c r="X4" s="183"/>
      <c r="Y4" s="181" t="s">
        <v>51</v>
      </c>
      <c r="Z4" s="182"/>
      <c r="AA4" s="183"/>
      <c r="AB4" s="22"/>
      <c r="AC4" s="181" t="s">
        <v>3</v>
      </c>
      <c r="AD4" s="182"/>
      <c r="AE4" s="183"/>
      <c r="AF4" s="181" t="s">
        <v>2</v>
      </c>
      <c r="AG4" s="182"/>
      <c r="AH4" s="183"/>
      <c r="AI4" s="181" t="s">
        <v>39</v>
      </c>
      <c r="AJ4" s="182"/>
      <c r="AK4" s="183"/>
      <c r="AL4" s="181" t="s">
        <v>36</v>
      </c>
      <c r="AM4" s="182"/>
      <c r="AN4" s="183"/>
      <c r="AO4" s="28"/>
      <c r="AP4" s="181"/>
      <c r="AQ4" s="182"/>
      <c r="AR4" s="183"/>
      <c r="AS4" s="181"/>
      <c r="AT4" s="182"/>
      <c r="AU4" s="183"/>
      <c r="AV4" s="181"/>
      <c r="AW4" s="182"/>
      <c r="AX4" s="183"/>
      <c r="AY4" s="181"/>
      <c r="AZ4" s="182"/>
      <c r="BA4" s="183"/>
      <c r="BB4" s="110"/>
      <c r="BC4" t="s">
        <v>101</v>
      </c>
      <c r="BD4" s="36" t="s">
        <v>24</v>
      </c>
      <c r="BE4" s="36">
        <f>BD5</f>
        <v>3</v>
      </c>
      <c r="BF4" s="36">
        <f>BD6</f>
        <v>1</v>
      </c>
      <c r="BG4" s="36">
        <f>BD7</f>
        <v>5</v>
      </c>
      <c r="BH4" s="36">
        <f>BD8</f>
        <v>2</v>
      </c>
      <c r="BI4" s="36">
        <f>BD9</f>
        <v>3</v>
      </c>
      <c r="BJ4" s="36">
        <f>BD10</f>
        <v>3</v>
      </c>
      <c r="BK4" s="36">
        <f>BD11</f>
        <v>2</v>
      </c>
      <c r="BL4" s="36">
        <f>BD12</f>
        <v>0</v>
      </c>
      <c r="BM4" s="36">
        <f>BD13</f>
        <v>0</v>
      </c>
      <c r="BN4" s="36">
        <f>BD14</f>
        <v>2</v>
      </c>
      <c r="BO4" s="36">
        <f>BD15</f>
        <v>5</v>
      </c>
      <c r="BP4" s="36">
        <f>BD16</f>
        <v>4</v>
      </c>
      <c r="BQ4" s="36">
        <f>BD17</f>
        <v>4</v>
      </c>
      <c r="BR4" s="36">
        <f>BD18</f>
        <v>3</v>
      </c>
    </row>
    <row r="5" spans="1:70" ht="12" customHeight="1" x14ac:dyDescent="0.25">
      <c r="A5" s="179" t="s">
        <v>12</v>
      </c>
      <c r="B5" s="180"/>
      <c r="C5" s="87">
        <v>100</v>
      </c>
      <c r="D5" s="88">
        <v>-1</v>
      </c>
      <c r="E5" s="87">
        <v>35</v>
      </c>
      <c r="F5" s="87">
        <v>108</v>
      </c>
      <c r="G5" s="88">
        <v>-25</v>
      </c>
      <c r="H5" s="87">
        <v>23</v>
      </c>
      <c r="I5" s="87">
        <v>81</v>
      </c>
      <c r="J5" s="88">
        <v>11</v>
      </c>
      <c r="K5" s="87">
        <v>38</v>
      </c>
      <c r="L5" s="87">
        <v>80</v>
      </c>
      <c r="M5" s="88">
        <v>15</v>
      </c>
      <c r="N5" s="87">
        <v>36</v>
      </c>
      <c r="O5" s="13"/>
      <c r="P5" s="87">
        <v>92</v>
      </c>
      <c r="Q5" s="88">
        <v>-18</v>
      </c>
      <c r="R5" s="87">
        <v>35</v>
      </c>
      <c r="S5" s="87">
        <v>80</v>
      </c>
      <c r="T5" s="88">
        <v>6</v>
      </c>
      <c r="U5" s="87">
        <v>34</v>
      </c>
      <c r="V5" s="87">
        <v>88</v>
      </c>
      <c r="W5" s="88">
        <v>2</v>
      </c>
      <c r="X5" s="87">
        <v>37</v>
      </c>
      <c r="Y5" s="87">
        <v>86</v>
      </c>
      <c r="Z5" s="88">
        <v>10</v>
      </c>
      <c r="AA5" s="87">
        <v>32</v>
      </c>
      <c r="AB5" s="22"/>
      <c r="AC5" s="87">
        <v>80</v>
      </c>
      <c r="AD5" s="88">
        <v>1</v>
      </c>
      <c r="AE5" s="87">
        <v>34</v>
      </c>
      <c r="AF5" s="87">
        <v>97</v>
      </c>
      <c r="AG5" s="88">
        <v>-9</v>
      </c>
      <c r="AH5" s="87">
        <v>32</v>
      </c>
      <c r="AI5" s="87">
        <v>118</v>
      </c>
      <c r="AJ5" s="88">
        <v>-27</v>
      </c>
      <c r="AK5" s="87">
        <v>18</v>
      </c>
      <c r="AL5" s="87">
        <v>91</v>
      </c>
      <c r="AM5" s="88">
        <v>35</v>
      </c>
      <c r="AN5" s="87">
        <v>37</v>
      </c>
      <c r="AO5" s="50"/>
      <c r="AP5" s="87"/>
      <c r="AQ5" s="88"/>
      <c r="AR5" s="87"/>
      <c r="AS5" s="87"/>
      <c r="AT5" s="88"/>
      <c r="AU5" s="87"/>
      <c r="AV5" s="87"/>
      <c r="AW5" s="88"/>
      <c r="AX5" s="87"/>
      <c r="AY5" s="87"/>
      <c r="AZ5" s="88"/>
      <c r="BA5" s="87"/>
      <c r="BB5" s="12"/>
      <c r="BC5" t="s">
        <v>21</v>
      </c>
      <c r="BD5" s="36">
        <v>3</v>
      </c>
      <c r="BE5" s="36" t="s">
        <v>24</v>
      </c>
      <c r="BF5" s="36">
        <f>BE6</f>
        <v>3</v>
      </c>
      <c r="BG5" s="36">
        <f>BE7</f>
        <v>2</v>
      </c>
      <c r="BH5" s="36">
        <f>BE8</f>
        <v>2</v>
      </c>
      <c r="BI5" s="36">
        <f>BE9</f>
        <v>4</v>
      </c>
      <c r="BJ5" s="36">
        <f>BE10</f>
        <v>2</v>
      </c>
      <c r="BK5" s="36">
        <f>BE11</f>
        <v>2</v>
      </c>
      <c r="BL5" s="36">
        <f>BE12</f>
        <v>0</v>
      </c>
      <c r="BM5" s="36">
        <f>BE13</f>
        <v>0</v>
      </c>
      <c r="BN5" s="36">
        <f>BE14</f>
        <v>3</v>
      </c>
      <c r="BO5" s="36">
        <f>BE15</f>
        <v>2</v>
      </c>
      <c r="BP5" s="36">
        <f>BE16</f>
        <v>3</v>
      </c>
      <c r="BQ5" s="36">
        <f>BE17</f>
        <v>2</v>
      </c>
      <c r="BR5" s="36">
        <f>BE18</f>
        <v>1</v>
      </c>
    </row>
    <row r="6" spans="1:70" ht="12" customHeight="1" x14ac:dyDescent="0.25">
      <c r="A6" s="2"/>
      <c r="B6" s="38">
        <v>3</v>
      </c>
      <c r="C6" s="181" t="s">
        <v>39</v>
      </c>
      <c r="D6" s="182"/>
      <c r="E6" s="183"/>
      <c r="F6" s="181" t="s">
        <v>91</v>
      </c>
      <c r="G6" s="182"/>
      <c r="H6" s="183"/>
      <c r="I6" s="181" t="s">
        <v>113</v>
      </c>
      <c r="J6" s="182"/>
      <c r="K6" s="183"/>
      <c r="L6" s="181" t="s">
        <v>10</v>
      </c>
      <c r="M6" s="182"/>
      <c r="N6" s="183"/>
      <c r="O6" s="13"/>
      <c r="P6" s="181" t="s">
        <v>3</v>
      </c>
      <c r="Q6" s="182"/>
      <c r="R6" s="183"/>
      <c r="S6" s="181" t="s">
        <v>27</v>
      </c>
      <c r="T6" s="182"/>
      <c r="U6" s="183"/>
      <c r="V6" s="181" t="s">
        <v>78</v>
      </c>
      <c r="W6" s="182"/>
      <c r="X6" s="183"/>
      <c r="Y6" s="181" t="s">
        <v>51</v>
      </c>
      <c r="Z6" s="182"/>
      <c r="AA6" s="183"/>
      <c r="AB6" s="22"/>
      <c r="AC6" s="181" t="s">
        <v>35</v>
      </c>
      <c r="AD6" s="182"/>
      <c r="AE6" s="183"/>
      <c r="AF6" s="181" t="s">
        <v>58</v>
      </c>
      <c r="AG6" s="182"/>
      <c r="AH6" s="183"/>
      <c r="AI6" s="181" t="s">
        <v>146</v>
      </c>
      <c r="AJ6" s="182"/>
      <c r="AK6" s="183"/>
      <c r="AL6" s="181" t="s">
        <v>83</v>
      </c>
      <c r="AM6" s="182"/>
      <c r="AN6" s="183"/>
      <c r="AO6" s="28"/>
      <c r="AP6" s="181"/>
      <c r="AQ6" s="182"/>
      <c r="AR6" s="183"/>
      <c r="AS6" s="181"/>
      <c r="AT6" s="182"/>
      <c r="AU6" s="183"/>
      <c r="AV6" s="181"/>
      <c r="AW6" s="182"/>
      <c r="AX6" s="183"/>
      <c r="AY6" s="181"/>
      <c r="AZ6" s="182"/>
      <c r="BA6" s="183"/>
      <c r="BB6" s="110"/>
      <c r="BC6" t="s">
        <v>79</v>
      </c>
      <c r="BD6" s="36">
        <v>1</v>
      </c>
      <c r="BE6" s="36">
        <v>3</v>
      </c>
      <c r="BF6" s="36" t="s">
        <v>24</v>
      </c>
      <c r="BG6" s="36">
        <f>BF7</f>
        <v>2</v>
      </c>
      <c r="BH6" s="36">
        <f>BF8</f>
        <v>3</v>
      </c>
      <c r="BI6" s="36">
        <f>BF9</f>
        <v>5</v>
      </c>
      <c r="BJ6" s="36">
        <f>BF10</f>
        <v>2</v>
      </c>
      <c r="BK6" s="36">
        <f>BF11</f>
        <v>3</v>
      </c>
      <c r="BL6" s="36">
        <f>BF12</f>
        <v>0</v>
      </c>
      <c r="BM6" s="36">
        <f>BF13</f>
        <v>0</v>
      </c>
      <c r="BN6" s="36">
        <f>BF14</f>
        <v>5</v>
      </c>
      <c r="BO6" s="36">
        <f>BF15</f>
        <v>4</v>
      </c>
      <c r="BP6" s="36">
        <f>BF16</f>
        <v>4</v>
      </c>
      <c r="BQ6" s="36">
        <f>BF17</f>
        <v>4</v>
      </c>
      <c r="BR6" s="36">
        <f>BF18</f>
        <v>2</v>
      </c>
    </row>
    <row r="7" spans="1:70" ht="12" customHeight="1" x14ac:dyDescent="0.25">
      <c r="A7" s="179" t="s">
        <v>12</v>
      </c>
      <c r="B7" s="180"/>
      <c r="C7" s="87">
        <v>102</v>
      </c>
      <c r="D7" s="88">
        <v>10</v>
      </c>
      <c r="E7" s="87">
        <v>31</v>
      </c>
      <c r="F7" s="87">
        <v>102</v>
      </c>
      <c r="G7" s="88">
        <v>12</v>
      </c>
      <c r="H7" s="87">
        <v>31</v>
      </c>
      <c r="I7" s="87">
        <v>93</v>
      </c>
      <c r="J7" s="88">
        <v>-14</v>
      </c>
      <c r="K7" s="87">
        <v>21</v>
      </c>
      <c r="L7" s="87">
        <v>87</v>
      </c>
      <c r="M7" s="88">
        <v>-8</v>
      </c>
      <c r="N7" s="87">
        <v>38</v>
      </c>
      <c r="O7" s="13"/>
      <c r="P7" s="87">
        <v>85</v>
      </c>
      <c r="Q7" s="88">
        <v>-9</v>
      </c>
      <c r="R7" s="87">
        <v>30</v>
      </c>
      <c r="S7" s="87">
        <v>102</v>
      </c>
      <c r="T7" s="88">
        <v>3</v>
      </c>
      <c r="U7" s="87">
        <v>32</v>
      </c>
      <c r="V7" s="87">
        <v>84</v>
      </c>
      <c r="W7" s="88">
        <v>-11</v>
      </c>
      <c r="X7" s="87">
        <v>35</v>
      </c>
      <c r="Y7" s="87">
        <v>84</v>
      </c>
      <c r="Z7" s="88">
        <v>17</v>
      </c>
      <c r="AA7" s="87">
        <v>34</v>
      </c>
      <c r="AB7" s="22"/>
      <c r="AC7" s="87">
        <v>86</v>
      </c>
      <c r="AD7" s="88">
        <v>21</v>
      </c>
      <c r="AE7" s="87">
        <v>28</v>
      </c>
      <c r="AF7" s="87">
        <v>92</v>
      </c>
      <c r="AG7" s="88">
        <v>1</v>
      </c>
      <c r="AH7" s="87">
        <v>32</v>
      </c>
      <c r="AI7" s="87">
        <v>90</v>
      </c>
      <c r="AJ7" s="88">
        <v>3</v>
      </c>
      <c r="AK7" s="87">
        <v>32</v>
      </c>
      <c r="AL7" s="87">
        <v>102</v>
      </c>
      <c r="AM7" s="88">
        <v>-25</v>
      </c>
      <c r="AN7" s="87">
        <v>26</v>
      </c>
      <c r="AO7" s="50"/>
      <c r="AP7" s="87"/>
      <c r="AQ7" s="88"/>
      <c r="AR7" s="87"/>
      <c r="AS7" s="87"/>
      <c r="AT7" s="88"/>
      <c r="AU7" s="87"/>
      <c r="AV7" s="87"/>
      <c r="AW7" s="88"/>
      <c r="AX7" s="87"/>
      <c r="AY7" s="87"/>
      <c r="AZ7" s="88"/>
      <c r="BA7" s="87"/>
      <c r="BB7" s="12"/>
      <c r="BC7" t="s">
        <v>1</v>
      </c>
      <c r="BD7" s="36">
        <v>5</v>
      </c>
      <c r="BE7" s="36">
        <v>2</v>
      </c>
      <c r="BF7" s="36">
        <v>2</v>
      </c>
      <c r="BG7" s="36" t="s">
        <v>24</v>
      </c>
      <c r="BH7" s="36">
        <f>BG8</f>
        <v>3</v>
      </c>
      <c r="BI7" s="36">
        <f>BG9</f>
        <v>4</v>
      </c>
      <c r="BJ7" s="36">
        <f>BG10</f>
        <v>3</v>
      </c>
      <c r="BK7" s="36">
        <f>BG11</f>
        <v>1</v>
      </c>
      <c r="BL7" s="36">
        <f>BG12</f>
        <v>0</v>
      </c>
      <c r="BM7" s="36">
        <f>BG13</f>
        <v>0</v>
      </c>
      <c r="BN7" s="36">
        <f>BG14</f>
        <v>3</v>
      </c>
      <c r="BO7" s="36">
        <f>BG15</f>
        <v>3</v>
      </c>
      <c r="BP7" s="36">
        <f>BG16</f>
        <v>5</v>
      </c>
      <c r="BQ7" s="36">
        <f>BG17</f>
        <v>2</v>
      </c>
      <c r="BR7" s="36">
        <f>BG18</f>
        <v>2</v>
      </c>
    </row>
    <row r="8" spans="1:70" ht="12" customHeight="1" x14ac:dyDescent="0.25">
      <c r="A8" s="2"/>
      <c r="B8" s="38">
        <v>4</v>
      </c>
      <c r="C8" s="181" t="s">
        <v>51</v>
      </c>
      <c r="D8" s="182"/>
      <c r="E8" s="183"/>
      <c r="F8" s="181" t="s">
        <v>83</v>
      </c>
      <c r="G8" s="182"/>
      <c r="H8" s="183"/>
      <c r="I8" s="181" t="s">
        <v>91</v>
      </c>
      <c r="J8" s="182"/>
      <c r="K8" s="183"/>
      <c r="L8" s="181" t="s">
        <v>3</v>
      </c>
      <c r="M8" s="182"/>
      <c r="N8" s="183"/>
      <c r="O8" s="13"/>
      <c r="P8" s="181" t="s">
        <v>36</v>
      </c>
      <c r="Q8" s="182"/>
      <c r="R8" s="183"/>
      <c r="S8" s="181" t="s">
        <v>29</v>
      </c>
      <c r="T8" s="182"/>
      <c r="U8" s="183"/>
      <c r="V8" s="181" t="s">
        <v>10</v>
      </c>
      <c r="W8" s="182"/>
      <c r="X8" s="183"/>
      <c r="Y8" s="181" t="s">
        <v>34</v>
      </c>
      <c r="Z8" s="182"/>
      <c r="AA8" s="183"/>
      <c r="AB8" s="22"/>
      <c r="AC8" s="181" t="s">
        <v>35</v>
      </c>
      <c r="AD8" s="182"/>
      <c r="AE8" s="183"/>
      <c r="AF8" s="181" t="s">
        <v>39</v>
      </c>
      <c r="AG8" s="182"/>
      <c r="AH8" s="183"/>
      <c r="AI8" s="181" t="s">
        <v>58</v>
      </c>
      <c r="AJ8" s="182"/>
      <c r="AK8" s="183"/>
      <c r="AL8" s="181" t="s">
        <v>9</v>
      </c>
      <c r="AM8" s="182"/>
      <c r="AN8" s="183"/>
      <c r="AO8" s="28"/>
      <c r="AP8" s="181"/>
      <c r="AQ8" s="182"/>
      <c r="AR8" s="183"/>
      <c r="AS8" s="181"/>
      <c r="AT8" s="182"/>
      <c r="AU8" s="183"/>
      <c r="AV8" s="181"/>
      <c r="AW8" s="182"/>
      <c r="AX8" s="183"/>
      <c r="AY8" s="181"/>
      <c r="AZ8" s="182"/>
      <c r="BA8" s="183"/>
      <c r="BB8" s="110"/>
      <c r="BC8" t="s">
        <v>22</v>
      </c>
      <c r="BD8" s="36">
        <v>2</v>
      </c>
      <c r="BE8" s="36">
        <v>2</v>
      </c>
      <c r="BF8" s="36">
        <v>3</v>
      </c>
      <c r="BG8" s="36">
        <v>3</v>
      </c>
      <c r="BH8" s="36" t="s">
        <v>24</v>
      </c>
      <c r="BI8" s="36">
        <f>BH9</f>
        <v>5</v>
      </c>
      <c r="BJ8" s="36">
        <f>BH10</f>
        <v>2</v>
      </c>
      <c r="BK8" s="36">
        <f>BH11</f>
        <v>4</v>
      </c>
      <c r="BL8" s="36">
        <f>BH12</f>
        <v>0</v>
      </c>
      <c r="BM8" s="36">
        <f>BH13</f>
        <v>0</v>
      </c>
      <c r="BN8" s="36">
        <f>BH14</f>
        <v>6</v>
      </c>
      <c r="BO8" s="36">
        <f>BH15</f>
        <v>3</v>
      </c>
      <c r="BP8" s="36">
        <f>BH16</f>
        <v>3</v>
      </c>
      <c r="BQ8" s="36">
        <f>BH17</f>
        <v>1</v>
      </c>
      <c r="BR8" s="36">
        <f>BH18</f>
        <v>3</v>
      </c>
    </row>
    <row r="9" spans="1:70" ht="12" customHeight="1" x14ac:dyDescent="0.25">
      <c r="A9" s="179" t="s">
        <v>12</v>
      </c>
      <c r="B9" s="180"/>
      <c r="C9" s="87">
        <v>87</v>
      </c>
      <c r="D9" s="88">
        <v>6</v>
      </c>
      <c r="E9" s="87">
        <v>31</v>
      </c>
      <c r="F9" s="87">
        <v>100</v>
      </c>
      <c r="G9" s="88">
        <v>-38</v>
      </c>
      <c r="H9" s="87">
        <v>28</v>
      </c>
      <c r="I9" s="87">
        <v>100</v>
      </c>
      <c r="J9" s="88">
        <v>14</v>
      </c>
      <c r="K9" s="87">
        <v>35</v>
      </c>
      <c r="L9" s="87">
        <v>80</v>
      </c>
      <c r="M9" s="88">
        <v>18</v>
      </c>
      <c r="N9" s="87">
        <v>34</v>
      </c>
      <c r="O9" s="13"/>
      <c r="P9" s="87">
        <v>89</v>
      </c>
      <c r="Q9" s="88">
        <v>25</v>
      </c>
      <c r="R9" s="87">
        <v>38</v>
      </c>
      <c r="S9" s="87">
        <v>102</v>
      </c>
      <c r="T9" s="88">
        <v>-7</v>
      </c>
      <c r="U9" s="87">
        <v>28</v>
      </c>
      <c r="V9" s="87">
        <v>92</v>
      </c>
      <c r="W9" s="88">
        <v>15</v>
      </c>
      <c r="X9" s="87">
        <v>33</v>
      </c>
      <c r="Y9" s="87">
        <v>100</v>
      </c>
      <c r="Z9" s="88">
        <v>-33</v>
      </c>
      <c r="AA9" s="87">
        <v>27</v>
      </c>
      <c r="AB9" s="22"/>
      <c r="AC9" s="87">
        <v>76</v>
      </c>
      <c r="AD9" s="88">
        <v>15</v>
      </c>
      <c r="AE9" s="87">
        <v>38</v>
      </c>
      <c r="AF9" s="87">
        <v>116</v>
      </c>
      <c r="AG9" s="88">
        <v>-47</v>
      </c>
      <c r="AH9" s="87">
        <v>18</v>
      </c>
      <c r="AI9" s="87">
        <v>89</v>
      </c>
      <c r="AJ9" s="88">
        <v>9</v>
      </c>
      <c r="AK9" s="87">
        <v>34</v>
      </c>
      <c r="AL9" s="87">
        <v>82</v>
      </c>
      <c r="AM9" s="88">
        <v>23</v>
      </c>
      <c r="AN9" s="87">
        <v>34</v>
      </c>
      <c r="AO9" s="50"/>
      <c r="AP9" s="87"/>
      <c r="AQ9" s="88"/>
      <c r="AR9" s="87"/>
      <c r="AS9" s="87"/>
      <c r="AT9" s="88"/>
      <c r="AU9" s="87"/>
      <c r="AV9" s="87"/>
      <c r="AW9" s="88"/>
      <c r="AX9" s="87"/>
      <c r="AY9" s="87"/>
      <c r="AZ9" s="88"/>
      <c r="BA9" s="87"/>
      <c r="BB9" s="12"/>
      <c r="BC9" t="s">
        <v>23</v>
      </c>
      <c r="BD9" s="36">
        <v>3</v>
      </c>
      <c r="BE9" s="36">
        <v>4</v>
      </c>
      <c r="BF9" s="36">
        <v>5</v>
      </c>
      <c r="BG9" s="36">
        <v>4</v>
      </c>
      <c r="BH9" s="36">
        <v>5</v>
      </c>
      <c r="BI9" s="36" t="s">
        <v>24</v>
      </c>
      <c r="BJ9" s="36">
        <f>BI10</f>
        <v>3</v>
      </c>
      <c r="BK9" s="36">
        <f>BI11</f>
        <v>3</v>
      </c>
      <c r="BL9" s="36">
        <f>BI12</f>
        <v>0</v>
      </c>
      <c r="BM9" s="36">
        <f>BI13</f>
        <v>0</v>
      </c>
      <c r="BN9" s="36">
        <f>BI14</f>
        <v>5</v>
      </c>
      <c r="BO9" s="36">
        <f>BI15</f>
        <v>4</v>
      </c>
      <c r="BP9" s="36">
        <f>BI16</f>
        <v>4</v>
      </c>
      <c r="BQ9" s="36">
        <f>BI17</f>
        <v>2</v>
      </c>
      <c r="BR9" s="36">
        <f>BI18</f>
        <v>3</v>
      </c>
    </row>
    <row r="10" spans="1:70" ht="12" customHeight="1" x14ac:dyDescent="0.25">
      <c r="A10" s="2"/>
      <c r="B10" s="38">
        <v>5</v>
      </c>
      <c r="C10" s="181" t="s">
        <v>78</v>
      </c>
      <c r="D10" s="182"/>
      <c r="E10" s="183"/>
      <c r="F10" s="181" t="s">
        <v>58</v>
      </c>
      <c r="G10" s="182"/>
      <c r="H10" s="183"/>
      <c r="I10" s="181" t="s">
        <v>2</v>
      </c>
      <c r="J10" s="182"/>
      <c r="K10" s="183"/>
      <c r="L10" s="181" t="s">
        <v>91</v>
      </c>
      <c r="M10" s="182"/>
      <c r="N10" s="183"/>
      <c r="O10" s="13"/>
      <c r="P10" s="181" t="s">
        <v>83</v>
      </c>
      <c r="Q10" s="182"/>
      <c r="R10" s="183"/>
      <c r="S10" s="181" t="s">
        <v>9</v>
      </c>
      <c r="T10" s="182"/>
      <c r="U10" s="183"/>
      <c r="V10" s="181" t="s">
        <v>51</v>
      </c>
      <c r="W10" s="182"/>
      <c r="X10" s="183"/>
      <c r="Y10" s="181" t="s">
        <v>36</v>
      </c>
      <c r="Z10" s="182"/>
      <c r="AA10" s="183"/>
      <c r="AB10" s="22"/>
      <c r="AC10" s="181" t="s">
        <v>35</v>
      </c>
      <c r="AD10" s="182"/>
      <c r="AE10" s="183"/>
      <c r="AF10" s="181" t="s">
        <v>39</v>
      </c>
      <c r="AG10" s="182"/>
      <c r="AH10" s="183"/>
      <c r="AI10" s="181" t="s">
        <v>29</v>
      </c>
      <c r="AJ10" s="182"/>
      <c r="AK10" s="183"/>
      <c r="AL10" s="181" t="s">
        <v>3</v>
      </c>
      <c r="AM10" s="182"/>
      <c r="AN10" s="183"/>
      <c r="AO10" s="28"/>
      <c r="AP10" s="181"/>
      <c r="AQ10" s="182"/>
      <c r="AR10" s="183"/>
      <c r="AS10" s="181"/>
      <c r="AT10" s="182"/>
      <c r="AU10" s="183"/>
      <c r="AV10" s="181"/>
      <c r="AW10" s="182"/>
      <c r="AX10" s="183"/>
      <c r="AY10" s="181"/>
      <c r="AZ10" s="182"/>
      <c r="BA10" s="183"/>
      <c r="BB10" s="28"/>
      <c r="BC10" t="s">
        <v>34</v>
      </c>
      <c r="BD10" s="36">
        <v>3</v>
      </c>
      <c r="BE10" s="36">
        <v>2</v>
      </c>
      <c r="BF10" s="36">
        <v>2</v>
      </c>
      <c r="BG10" s="36">
        <v>3</v>
      </c>
      <c r="BH10" s="36">
        <v>2</v>
      </c>
      <c r="BI10" s="36">
        <v>3</v>
      </c>
      <c r="BJ10" s="36" t="s">
        <v>24</v>
      </c>
      <c r="BK10" s="36">
        <f>BJ11</f>
        <v>2</v>
      </c>
      <c r="BL10" s="36">
        <f>BJ12</f>
        <v>0</v>
      </c>
      <c r="BM10" s="36">
        <f>BJ13</f>
        <v>0</v>
      </c>
      <c r="BN10" s="36">
        <f>BJ14</f>
        <v>4</v>
      </c>
      <c r="BO10" s="36">
        <f>BJ15</f>
        <v>3</v>
      </c>
      <c r="BP10" s="36">
        <f>BJ16</f>
        <v>5</v>
      </c>
      <c r="BQ10" s="36">
        <f>BJ17</f>
        <v>3</v>
      </c>
      <c r="BR10" s="36">
        <f>BJ18</f>
        <v>0</v>
      </c>
    </row>
    <row r="11" spans="1:70" ht="12" customHeight="1" x14ac:dyDescent="0.25">
      <c r="A11" s="179" t="s">
        <v>12</v>
      </c>
      <c r="B11" s="180"/>
      <c r="C11" s="87">
        <v>73</v>
      </c>
      <c r="D11" s="88">
        <v>30</v>
      </c>
      <c r="E11" s="87">
        <v>46</v>
      </c>
      <c r="F11" s="87">
        <v>97</v>
      </c>
      <c r="G11" s="88">
        <v>-14</v>
      </c>
      <c r="H11" s="87">
        <v>26</v>
      </c>
      <c r="I11" s="87">
        <v>92</v>
      </c>
      <c r="J11" s="88">
        <v>-10</v>
      </c>
      <c r="K11" s="87">
        <v>35</v>
      </c>
      <c r="L11" s="87">
        <v>97</v>
      </c>
      <c r="M11" s="88">
        <v>-6</v>
      </c>
      <c r="N11" s="87">
        <v>37</v>
      </c>
      <c r="O11" s="13"/>
      <c r="P11" s="87">
        <v>99</v>
      </c>
      <c r="Q11" s="88">
        <v>-50</v>
      </c>
      <c r="R11" s="87">
        <v>28</v>
      </c>
      <c r="S11" s="87">
        <v>90</v>
      </c>
      <c r="T11" s="88">
        <v>-16</v>
      </c>
      <c r="U11" s="87">
        <v>26</v>
      </c>
      <c r="V11" s="87">
        <v>79</v>
      </c>
      <c r="W11" s="89">
        <v>30</v>
      </c>
      <c r="X11" s="87">
        <v>39</v>
      </c>
      <c r="Y11" s="87">
        <v>90</v>
      </c>
      <c r="Z11" s="88">
        <v>36</v>
      </c>
      <c r="AA11" s="87">
        <v>37</v>
      </c>
      <c r="AB11" s="22"/>
      <c r="AC11" s="87">
        <v>78</v>
      </c>
      <c r="AD11" s="88">
        <v>26</v>
      </c>
      <c r="AE11" s="87">
        <v>36</v>
      </c>
      <c r="AF11" s="87">
        <v>100</v>
      </c>
      <c r="AG11" s="88">
        <v>-20</v>
      </c>
      <c r="AH11" s="87">
        <v>32</v>
      </c>
      <c r="AI11" s="87">
        <v>100</v>
      </c>
      <c r="AJ11" s="88">
        <v>10</v>
      </c>
      <c r="AK11" s="87">
        <v>30</v>
      </c>
      <c r="AL11" s="87">
        <v>79</v>
      </c>
      <c r="AM11" s="88">
        <v>-16</v>
      </c>
      <c r="AN11" s="87">
        <v>35</v>
      </c>
      <c r="AO11" s="50"/>
      <c r="AP11" s="87"/>
      <c r="AQ11" s="88"/>
      <c r="AR11" s="87"/>
      <c r="AS11" s="87"/>
      <c r="AT11" s="88"/>
      <c r="AU11" s="87"/>
      <c r="AV11" s="87"/>
      <c r="AW11" s="88"/>
      <c r="AX11" s="87"/>
      <c r="AY11" s="87"/>
      <c r="AZ11" s="88"/>
      <c r="BA11" s="87"/>
      <c r="BB11" s="12"/>
      <c r="BC11" t="s">
        <v>32</v>
      </c>
      <c r="BD11" s="36">
        <v>2</v>
      </c>
      <c r="BE11" s="36">
        <v>2</v>
      </c>
      <c r="BF11" s="36">
        <v>3</v>
      </c>
      <c r="BG11" s="36">
        <v>1</v>
      </c>
      <c r="BH11" s="36">
        <v>4</v>
      </c>
      <c r="BI11" s="36">
        <v>3</v>
      </c>
      <c r="BJ11" s="36">
        <v>2</v>
      </c>
      <c r="BK11" s="36" t="s">
        <v>24</v>
      </c>
      <c r="BL11" s="36">
        <f>BK12</f>
        <v>0</v>
      </c>
      <c r="BM11" s="36">
        <f>BK13</f>
        <v>0</v>
      </c>
      <c r="BN11" s="36">
        <f>BK14</f>
        <v>4</v>
      </c>
      <c r="BO11" s="36">
        <f>BK15</f>
        <v>3</v>
      </c>
      <c r="BP11" s="36">
        <f>BK16</f>
        <v>3</v>
      </c>
      <c r="BQ11" s="36">
        <f>BK17</f>
        <v>3</v>
      </c>
      <c r="BR11" s="36">
        <f>BK18</f>
        <v>2</v>
      </c>
    </row>
    <row r="12" spans="1:70" ht="12" customHeight="1" x14ac:dyDescent="0.25">
      <c r="A12" s="2"/>
      <c r="B12" s="38">
        <v>6</v>
      </c>
      <c r="C12" s="181" t="s">
        <v>3</v>
      </c>
      <c r="D12" s="182"/>
      <c r="E12" s="183"/>
      <c r="F12" s="181" t="s">
        <v>29</v>
      </c>
      <c r="G12" s="182"/>
      <c r="H12" s="183"/>
      <c r="I12" s="181" t="s">
        <v>36</v>
      </c>
      <c r="J12" s="182"/>
      <c r="K12" s="183"/>
      <c r="L12" s="181" t="s">
        <v>58</v>
      </c>
      <c r="M12" s="182"/>
      <c r="N12" s="183"/>
      <c r="O12" s="13"/>
      <c r="P12" s="181" t="s">
        <v>9</v>
      </c>
      <c r="Q12" s="182"/>
      <c r="R12" s="183"/>
      <c r="S12" s="181" t="s">
        <v>34</v>
      </c>
      <c r="T12" s="182"/>
      <c r="U12" s="183"/>
      <c r="V12" s="181" t="s">
        <v>35</v>
      </c>
      <c r="W12" s="182"/>
      <c r="X12" s="183"/>
      <c r="Y12" s="181" t="s">
        <v>51</v>
      </c>
      <c r="Z12" s="182"/>
      <c r="AA12" s="183"/>
      <c r="AB12" s="22"/>
      <c r="AC12" s="181"/>
      <c r="AD12" s="182"/>
      <c r="AE12" s="183"/>
      <c r="AF12" s="181"/>
      <c r="AG12" s="182"/>
      <c r="AH12" s="183"/>
      <c r="AI12" s="181"/>
      <c r="AJ12" s="182"/>
      <c r="AK12" s="183"/>
      <c r="AL12" s="181"/>
      <c r="AM12" s="182"/>
      <c r="AN12" s="183"/>
      <c r="AO12" s="28"/>
      <c r="AP12" s="181"/>
      <c r="AQ12" s="182"/>
      <c r="AR12" s="183"/>
      <c r="AS12" s="181"/>
      <c r="AT12" s="182"/>
      <c r="AU12" s="183"/>
      <c r="AV12" s="181"/>
      <c r="AW12" s="182"/>
      <c r="AX12" s="183"/>
      <c r="AY12" s="181"/>
      <c r="AZ12" s="182"/>
      <c r="BA12" s="183"/>
      <c r="BB12" s="28"/>
      <c r="BC12" t="s">
        <v>33</v>
      </c>
      <c r="BD12" s="36"/>
      <c r="BE12" s="36"/>
      <c r="BF12" s="36"/>
      <c r="BG12" s="36"/>
      <c r="BH12" s="36"/>
      <c r="BI12" s="36"/>
      <c r="BJ12" s="36"/>
      <c r="BK12" s="36"/>
      <c r="BL12" s="36" t="s">
        <v>24</v>
      </c>
      <c r="BM12" s="36">
        <f>BL13</f>
        <v>0</v>
      </c>
      <c r="BN12" s="36">
        <f>BL14</f>
        <v>0</v>
      </c>
      <c r="BO12" s="36">
        <f>BL15</f>
        <v>0</v>
      </c>
      <c r="BP12" s="36">
        <f>BL16</f>
        <v>0</v>
      </c>
      <c r="BQ12" s="36">
        <f>BL17</f>
        <v>0</v>
      </c>
      <c r="BR12" s="36">
        <f>BL18</f>
        <v>0</v>
      </c>
    </row>
    <row r="13" spans="1:70" ht="12" customHeight="1" x14ac:dyDescent="0.25">
      <c r="A13" s="179" t="s">
        <v>12</v>
      </c>
      <c r="B13" s="180"/>
      <c r="C13" s="87">
        <v>81</v>
      </c>
      <c r="D13" s="88">
        <v>-8</v>
      </c>
      <c r="E13" s="87">
        <v>32</v>
      </c>
      <c r="F13" s="87">
        <v>98</v>
      </c>
      <c r="G13" s="88">
        <v>-22</v>
      </c>
      <c r="H13" s="87">
        <v>33</v>
      </c>
      <c r="I13" s="87">
        <v>86</v>
      </c>
      <c r="J13" s="88">
        <v>14</v>
      </c>
      <c r="K13" s="87">
        <v>38</v>
      </c>
      <c r="L13" s="87">
        <v>81</v>
      </c>
      <c r="M13" s="88">
        <v>16</v>
      </c>
      <c r="N13" s="87">
        <v>42</v>
      </c>
      <c r="O13" s="13"/>
      <c r="P13" s="87">
        <v>79</v>
      </c>
      <c r="Q13" s="88">
        <v>9</v>
      </c>
      <c r="R13" s="87">
        <v>38</v>
      </c>
      <c r="S13" s="87">
        <v>95</v>
      </c>
      <c r="T13" s="88">
        <v>5</v>
      </c>
      <c r="U13" s="87">
        <v>33</v>
      </c>
      <c r="V13" s="87">
        <v>78</v>
      </c>
      <c r="W13" s="88">
        <v>-3</v>
      </c>
      <c r="X13" s="87">
        <v>37</v>
      </c>
      <c r="Y13" s="87">
        <v>82</v>
      </c>
      <c r="Z13" s="88">
        <v>-11</v>
      </c>
      <c r="AA13" s="87">
        <v>35</v>
      </c>
      <c r="AB13" s="22"/>
      <c r="AC13" s="87"/>
      <c r="AD13" s="88"/>
      <c r="AE13" s="87"/>
      <c r="AF13" s="87"/>
      <c r="AG13" s="88"/>
      <c r="AH13" s="87"/>
      <c r="AI13" s="87"/>
      <c r="AJ13" s="88"/>
      <c r="AK13" s="87"/>
      <c r="AL13" s="87"/>
      <c r="AM13" s="88"/>
      <c r="AN13" s="87"/>
      <c r="AO13" s="50"/>
      <c r="AP13" s="87"/>
      <c r="AQ13" s="88"/>
      <c r="AR13" s="87"/>
      <c r="AS13" s="87"/>
      <c r="AT13" s="88"/>
      <c r="AU13" s="87"/>
      <c r="AV13" s="87"/>
      <c r="AW13" s="88"/>
      <c r="AX13" s="87"/>
      <c r="AY13" s="87"/>
      <c r="AZ13" s="88"/>
      <c r="BA13" s="87"/>
      <c r="BB13" s="12"/>
      <c r="BC13" t="s">
        <v>142</v>
      </c>
      <c r="BD13" s="36"/>
      <c r="BE13" s="36"/>
      <c r="BF13" s="36"/>
      <c r="BG13" s="36"/>
      <c r="BH13" s="36"/>
      <c r="BI13" s="36"/>
      <c r="BJ13" s="36"/>
      <c r="BK13" s="36"/>
      <c r="BL13" s="36"/>
      <c r="BM13" s="36" t="s">
        <v>24</v>
      </c>
      <c r="BN13" s="36">
        <f>BM14</f>
        <v>0</v>
      </c>
      <c r="BO13" s="36">
        <f>BM15</f>
        <v>0</v>
      </c>
      <c r="BP13" s="36">
        <f>BM16</f>
        <v>0</v>
      </c>
      <c r="BQ13" s="36">
        <f>BM17</f>
        <v>0</v>
      </c>
      <c r="BR13" s="36">
        <f>BM18</f>
        <v>0</v>
      </c>
    </row>
    <row r="14" spans="1:70" ht="12" customHeight="1" x14ac:dyDescent="0.25">
      <c r="A14" s="2"/>
      <c r="B14" s="38">
        <v>7</v>
      </c>
      <c r="C14" s="181" t="s">
        <v>152</v>
      </c>
      <c r="D14" s="182"/>
      <c r="E14" s="183"/>
      <c r="F14" s="181" t="s">
        <v>153</v>
      </c>
      <c r="G14" s="182"/>
      <c r="H14" s="183"/>
      <c r="I14" s="181" t="s">
        <v>154</v>
      </c>
      <c r="J14" s="182"/>
      <c r="K14" s="183"/>
      <c r="L14" s="181" t="s">
        <v>155</v>
      </c>
      <c r="M14" s="182"/>
      <c r="N14" s="183"/>
      <c r="O14" s="13"/>
      <c r="P14" s="181" t="s">
        <v>9</v>
      </c>
      <c r="Q14" s="182"/>
      <c r="R14" s="183"/>
      <c r="S14" s="181" t="s">
        <v>5</v>
      </c>
      <c r="T14" s="182"/>
      <c r="U14" s="183"/>
      <c r="V14" s="181" t="s">
        <v>156</v>
      </c>
      <c r="W14" s="182"/>
      <c r="X14" s="183"/>
      <c r="Y14" s="181" t="s">
        <v>36</v>
      </c>
      <c r="Z14" s="182"/>
      <c r="AA14" s="183"/>
      <c r="AB14" s="22"/>
      <c r="AC14" s="181"/>
      <c r="AD14" s="182"/>
      <c r="AE14" s="183"/>
      <c r="AF14" s="181"/>
      <c r="AG14" s="182"/>
      <c r="AH14" s="183"/>
      <c r="AI14" s="181"/>
      <c r="AJ14" s="182"/>
      <c r="AK14" s="183"/>
      <c r="AL14" s="181"/>
      <c r="AM14" s="182"/>
      <c r="AN14" s="183"/>
      <c r="AO14" s="28"/>
      <c r="AP14" s="181"/>
      <c r="AQ14" s="182"/>
      <c r="AR14" s="183"/>
      <c r="AS14" s="181"/>
      <c r="AT14" s="182"/>
      <c r="AU14" s="183"/>
      <c r="AV14" s="181"/>
      <c r="AW14" s="182"/>
      <c r="AX14" s="183"/>
      <c r="AY14" s="181"/>
      <c r="AZ14" s="182"/>
      <c r="BA14" s="183"/>
      <c r="BB14" s="28"/>
      <c r="BC14" s="33" t="s">
        <v>38</v>
      </c>
      <c r="BD14" s="38">
        <v>2</v>
      </c>
      <c r="BE14" s="38">
        <v>3</v>
      </c>
      <c r="BF14" s="38">
        <v>5</v>
      </c>
      <c r="BG14" s="38">
        <v>3</v>
      </c>
      <c r="BH14" s="36">
        <v>6</v>
      </c>
      <c r="BI14" s="36">
        <v>5</v>
      </c>
      <c r="BJ14" s="36">
        <v>4</v>
      </c>
      <c r="BK14" s="36">
        <v>4</v>
      </c>
      <c r="BL14" s="36"/>
      <c r="BM14" s="36"/>
      <c r="BN14" s="36" t="s">
        <v>24</v>
      </c>
      <c r="BO14" s="36">
        <f>BN15</f>
        <v>4</v>
      </c>
      <c r="BP14" s="36">
        <f>BN16</f>
        <v>3</v>
      </c>
      <c r="BQ14" s="36">
        <f>BN17</f>
        <v>3</v>
      </c>
      <c r="BR14" s="36">
        <f>BN18</f>
        <v>4</v>
      </c>
    </row>
    <row r="15" spans="1:70" ht="12" customHeight="1" x14ac:dyDescent="0.25">
      <c r="A15" s="179" t="s">
        <v>12</v>
      </c>
      <c r="B15" s="180"/>
      <c r="C15" s="11">
        <v>95</v>
      </c>
      <c r="D15" s="75">
        <v>33</v>
      </c>
      <c r="E15" s="11">
        <v>35</v>
      </c>
      <c r="F15" s="11">
        <v>84</v>
      </c>
      <c r="G15" s="75">
        <v>3</v>
      </c>
      <c r="H15" s="11">
        <v>31</v>
      </c>
      <c r="I15" s="11">
        <v>98</v>
      </c>
      <c r="J15" s="75">
        <v>-27</v>
      </c>
      <c r="K15" s="11">
        <v>24</v>
      </c>
      <c r="L15" s="87">
        <v>103</v>
      </c>
      <c r="M15" s="88">
        <v>-9</v>
      </c>
      <c r="N15" s="87">
        <v>32</v>
      </c>
      <c r="O15" s="13"/>
      <c r="P15" s="87">
        <v>85</v>
      </c>
      <c r="Q15" s="88">
        <v>-6</v>
      </c>
      <c r="R15" s="87">
        <v>31</v>
      </c>
      <c r="S15" s="87">
        <v>87</v>
      </c>
      <c r="T15" s="88">
        <v>-4</v>
      </c>
      <c r="U15" s="87">
        <v>38</v>
      </c>
      <c r="V15" s="87">
        <v>89</v>
      </c>
      <c r="W15" s="88">
        <v>4</v>
      </c>
      <c r="X15" s="87">
        <v>34</v>
      </c>
      <c r="Y15" s="11">
        <v>94</v>
      </c>
      <c r="Z15" s="75">
        <v>6</v>
      </c>
      <c r="AA15" s="11">
        <v>30</v>
      </c>
      <c r="AC15" s="11"/>
      <c r="AD15" s="75"/>
      <c r="AE15" s="11"/>
      <c r="AF15" s="11"/>
      <c r="AG15" s="75"/>
      <c r="AH15" s="11"/>
      <c r="AI15" s="11"/>
      <c r="AJ15" s="75"/>
      <c r="AK15" s="11"/>
      <c r="AL15" s="11"/>
      <c r="AM15" s="75"/>
      <c r="AN15" s="11"/>
      <c r="AO15" s="12"/>
      <c r="AP15" s="11"/>
      <c r="AQ15" s="75"/>
      <c r="AR15" s="11"/>
      <c r="AS15" s="11"/>
      <c r="AT15" s="75"/>
      <c r="AU15" s="11"/>
      <c r="AV15" s="11"/>
      <c r="AW15" s="75"/>
      <c r="AX15" s="11"/>
      <c r="AY15" s="11"/>
      <c r="AZ15" s="75"/>
      <c r="BA15" s="11"/>
      <c r="BB15" s="12"/>
      <c r="BC15" t="s">
        <v>52</v>
      </c>
      <c r="BD15" s="36">
        <v>5</v>
      </c>
      <c r="BE15" s="36">
        <v>2</v>
      </c>
      <c r="BF15" s="36">
        <v>4</v>
      </c>
      <c r="BG15" s="36">
        <v>3</v>
      </c>
      <c r="BH15" s="36">
        <v>3</v>
      </c>
      <c r="BI15" s="36">
        <v>4</v>
      </c>
      <c r="BJ15" s="36">
        <v>3</v>
      </c>
      <c r="BK15" s="36">
        <v>3</v>
      </c>
      <c r="BL15" s="36"/>
      <c r="BM15" s="36"/>
      <c r="BN15" s="36">
        <v>4</v>
      </c>
      <c r="BO15" s="36" t="s">
        <v>24</v>
      </c>
      <c r="BP15" s="36">
        <f>BO16</f>
        <v>4</v>
      </c>
      <c r="BQ15" s="36">
        <f>BO17</f>
        <v>5</v>
      </c>
      <c r="BR15" s="36">
        <f>BO18</f>
        <v>1</v>
      </c>
    </row>
    <row r="16" spans="1:70" ht="12" customHeight="1" x14ac:dyDescent="0.25">
      <c r="A16" s="2"/>
      <c r="B16" s="38">
        <v>8</v>
      </c>
      <c r="C16" s="181" t="s">
        <v>3</v>
      </c>
      <c r="D16" s="182"/>
      <c r="E16" s="183"/>
      <c r="F16" s="181" t="s">
        <v>27</v>
      </c>
      <c r="G16" s="182"/>
      <c r="H16" s="183"/>
      <c r="I16" s="181" t="s">
        <v>158</v>
      </c>
      <c r="J16" s="182"/>
      <c r="K16" s="183"/>
      <c r="L16" s="181" t="s">
        <v>9</v>
      </c>
      <c r="M16" s="182"/>
      <c r="N16" s="183"/>
      <c r="O16" s="13"/>
      <c r="P16" s="181" t="s">
        <v>36</v>
      </c>
      <c r="Q16" s="182"/>
      <c r="R16" s="183"/>
      <c r="S16" s="181" t="s">
        <v>29</v>
      </c>
      <c r="T16" s="182"/>
      <c r="U16" s="183"/>
      <c r="V16" s="181" t="s">
        <v>78</v>
      </c>
      <c r="W16" s="182"/>
      <c r="X16" s="183"/>
      <c r="Y16" s="181" t="s">
        <v>83</v>
      </c>
      <c r="Z16" s="182"/>
      <c r="AA16" s="183"/>
      <c r="AC16" s="181"/>
      <c r="AD16" s="182"/>
      <c r="AE16" s="183"/>
      <c r="AF16" s="181"/>
      <c r="AG16" s="182"/>
      <c r="AH16" s="183"/>
      <c r="AI16" s="181"/>
      <c r="AJ16" s="182"/>
      <c r="AK16" s="183"/>
      <c r="AL16" s="181"/>
      <c r="AM16" s="182"/>
      <c r="AN16" s="183"/>
      <c r="AO16" s="28"/>
      <c r="AP16" s="181"/>
      <c r="AQ16" s="182"/>
      <c r="AR16" s="183"/>
      <c r="AS16" s="181"/>
      <c r="AT16" s="182"/>
      <c r="AU16" s="183"/>
      <c r="AV16" s="181"/>
      <c r="AW16" s="182"/>
      <c r="AX16" s="183"/>
      <c r="AY16" s="181"/>
      <c r="AZ16" s="182"/>
      <c r="BA16" s="183"/>
      <c r="BB16" s="28"/>
      <c r="BC16" t="s">
        <v>80</v>
      </c>
      <c r="BD16" s="36">
        <v>4</v>
      </c>
      <c r="BE16" s="36">
        <v>3</v>
      </c>
      <c r="BF16" s="36">
        <v>4</v>
      </c>
      <c r="BG16" s="36">
        <v>5</v>
      </c>
      <c r="BH16" s="36">
        <v>3</v>
      </c>
      <c r="BI16" s="36">
        <v>4</v>
      </c>
      <c r="BJ16" s="36">
        <v>5</v>
      </c>
      <c r="BK16" s="36">
        <v>3</v>
      </c>
      <c r="BL16" s="36"/>
      <c r="BM16" s="36"/>
      <c r="BN16" s="36">
        <v>3</v>
      </c>
      <c r="BO16" s="36">
        <v>4</v>
      </c>
      <c r="BP16" s="36" t="s">
        <v>24</v>
      </c>
      <c r="BQ16" s="36">
        <f>BP17</f>
        <v>4</v>
      </c>
      <c r="BR16" s="36">
        <f>BP18</f>
        <v>1</v>
      </c>
    </row>
    <row r="17" spans="1:70" ht="12" customHeight="1" x14ac:dyDescent="0.25">
      <c r="A17" s="179" t="s">
        <v>12</v>
      </c>
      <c r="B17" s="180"/>
      <c r="C17" s="11">
        <v>73</v>
      </c>
      <c r="D17" s="75">
        <v>13</v>
      </c>
      <c r="E17" s="11">
        <v>40</v>
      </c>
      <c r="F17" s="11">
        <v>98</v>
      </c>
      <c r="G17" s="75">
        <v>3</v>
      </c>
      <c r="H17" s="11">
        <v>32</v>
      </c>
      <c r="I17" s="11">
        <v>94</v>
      </c>
      <c r="J17" s="75">
        <v>3</v>
      </c>
      <c r="K17" s="11">
        <v>33</v>
      </c>
      <c r="L17" s="87">
        <v>80</v>
      </c>
      <c r="M17" s="88">
        <v>-19</v>
      </c>
      <c r="N17" s="87">
        <v>36</v>
      </c>
      <c r="O17" s="13"/>
      <c r="P17" s="87">
        <v>92</v>
      </c>
      <c r="Q17" s="88">
        <v>5</v>
      </c>
      <c r="R17" s="87">
        <v>32</v>
      </c>
      <c r="S17" s="87">
        <v>93</v>
      </c>
      <c r="T17" s="88">
        <v>15</v>
      </c>
      <c r="U17" s="87">
        <v>38</v>
      </c>
      <c r="V17" s="87">
        <v>78</v>
      </c>
      <c r="W17" s="88">
        <v>-3</v>
      </c>
      <c r="X17" s="87">
        <v>39</v>
      </c>
      <c r="Y17" s="11">
        <v>90</v>
      </c>
      <c r="Z17" s="75">
        <v>-17</v>
      </c>
      <c r="AA17" s="11">
        <v>37</v>
      </c>
      <c r="AC17" s="11"/>
      <c r="AD17" s="75"/>
      <c r="AE17" s="11"/>
      <c r="AF17" s="11"/>
      <c r="AG17" s="75"/>
      <c r="AH17" s="11"/>
      <c r="AI17" s="11"/>
      <c r="AJ17" s="75"/>
      <c r="AK17" s="11"/>
      <c r="AL17" s="11"/>
      <c r="AM17" s="75"/>
      <c r="AN17" s="11"/>
      <c r="AO17" s="12"/>
      <c r="AP17" s="11"/>
      <c r="AQ17" s="75"/>
      <c r="AR17" s="11"/>
      <c r="AS17" s="11"/>
      <c r="AT17" s="75"/>
      <c r="AU17" s="11"/>
      <c r="AV17" s="11"/>
      <c r="AW17" s="75"/>
      <c r="AX17" s="11"/>
      <c r="AY17" s="11"/>
      <c r="AZ17" s="75"/>
      <c r="BA17" s="11"/>
      <c r="BB17" s="12"/>
      <c r="BC17" t="s">
        <v>107</v>
      </c>
      <c r="BD17" s="36">
        <v>4</v>
      </c>
      <c r="BE17" s="36">
        <v>2</v>
      </c>
      <c r="BF17" s="36">
        <v>4</v>
      </c>
      <c r="BG17" s="36">
        <v>2</v>
      </c>
      <c r="BH17" s="36">
        <v>1</v>
      </c>
      <c r="BI17" s="36">
        <v>2</v>
      </c>
      <c r="BJ17" s="36">
        <v>3</v>
      </c>
      <c r="BK17" s="36">
        <v>3</v>
      </c>
      <c r="BL17" s="36"/>
      <c r="BM17" s="36"/>
      <c r="BN17" s="36">
        <v>3</v>
      </c>
      <c r="BO17" s="36">
        <v>5</v>
      </c>
      <c r="BP17" s="36">
        <v>4</v>
      </c>
      <c r="BQ17" s="36" t="s">
        <v>24</v>
      </c>
      <c r="BR17" s="36">
        <f>BQ18</f>
        <v>0</v>
      </c>
    </row>
    <row r="18" spans="1:70" ht="12" customHeight="1" x14ac:dyDescent="0.25">
      <c r="A18" s="2"/>
      <c r="B18" s="38">
        <v>9</v>
      </c>
      <c r="C18" s="181" t="s">
        <v>58</v>
      </c>
      <c r="D18" s="182"/>
      <c r="E18" s="183"/>
      <c r="F18" s="181" t="s">
        <v>78</v>
      </c>
      <c r="G18" s="182"/>
      <c r="H18" s="183"/>
      <c r="I18" s="181" t="s">
        <v>3</v>
      </c>
      <c r="J18" s="182"/>
      <c r="K18" s="183"/>
      <c r="L18" s="181" t="s">
        <v>9</v>
      </c>
      <c r="M18" s="182"/>
      <c r="N18" s="183"/>
      <c r="O18" s="13"/>
      <c r="P18" s="181" t="s">
        <v>10</v>
      </c>
      <c r="Q18" s="182"/>
      <c r="R18" s="183"/>
      <c r="S18" s="181" t="s">
        <v>83</v>
      </c>
      <c r="T18" s="182"/>
      <c r="U18" s="183"/>
      <c r="V18" s="181" t="s">
        <v>29</v>
      </c>
      <c r="W18" s="182"/>
      <c r="X18" s="183"/>
      <c r="Y18" s="181" t="s">
        <v>36</v>
      </c>
      <c r="Z18" s="182"/>
      <c r="AA18" s="183"/>
      <c r="AC18" s="181" t="s">
        <v>161</v>
      </c>
      <c r="AD18" s="182"/>
      <c r="AE18" s="183"/>
      <c r="AF18" s="181" t="s">
        <v>35</v>
      </c>
      <c r="AG18" s="182"/>
      <c r="AH18" s="183"/>
      <c r="AI18" s="181" t="s">
        <v>39</v>
      </c>
      <c r="AJ18" s="182"/>
      <c r="AK18" s="183"/>
      <c r="AL18" s="181" t="s">
        <v>51</v>
      </c>
      <c r="AM18" s="182"/>
      <c r="AN18" s="183"/>
      <c r="AO18" s="110"/>
      <c r="AP18" s="181"/>
      <c r="AQ18" s="182"/>
      <c r="AR18" s="183"/>
      <c r="AS18" s="181"/>
      <c r="AT18" s="182"/>
      <c r="AU18" s="183"/>
      <c r="AV18" s="181"/>
      <c r="AW18" s="182"/>
      <c r="AX18" s="183"/>
      <c r="AY18" s="181"/>
      <c r="AZ18" s="182"/>
      <c r="BA18" s="183"/>
      <c r="BB18" s="28"/>
      <c r="BC18" t="s">
        <v>88</v>
      </c>
      <c r="BD18" s="36">
        <v>3</v>
      </c>
      <c r="BE18" s="36">
        <v>1</v>
      </c>
      <c r="BF18" s="36">
        <v>2</v>
      </c>
      <c r="BG18" s="36">
        <v>2</v>
      </c>
      <c r="BH18" s="36">
        <v>3</v>
      </c>
      <c r="BI18" s="36">
        <v>3</v>
      </c>
      <c r="BJ18" s="36"/>
      <c r="BK18" s="36">
        <v>2</v>
      </c>
      <c r="BL18" s="36"/>
      <c r="BM18" s="36"/>
      <c r="BN18" s="36">
        <v>4</v>
      </c>
      <c r="BO18" s="36">
        <v>1</v>
      </c>
      <c r="BP18" s="36">
        <v>1</v>
      </c>
      <c r="BR18" s="36" t="s">
        <v>24</v>
      </c>
    </row>
    <row r="19" spans="1:70" ht="12" customHeight="1" x14ac:dyDescent="0.25">
      <c r="A19" s="179" t="s">
        <v>12</v>
      </c>
      <c r="B19" s="180"/>
      <c r="C19" s="11">
        <v>88</v>
      </c>
      <c r="D19" s="75">
        <v>-20</v>
      </c>
      <c r="E19" s="11">
        <v>35</v>
      </c>
      <c r="F19" s="11">
        <v>80</v>
      </c>
      <c r="G19" s="75">
        <v>-6</v>
      </c>
      <c r="H19" s="11">
        <v>37</v>
      </c>
      <c r="I19" s="11">
        <v>72</v>
      </c>
      <c r="J19" s="75">
        <v>20</v>
      </c>
      <c r="K19" s="11">
        <v>41</v>
      </c>
      <c r="L19" s="11">
        <v>83</v>
      </c>
      <c r="M19" s="75">
        <v>6</v>
      </c>
      <c r="N19" s="11">
        <v>33</v>
      </c>
      <c r="P19" s="11">
        <v>90</v>
      </c>
      <c r="Q19" s="75">
        <v>24</v>
      </c>
      <c r="R19" s="11">
        <v>35</v>
      </c>
      <c r="S19" s="11">
        <v>96</v>
      </c>
      <c r="T19" s="75">
        <v>-36</v>
      </c>
      <c r="U19" s="11">
        <v>31</v>
      </c>
      <c r="V19" s="11">
        <v>105</v>
      </c>
      <c r="W19" s="75">
        <v>6</v>
      </c>
      <c r="X19" s="11">
        <v>25</v>
      </c>
      <c r="Y19" s="11">
        <v>92</v>
      </c>
      <c r="Z19" s="75">
        <v>6</v>
      </c>
      <c r="AA19" s="11">
        <v>30</v>
      </c>
      <c r="AC19" s="11">
        <v>95</v>
      </c>
      <c r="AD19" s="75">
        <v>-7</v>
      </c>
      <c r="AE19" s="11">
        <v>30</v>
      </c>
      <c r="AF19" s="11">
        <v>82</v>
      </c>
      <c r="AG19" s="75">
        <v>5</v>
      </c>
      <c r="AH19" s="11">
        <v>32</v>
      </c>
      <c r="AI19" s="11">
        <v>96</v>
      </c>
      <c r="AJ19" s="75">
        <v>3</v>
      </c>
      <c r="AK19" s="11">
        <v>39</v>
      </c>
      <c r="AL19" s="11">
        <v>81</v>
      </c>
      <c r="AM19" s="75">
        <v>-1</v>
      </c>
      <c r="AN19" s="11">
        <v>35</v>
      </c>
      <c r="AO19" s="12"/>
      <c r="AP19" s="11"/>
      <c r="AQ19" s="75"/>
      <c r="AR19" s="11"/>
      <c r="AS19" s="11"/>
      <c r="AT19" s="75"/>
      <c r="AU19" s="11"/>
      <c r="AV19" s="11"/>
      <c r="AW19" s="75"/>
      <c r="AX19" s="11"/>
      <c r="AY19" s="11"/>
      <c r="AZ19" s="75"/>
      <c r="BA19" s="11"/>
      <c r="BB19" s="12"/>
      <c r="BC19" t="s">
        <v>13</v>
      </c>
      <c r="BD19" s="36">
        <f>SUM(BD5:BD18)</f>
        <v>37</v>
      </c>
      <c r="BE19" s="36">
        <f>SUM(BE4:BE18)</f>
        <v>29</v>
      </c>
      <c r="BF19" s="36">
        <f t="shared" ref="BF19:BR19" si="0">SUM(BF4:BF18)</f>
        <v>38</v>
      </c>
      <c r="BG19" s="36">
        <f t="shared" si="0"/>
        <v>35</v>
      </c>
      <c r="BH19" s="36">
        <f t="shared" si="0"/>
        <v>37</v>
      </c>
      <c r="BI19" s="36">
        <f t="shared" si="0"/>
        <v>45</v>
      </c>
      <c r="BJ19" s="36">
        <f t="shared" si="0"/>
        <v>32</v>
      </c>
      <c r="BK19" s="36">
        <f t="shared" si="0"/>
        <v>32</v>
      </c>
      <c r="BL19" s="36">
        <f t="shared" si="0"/>
        <v>0</v>
      </c>
      <c r="BM19" s="36">
        <f t="shared" si="0"/>
        <v>0</v>
      </c>
      <c r="BN19" s="36">
        <f t="shared" si="0"/>
        <v>46</v>
      </c>
      <c r="BO19" s="36">
        <f t="shared" si="0"/>
        <v>41</v>
      </c>
      <c r="BP19" s="36">
        <f t="shared" si="0"/>
        <v>43</v>
      </c>
      <c r="BQ19" s="36">
        <f t="shared" si="0"/>
        <v>33</v>
      </c>
      <c r="BR19" s="36">
        <f t="shared" si="0"/>
        <v>22</v>
      </c>
    </row>
    <row r="20" spans="1:70" ht="12" customHeight="1" x14ac:dyDescent="0.25">
      <c r="A20" s="2"/>
      <c r="B20" s="38">
        <v>10</v>
      </c>
      <c r="C20" s="181" t="s">
        <v>163</v>
      </c>
      <c r="D20" s="182"/>
      <c r="E20" s="183"/>
      <c r="F20" s="181" t="s">
        <v>164</v>
      </c>
      <c r="G20" s="182"/>
      <c r="H20" s="183"/>
      <c r="I20" s="181" t="s">
        <v>165</v>
      </c>
      <c r="J20" s="182"/>
      <c r="K20" s="183"/>
      <c r="L20" s="181" t="s">
        <v>166</v>
      </c>
      <c r="M20" s="182"/>
      <c r="N20" s="183"/>
      <c r="O20" s="13"/>
      <c r="P20" s="181" t="s">
        <v>167</v>
      </c>
      <c r="Q20" s="182"/>
      <c r="R20" s="183"/>
      <c r="S20" s="181" t="s">
        <v>145</v>
      </c>
      <c r="T20" s="182"/>
      <c r="U20" s="183"/>
      <c r="V20" s="181" t="s">
        <v>168</v>
      </c>
      <c r="W20" s="182"/>
      <c r="X20" s="183"/>
      <c r="Y20" s="181" t="s">
        <v>150</v>
      </c>
      <c r="Z20" s="182"/>
      <c r="AA20" s="183"/>
      <c r="AC20" s="181"/>
      <c r="AD20" s="182"/>
      <c r="AE20" s="183"/>
      <c r="AF20" s="181"/>
      <c r="AG20" s="182"/>
      <c r="AH20" s="183"/>
      <c r="AI20" s="181"/>
      <c r="AJ20" s="182"/>
      <c r="AK20" s="183"/>
      <c r="AL20" s="181"/>
      <c r="AM20" s="182"/>
      <c r="AN20" s="183"/>
      <c r="AO20" s="28"/>
      <c r="AP20" s="181"/>
      <c r="AQ20" s="182"/>
      <c r="AR20" s="183"/>
      <c r="AS20" s="181"/>
      <c r="AT20" s="182"/>
      <c r="AU20" s="183"/>
      <c r="AV20" s="181"/>
      <c r="AW20" s="182"/>
      <c r="AX20" s="183"/>
      <c r="AY20" s="181"/>
      <c r="AZ20" s="182"/>
      <c r="BA20" s="183"/>
      <c r="BB20" s="28"/>
    </row>
    <row r="21" spans="1:70" ht="12" customHeight="1" x14ac:dyDescent="0.25">
      <c r="A21" s="179" t="s">
        <v>12</v>
      </c>
      <c r="B21" s="180"/>
      <c r="C21" s="11">
        <v>87</v>
      </c>
      <c r="D21" s="75">
        <v>13</v>
      </c>
      <c r="E21" s="11">
        <v>35</v>
      </c>
      <c r="F21" s="11">
        <v>84</v>
      </c>
      <c r="G21" s="75">
        <v>5</v>
      </c>
      <c r="H21" s="11">
        <v>43</v>
      </c>
      <c r="I21" s="11">
        <v>82</v>
      </c>
      <c r="J21" s="75">
        <v>-7</v>
      </c>
      <c r="K21" s="11">
        <v>31</v>
      </c>
      <c r="L21" s="11">
        <v>84</v>
      </c>
      <c r="M21" s="75">
        <v>-11</v>
      </c>
      <c r="N21" s="11">
        <v>38</v>
      </c>
      <c r="P21" s="11">
        <v>87</v>
      </c>
      <c r="Q21" s="75">
        <v>-36</v>
      </c>
      <c r="R21" s="11">
        <v>39</v>
      </c>
      <c r="S21" s="11">
        <v>90</v>
      </c>
      <c r="T21" s="75">
        <v>-6</v>
      </c>
      <c r="U21" s="11">
        <v>37</v>
      </c>
      <c r="V21" s="11">
        <v>77</v>
      </c>
      <c r="W21" s="75">
        <v>14</v>
      </c>
      <c r="X21" s="11">
        <v>34</v>
      </c>
      <c r="Y21" s="11">
        <v>79</v>
      </c>
      <c r="Z21" s="75">
        <v>28</v>
      </c>
      <c r="AA21" s="11">
        <v>37</v>
      </c>
      <c r="AC21" s="11"/>
      <c r="AD21" s="75"/>
      <c r="AE21" s="11"/>
      <c r="AF21" s="11"/>
      <c r="AG21" s="75"/>
      <c r="AH21" s="11"/>
      <c r="AI21" s="11"/>
      <c r="AJ21" s="75"/>
      <c r="AK21" s="11"/>
      <c r="AL21" s="11"/>
      <c r="AM21" s="75"/>
      <c r="AN21" s="11"/>
      <c r="AO21" s="12"/>
      <c r="AP21" s="11"/>
      <c r="AQ21" s="75"/>
      <c r="AR21" s="11"/>
      <c r="AS21" s="11"/>
      <c r="AT21" s="75"/>
      <c r="AU21" s="11"/>
      <c r="AV21" s="11"/>
      <c r="AW21" s="75"/>
      <c r="AX21" s="11"/>
      <c r="AY21" s="11"/>
      <c r="AZ21" s="75"/>
      <c r="BA21" s="11"/>
      <c r="BB21" s="12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O21" s="36"/>
    </row>
    <row r="22" spans="1:70" ht="12" customHeight="1" x14ac:dyDescent="0.25">
      <c r="A22" s="2"/>
      <c r="B22" s="38">
        <v>11</v>
      </c>
      <c r="C22" s="181" t="s">
        <v>78</v>
      </c>
      <c r="D22" s="182"/>
      <c r="E22" s="183"/>
      <c r="F22" s="181" t="s">
        <v>39</v>
      </c>
      <c r="G22" s="182"/>
      <c r="H22" s="183"/>
      <c r="I22" s="181" t="s">
        <v>36</v>
      </c>
      <c r="J22" s="182"/>
      <c r="K22" s="183"/>
      <c r="L22" s="181" t="s">
        <v>9</v>
      </c>
      <c r="M22" s="182"/>
      <c r="N22" s="183"/>
      <c r="O22" s="13"/>
      <c r="P22" s="181" t="s">
        <v>91</v>
      </c>
      <c r="Q22" s="182"/>
      <c r="R22" s="183"/>
      <c r="S22" s="181" t="s">
        <v>58</v>
      </c>
      <c r="T22" s="182"/>
      <c r="U22" s="183"/>
      <c r="V22" s="181" t="s">
        <v>51</v>
      </c>
      <c r="W22" s="182"/>
      <c r="X22" s="183"/>
      <c r="Y22" s="181" t="s">
        <v>29</v>
      </c>
      <c r="Z22" s="182"/>
      <c r="AA22" s="183"/>
      <c r="AC22" s="181" t="s">
        <v>35</v>
      </c>
      <c r="AD22" s="182"/>
      <c r="AE22" s="183"/>
      <c r="AF22" s="181" t="s">
        <v>3</v>
      </c>
      <c r="AG22" s="182"/>
      <c r="AH22" s="183"/>
      <c r="AI22" s="181" t="s">
        <v>173</v>
      </c>
      <c r="AJ22" s="182"/>
      <c r="AK22" s="183"/>
      <c r="AL22" s="181" t="s">
        <v>10</v>
      </c>
      <c r="AM22" s="182"/>
      <c r="AN22" s="183"/>
      <c r="AO22" s="28"/>
      <c r="AP22" s="181"/>
      <c r="AQ22" s="182"/>
      <c r="AR22" s="183"/>
      <c r="AS22" s="181"/>
      <c r="AT22" s="182"/>
      <c r="AU22" s="183"/>
      <c r="AV22" s="181"/>
      <c r="AW22" s="182"/>
      <c r="AX22" s="183"/>
      <c r="AY22" s="181"/>
      <c r="AZ22" s="182"/>
      <c r="BA22" s="183"/>
      <c r="BB22" s="28"/>
    </row>
    <row r="23" spans="1:70" ht="12" customHeight="1" x14ac:dyDescent="0.25">
      <c r="A23" s="179" t="s">
        <v>12</v>
      </c>
      <c r="B23" s="180"/>
      <c r="C23" s="11">
        <v>80</v>
      </c>
      <c r="D23" s="75">
        <v>-7</v>
      </c>
      <c r="E23" s="11">
        <v>36</v>
      </c>
      <c r="F23" s="11">
        <v>105</v>
      </c>
      <c r="G23" s="75">
        <v>31</v>
      </c>
      <c r="H23" s="11">
        <v>30</v>
      </c>
      <c r="I23" s="11">
        <v>87</v>
      </c>
      <c r="J23" s="75">
        <v>7</v>
      </c>
      <c r="K23" s="11">
        <v>35</v>
      </c>
      <c r="L23" s="11">
        <v>83</v>
      </c>
      <c r="M23" s="75">
        <v>-31</v>
      </c>
      <c r="N23" s="11">
        <v>33</v>
      </c>
      <c r="P23" s="11">
        <v>93</v>
      </c>
      <c r="Q23" s="75">
        <v>13</v>
      </c>
      <c r="R23" s="11">
        <v>41</v>
      </c>
      <c r="S23" s="11">
        <v>92</v>
      </c>
      <c r="T23" s="75">
        <v>1</v>
      </c>
      <c r="U23" s="11">
        <v>32</v>
      </c>
      <c r="V23" s="11">
        <v>79</v>
      </c>
      <c r="W23" s="75">
        <v>-5</v>
      </c>
      <c r="X23" s="11">
        <v>36</v>
      </c>
      <c r="Y23" s="11">
        <v>97</v>
      </c>
      <c r="Z23" s="75">
        <v>-9</v>
      </c>
      <c r="AA23" s="11">
        <v>33</v>
      </c>
      <c r="AC23" s="11">
        <v>76</v>
      </c>
      <c r="AD23" s="75">
        <v>3</v>
      </c>
      <c r="AE23" s="11">
        <v>39</v>
      </c>
      <c r="AF23" s="11">
        <v>76</v>
      </c>
      <c r="AG23" s="75">
        <v>5</v>
      </c>
      <c r="AH23" s="11">
        <v>37</v>
      </c>
      <c r="AI23" s="11">
        <v>95</v>
      </c>
      <c r="AJ23" s="75">
        <v>-3</v>
      </c>
      <c r="AK23" s="11">
        <v>31</v>
      </c>
      <c r="AL23" s="11">
        <v>83</v>
      </c>
      <c r="AM23" s="75">
        <v>-5</v>
      </c>
      <c r="AN23" s="11">
        <v>42</v>
      </c>
      <c r="AO23" s="12"/>
      <c r="AP23" s="11"/>
      <c r="AQ23" s="75"/>
      <c r="AR23" s="11"/>
      <c r="AS23" s="11"/>
      <c r="AT23" s="75"/>
      <c r="AU23" s="11"/>
      <c r="AV23" s="11"/>
      <c r="AW23" s="75"/>
      <c r="AX23" s="11"/>
      <c r="AY23" s="11"/>
      <c r="AZ23" s="75"/>
      <c r="BA23" s="11"/>
      <c r="BB23" s="12"/>
    </row>
    <row r="24" spans="1:70" ht="12" customHeight="1" x14ac:dyDescent="0.25">
      <c r="A24" s="2"/>
      <c r="B24" s="38">
        <v>12</v>
      </c>
      <c r="C24" s="181" t="s">
        <v>10</v>
      </c>
      <c r="D24" s="182"/>
      <c r="E24" s="183"/>
      <c r="F24" s="181" t="s">
        <v>2</v>
      </c>
      <c r="G24" s="182"/>
      <c r="H24" s="183"/>
      <c r="I24" s="181" t="s">
        <v>78</v>
      </c>
      <c r="J24" s="182"/>
      <c r="K24" s="183"/>
      <c r="L24" s="181" t="s">
        <v>58</v>
      </c>
      <c r="M24" s="182"/>
      <c r="N24" s="183"/>
      <c r="O24" s="13"/>
      <c r="P24" s="181" t="s">
        <v>36</v>
      </c>
      <c r="Q24" s="182"/>
      <c r="R24" s="183"/>
      <c r="S24" s="181" t="s">
        <v>35</v>
      </c>
      <c r="T24" s="182"/>
      <c r="U24" s="183"/>
      <c r="V24" s="181" t="s">
        <v>174</v>
      </c>
      <c r="W24" s="182"/>
      <c r="X24" s="183"/>
      <c r="Y24" s="181" t="s">
        <v>91</v>
      </c>
      <c r="Z24" s="182"/>
      <c r="AA24" s="183"/>
      <c r="AC24" s="181" t="s">
        <v>39</v>
      </c>
      <c r="AD24" s="182"/>
      <c r="AE24" s="183"/>
      <c r="AF24" s="181" t="s">
        <v>83</v>
      </c>
      <c r="AG24" s="182"/>
      <c r="AH24" s="183"/>
      <c r="AI24" s="181" t="s">
        <v>146</v>
      </c>
      <c r="AJ24" s="182"/>
      <c r="AK24" s="183"/>
      <c r="AL24" s="181" t="s">
        <v>3</v>
      </c>
      <c r="AM24" s="182"/>
      <c r="AN24" s="183"/>
      <c r="AO24" s="28"/>
      <c r="AP24" s="181"/>
      <c r="AQ24" s="182"/>
      <c r="AR24" s="183"/>
      <c r="AS24" s="181"/>
      <c r="AT24" s="182"/>
      <c r="AU24" s="183"/>
      <c r="AV24" s="181"/>
      <c r="AW24" s="182"/>
      <c r="AX24" s="183"/>
      <c r="AY24" s="181"/>
      <c r="AZ24" s="182"/>
      <c r="BA24" s="183"/>
      <c r="BB24" s="28"/>
    </row>
    <row r="25" spans="1:70" ht="12" customHeight="1" x14ac:dyDescent="0.25">
      <c r="A25" s="179" t="s">
        <v>12</v>
      </c>
      <c r="B25" s="180"/>
      <c r="C25" s="11">
        <v>94</v>
      </c>
      <c r="D25" s="75">
        <v>-24</v>
      </c>
      <c r="E25" s="11">
        <v>30</v>
      </c>
      <c r="F25" s="11">
        <v>92</v>
      </c>
      <c r="G25" s="75">
        <v>-6</v>
      </c>
      <c r="H25" s="11">
        <v>35</v>
      </c>
      <c r="I25" s="11">
        <v>82</v>
      </c>
      <c r="J25" s="75">
        <v>12</v>
      </c>
      <c r="K25" s="11">
        <v>39</v>
      </c>
      <c r="L25" s="11">
        <v>91</v>
      </c>
      <c r="M25" s="75">
        <v>14</v>
      </c>
      <c r="N25" s="11">
        <v>32</v>
      </c>
      <c r="P25" s="11">
        <v>82</v>
      </c>
      <c r="Q25" s="75">
        <v>12</v>
      </c>
      <c r="R25" s="11">
        <v>39</v>
      </c>
      <c r="S25" s="11">
        <v>84</v>
      </c>
      <c r="T25" s="75">
        <v>6</v>
      </c>
      <c r="U25" s="11">
        <v>30</v>
      </c>
      <c r="V25" s="11">
        <v>68</v>
      </c>
      <c r="W25" s="75">
        <v>8</v>
      </c>
      <c r="X25" s="11">
        <v>39</v>
      </c>
      <c r="Y25" s="11">
        <v>97</v>
      </c>
      <c r="Z25" s="75">
        <v>-26</v>
      </c>
      <c r="AA25" s="11">
        <v>36</v>
      </c>
      <c r="AC25" s="11">
        <v>94</v>
      </c>
      <c r="AD25" s="75">
        <v>5</v>
      </c>
      <c r="AE25" s="11">
        <v>43</v>
      </c>
      <c r="AF25" s="11">
        <v>95</v>
      </c>
      <c r="AG25" s="75">
        <v>29</v>
      </c>
      <c r="AH25" s="11">
        <v>32</v>
      </c>
      <c r="AI25" s="11">
        <v>88</v>
      </c>
      <c r="AJ25" s="75">
        <v>-23</v>
      </c>
      <c r="AK25" s="11">
        <v>33</v>
      </c>
      <c r="AL25" s="11">
        <v>78</v>
      </c>
      <c r="AM25" s="75">
        <v>-11</v>
      </c>
      <c r="AN25" s="11">
        <v>35</v>
      </c>
      <c r="AO25" s="12"/>
      <c r="AP25" s="11"/>
      <c r="AQ25" s="75"/>
      <c r="AR25" s="11"/>
      <c r="AS25" s="11"/>
      <c r="AT25" s="75"/>
      <c r="AU25" s="11"/>
      <c r="AV25" s="11"/>
      <c r="AW25" s="75"/>
      <c r="AX25" s="11"/>
      <c r="AY25" s="11"/>
      <c r="AZ25" s="75"/>
      <c r="BA25" s="11"/>
      <c r="BB25" s="12"/>
    </row>
    <row r="26" spans="1:70" ht="12" customHeight="1" x14ac:dyDescent="0.25">
      <c r="A26" s="2"/>
      <c r="B26" s="38">
        <v>13</v>
      </c>
      <c r="C26" s="181" t="s">
        <v>91</v>
      </c>
      <c r="D26" s="182"/>
      <c r="E26" s="183"/>
      <c r="F26" s="181" t="s">
        <v>153</v>
      </c>
      <c r="G26" s="182"/>
      <c r="H26" s="183"/>
      <c r="I26" s="181" t="s">
        <v>9</v>
      </c>
      <c r="J26" s="182"/>
      <c r="K26" s="183"/>
      <c r="L26" s="181" t="s">
        <v>3</v>
      </c>
      <c r="M26" s="182"/>
      <c r="N26" s="183"/>
      <c r="O26" s="13"/>
      <c r="P26" s="181" t="s">
        <v>58</v>
      </c>
      <c r="Q26" s="182"/>
      <c r="R26" s="183"/>
      <c r="S26" s="181" t="s">
        <v>35</v>
      </c>
      <c r="T26" s="182"/>
      <c r="U26" s="183"/>
      <c r="V26" s="181" t="s">
        <v>36</v>
      </c>
      <c r="W26" s="182"/>
      <c r="X26" s="183"/>
      <c r="Y26" s="181" t="s">
        <v>158</v>
      </c>
      <c r="Z26" s="182"/>
      <c r="AA26" s="183"/>
      <c r="AC26" s="181" t="s">
        <v>39</v>
      </c>
      <c r="AD26" s="182"/>
      <c r="AE26" s="183"/>
      <c r="AF26" s="181" t="s">
        <v>78</v>
      </c>
      <c r="AG26" s="182"/>
      <c r="AH26" s="183"/>
      <c r="AI26" s="181" t="s">
        <v>175</v>
      </c>
      <c r="AJ26" s="182"/>
      <c r="AK26" s="183"/>
      <c r="AL26" s="181" t="s">
        <v>29</v>
      </c>
      <c r="AM26" s="182"/>
      <c r="AN26" s="183"/>
      <c r="AO26" s="28"/>
      <c r="AP26" s="181"/>
      <c r="AQ26" s="182"/>
      <c r="AR26" s="183"/>
      <c r="AS26" s="181"/>
      <c r="AT26" s="182"/>
      <c r="AU26" s="183"/>
      <c r="AV26" s="181"/>
      <c r="AW26" s="182"/>
      <c r="AX26" s="183"/>
      <c r="AY26" s="181"/>
      <c r="AZ26" s="182"/>
      <c r="BA26" s="183"/>
      <c r="BB26" s="28"/>
    </row>
    <row r="27" spans="1:70" ht="12" customHeight="1" x14ac:dyDescent="0.25">
      <c r="A27" s="179" t="s">
        <v>12</v>
      </c>
      <c r="B27" s="180"/>
      <c r="C27" s="11">
        <v>100</v>
      </c>
      <c r="D27" s="75">
        <v>-15</v>
      </c>
      <c r="E27" s="11">
        <v>33</v>
      </c>
      <c r="F27" s="11">
        <v>81</v>
      </c>
      <c r="G27" s="75">
        <v>24</v>
      </c>
      <c r="H27" s="11">
        <v>35</v>
      </c>
      <c r="I27" s="11">
        <v>84</v>
      </c>
      <c r="J27" s="75">
        <v>-12</v>
      </c>
      <c r="K27" s="11">
        <v>32</v>
      </c>
      <c r="L27" s="11">
        <v>77</v>
      </c>
      <c r="M27" s="75">
        <v>3</v>
      </c>
      <c r="N27" s="11">
        <v>36</v>
      </c>
      <c r="P27" s="11">
        <v>87</v>
      </c>
      <c r="Q27" s="75">
        <v>-10</v>
      </c>
      <c r="R27" s="11">
        <v>36</v>
      </c>
      <c r="S27" s="11">
        <v>75</v>
      </c>
      <c r="T27" s="75">
        <v>12</v>
      </c>
      <c r="U27" s="11">
        <v>39</v>
      </c>
      <c r="V27" s="11">
        <v>87</v>
      </c>
      <c r="W27" s="75">
        <v>20</v>
      </c>
      <c r="X27" s="11">
        <v>34</v>
      </c>
      <c r="Y27" s="11">
        <v>95</v>
      </c>
      <c r="Z27" s="75">
        <v>-22</v>
      </c>
      <c r="AA27" s="11">
        <v>32</v>
      </c>
      <c r="AC27" s="11">
        <v>102</v>
      </c>
      <c r="AD27" s="75">
        <v>3</v>
      </c>
      <c r="AE27" s="11">
        <v>34</v>
      </c>
      <c r="AF27" s="11">
        <v>79</v>
      </c>
      <c r="AG27" s="75">
        <v>-13</v>
      </c>
      <c r="AH27" s="11">
        <v>36</v>
      </c>
      <c r="AI27" s="11">
        <v>90</v>
      </c>
      <c r="AJ27" s="75">
        <v>1</v>
      </c>
      <c r="AK27" s="11">
        <v>34</v>
      </c>
      <c r="AL27" s="11">
        <v>98</v>
      </c>
      <c r="AM27" s="75">
        <v>9</v>
      </c>
      <c r="AN27" s="11">
        <v>32</v>
      </c>
      <c r="AO27" s="12"/>
      <c r="AP27" s="11"/>
      <c r="AQ27" s="75"/>
      <c r="AR27" s="11"/>
      <c r="AS27" s="11"/>
      <c r="AT27" s="75"/>
      <c r="AU27" s="11"/>
      <c r="AV27" s="11"/>
      <c r="AW27" s="75"/>
      <c r="AX27" s="11"/>
      <c r="AY27" s="11"/>
      <c r="AZ27" s="75"/>
      <c r="BA27" s="11"/>
      <c r="BB27" s="12"/>
    </row>
    <row r="28" spans="1:70" ht="12" customHeight="1" x14ac:dyDescent="0.25">
      <c r="A28" s="2"/>
      <c r="B28" s="38">
        <v>14</v>
      </c>
      <c r="C28" s="181" t="s">
        <v>10</v>
      </c>
      <c r="D28" s="182"/>
      <c r="E28" s="183"/>
      <c r="F28" s="181" t="s">
        <v>39</v>
      </c>
      <c r="G28" s="182"/>
      <c r="H28" s="183"/>
      <c r="I28" s="181" t="s">
        <v>36</v>
      </c>
      <c r="J28" s="182"/>
      <c r="K28" s="183"/>
      <c r="L28" s="181" t="s">
        <v>153</v>
      </c>
      <c r="M28" s="182"/>
      <c r="N28" s="183"/>
      <c r="O28" s="13"/>
      <c r="P28" s="181" t="s">
        <v>177</v>
      </c>
      <c r="Q28" s="182"/>
      <c r="R28" s="183"/>
      <c r="S28" s="181" t="s">
        <v>178</v>
      </c>
      <c r="T28" s="182"/>
      <c r="U28" s="183"/>
      <c r="V28" s="181" t="s">
        <v>179</v>
      </c>
      <c r="W28" s="182"/>
      <c r="X28" s="183"/>
      <c r="Y28" s="181" t="s">
        <v>180</v>
      </c>
      <c r="Z28" s="182"/>
      <c r="AA28" s="183"/>
      <c r="AC28" s="181" t="s">
        <v>156</v>
      </c>
      <c r="AD28" s="182"/>
      <c r="AE28" s="183"/>
      <c r="AF28" s="181" t="s">
        <v>181</v>
      </c>
      <c r="AG28" s="182"/>
      <c r="AH28" s="183"/>
      <c r="AI28" s="181" t="s">
        <v>182</v>
      </c>
      <c r="AJ28" s="182"/>
      <c r="AK28" s="183"/>
      <c r="AL28" s="181" t="s">
        <v>29</v>
      </c>
      <c r="AM28" s="182"/>
      <c r="AN28" s="183"/>
      <c r="AO28" s="28"/>
      <c r="AP28" s="181"/>
      <c r="AQ28" s="182"/>
      <c r="AR28" s="183"/>
      <c r="AS28" s="181"/>
      <c r="AT28" s="182"/>
      <c r="AU28" s="183"/>
      <c r="AV28" s="181"/>
      <c r="AW28" s="182"/>
      <c r="AX28" s="183"/>
      <c r="AY28" s="181"/>
      <c r="AZ28" s="182"/>
      <c r="BA28" s="183"/>
      <c r="BB28" s="28"/>
    </row>
    <row r="29" spans="1:70" ht="12" customHeight="1" x14ac:dyDescent="0.25">
      <c r="A29" s="179" t="s">
        <v>12</v>
      </c>
      <c r="B29" s="180"/>
      <c r="C29" s="11">
        <v>88</v>
      </c>
      <c r="D29" s="75">
        <v>12</v>
      </c>
      <c r="E29" s="11">
        <v>36</v>
      </c>
      <c r="F29" s="11">
        <v>99</v>
      </c>
      <c r="G29" s="75">
        <v>8</v>
      </c>
      <c r="H29" s="11">
        <v>36</v>
      </c>
      <c r="I29" s="11">
        <v>84</v>
      </c>
      <c r="J29" s="75">
        <v>44</v>
      </c>
      <c r="K29" s="11">
        <v>37</v>
      </c>
      <c r="L29" s="11">
        <v>85</v>
      </c>
      <c r="M29" s="75">
        <v>-64</v>
      </c>
      <c r="N29" s="11">
        <v>29</v>
      </c>
      <c r="P29" s="11">
        <v>80</v>
      </c>
      <c r="Q29" s="75">
        <v>3</v>
      </c>
      <c r="R29" s="11">
        <v>33</v>
      </c>
      <c r="S29" s="11">
        <v>80</v>
      </c>
      <c r="T29" s="75">
        <v>17</v>
      </c>
      <c r="U29" s="11">
        <v>35</v>
      </c>
      <c r="V29" s="11">
        <v>78</v>
      </c>
      <c r="W29" s="75">
        <v>-23</v>
      </c>
      <c r="X29" s="11">
        <v>33</v>
      </c>
      <c r="Y29" s="11">
        <v>75</v>
      </c>
      <c r="Z29" s="75">
        <v>3</v>
      </c>
      <c r="AA29" s="11">
        <v>38</v>
      </c>
      <c r="AC29" s="11">
        <v>86</v>
      </c>
      <c r="AD29" s="75">
        <v>-7</v>
      </c>
      <c r="AE29" s="11">
        <v>37</v>
      </c>
      <c r="AF29" s="11">
        <v>83</v>
      </c>
      <c r="AG29" s="75">
        <v>15</v>
      </c>
      <c r="AH29" s="11">
        <v>44</v>
      </c>
      <c r="AI29" s="11">
        <v>106</v>
      </c>
      <c r="AJ29" s="75">
        <v>13</v>
      </c>
      <c r="AK29" s="11">
        <v>29</v>
      </c>
      <c r="AL29" s="11">
        <v>102</v>
      </c>
      <c r="AM29" s="75">
        <v>-21</v>
      </c>
      <c r="AN29" s="11">
        <v>28</v>
      </c>
      <c r="AO29" s="12"/>
      <c r="AP29" s="11"/>
      <c r="AQ29" s="75"/>
      <c r="AR29" s="11"/>
      <c r="AS29" s="11"/>
      <c r="AT29" s="75"/>
      <c r="AU29" s="11"/>
      <c r="AV29" s="11"/>
      <c r="AW29" s="75"/>
      <c r="AX29" s="11"/>
      <c r="AY29" s="11"/>
      <c r="AZ29" s="75"/>
      <c r="BA29" s="11"/>
      <c r="BB29" s="12"/>
    </row>
    <row r="30" spans="1:70" ht="12" customHeight="1" x14ac:dyDescent="0.25">
      <c r="A30" s="2"/>
      <c r="B30" s="38">
        <v>15</v>
      </c>
      <c r="C30" s="176" t="s">
        <v>34</v>
      </c>
      <c r="D30" s="177"/>
      <c r="E30" s="178"/>
      <c r="F30" s="176" t="s">
        <v>151</v>
      </c>
      <c r="G30" s="177"/>
      <c r="H30" s="178"/>
      <c r="I30" s="176" t="s">
        <v>35</v>
      </c>
      <c r="J30" s="177"/>
      <c r="K30" s="178"/>
      <c r="L30" s="176" t="s">
        <v>153</v>
      </c>
      <c r="M30" s="177"/>
      <c r="N30" s="178"/>
      <c r="P30" s="176" t="s">
        <v>39</v>
      </c>
      <c r="Q30" s="177"/>
      <c r="R30" s="178"/>
      <c r="S30" s="176" t="s">
        <v>178</v>
      </c>
      <c r="T30" s="177"/>
      <c r="U30" s="178"/>
      <c r="V30" s="176" t="s">
        <v>156</v>
      </c>
      <c r="W30" s="177"/>
      <c r="X30" s="178"/>
      <c r="Y30" s="176" t="s">
        <v>180</v>
      </c>
      <c r="Z30" s="177"/>
      <c r="AA30" s="178"/>
      <c r="AC30" s="176"/>
      <c r="AD30" s="177"/>
      <c r="AE30" s="178"/>
      <c r="AF30" s="176"/>
      <c r="AG30" s="177"/>
      <c r="AH30" s="178"/>
      <c r="AI30" s="176"/>
      <c r="AJ30" s="177"/>
      <c r="AK30" s="178"/>
      <c r="AL30" s="176"/>
      <c r="AM30" s="177"/>
      <c r="AN30" s="178"/>
      <c r="AO30" s="110"/>
      <c r="AP30" s="176"/>
      <c r="AQ30" s="177"/>
      <c r="AR30" s="178"/>
      <c r="AS30" s="176"/>
      <c r="AT30" s="177"/>
      <c r="AU30" s="178"/>
      <c r="AV30" s="176"/>
      <c r="AW30" s="177"/>
      <c r="AX30" s="178"/>
      <c r="AY30" s="176"/>
      <c r="AZ30" s="177"/>
      <c r="BA30" s="178"/>
      <c r="BB30" s="110"/>
    </row>
    <row r="31" spans="1:70" ht="12" customHeight="1" x14ac:dyDescent="0.25">
      <c r="A31" s="179" t="s">
        <v>12</v>
      </c>
      <c r="B31" s="180"/>
      <c r="C31" s="11">
        <v>92</v>
      </c>
      <c r="D31" s="75">
        <v>-6</v>
      </c>
      <c r="E31" s="11">
        <v>37</v>
      </c>
      <c r="F31" s="11">
        <v>96</v>
      </c>
      <c r="G31" s="75">
        <v>12</v>
      </c>
      <c r="H31" s="11">
        <v>28</v>
      </c>
      <c r="I31" s="11">
        <v>78</v>
      </c>
      <c r="J31" s="75">
        <v>-20</v>
      </c>
      <c r="K31" s="11">
        <v>35</v>
      </c>
      <c r="L31" s="11">
        <v>71</v>
      </c>
      <c r="M31" s="75">
        <v>14</v>
      </c>
      <c r="N31" s="11">
        <v>43</v>
      </c>
      <c r="P31" s="11">
        <v>95</v>
      </c>
      <c r="Q31" s="75">
        <v>35</v>
      </c>
      <c r="R31" s="11">
        <v>40</v>
      </c>
      <c r="S31" s="11">
        <v>85</v>
      </c>
      <c r="T31" s="75">
        <v>-41</v>
      </c>
      <c r="U31" s="11">
        <v>30</v>
      </c>
      <c r="V31" s="11">
        <v>86</v>
      </c>
      <c r="W31" s="75">
        <v>-9</v>
      </c>
      <c r="X31" s="11">
        <v>37</v>
      </c>
      <c r="Y31" s="11">
        <v>78</v>
      </c>
      <c r="Z31" s="75">
        <v>15</v>
      </c>
      <c r="AA31" s="11">
        <v>35</v>
      </c>
      <c r="AC31" s="11"/>
      <c r="AD31" s="75"/>
      <c r="AE31" s="11"/>
      <c r="AF31" s="11"/>
      <c r="AG31" s="75"/>
      <c r="AH31" s="11"/>
      <c r="AI31" s="11"/>
      <c r="AJ31" s="75"/>
      <c r="AK31" s="11"/>
      <c r="AL31" s="11"/>
      <c r="AM31" s="75"/>
      <c r="AN31" s="11"/>
      <c r="AO31" s="12"/>
      <c r="AP31" s="11"/>
      <c r="AQ31" s="75"/>
      <c r="AR31" s="11"/>
      <c r="AS31" s="11"/>
      <c r="AT31" s="75"/>
      <c r="AU31" s="11"/>
      <c r="AV31" s="11"/>
      <c r="AW31" s="75"/>
      <c r="AX31" s="11"/>
      <c r="AY31" s="11"/>
      <c r="AZ31" s="75"/>
      <c r="BA31" s="11"/>
      <c r="BB31" s="12"/>
    </row>
    <row r="32" spans="1:70" ht="12" customHeight="1" x14ac:dyDescent="0.25">
      <c r="A32" s="2"/>
      <c r="B32" s="38">
        <v>16</v>
      </c>
      <c r="C32" s="176" t="s">
        <v>39</v>
      </c>
      <c r="D32" s="177"/>
      <c r="E32" s="178"/>
      <c r="F32" s="176" t="s">
        <v>78</v>
      </c>
      <c r="G32" s="177"/>
      <c r="H32" s="178"/>
      <c r="I32" s="176" t="s">
        <v>36</v>
      </c>
      <c r="J32" s="177"/>
      <c r="K32" s="178"/>
      <c r="L32" s="176" t="s">
        <v>91</v>
      </c>
      <c r="M32" s="177"/>
      <c r="N32" s="178"/>
      <c r="P32" s="176" t="s">
        <v>177</v>
      </c>
      <c r="Q32" s="177"/>
      <c r="R32" s="178"/>
      <c r="S32" s="176" t="s">
        <v>5</v>
      </c>
      <c r="T32" s="177"/>
      <c r="U32" s="178"/>
      <c r="V32" s="176" t="s">
        <v>156</v>
      </c>
      <c r="W32" s="177"/>
      <c r="X32" s="178"/>
      <c r="Y32" s="176" t="s">
        <v>180</v>
      </c>
      <c r="Z32" s="177"/>
      <c r="AA32" s="178"/>
      <c r="AC32" s="176"/>
      <c r="AD32" s="177"/>
      <c r="AE32" s="178"/>
      <c r="AF32" s="176"/>
      <c r="AG32" s="177"/>
      <c r="AH32" s="178"/>
      <c r="AI32" s="176"/>
      <c r="AJ32" s="177"/>
      <c r="AK32" s="178"/>
      <c r="AL32" s="176"/>
      <c r="AM32" s="177"/>
      <c r="AN32" s="178"/>
      <c r="AO32" s="110"/>
      <c r="AP32" s="176"/>
      <c r="AQ32" s="177"/>
      <c r="AR32" s="178"/>
      <c r="AS32" s="176"/>
      <c r="AT32" s="177"/>
      <c r="AU32" s="178"/>
      <c r="AV32" s="176"/>
      <c r="AW32" s="177"/>
      <c r="AX32" s="178"/>
      <c r="AY32" s="176"/>
      <c r="AZ32" s="177"/>
      <c r="BA32" s="178"/>
      <c r="BB32" s="110"/>
    </row>
    <row r="33" spans="1:54" ht="12" customHeight="1" x14ac:dyDescent="0.25">
      <c r="A33" s="179" t="s">
        <v>12</v>
      </c>
      <c r="B33" s="180"/>
      <c r="C33" s="11">
        <v>92</v>
      </c>
      <c r="D33" s="75">
        <v>2</v>
      </c>
      <c r="E33" s="11">
        <v>42</v>
      </c>
      <c r="F33" s="11">
        <v>78</v>
      </c>
      <c r="G33" s="75">
        <v>6</v>
      </c>
      <c r="H33" s="11">
        <v>78</v>
      </c>
      <c r="I33" s="11">
        <v>86</v>
      </c>
      <c r="J33" s="75">
        <v>-16</v>
      </c>
      <c r="K33" s="11">
        <v>36</v>
      </c>
      <c r="L33" s="11">
        <v>97</v>
      </c>
      <c r="M33" s="75">
        <v>8</v>
      </c>
      <c r="N33" s="11">
        <v>35</v>
      </c>
      <c r="P33" s="11">
        <v>78</v>
      </c>
      <c r="Q33" s="75">
        <v>-25</v>
      </c>
      <c r="R33" s="11">
        <v>35</v>
      </c>
      <c r="S33" s="11">
        <v>92</v>
      </c>
      <c r="T33" s="75">
        <v>11</v>
      </c>
      <c r="U33" s="11">
        <v>35</v>
      </c>
      <c r="V33" s="11">
        <v>75</v>
      </c>
      <c r="W33" s="75">
        <v>33</v>
      </c>
      <c r="X33" s="11">
        <v>46</v>
      </c>
      <c r="Y33" s="11">
        <v>86</v>
      </c>
      <c r="Z33" s="75">
        <v>-19</v>
      </c>
      <c r="AA33" s="11">
        <v>26</v>
      </c>
      <c r="AC33" s="11"/>
      <c r="AD33" s="75"/>
      <c r="AE33" s="11"/>
      <c r="AF33" s="11"/>
      <c r="AG33" s="75"/>
      <c r="AH33" s="11"/>
      <c r="AI33" s="11"/>
      <c r="AJ33" s="75"/>
      <c r="AK33" s="11"/>
      <c r="AL33" s="11"/>
      <c r="AM33" s="75"/>
      <c r="AN33" s="11"/>
      <c r="AO33" s="12"/>
      <c r="AP33" s="11"/>
      <c r="AQ33" s="75"/>
      <c r="AR33" s="11"/>
      <c r="AS33" s="11"/>
      <c r="AT33" s="75"/>
      <c r="AU33" s="11"/>
      <c r="AV33" s="11"/>
      <c r="AW33" s="75"/>
      <c r="AX33" s="11"/>
      <c r="AY33" s="11"/>
      <c r="AZ33" s="75"/>
      <c r="BA33" s="11"/>
      <c r="BB33" s="12"/>
    </row>
    <row r="34" spans="1:54" ht="12" customHeight="1" x14ac:dyDescent="0.2">
      <c r="A34" s="2"/>
      <c r="B34" s="38">
        <v>17</v>
      </c>
      <c r="C34" s="176" t="s">
        <v>10</v>
      </c>
      <c r="D34" s="177"/>
      <c r="E34" s="178"/>
      <c r="F34" s="176" t="s">
        <v>83</v>
      </c>
      <c r="G34" s="177"/>
      <c r="H34" s="178"/>
      <c r="I34" s="176" t="s">
        <v>36</v>
      </c>
      <c r="J34" s="177"/>
      <c r="K34" s="178"/>
      <c r="L34" s="176" t="s">
        <v>3</v>
      </c>
      <c r="M34" s="177"/>
      <c r="N34" s="178"/>
      <c r="P34" s="176" t="s">
        <v>51</v>
      </c>
      <c r="Q34" s="177"/>
      <c r="R34" s="178"/>
      <c r="S34" s="176" t="s">
        <v>39</v>
      </c>
      <c r="T34" s="177"/>
      <c r="U34" s="178"/>
      <c r="V34" s="176" t="s">
        <v>91</v>
      </c>
      <c r="W34" s="177"/>
      <c r="X34" s="178"/>
      <c r="Y34" s="176" t="s">
        <v>58</v>
      </c>
      <c r="Z34" s="177"/>
      <c r="AA34" s="178"/>
      <c r="AC34" s="176"/>
      <c r="AD34" s="177"/>
      <c r="AE34" s="178"/>
      <c r="AF34" s="176"/>
      <c r="AG34" s="177"/>
      <c r="AH34" s="178"/>
      <c r="AI34" s="176"/>
      <c r="AJ34" s="177"/>
      <c r="AK34" s="178"/>
      <c r="AL34" s="176"/>
      <c r="AM34" s="177"/>
      <c r="AN34" s="178"/>
      <c r="AO34" s="110"/>
      <c r="AP34" s="176"/>
      <c r="AQ34" s="177"/>
      <c r="AR34" s="178"/>
      <c r="AS34" s="176"/>
      <c r="AT34" s="177"/>
      <c r="AU34" s="178"/>
      <c r="AV34" s="176"/>
      <c r="AW34" s="177"/>
      <c r="AX34" s="178"/>
      <c r="AY34" s="176"/>
      <c r="AZ34" s="177"/>
      <c r="BA34" s="178"/>
      <c r="BB34" s="110"/>
    </row>
    <row r="35" spans="1:54" ht="12" customHeight="1" x14ac:dyDescent="0.2">
      <c r="A35" s="179" t="s">
        <v>12</v>
      </c>
      <c r="B35" s="180"/>
      <c r="C35" s="11">
        <v>89</v>
      </c>
      <c r="D35" s="75">
        <v>11</v>
      </c>
      <c r="E35" s="11">
        <v>36</v>
      </c>
      <c r="F35" s="11">
        <v>93</v>
      </c>
      <c r="G35" s="75">
        <v>15</v>
      </c>
      <c r="H35" s="11">
        <v>34</v>
      </c>
      <c r="I35" s="11">
        <v>90</v>
      </c>
      <c r="J35" s="75">
        <v>-19</v>
      </c>
      <c r="K35" s="11">
        <v>33</v>
      </c>
      <c r="L35" s="11">
        <v>77</v>
      </c>
      <c r="M35" s="75">
        <v>-7</v>
      </c>
      <c r="N35" s="11">
        <v>35</v>
      </c>
      <c r="O35" s="101"/>
      <c r="P35" s="11">
        <v>78</v>
      </c>
      <c r="Q35" s="75">
        <v>34</v>
      </c>
      <c r="R35" s="11">
        <v>36</v>
      </c>
      <c r="S35" s="11">
        <v>104</v>
      </c>
      <c r="T35" s="75">
        <v>0</v>
      </c>
      <c r="U35" s="11">
        <v>30</v>
      </c>
      <c r="V35" s="11">
        <v>106</v>
      </c>
      <c r="W35" s="75">
        <v>2</v>
      </c>
      <c r="X35" s="11">
        <v>27</v>
      </c>
      <c r="Y35" s="11">
        <v>98</v>
      </c>
      <c r="Z35" s="75">
        <v>-36</v>
      </c>
      <c r="AA35" s="11">
        <v>24</v>
      </c>
      <c r="AB35" s="3"/>
      <c r="AC35" s="11"/>
      <c r="AD35" s="75"/>
      <c r="AE35" s="11"/>
      <c r="AF35" s="11"/>
      <c r="AG35" s="75"/>
      <c r="AH35" s="11"/>
      <c r="AI35" s="11"/>
      <c r="AJ35" s="75"/>
      <c r="AK35" s="11"/>
      <c r="AL35" s="11"/>
      <c r="AM35" s="75"/>
      <c r="AN35" s="11"/>
      <c r="AO35" s="12"/>
      <c r="AP35" s="11"/>
      <c r="AQ35" s="75"/>
      <c r="AR35" s="11"/>
      <c r="AS35" s="11"/>
      <c r="AT35" s="75"/>
      <c r="AU35" s="11"/>
      <c r="AV35" s="11"/>
      <c r="AW35" s="75"/>
      <c r="AX35" s="11"/>
      <c r="AY35" s="11"/>
      <c r="AZ35" s="75"/>
      <c r="BA35" s="11"/>
      <c r="BB35" s="12"/>
    </row>
    <row r="36" spans="1:54" ht="12" customHeight="1" x14ac:dyDescent="0.2">
      <c r="A36" s="2"/>
      <c r="B36" s="38">
        <v>18</v>
      </c>
      <c r="C36" s="176" t="s">
        <v>35</v>
      </c>
      <c r="D36" s="177"/>
      <c r="E36" s="178"/>
      <c r="F36" s="176" t="s">
        <v>186</v>
      </c>
      <c r="G36" s="177"/>
      <c r="H36" s="178"/>
      <c r="I36" s="176" t="s">
        <v>58</v>
      </c>
      <c r="J36" s="177"/>
      <c r="K36" s="178"/>
      <c r="L36" s="176" t="s">
        <v>153</v>
      </c>
      <c r="M36" s="177"/>
      <c r="N36" s="178"/>
      <c r="P36" s="176" t="s">
        <v>3</v>
      </c>
      <c r="Q36" s="177"/>
      <c r="R36" s="178"/>
      <c r="S36" s="176" t="s">
        <v>5</v>
      </c>
      <c r="T36" s="177"/>
      <c r="U36" s="178"/>
      <c r="V36" s="176" t="s">
        <v>36</v>
      </c>
      <c r="W36" s="177"/>
      <c r="X36" s="178"/>
      <c r="Y36" s="176" t="s">
        <v>78</v>
      </c>
      <c r="Z36" s="177"/>
      <c r="AA36" s="178"/>
      <c r="AC36" s="176" t="s">
        <v>146</v>
      </c>
      <c r="AD36" s="177"/>
      <c r="AE36" s="178"/>
      <c r="AF36" s="176" t="s">
        <v>2</v>
      </c>
      <c r="AG36" s="177"/>
      <c r="AH36" s="178"/>
      <c r="AI36" s="176" t="s">
        <v>39</v>
      </c>
      <c r="AJ36" s="177"/>
      <c r="AK36" s="178"/>
      <c r="AL36" s="176" t="s">
        <v>91</v>
      </c>
      <c r="AM36" s="177"/>
      <c r="AN36" s="178"/>
      <c r="AO36" s="141"/>
      <c r="AP36" s="176"/>
      <c r="AQ36" s="177"/>
      <c r="AR36" s="178"/>
      <c r="AS36" s="176"/>
      <c r="AT36" s="177"/>
      <c r="AU36" s="178"/>
      <c r="AV36" s="176"/>
      <c r="AW36" s="177"/>
      <c r="AX36" s="178"/>
      <c r="AY36" s="176"/>
      <c r="AZ36" s="177"/>
      <c r="BA36" s="178"/>
      <c r="BB36" s="141"/>
    </row>
    <row r="37" spans="1:54" ht="12" customHeight="1" x14ac:dyDescent="0.2">
      <c r="A37" s="179" t="s">
        <v>12</v>
      </c>
      <c r="B37" s="180"/>
      <c r="C37" s="11">
        <v>87</v>
      </c>
      <c r="D37" s="75">
        <v>-15</v>
      </c>
      <c r="E37" s="11">
        <v>28</v>
      </c>
      <c r="F37" s="11">
        <v>90</v>
      </c>
      <c r="G37" s="75">
        <v>15</v>
      </c>
      <c r="H37" s="11">
        <v>33</v>
      </c>
      <c r="I37" s="11">
        <v>83</v>
      </c>
      <c r="J37" s="75">
        <v>13</v>
      </c>
      <c r="K37" s="11">
        <v>38</v>
      </c>
      <c r="L37" s="11">
        <v>79</v>
      </c>
      <c r="M37" s="75">
        <v>-13</v>
      </c>
      <c r="N37" s="11">
        <v>34</v>
      </c>
      <c r="O37" s="101"/>
      <c r="P37" s="11">
        <v>78</v>
      </c>
      <c r="Q37" s="75">
        <v>-3</v>
      </c>
      <c r="R37" s="11">
        <v>34</v>
      </c>
      <c r="S37" s="11">
        <v>93</v>
      </c>
      <c r="T37" s="75">
        <v>-19</v>
      </c>
      <c r="U37" s="11">
        <v>32</v>
      </c>
      <c r="V37" s="11">
        <v>92</v>
      </c>
      <c r="W37" s="75">
        <v>21</v>
      </c>
      <c r="X37" s="11">
        <v>31</v>
      </c>
      <c r="Y37" s="11">
        <v>76</v>
      </c>
      <c r="Z37" s="75">
        <v>1</v>
      </c>
      <c r="AA37" s="11">
        <v>38</v>
      </c>
      <c r="AB37" s="3"/>
      <c r="AC37" s="11">
        <v>84</v>
      </c>
      <c r="AD37" s="75">
        <v>4</v>
      </c>
      <c r="AE37" s="11">
        <v>36</v>
      </c>
      <c r="AF37" s="11">
        <v>95</v>
      </c>
      <c r="AG37" s="75">
        <v>-12</v>
      </c>
      <c r="AH37" s="11">
        <v>31</v>
      </c>
      <c r="AI37" s="11">
        <v>107</v>
      </c>
      <c r="AJ37" s="75">
        <v>14</v>
      </c>
      <c r="AK37" s="11">
        <v>28</v>
      </c>
      <c r="AL37" s="11">
        <v>98</v>
      </c>
      <c r="AM37" s="75">
        <v>-6</v>
      </c>
      <c r="AN37" s="11">
        <v>35</v>
      </c>
      <c r="AO37" s="12"/>
      <c r="AP37" s="11"/>
      <c r="AQ37" s="75"/>
      <c r="AR37" s="11"/>
      <c r="AS37" s="11"/>
      <c r="AT37" s="75"/>
      <c r="AU37" s="11"/>
      <c r="AV37" s="11"/>
      <c r="AW37" s="75"/>
      <c r="AX37" s="11"/>
      <c r="AY37" s="11"/>
      <c r="AZ37" s="75"/>
      <c r="BA37" s="11"/>
      <c r="BB37" s="12"/>
    </row>
    <row r="38" spans="1:54" x14ac:dyDescent="0.2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</row>
    <row r="42" spans="1:54" x14ac:dyDescent="0.2">
      <c r="A42" t="s">
        <v>60</v>
      </c>
    </row>
  </sheetData>
  <mergeCells count="310">
    <mergeCell ref="AP36:AR36"/>
    <mergeCell ref="AS36:AU36"/>
    <mergeCell ref="AV36:AX36"/>
    <mergeCell ref="AY36:BA36"/>
    <mergeCell ref="AP30:AR30"/>
    <mergeCell ref="AS30:AU30"/>
    <mergeCell ref="AV30:AX30"/>
    <mergeCell ref="AY30:BA30"/>
    <mergeCell ref="AP32:AR32"/>
    <mergeCell ref="AS32:AU32"/>
    <mergeCell ref="AV32:AX32"/>
    <mergeCell ref="AY32:BA32"/>
    <mergeCell ref="AP34:AR34"/>
    <mergeCell ref="AS34:AU34"/>
    <mergeCell ref="AV34:AX34"/>
    <mergeCell ref="AY34:BA34"/>
    <mergeCell ref="AP24:AR24"/>
    <mergeCell ref="AS24:AU24"/>
    <mergeCell ref="AV24:AX24"/>
    <mergeCell ref="AY24:BA24"/>
    <mergeCell ref="AP26:AR26"/>
    <mergeCell ref="AS26:AU26"/>
    <mergeCell ref="AV26:AX26"/>
    <mergeCell ref="AY26:BA26"/>
    <mergeCell ref="AP28:AR28"/>
    <mergeCell ref="AS28:AU28"/>
    <mergeCell ref="AV28:AX28"/>
    <mergeCell ref="AY28:BA28"/>
    <mergeCell ref="AP18:AR18"/>
    <mergeCell ref="AS18:AU18"/>
    <mergeCell ref="AV18:AX18"/>
    <mergeCell ref="AY18:BA18"/>
    <mergeCell ref="AP20:AR20"/>
    <mergeCell ref="AS20:AU20"/>
    <mergeCell ref="AV20:AX20"/>
    <mergeCell ref="AY20:BA20"/>
    <mergeCell ref="AP22:AR22"/>
    <mergeCell ref="AS22:AU22"/>
    <mergeCell ref="AV22:AX22"/>
    <mergeCell ref="AY22:BA22"/>
    <mergeCell ref="AP12:AR12"/>
    <mergeCell ref="AS12:AU12"/>
    <mergeCell ref="AV12:AX12"/>
    <mergeCell ref="AY12:BA12"/>
    <mergeCell ref="AP14:AR14"/>
    <mergeCell ref="AS14:AU14"/>
    <mergeCell ref="AV14:AX14"/>
    <mergeCell ref="AY14:BA14"/>
    <mergeCell ref="AP16:AR16"/>
    <mergeCell ref="AS16:AU16"/>
    <mergeCell ref="AV16:AX16"/>
    <mergeCell ref="AY16:BA16"/>
    <mergeCell ref="AP6:AR6"/>
    <mergeCell ref="AS6:AU6"/>
    <mergeCell ref="AV6:AX6"/>
    <mergeCell ref="AY6:BA6"/>
    <mergeCell ref="AP8:AR8"/>
    <mergeCell ref="AS8:AU8"/>
    <mergeCell ref="AV8:AX8"/>
    <mergeCell ref="AY8:BA8"/>
    <mergeCell ref="AP10:AR10"/>
    <mergeCell ref="AS10:AU10"/>
    <mergeCell ref="AV10:AX10"/>
    <mergeCell ref="AY10:BA10"/>
    <mergeCell ref="AP1:AY1"/>
    <mergeCell ref="AP2:AR2"/>
    <mergeCell ref="AS2:AU2"/>
    <mergeCell ref="AV2:AX2"/>
    <mergeCell ref="AY2:BA2"/>
    <mergeCell ref="AP4:AR4"/>
    <mergeCell ref="AS4:AU4"/>
    <mergeCell ref="AV4:AX4"/>
    <mergeCell ref="AY4:BA4"/>
    <mergeCell ref="V2:X2"/>
    <mergeCell ref="Y2:AA2"/>
    <mergeCell ref="AC2:AE2"/>
    <mergeCell ref="AF2:AH2"/>
    <mergeCell ref="AI2:AK2"/>
    <mergeCell ref="AL2:AN2"/>
    <mergeCell ref="C1:L1"/>
    <mergeCell ref="P1:Y1"/>
    <mergeCell ref="AC1:AL1"/>
    <mergeCell ref="C2:E2"/>
    <mergeCell ref="F2:H2"/>
    <mergeCell ref="I2:K2"/>
    <mergeCell ref="L2:N2"/>
    <mergeCell ref="P2:R2"/>
    <mergeCell ref="S2:U2"/>
    <mergeCell ref="AL4:AN4"/>
    <mergeCell ref="A5:B5"/>
    <mergeCell ref="S4:U4"/>
    <mergeCell ref="V4:X4"/>
    <mergeCell ref="Y4:AA4"/>
    <mergeCell ref="AC4:AE4"/>
    <mergeCell ref="AF4:AH4"/>
    <mergeCell ref="AI4:AK4"/>
    <mergeCell ref="A3:B3"/>
    <mergeCell ref="C4:E4"/>
    <mergeCell ref="F4:H4"/>
    <mergeCell ref="I4:K4"/>
    <mergeCell ref="L4:N4"/>
    <mergeCell ref="P4:R4"/>
    <mergeCell ref="V6:X6"/>
    <mergeCell ref="Y6:AA6"/>
    <mergeCell ref="AC6:AE6"/>
    <mergeCell ref="AF6:AH6"/>
    <mergeCell ref="AI6:AK6"/>
    <mergeCell ref="AL6:AN6"/>
    <mergeCell ref="C6:E6"/>
    <mergeCell ref="F6:H6"/>
    <mergeCell ref="I6:K6"/>
    <mergeCell ref="L6:N6"/>
    <mergeCell ref="P6:R6"/>
    <mergeCell ref="S6:U6"/>
    <mergeCell ref="AL8:AN8"/>
    <mergeCell ref="A9:B9"/>
    <mergeCell ref="S8:U8"/>
    <mergeCell ref="V8:X8"/>
    <mergeCell ref="Y8:AA8"/>
    <mergeCell ref="AC8:AE8"/>
    <mergeCell ref="AF8:AH8"/>
    <mergeCell ref="AI8:AK8"/>
    <mergeCell ref="A7:B7"/>
    <mergeCell ref="C8:E8"/>
    <mergeCell ref="F8:H8"/>
    <mergeCell ref="I8:K8"/>
    <mergeCell ref="L8:N8"/>
    <mergeCell ref="P8:R8"/>
    <mergeCell ref="V10:X10"/>
    <mergeCell ref="Y10:AA10"/>
    <mergeCell ref="AC10:AE10"/>
    <mergeCell ref="AF10:AH10"/>
    <mergeCell ref="AI10:AK10"/>
    <mergeCell ref="AL10:AN10"/>
    <mergeCell ref="C10:E10"/>
    <mergeCell ref="F10:H10"/>
    <mergeCell ref="I10:K10"/>
    <mergeCell ref="L10:N10"/>
    <mergeCell ref="P10:R10"/>
    <mergeCell ref="S10:U10"/>
    <mergeCell ref="AL12:AN12"/>
    <mergeCell ref="A13:B13"/>
    <mergeCell ref="S12:U12"/>
    <mergeCell ref="V12:X12"/>
    <mergeCell ref="Y12:AA12"/>
    <mergeCell ref="AC12:AE12"/>
    <mergeCell ref="AF12:AH12"/>
    <mergeCell ref="AI12:AK12"/>
    <mergeCell ref="A11:B11"/>
    <mergeCell ref="C12:E12"/>
    <mergeCell ref="F12:H12"/>
    <mergeCell ref="I12:K12"/>
    <mergeCell ref="L12:N12"/>
    <mergeCell ref="P12:R12"/>
    <mergeCell ref="V14:X14"/>
    <mergeCell ref="Y14:AA14"/>
    <mergeCell ref="AC14:AE14"/>
    <mergeCell ref="AF14:AH14"/>
    <mergeCell ref="AI14:AK14"/>
    <mergeCell ref="AL14:AN14"/>
    <mergeCell ref="C14:E14"/>
    <mergeCell ref="F14:H14"/>
    <mergeCell ref="I14:K14"/>
    <mergeCell ref="L14:N14"/>
    <mergeCell ref="P14:R14"/>
    <mergeCell ref="S14:U14"/>
    <mergeCell ref="AL16:AN16"/>
    <mergeCell ref="A17:B17"/>
    <mergeCell ref="S16:U16"/>
    <mergeCell ref="V16:X16"/>
    <mergeCell ref="Y16:AA16"/>
    <mergeCell ref="AC16:AE16"/>
    <mergeCell ref="AF16:AH16"/>
    <mergeCell ref="AI16:AK16"/>
    <mergeCell ref="A15:B15"/>
    <mergeCell ref="C16:E16"/>
    <mergeCell ref="F16:H16"/>
    <mergeCell ref="I16:K16"/>
    <mergeCell ref="L16:N16"/>
    <mergeCell ref="P16:R16"/>
    <mergeCell ref="V18:X18"/>
    <mergeCell ref="Y18:AA18"/>
    <mergeCell ref="AC18:AE18"/>
    <mergeCell ref="AF18:AH18"/>
    <mergeCell ref="AI18:AK18"/>
    <mergeCell ref="AL18:AN18"/>
    <mergeCell ref="C18:E18"/>
    <mergeCell ref="F18:H18"/>
    <mergeCell ref="I18:K18"/>
    <mergeCell ref="L18:N18"/>
    <mergeCell ref="P18:R18"/>
    <mergeCell ref="S18:U18"/>
    <mergeCell ref="AL20:AN20"/>
    <mergeCell ref="A21:B21"/>
    <mergeCell ref="S20:U20"/>
    <mergeCell ref="V20:X20"/>
    <mergeCell ref="Y20:AA20"/>
    <mergeCell ref="AC20:AE20"/>
    <mergeCell ref="AF20:AH20"/>
    <mergeCell ref="AI20:AK20"/>
    <mergeCell ref="A19:B19"/>
    <mergeCell ref="C20:E20"/>
    <mergeCell ref="F20:H20"/>
    <mergeCell ref="I20:K20"/>
    <mergeCell ref="L20:N20"/>
    <mergeCell ref="P20:R20"/>
    <mergeCell ref="V22:X22"/>
    <mergeCell ref="Y22:AA22"/>
    <mergeCell ref="AC22:AE22"/>
    <mergeCell ref="AF22:AH22"/>
    <mergeCell ref="AI22:AK22"/>
    <mergeCell ref="AL22:AN22"/>
    <mergeCell ref="C22:E22"/>
    <mergeCell ref="F22:H22"/>
    <mergeCell ref="I22:K22"/>
    <mergeCell ref="L22:N22"/>
    <mergeCell ref="P22:R22"/>
    <mergeCell ref="S22:U22"/>
    <mergeCell ref="AL24:AN24"/>
    <mergeCell ref="A25:B25"/>
    <mergeCell ref="S24:U24"/>
    <mergeCell ref="V24:X24"/>
    <mergeCell ref="Y24:AA24"/>
    <mergeCell ref="AC24:AE24"/>
    <mergeCell ref="AF24:AH24"/>
    <mergeCell ref="AI24:AK24"/>
    <mergeCell ref="A23:B23"/>
    <mergeCell ref="C24:E24"/>
    <mergeCell ref="F24:H24"/>
    <mergeCell ref="I24:K24"/>
    <mergeCell ref="L24:N24"/>
    <mergeCell ref="P24:R24"/>
    <mergeCell ref="V26:X26"/>
    <mergeCell ref="Y26:AA26"/>
    <mergeCell ref="AC26:AE26"/>
    <mergeCell ref="AF26:AH26"/>
    <mergeCell ref="AI26:AK26"/>
    <mergeCell ref="AL26:AN26"/>
    <mergeCell ref="C26:E26"/>
    <mergeCell ref="F26:H26"/>
    <mergeCell ref="I26:K26"/>
    <mergeCell ref="L26:N26"/>
    <mergeCell ref="P26:R26"/>
    <mergeCell ref="S26:U26"/>
    <mergeCell ref="AL28:AN28"/>
    <mergeCell ref="A29:B29"/>
    <mergeCell ref="S28:U28"/>
    <mergeCell ref="V28:X28"/>
    <mergeCell ref="Y28:AA28"/>
    <mergeCell ref="AC28:AE28"/>
    <mergeCell ref="AF28:AH28"/>
    <mergeCell ref="AI28:AK28"/>
    <mergeCell ref="A27:B27"/>
    <mergeCell ref="C28:E28"/>
    <mergeCell ref="F28:H28"/>
    <mergeCell ref="I28:K28"/>
    <mergeCell ref="L28:N28"/>
    <mergeCell ref="P28:R28"/>
    <mergeCell ref="V30:X30"/>
    <mergeCell ref="Y30:AA30"/>
    <mergeCell ref="AC30:AE30"/>
    <mergeCell ref="AF30:AH30"/>
    <mergeCell ref="AI30:AK30"/>
    <mergeCell ref="AL30:AN30"/>
    <mergeCell ref="C30:E30"/>
    <mergeCell ref="F30:H30"/>
    <mergeCell ref="I30:K30"/>
    <mergeCell ref="L30:N30"/>
    <mergeCell ref="P30:R30"/>
    <mergeCell ref="S30:U30"/>
    <mergeCell ref="AL32:AN32"/>
    <mergeCell ref="A33:B33"/>
    <mergeCell ref="S32:U32"/>
    <mergeCell ref="V32:X32"/>
    <mergeCell ref="Y32:AA32"/>
    <mergeCell ref="AC32:AE32"/>
    <mergeCell ref="AF32:AH32"/>
    <mergeCell ref="AI32:AK32"/>
    <mergeCell ref="A31:B31"/>
    <mergeCell ref="C32:E32"/>
    <mergeCell ref="F32:H32"/>
    <mergeCell ref="I32:K32"/>
    <mergeCell ref="L32:N32"/>
    <mergeCell ref="P32:R32"/>
    <mergeCell ref="V34:X34"/>
    <mergeCell ref="Y34:AA34"/>
    <mergeCell ref="AC34:AE34"/>
    <mergeCell ref="AF34:AH34"/>
    <mergeCell ref="AI34:AK34"/>
    <mergeCell ref="AL34:AN34"/>
    <mergeCell ref="C34:E34"/>
    <mergeCell ref="F34:H34"/>
    <mergeCell ref="I34:K34"/>
    <mergeCell ref="L34:N34"/>
    <mergeCell ref="P34:R34"/>
    <mergeCell ref="S34:U34"/>
    <mergeCell ref="AL36:AN36"/>
    <mergeCell ref="A37:B37"/>
    <mergeCell ref="S36:U36"/>
    <mergeCell ref="V36:X36"/>
    <mergeCell ref="Y36:AA36"/>
    <mergeCell ref="AC36:AE36"/>
    <mergeCell ref="AF36:AH36"/>
    <mergeCell ref="AI36:AK36"/>
    <mergeCell ref="A35:B35"/>
    <mergeCell ref="C36:E36"/>
    <mergeCell ref="F36:H36"/>
    <mergeCell ref="I36:K36"/>
    <mergeCell ref="L36:N36"/>
    <mergeCell ref="P36:R36"/>
  </mergeCells>
  <pageMargins left="0.2" right="0.2" top="0.25" bottom="0.2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X39"/>
  <sheetViews>
    <sheetView zoomScale="85" zoomScaleNormal="85" workbookViewId="0">
      <selection activeCell="F11" sqref="F11"/>
    </sheetView>
  </sheetViews>
  <sheetFormatPr defaultRowHeight="14.25" x14ac:dyDescent="0.2"/>
  <cols>
    <col min="1" max="1" width="7.109375" customWidth="1"/>
    <col min="2" max="2" width="8.109375" customWidth="1"/>
    <col min="3" max="6" width="13.21875" customWidth="1"/>
    <col min="7" max="8" width="3.6640625" customWidth="1"/>
    <col min="9" max="9" width="6.44140625" bestFit="1" customWidth="1"/>
    <col min="10" max="13" width="4.21875" customWidth="1"/>
    <col min="14" max="14" width="3.44140625" bestFit="1" customWidth="1"/>
    <col min="15" max="18" width="4.21875" customWidth="1"/>
    <col min="19" max="19" width="3.6640625" bestFit="1" customWidth="1"/>
    <col min="20" max="20" width="3.109375" bestFit="1" customWidth="1"/>
    <col min="21" max="21" width="2.88671875" bestFit="1" customWidth="1"/>
    <col min="22" max="22" width="4.21875" bestFit="1" customWidth="1"/>
    <col min="23" max="23" width="3.21875" bestFit="1" customWidth="1"/>
    <col min="24" max="24" width="5.21875" bestFit="1" customWidth="1"/>
  </cols>
  <sheetData>
    <row r="2" spans="1:24" x14ac:dyDescent="0.2">
      <c r="A2" s="186" t="s">
        <v>17</v>
      </c>
      <c r="B2" s="4" t="s">
        <v>19</v>
      </c>
      <c r="C2" s="135" t="s">
        <v>10</v>
      </c>
      <c r="D2" s="20" t="s">
        <v>78</v>
      </c>
      <c r="E2" s="20" t="s">
        <v>3</v>
      </c>
      <c r="F2" s="20" t="s">
        <v>36</v>
      </c>
      <c r="G2" s="18"/>
      <c r="H2" s="18"/>
    </row>
    <row r="3" spans="1:24" x14ac:dyDescent="0.2">
      <c r="A3" s="186"/>
      <c r="B3" s="4" t="s">
        <v>20</v>
      </c>
      <c r="C3" s="21"/>
      <c r="D3" s="20"/>
      <c r="E3" s="20"/>
      <c r="F3" s="20"/>
      <c r="G3" s="18"/>
      <c r="H3" s="18"/>
    </row>
    <row r="4" spans="1:24" ht="13.9" x14ac:dyDescent="0.25">
      <c r="C4" s="17"/>
      <c r="D4" s="17"/>
      <c r="E4" s="36"/>
      <c r="F4" s="36"/>
      <c r="S4" s="36"/>
      <c r="T4" s="36"/>
      <c r="U4" s="36"/>
      <c r="V4" s="36"/>
      <c r="W4" s="36"/>
    </row>
    <row r="5" spans="1:24" ht="13.9" x14ac:dyDescent="0.25">
      <c r="C5" s="17"/>
      <c r="D5" s="17"/>
      <c r="E5" s="36"/>
      <c r="F5" s="36"/>
      <c r="J5" s="138" t="s">
        <v>101</v>
      </c>
      <c r="K5" s="150" t="s">
        <v>21</v>
      </c>
      <c r="L5" s="138" t="s">
        <v>79</v>
      </c>
      <c r="M5" s="138" t="s">
        <v>1</v>
      </c>
      <c r="N5" s="138" t="s">
        <v>22</v>
      </c>
      <c r="O5" s="138" t="s">
        <v>23</v>
      </c>
      <c r="P5" s="138" t="s">
        <v>34</v>
      </c>
      <c r="Q5" s="150" t="s">
        <v>32</v>
      </c>
      <c r="R5" s="150" t="s">
        <v>33</v>
      </c>
      <c r="S5" s="150" t="s">
        <v>143</v>
      </c>
      <c r="T5" s="148" t="s">
        <v>38</v>
      </c>
      <c r="U5" s="148" t="s">
        <v>52</v>
      </c>
      <c r="V5" s="138" t="s">
        <v>80</v>
      </c>
      <c r="W5" s="148" t="s">
        <v>107</v>
      </c>
      <c r="X5" s="150" t="s">
        <v>88</v>
      </c>
    </row>
    <row r="6" spans="1:24" ht="14.25" customHeight="1" x14ac:dyDescent="0.2">
      <c r="A6" s="187" t="s">
        <v>18</v>
      </c>
      <c r="B6" s="19" t="s">
        <v>19</v>
      </c>
      <c r="C6" s="21" t="s">
        <v>35</v>
      </c>
      <c r="D6" s="20" t="s">
        <v>51</v>
      </c>
      <c r="E6" s="20" t="s">
        <v>58</v>
      </c>
      <c r="F6" s="20" t="s">
        <v>172</v>
      </c>
      <c r="I6" t="s">
        <v>101</v>
      </c>
      <c r="J6" s="148" t="s">
        <v>24</v>
      </c>
      <c r="K6" s="151">
        <f>J7</f>
        <v>3</v>
      </c>
      <c r="L6" s="148">
        <f>J8</f>
        <v>1</v>
      </c>
      <c r="M6" s="148">
        <f>J9</f>
        <v>4</v>
      </c>
      <c r="N6" s="148">
        <f>J10</f>
        <v>2</v>
      </c>
      <c r="O6" s="148">
        <f>J11</f>
        <v>3</v>
      </c>
      <c r="P6" s="148">
        <f>J12</f>
        <v>3</v>
      </c>
      <c r="Q6" s="151">
        <f>J13</f>
        <v>2</v>
      </c>
      <c r="R6" s="151">
        <f>J14</f>
        <v>0</v>
      </c>
      <c r="S6" s="151">
        <f>J15</f>
        <v>0</v>
      </c>
      <c r="T6" s="148">
        <f>J16</f>
        <v>2</v>
      </c>
      <c r="U6" s="148">
        <f>J17</f>
        <v>5</v>
      </c>
      <c r="V6" s="148">
        <f>J18</f>
        <v>3</v>
      </c>
      <c r="W6" s="148">
        <f>J19</f>
        <v>4</v>
      </c>
      <c r="X6" s="151">
        <f>J20</f>
        <v>3</v>
      </c>
    </row>
    <row r="7" spans="1:24" x14ac:dyDescent="0.2">
      <c r="A7" s="187"/>
      <c r="B7" s="19" t="s">
        <v>20</v>
      </c>
      <c r="C7" s="20"/>
      <c r="D7" s="20"/>
      <c r="E7" s="20"/>
      <c r="F7" s="20"/>
      <c r="I7" t="s">
        <v>21</v>
      </c>
      <c r="J7" s="148">
        <v>3</v>
      </c>
      <c r="K7" s="151" t="s">
        <v>24</v>
      </c>
      <c r="L7" s="148">
        <f>K8</f>
        <v>3</v>
      </c>
      <c r="M7" s="148">
        <f>K9</f>
        <v>2</v>
      </c>
      <c r="N7" s="148">
        <f>K10</f>
        <v>2</v>
      </c>
      <c r="O7" s="148">
        <f>K11</f>
        <v>4</v>
      </c>
      <c r="P7" s="148">
        <f>K12</f>
        <v>2</v>
      </c>
      <c r="Q7" s="151">
        <f>K13</f>
        <v>2</v>
      </c>
      <c r="R7" s="151">
        <f>K14</f>
        <v>0</v>
      </c>
      <c r="S7" s="151">
        <f>K15</f>
        <v>0</v>
      </c>
      <c r="T7" s="148">
        <f>K16</f>
        <v>3</v>
      </c>
      <c r="U7" s="148">
        <f>K17</f>
        <v>2</v>
      </c>
      <c r="V7" s="148">
        <f>K18</f>
        <v>3</v>
      </c>
      <c r="W7" s="148">
        <f>K19</f>
        <v>2</v>
      </c>
      <c r="X7" s="151">
        <f>K20</f>
        <v>1</v>
      </c>
    </row>
    <row r="8" spans="1:24" ht="13.9" x14ac:dyDescent="0.25">
      <c r="C8" s="36"/>
      <c r="D8" s="36"/>
      <c r="E8" s="36"/>
      <c r="F8" s="36"/>
      <c r="I8" t="s">
        <v>79</v>
      </c>
      <c r="J8" s="148">
        <v>1</v>
      </c>
      <c r="K8" s="151">
        <v>3</v>
      </c>
      <c r="L8" s="148" t="s">
        <v>24</v>
      </c>
      <c r="M8" s="148">
        <f>L9</f>
        <v>2</v>
      </c>
      <c r="N8" s="148">
        <f>L10</f>
        <v>2</v>
      </c>
      <c r="O8" s="148">
        <f>L11</f>
        <v>4</v>
      </c>
      <c r="P8" s="148">
        <f>L12</f>
        <v>2</v>
      </c>
      <c r="Q8" s="151">
        <f>L13</f>
        <v>3</v>
      </c>
      <c r="R8" s="151">
        <f>L14</f>
        <v>0</v>
      </c>
      <c r="S8" s="151">
        <f>L15</f>
        <v>0</v>
      </c>
      <c r="T8" s="148">
        <f>L16</f>
        <v>4</v>
      </c>
      <c r="U8" s="148">
        <f>L17</f>
        <v>4</v>
      </c>
      <c r="V8" s="148">
        <f>L18</f>
        <v>4</v>
      </c>
      <c r="W8" s="148">
        <f>L19</f>
        <v>4</v>
      </c>
      <c r="X8" s="151">
        <f>L20</f>
        <v>2</v>
      </c>
    </row>
    <row r="9" spans="1:24" ht="13.9" x14ac:dyDescent="0.25">
      <c r="C9" s="36"/>
      <c r="D9" s="36"/>
      <c r="E9" s="36"/>
      <c r="F9" s="36"/>
      <c r="I9" t="s">
        <v>1</v>
      </c>
      <c r="J9" s="148">
        <v>4</v>
      </c>
      <c r="K9" s="151">
        <v>2</v>
      </c>
      <c r="L9" s="148">
        <v>2</v>
      </c>
      <c r="M9" s="148" t="s">
        <v>24</v>
      </c>
      <c r="N9" s="148">
        <f>M10</f>
        <v>3</v>
      </c>
      <c r="O9" s="148">
        <f>M11</f>
        <v>4</v>
      </c>
      <c r="P9" s="148">
        <f>M12</f>
        <v>3</v>
      </c>
      <c r="Q9" s="151">
        <f>M13</f>
        <v>1</v>
      </c>
      <c r="R9" s="151">
        <f>M14</f>
        <v>0</v>
      </c>
      <c r="S9" s="151">
        <f>M15</f>
        <v>0</v>
      </c>
      <c r="T9" s="148">
        <f>M16</f>
        <v>3</v>
      </c>
      <c r="U9" s="148">
        <f>M17</f>
        <v>3</v>
      </c>
      <c r="V9" s="148">
        <f>M18</f>
        <v>4</v>
      </c>
      <c r="W9" s="148">
        <f>M19</f>
        <v>2</v>
      </c>
      <c r="X9" s="151">
        <f>M20</f>
        <v>2</v>
      </c>
    </row>
    <row r="10" spans="1:24" ht="14.25" customHeight="1" x14ac:dyDescent="0.2">
      <c r="A10" s="186" t="s">
        <v>31</v>
      </c>
      <c r="B10" s="19" t="s">
        <v>19</v>
      </c>
      <c r="C10" s="21" t="s">
        <v>91</v>
      </c>
      <c r="D10" s="132" t="s">
        <v>39</v>
      </c>
      <c r="E10" s="20" t="s">
        <v>2</v>
      </c>
      <c r="F10" s="20" t="s">
        <v>146</v>
      </c>
      <c r="I10" t="s">
        <v>22</v>
      </c>
      <c r="J10" s="148">
        <v>2</v>
      </c>
      <c r="K10" s="151">
        <v>2</v>
      </c>
      <c r="L10" s="148">
        <v>2</v>
      </c>
      <c r="M10" s="148">
        <v>3</v>
      </c>
      <c r="N10" s="148" t="s">
        <v>24</v>
      </c>
      <c r="O10" s="148">
        <f>N11</f>
        <v>4</v>
      </c>
      <c r="P10" s="148">
        <f>N12</f>
        <v>2</v>
      </c>
      <c r="Q10" s="151">
        <f>N13</f>
        <v>4</v>
      </c>
      <c r="R10" s="151">
        <f>N14</f>
        <v>0</v>
      </c>
      <c r="S10" s="151">
        <f>N15</f>
        <v>0</v>
      </c>
      <c r="T10" s="148">
        <f>N16</f>
        <v>5</v>
      </c>
      <c r="U10" s="148">
        <f>N17</f>
        <v>3</v>
      </c>
      <c r="V10" s="148">
        <f>N18</f>
        <v>3</v>
      </c>
      <c r="W10" s="148">
        <f>N19</f>
        <v>1</v>
      </c>
      <c r="X10" s="151">
        <f>N20</f>
        <v>3</v>
      </c>
    </row>
    <row r="11" spans="1:24" x14ac:dyDescent="0.2">
      <c r="A11" s="186"/>
      <c r="B11" s="19" t="s">
        <v>20</v>
      </c>
      <c r="C11" s="20"/>
      <c r="D11" s="20"/>
      <c r="E11" s="20"/>
      <c r="F11" s="20"/>
      <c r="I11" t="s">
        <v>23</v>
      </c>
      <c r="J11" s="148">
        <v>3</v>
      </c>
      <c r="K11" s="151">
        <v>4</v>
      </c>
      <c r="L11" s="148">
        <v>4</v>
      </c>
      <c r="M11" s="148">
        <v>4</v>
      </c>
      <c r="N11" s="148">
        <v>4</v>
      </c>
      <c r="O11" s="148" t="s">
        <v>24</v>
      </c>
      <c r="P11" s="148">
        <f>O12</f>
        <v>3</v>
      </c>
      <c r="Q11" s="151">
        <f>O13</f>
        <v>3</v>
      </c>
      <c r="R11" s="151">
        <f>O14</f>
        <v>0</v>
      </c>
      <c r="S11" s="151">
        <f>O15</f>
        <v>0</v>
      </c>
      <c r="T11" s="148">
        <f>O16</f>
        <v>4</v>
      </c>
      <c r="U11" s="148">
        <f>O17</f>
        <v>4</v>
      </c>
      <c r="V11" s="148">
        <f>O18</f>
        <v>4</v>
      </c>
      <c r="W11" s="148">
        <f>O19</f>
        <v>2</v>
      </c>
      <c r="X11" s="151">
        <f>O20</f>
        <v>3</v>
      </c>
    </row>
    <row r="12" spans="1:24" ht="13.9" x14ac:dyDescent="0.25">
      <c r="C12" s="36"/>
      <c r="D12" s="36"/>
      <c r="E12" s="36"/>
      <c r="F12" s="36"/>
      <c r="I12" t="s">
        <v>34</v>
      </c>
      <c r="J12" s="148">
        <v>3</v>
      </c>
      <c r="K12" s="151">
        <v>2</v>
      </c>
      <c r="L12" s="148">
        <v>2</v>
      </c>
      <c r="M12" s="148">
        <v>3</v>
      </c>
      <c r="N12" s="148">
        <v>2</v>
      </c>
      <c r="O12" s="148">
        <v>3</v>
      </c>
      <c r="P12" s="148" t="s">
        <v>24</v>
      </c>
      <c r="Q12" s="151">
        <f>P13</f>
        <v>2</v>
      </c>
      <c r="R12" s="151">
        <f>P14</f>
        <v>0</v>
      </c>
      <c r="S12" s="151">
        <f>P15</f>
        <v>0</v>
      </c>
      <c r="T12" s="148">
        <f>P16</f>
        <v>4</v>
      </c>
      <c r="U12" s="148">
        <f>P17</f>
        <v>2</v>
      </c>
      <c r="V12" s="148">
        <f>P18</f>
        <v>5</v>
      </c>
      <c r="W12" s="148">
        <f>P19</f>
        <v>2</v>
      </c>
      <c r="X12" s="151">
        <f>P20</f>
        <v>0</v>
      </c>
    </row>
    <row r="13" spans="1:24" x14ac:dyDescent="0.2">
      <c r="A13" s="186" t="s">
        <v>98</v>
      </c>
      <c r="B13" s="19" t="s">
        <v>19</v>
      </c>
      <c r="C13" s="132"/>
      <c r="D13" s="132"/>
      <c r="E13" s="132"/>
      <c r="F13" s="132"/>
      <c r="I13" t="s">
        <v>32</v>
      </c>
      <c r="J13" s="148">
        <v>2</v>
      </c>
      <c r="K13" s="151">
        <v>2</v>
      </c>
      <c r="L13" s="148">
        <v>3</v>
      </c>
      <c r="M13" s="148">
        <v>1</v>
      </c>
      <c r="N13" s="148">
        <v>4</v>
      </c>
      <c r="O13" s="148">
        <v>3</v>
      </c>
      <c r="P13" s="148">
        <v>2</v>
      </c>
      <c r="Q13" s="151" t="s">
        <v>24</v>
      </c>
      <c r="R13" s="151">
        <f>Q14</f>
        <v>0</v>
      </c>
      <c r="S13" s="151">
        <f>Q15</f>
        <v>0</v>
      </c>
      <c r="T13" s="148">
        <f>Q16</f>
        <v>4</v>
      </c>
      <c r="U13" s="148">
        <f>Q17</f>
        <v>3</v>
      </c>
      <c r="V13" s="148">
        <f>Q18</f>
        <v>3</v>
      </c>
      <c r="W13" s="148">
        <f>Q19</f>
        <v>3</v>
      </c>
      <c r="X13" s="151">
        <f>Q20</f>
        <v>2</v>
      </c>
    </row>
    <row r="14" spans="1:24" ht="14.25" customHeight="1" x14ac:dyDescent="0.2">
      <c r="A14" s="186"/>
      <c r="B14" s="19" t="s">
        <v>20</v>
      </c>
      <c r="C14" s="20"/>
      <c r="D14" s="20"/>
      <c r="E14" s="20"/>
      <c r="F14" s="20"/>
      <c r="I14" t="s">
        <v>33</v>
      </c>
      <c r="J14" s="148"/>
      <c r="K14" s="151"/>
      <c r="L14" s="148"/>
      <c r="M14" s="148"/>
      <c r="N14" s="148"/>
      <c r="O14" s="148"/>
      <c r="P14" s="148"/>
      <c r="Q14" s="151"/>
      <c r="R14" s="151" t="s">
        <v>24</v>
      </c>
      <c r="S14" s="151">
        <f>R15</f>
        <v>0</v>
      </c>
      <c r="T14" s="148">
        <f>R16</f>
        <v>0</v>
      </c>
      <c r="U14" s="148">
        <f>R17</f>
        <v>0</v>
      </c>
      <c r="V14" s="148">
        <f>R18</f>
        <v>0</v>
      </c>
      <c r="W14" s="148">
        <f>R19</f>
        <v>0</v>
      </c>
      <c r="X14" s="151">
        <f>R20</f>
        <v>0</v>
      </c>
    </row>
    <row r="15" spans="1:24" ht="13.9" x14ac:dyDescent="0.25">
      <c r="I15" t="s">
        <v>142</v>
      </c>
      <c r="J15" s="148"/>
      <c r="K15" s="151"/>
      <c r="L15" s="148"/>
      <c r="M15" s="148"/>
      <c r="N15" s="148"/>
      <c r="O15" s="148"/>
      <c r="P15" s="148"/>
      <c r="Q15" s="151"/>
      <c r="R15" s="151"/>
      <c r="S15" s="151" t="s">
        <v>24</v>
      </c>
      <c r="T15" s="148">
        <f>S16</f>
        <v>0</v>
      </c>
      <c r="U15" s="148">
        <f>S17</f>
        <v>0</v>
      </c>
      <c r="V15" s="148">
        <f>S18</f>
        <v>0</v>
      </c>
      <c r="W15" s="148">
        <f>S19</f>
        <v>0</v>
      </c>
      <c r="X15" s="151">
        <f>S20</f>
        <v>0</v>
      </c>
    </row>
    <row r="16" spans="1:24" ht="13.9" x14ac:dyDescent="0.25">
      <c r="I16" s="33" t="s">
        <v>38</v>
      </c>
      <c r="J16" s="149">
        <v>2</v>
      </c>
      <c r="K16" s="152">
        <v>3</v>
      </c>
      <c r="L16" s="149">
        <v>4</v>
      </c>
      <c r="M16" s="149">
        <v>3</v>
      </c>
      <c r="N16" s="148">
        <v>5</v>
      </c>
      <c r="O16" s="148">
        <v>4</v>
      </c>
      <c r="P16" s="148">
        <v>4</v>
      </c>
      <c r="Q16" s="151">
        <v>4</v>
      </c>
      <c r="R16" s="151"/>
      <c r="S16" s="151"/>
      <c r="T16" s="148" t="s">
        <v>24</v>
      </c>
      <c r="U16" s="148">
        <f>T17</f>
        <v>4</v>
      </c>
      <c r="V16" s="148">
        <f>T18</f>
        <v>3</v>
      </c>
      <c r="W16" s="148">
        <f>T19</f>
        <v>3</v>
      </c>
      <c r="X16" s="151">
        <f>T20</f>
        <v>4</v>
      </c>
    </row>
    <row r="17" spans="1:24" ht="13.9" x14ac:dyDescent="0.25">
      <c r="I17" t="s">
        <v>52</v>
      </c>
      <c r="J17" s="148">
        <v>5</v>
      </c>
      <c r="K17" s="151">
        <v>2</v>
      </c>
      <c r="L17" s="148">
        <v>4</v>
      </c>
      <c r="M17" s="148">
        <v>3</v>
      </c>
      <c r="N17" s="148">
        <v>3</v>
      </c>
      <c r="O17" s="148">
        <v>4</v>
      </c>
      <c r="P17" s="148">
        <v>2</v>
      </c>
      <c r="Q17" s="151">
        <v>3</v>
      </c>
      <c r="R17" s="151"/>
      <c r="S17" s="151"/>
      <c r="T17" s="148">
        <v>4</v>
      </c>
      <c r="U17" s="148" t="s">
        <v>24</v>
      </c>
      <c r="V17" s="148">
        <f>U18</f>
        <v>4</v>
      </c>
      <c r="W17" s="148">
        <f>U19</f>
        <v>4</v>
      </c>
      <c r="X17" s="151">
        <f>U20</f>
        <v>1</v>
      </c>
    </row>
    <row r="18" spans="1:24" ht="13.9" x14ac:dyDescent="0.25">
      <c r="I18" t="s">
        <v>80</v>
      </c>
      <c r="J18" s="148">
        <v>3</v>
      </c>
      <c r="K18" s="151">
        <v>3</v>
      </c>
      <c r="L18" s="148">
        <v>4</v>
      </c>
      <c r="M18" s="148">
        <v>4</v>
      </c>
      <c r="N18" s="148">
        <v>3</v>
      </c>
      <c r="O18" s="148">
        <v>4</v>
      </c>
      <c r="P18" s="148">
        <v>5</v>
      </c>
      <c r="Q18" s="151">
        <v>3</v>
      </c>
      <c r="R18" s="151"/>
      <c r="S18" s="151"/>
      <c r="T18" s="148">
        <v>3</v>
      </c>
      <c r="U18" s="148">
        <v>4</v>
      </c>
      <c r="V18" s="148" t="s">
        <v>24</v>
      </c>
      <c r="W18" s="148">
        <f>V19</f>
        <v>4</v>
      </c>
      <c r="X18" s="151">
        <f>V20</f>
        <v>1</v>
      </c>
    </row>
    <row r="19" spans="1:24" ht="13.9" x14ac:dyDescent="0.25">
      <c r="C19" s="143" t="s">
        <v>10</v>
      </c>
      <c r="D19" s="143" t="s">
        <v>2</v>
      </c>
      <c r="E19" s="143" t="s">
        <v>58</v>
      </c>
      <c r="F19" s="143" t="s">
        <v>51</v>
      </c>
      <c r="G19" s="22"/>
      <c r="I19" t="s">
        <v>107</v>
      </c>
      <c r="J19" s="148">
        <v>4</v>
      </c>
      <c r="K19" s="151">
        <v>2</v>
      </c>
      <c r="L19" s="148">
        <v>4</v>
      </c>
      <c r="M19" s="148">
        <v>2</v>
      </c>
      <c r="N19" s="148">
        <v>1</v>
      </c>
      <c r="O19" s="148">
        <v>2</v>
      </c>
      <c r="P19" s="148">
        <v>2</v>
      </c>
      <c r="Q19" s="151">
        <v>3</v>
      </c>
      <c r="R19" s="151"/>
      <c r="S19" s="151"/>
      <c r="T19" s="148">
        <v>3</v>
      </c>
      <c r="U19" s="148">
        <v>4</v>
      </c>
      <c r="V19" s="148">
        <v>4</v>
      </c>
      <c r="W19" s="148" t="s">
        <v>24</v>
      </c>
      <c r="X19" s="151">
        <f>W20</f>
        <v>0</v>
      </c>
    </row>
    <row r="20" spans="1:24" ht="13.9" x14ac:dyDescent="0.25">
      <c r="C20" s="17"/>
      <c r="D20" s="17"/>
      <c r="E20" s="17"/>
      <c r="F20" s="17"/>
      <c r="G20" s="22"/>
      <c r="I20" t="s">
        <v>88</v>
      </c>
      <c r="J20" s="148">
        <v>3</v>
      </c>
      <c r="K20" s="151">
        <v>1</v>
      </c>
      <c r="L20" s="148">
        <v>2</v>
      </c>
      <c r="M20" s="148">
        <v>2</v>
      </c>
      <c r="N20" s="148">
        <v>3</v>
      </c>
      <c r="O20" s="148">
        <v>3</v>
      </c>
      <c r="P20" s="148"/>
      <c r="Q20" s="151">
        <v>2</v>
      </c>
      <c r="R20" s="151"/>
      <c r="S20" s="151"/>
      <c r="T20" s="148">
        <v>4</v>
      </c>
      <c r="U20" s="148">
        <v>1</v>
      </c>
      <c r="V20" s="148">
        <v>1</v>
      </c>
      <c r="W20" s="148"/>
      <c r="X20" s="151" t="s">
        <v>24</v>
      </c>
    </row>
    <row r="21" spans="1:24" ht="13.9" x14ac:dyDescent="0.25">
      <c r="C21" s="143" t="s">
        <v>3</v>
      </c>
      <c r="D21" s="144" t="s">
        <v>39</v>
      </c>
      <c r="E21" s="147" t="s">
        <v>9</v>
      </c>
      <c r="F21" s="147" t="s">
        <v>28</v>
      </c>
      <c r="G21" s="22"/>
      <c r="I21" t="s">
        <v>13</v>
      </c>
      <c r="J21" s="148">
        <f>SUM(J7:J20)</f>
        <v>35</v>
      </c>
      <c r="K21" s="151">
        <f>SUM(K6:K20)</f>
        <v>29</v>
      </c>
      <c r="L21" s="148">
        <f t="shared" ref="L21:X21" si="0">SUM(L6:L20)</f>
        <v>35</v>
      </c>
      <c r="M21" s="148">
        <f t="shared" si="0"/>
        <v>33</v>
      </c>
      <c r="N21" s="148">
        <f t="shared" si="0"/>
        <v>34</v>
      </c>
      <c r="O21" s="148">
        <f t="shared" si="0"/>
        <v>42</v>
      </c>
      <c r="P21" s="148">
        <f t="shared" si="0"/>
        <v>30</v>
      </c>
      <c r="Q21" s="151">
        <f t="shared" si="0"/>
        <v>32</v>
      </c>
      <c r="R21" s="151">
        <f t="shared" si="0"/>
        <v>0</v>
      </c>
      <c r="S21" s="151">
        <f t="shared" si="0"/>
        <v>0</v>
      </c>
      <c r="T21" s="148">
        <f t="shared" si="0"/>
        <v>43</v>
      </c>
      <c r="U21" s="148">
        <f t="shared" si="0"/>
        <v>39</v>
      </c>
      <c r="V21" s="148">
        <f t="shared" si="0"/>
        <v>41</v>
      </c>
      <c r="W21" s="148">
        <f t="shared" si="0"/>
        <v>31</v>
      </c>
      <c r="X21" s="151">
        <f t="shared" si="0"/>
        <v>22</v>
      </c>
    </row>
    <row r="22" spans="1:24" ht="13.9" x14ac:dyDescent="0.25">
      <c r="C22" s="17"/>
      <c r="D22" s="17"/>
      <c r="E22" s="17"/>
      <c r="F22" s="17"/>
      <c r="G22" s="22"/>
      <c r="T22" s="36"/>
      <c r="W22" s="36"/>
    </row>
    <row r="23" spans="1:24" x14ac:dyDescent="0.2">
      <c r="C23" s="143" t="s">
        <v>91</v>
      </c>
      <c r="D23" s="147" t="s">
        <v>29</v>
      </c>
      <c r="E23" s="143" t="s">
        <v>36</v>
      </c>
      <c r="F23" s="142" t="s">
        <v>35</v>
      </c>
      <c r="G23" s="22"/>
      <c r="I23" t="s">
        <v>92</v>
      </c>
      <c r="J23" s="36"/>
      <c r="K23" s="36"/>
      <c r="L23" s="36"/>
      <c r="M23" s="36"/>
      <c r="N23" s="36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3.9" x14ac:dyDescent="0.25">
      <c r="C24" s="15"/>
      <c r="D24" s="15"/>
      <c r="E24" s="15"/>
      <c r="F24" s="77"/>
      <c r="G24" s="22"/>
      <c r="I24" t="s">
        <v>94</v>
      </c>
      <c r="J24" s="36"/>
      <c r="K24" s="36"/>
      <c r="L24" s="36"/>
      <c r="M24" s="36"/>
      <c r="N24" s="36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3.9" x14ac:dyDescent="0.25">
      <c r="C25" s="145" t="s">
        <v>78</v>
      </c>
      <c r="D25" s="146" t="s">
        <v>83</v>
      </c>
      <c r="E25" s="147" t="s">
        <v>111</v>
      </c>
      <c r="F25" s="77"/>
      <c r="G25" s="22"/>
      <c r="I25" t="s">
        <v>93</v>
      </c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 spans="1:24" ht="13.9" x14ac:dyDescent="0.25">
      <c r="C26" s="134"/>
      <c r="D26" s="134"/>
      <c r="E26" s="15"/>
      <c r="F26" s="77"/>
      <c r="G26" s="22"/>
      <c r="I26" t="s">
        <v>148</v>
      </c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 spans="1:24" ht="13.9" x14ac:dyDescent="0.25">
      <c r="C27" s="17"/>
      <c r="D27" s="17"/>
      <c r="E27" s="17"/>
      <c r="F27" s="29"/>
      <c r="I27" t="s">
        <v>95</v>
      </c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spans="1:24" ht="13.9" x14ac:dyDescent="0.25">
      <c r="C28" s="22" t="s">
        <v>108</v>
      </c>
      <c r="D28" s="22"/>
      <c r="E28" s="22"/>
      <c r="F28" s="22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spans="1:24" x14ac:dyDescent="0.2">
      <c r="A29" s="188"/>
      <c r="B29" s="121"/>
      <c r="C29" s="139"/>
      <c r="D29" s="29"/>
      <c r="E29" s="29"/>
      <c r="F29" s="29"/>
      <c r="H29" s="29"/>
      <c r="I29" s="29" t="s">
        <v>96</v>
      </c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spans="1:24" x14ac:dyDescent="0.2">
      <c r="A30" s="188"/>
      <c r="B30" s="121"/>
      <c r="C30" s="29" t="s">
        <v>146</v>
      </c>
      <c r="D30" s="29"/>
      <c r="E30" s="29"/>
      <c r="F30" s="29"/>
      <c r="I30" t="s">
        <v>92</v>
      </c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spans="1:24" ht="13.9" x14ac:dyDescent="0.25">
      <c r="A31" s="1"/>
      <c r="B31" s="1"/>
      <c r="C31" s="1"/>
      <c r="D31" s="1"/>
      <c r="E31" s="1"/>
      <c r="F31" s="1"/>
      <c r="I31" t="s">
        <v>94</v>
      </c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spans="1:24" ht="13.9" x14ac:dyDescent="0.25">
      <c r="A32" s="1"/>
      <c r="B32" s="1"/>
      <c r="C32" s="1"/>
      <c r="D32" s="1"/>
      <c r="E32" s="1"/>
      <c r="F32" s="1"/>
      <c r="I32" t="s">
        <v>93</v>
      </c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spans="1:24" ht="14.25" customHeight="1" x14ac:dyDescent="0.2">
      <c r="A33" s="188"/>
      <c r="B33" s="122"/>
      <c r="C33" s="29"/>
      <c r="D33" s="122"/>
      <c r="E33" s="122"/>
      <c r="F33" s="122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 spans="1:24" x14ac:dyDescent="0.2">
      <c r="A34" s="188"/>
      <c r="B34" s="122"/>
      <c r="C34" s="122"/>
      <c r="D34" s="122"/>
      <c r="E34" s="122"/>
      <c r="F34" s="122"/>
      <c r="I34" t="s">
        <v>97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 spans="1:24" ht="13.9" x14ac:dyDescent="0.25">
      <c r="I35" t="s">
        <v>92</v>
      </c>
      <c r="J35" s="38"/>
      <c r="K35" s="38"/>
      <c r="L35" s="38"/>
      <c r="M35" s="38"/>
      <c r="N35" s="38"/>
      <c r="O35" s="36"/>
      <c r="P35" s="36"/>
      <c r="Q35" s="36"/>
      <c r="R35" s="36"/>
      <c r="S35" s="38"/>
      <c r="T35" s="38"/>
      <c r="U35" s="36"/>
      <c r="V35" s="36"/>
      <c r="W35" s="38"/>
      <c r="X35" s="38"/>
    </row>
    <row r="36" spans="1:24" x14ac:dyDescent="0.2">
      <c r="I36" t="s">
        <v>94</v>
      </c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spans="1:24" x14ac:dyDescent="0.2">
      <c r="I37" t="s">
        <v>93</v>
      </c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</row>
    <row r="38" spans="1:24" ht="13.9" x14ac:dyDescent="0.25">
      <c r="J38" s="36"/>
      <c r="K38" s="36"/>
      <c r="L38" s="36"/>
      <c r="M38" s="36"/>
      <c r="N38" s="36"/>
      <c r="O38" s="36"/>
      <c r="P38" s="36"/>
      <c r="S38" s="36"/>
      <c r="T38" s="36"/>
      <c r="W38" s="36"/>
    </row>
    <row r="39" spans="1:24" x14ac:dyDescent="0.2"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</row>
  </sheetData>
  <mergeCells count="6">
    <mergeCell ref="A2:A3"/>
    <mergeCell ref="A6:A7"/>
    <mergeCell ref="A29:A30"/>
    <mergeCell ref="A33:A34"/>
    <mergeCell ref="A10:A11"/>
    <mergeCell ref="A13:A14"/>
  </mergeCells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42"/>
  <sheetViews>
    <sheetView workbookViewId="0">
      <selection activeCell="B40" sqref="B4:B40"/>
    </sheetView>
  </sheetViews>
  <sheetFormatPr defaultRowHeight="14.25" x14ac:dyDescent="0.2"/>
  <cols>
    <col min="2" max="2" width="16.33203125" bestFit="1" customWidth="1"/>
    <col min="3" max="3" width="14.21875" bestFit="1" customWidth="1"/>
    <col min="4" max="4" width="4.21875" bestFit="1" customWidth="1"/>
    <col min="5" max="5" width="4.88671875" bestFit="1" customWidth="1"/>
    <col min="6" max="6" width="3.44140625" bestFit="1" customWidth="1"/>
    <col min="7" max="7" width="3.109375" bestFit="1" customWidth="1"/>
    <col min="8" max="8" width="6.21875" customWidth="1"/>
    <col min="9" max="9" width="3.33203125" bestFit="1" customWidth="1"/>
    <col min="10" max="10" width="2.88671875" bestFit="1" customWidth="1"/>
    <col min="11" max="11" width="4" bestFit="1" customWidth="1"/>
    <col min="12" max="12" width="2.88671875" bestFit="1" customWidth="1"/>
    <col min="13" max="13" width="2.77734375" bestFit="1" customWidth="1"/>
    <col min="15" max="15" width="11.44140625" bestFit="1" customWidth="1"/>
    <col min="16" max="16" width="15.77734375" bestFit="1" customWidth="1"/>
    <col min="17" max="17" width="20.44140625" bestFit="1" customWidth="1"/>
  </cols>
  <sheetData>
    <row r="1" spans="1:16" ht="13.9" x14ac:dyDescent="0.25">
      <c r="A1" t="s">
        <v>104</v>
      </c>
      <c r="D1" t="s">
        <v>21</v>
      </c>
      <c r="E1" t="s">
        <v>1</v>
      </c>
      <c r="F1" t="s">
        <v>22</v>
      </c>
      <c r="G1" t="s">
        <v>23</v>
      </c>
      <c r="H1" t="s">
        <v>34</v>
      </c>
      <c r="I1" t="s">
        <v>32</v>
      </c>
      <c r="J1" t="s">
        <v>33</v>
      </c>
      <c r="K1" t="s">
        <v>50</v>
      </c>
      <c r="L1" s="35" t="s">
        <v>52</v>
      </c>
      <c r="M1" s="35" t="s">
        <v>38</v>
      </c>
      <c r="N1" s="35" t="s">
        <v>13</v>
      </c>
      <c r="O1" s="36" t="s">
        <v>37</v>
      </c>
      <c r="P1" t="s">
        <v>77</v>
      </c>
    </row>
    <row r="2" spans="1:16" ht="13.9" x14ac:dyDescent="0.25">
      <c r="B2" s="22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6" x14ac:dyDescent="0.2">
      <c r="B3" s="22" t="s">
        <v>113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>
        <f t="shared" ref="N3:N8" si="0">SUM(D3:M3)</f>
        <v>0</v>
      </c>
    </row>
    <row r="4" spans="1:16" x14ac:dyDescent="0.2">
      <c r="B4" s="22" t="s">
        <v>132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>
        <f t="shared" si="0"/>
        <v>0</v>
      </c>
    </row>
    <row r="5" spans="1:16" x14ac:dyDescent="0.2">
      <c r="B5" s="22" t="s">
        <v>133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>
        <f t="shared" si="0"/>
        <v>0</v>
      </c>
    </row>
    <row r="6" spans="1:16" x14ac:dyDescent="0.2">
      <c r="B6" s="22" t="s">
        <v>134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>
        <f t="shared" si="0"/>
        <v>0</v>
      </c>
    </row>
    <row r="7" spans="1:16" x14ac:dyDescent="0.2">
      <c r="B7" s="22" t="s">
        <v>135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>
        <f t="shared" si="0"/>
        <v>0</v>
      </c>
    </row>
    <row r="8" spans="1:16" x14ac:dyDescent="0.2">
      <c r="B8" s="22" t="s">
        <v>136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>
        <f t="shared" si="0"/>
        <v>0</v>
      </c>
    </row>
    <row r="9" spans="1:16" x14ac:dyDescent="0.2">
      <c r="B9" s="22" t="s">
        <v>75</v>
      </c>
      <c r="N9">
        <f>SUM(D9:M9)</f>
        <v>0</v>
      </c>
    </row>
    <row r="10" spans="1:16" x14ac:dyDescent="0.2">
      <c r="B10" s="22" t="s">
        <v>73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>
        <f t="shared" ref="N10:N36" si="1">SUM(D10:M10)</f>
        <v>0</v>
      </c>
    </row>
    <row r="11" spans="1:16" x14ac:dyDescent="0.2">
      <c r="B11" s="22" t="s">
        <v>42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>
        <f t="shared" si="1"/>
        <v>0</v>
      </c>
    </row>
    <row r="12" spans="1:16" x14ac:dyDescent="0.2">
      <c r="B12" s="22" t="s">
        <v>76</v>
      </c>
      <c r="N12">
        <f t="shared" si="1"/>
        <v>0</v>
      </c>
    </row>
    <row r="13" spans="1:16" x14ac:dyDescent="0.2">
      <c r="B13" s="22" t="s">
        <v>89</v>
      </c>
      <c r="C13" t="s">
        <v>131</v>
      </c>
      <c r="N13">
        <f t="shared" si="1"/>
        <v>0</v>
      </c>
    </row>
    <row r="14" spans="1:16" x14ac:dyDescent="0.2">
      <c r="B14" s="22" t="s">
        <v>49</v>
      </c>
      <c r="D14" s="38"/>
      <c r="E14" s="1"/>
      <c r="G14" s="36"/>
      <c r="H14" s="36"/>
      <c r="L14" s="36"/>
      <c r="M14" s="36"/>
      <c r="N14">
        <f t="shared" si="1"/>
        <v>0</v>
      </c>
    </row>
    <row r="15" spans="1:16" x14ac:dyDescent="0.2">
      <c r="B15" s="22" t="s">
        <v>54</v>
      </c>
      <c r="C15">
        <v>3046389564</v>
      </c>
      <c r="N15">
        <f t="shared" si="1"/>
        <v>0</v>
      </c>
    </row>
    <row r="16" spans="1:16" x14ac:dyDescent="0.2">
      <c r="B16" s="22" t="s">
        <v>56</v>
      </c>
      <c r="N16">
        <f t="shared" si="1"/>
        <v>0</v>
      </c>
    </row>
    <row r="17" spans="2:14" x14ac:dyDescent="0.2">
      <c r="B17" s="22" t="s">
        <v>105</v>
      </c>
      <c r="N17">
        <f t="shared" si="1"/>
        <v>0</v>
      </c>
    </row>
    <row r="18" spans="2:14" ht="14.25" customHeight="1" x14ac:dyDescent="0.2">
      <c r="B18" s="22" t="s">
        <v>74</v>
      </c>
      <c r="N18">
        <f t="shared" si="1"/>
        <v>0</v>
      </c>
    </row>
    <row r="19" spans="2:14" x14ac:dyDescent="0.2">
      <c r="B19" s="22" t="s">
        <v>102</v>
      </c>
      <c r="C19">
        <v>3044121985</v>
      </c>
      <c r="N19">
        <f t="shared" si="1"/>
        <v>0</v>
      </c>
    </row>
    <row r="20" spans="2:14" x14ac:dyDescent="0.2">
      <c r="B20" s="22" t="s">
        <v>81</v>
      </c>
      <c r="N20">
        <f t="shared" si="1"/>
        <v>0</v>
      </c>
    </row>
    <row r="21" spans="2:14" x14ac:dyDescent="0.2">
      <c r="B21" s="22" t="s">
        <v>103</v>
      </c>
      <c r="N21">
        <f t="shared" si="1"/>
        <v>0</v>
      </c>
    </row>
    <row r="22" spans="2:14" x14ac:dyDescent="0.2">
      <c r="B22" s="22" t="s">
        <v>82</v>
      </c>
      <c r="N22">
        <f t="shared" si="1"/>
        <v>0</v>
      </c>
    </row>
    <row r="23" spans="2:14" x14ac:dyDescent="0.2">
      <c r="B23" s="22" t="s">
        <v>25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>
        <f t="shared" si="1"/>
        <v>0</v>
      </c>
    </row>
    <row r="24" spans="2:14" x14ac:dyDescent="0.2">
      <c r="B24" s="22" t="s">
        <v>41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>
        <f t="shared" si="1"/>
        <v>0</v>
      </c>
    </row>
    <row r="25" spans="2:14" x14ac:dyDescent="0.2">
      <c r="B25" s="22" t="s">
        <v>4</v>
      </c>
      <c r="N25">
        <f t="shared" si="1"/>
        <v>0</v>
      </c>
    </row>
    <row r="26" spans="2:14" x14ac:dyDescent="0.2">
      <c r="B26" s="22" t="s">
        <v>43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>
        <f t="shared" si="1"/>
        <v>0</v>
      </c>
    </row>
    <row r="27" spans="2:14" x14ac:dyDescent="0.2">
      <c r="B27" s="22" t="s">
        <v>44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>
        <f t="shared" si="1"/>
        <v>0</v>
      </c>
    </row>
    <row r="28" spans="2:14" x14ac:dyDescent="0.2">
      <c r="B28" s="22" t="s">
        <v>45</v>
      </c>
      <c r="C28" t="s">
        <v>46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>
        <f t="shared" si="1"/>
        <v>0</v>
      </c>
    </row>
    <row r="29" spans="2:14" x14ac:dyDescent="0.2">
      <c r="B29" s="22" t="s">
        <v>27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>
        <f t="shared" si="1"/>
        <v>0</v>
      </c>
    </row>
    <row r="30" spans="2:14" x14ac:dyDescent="0.2">
      <c r="B30" s="22" t="s">
        <v>47</v>
      </c>
      <c r="D30" s="36"/>
      <c r="E30" s="36"/>
      <c r="F30" s="36"/>
      <c r="G30" s="36"/>
      <c r="H30" s="36"/>
      <c r="I30" s="36"/>
      <c r="J30" s="36"/>
      <c r="L30" s="36"/>
      <c r="M30" s="36"/>
      <c r="N30">
        <f t="shared" si="1"/>
        <v>0</v>
      </c>
    </row>
    <row r="31" spans="2:14" x14ac:dyDescent="0.2">
      <c r="B31" s="22" t="s">
        <v>48</v>
      </c>
      <c r="L31" s="36"/>
      <c r="M31" s="36"/>
      <c r="N31">
        <f t="shared" si="1"/>
        <v>0</v>
      </c>
    </row>
    <row r="32" spans="2:14" x14ac:dyDescent="0.2">
      <c r="B32" s="22" t="s">
        <v>53</v>
      </c>
      <c r="C32" s="37">
        <v>3046338122</v>
      </c>
      <c r="N32">
        <f t="shared" si="1"/>
        <v>0</v>
      </c>
    </row>
    <row r="33" spans="2:14" x14ac:dyDescent="0.2">
      <c r="B33" s="22" t="s">
        <v>57</v>
      </c>
      <c r="N33">
        <f t="shared" si="1"/>
        <v>0</v>
      </c>
    </row>
    <row r="34" spans="2:14" x14ac:dyDescent="0.2">
      <c r="B34" s="22" t="s">
        <v>59</v>
      </c>
      <c r="N34">
        <f t="shared" si="1"/>
        <v>0</v>
      </c>
    </row>
    <row r="35" spans="2:14" x14ac:dyDescent="0.2">
      <c r="B35" s="22" t="s">
        <v>64</v>
      </c>
      <c r="N35">
        <f t="shared" si="1"/>
        <v>0</v>
      </c>
    </row>
    <row r="36" spans="2:14" x14ac:dyDescent="0.2">
      <c r="B36" s="22" t="s">
        <v>90</v>
      </c>
      <c r="N36">
        <f t="shared" si="1"/>
        <v>0</v>
      </c>
    </row>
    <row r="37" spans="2:14" x14ac:dyDescent="0.2">
      <c r="B37" s="22" t="s">
        <v>106</v>
      </c>
    </row>
    <row r="38" spans="2:14" x14ac:dyDescent="0.2">
      <c r="B38" s="22" t="s">
        <v>151</v>
      </c>
    </row>
    <row r="39" spans="2:14" x14ac:dyDescent="0.2">
      <c r="B39" s="22" t="s">
        <v>172</v>
      </c>
    </row>
    <row r="40" spans="2:14" x14ac:dyDescent="0.2">
      <c r="B40" s="22" t="s">
        <v>160</v>
      </c>
    </row>
    <row r="42" spans="2:14" x14ac:dyDescent="0.2">
      <c r="B42" t="s">
        <v>60</v>
      </c>
    </row>
  </sheetData>
  <sortState ref="A3:O34">
    <sortCondition descending="1" ref="N3:N34"/>
    <sortCondition descending="1" ref="O3:O34"/>
  </sortState>
  <pageMargins left="0.7" right="0.7" top="0.75" bottom="0.75" header="0.3" footer="0.3"/>
  <pageSetup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</sheetPr>
  <dimension ref="A1:Q46"/>
  <sheetViews>
    <sheetView workbookViewId="0">
      <selection activeCell="J1" sqref="J1:Q14"/>
    </sheetView>
  </sheetViews>
  <sheetFormatPr defaultColWidth="8.88671875" defaultRowHeight="14.25" outlineLevelRow="1" x14ac:dyDescent="0.2"/>
  <cols>
    <col min="1" max="1" width="1.6640625" style="108" customWidth="1"/>
    <col min="2" max="2" width="12.109375" style="1" bestFit="1" customWidth="1"/>
    <col min="3" max="3" width="6.109375" style="1" customWidth="1"/>
    <col min="4" max="4" width="3.5546875" style="1" customWidth="1"/>
    <col min="5" max="5" width="3.88671875" style="1" customWidth="1"/>
    <col min="6" max="6" width="3.5546875" style="1" customWidth="1"/>
    <col min="7" max="7" width="3.88671875" style="1" customWidth="1"/>
    <col min="8" max="8" width="6.21875" style="1" customWidth="1"/>
    <col min="9" max="9" width="2.77734375" style="1" customWidth="1"/>
    <col min="10" max="10" width="2" style="1" customWidth="1"/>
    <col min="11" max="11" width="12.109375" style="1" bestFit="1" customWidth="1"/>
    <col min="12" max="12" width="6.44140625" style="1" bestFit="1" customWidth="1"/>
    <col min="13" max="13" width="3.5546875" style="1" customWidth="1"/>
    <col min="14" max="14" width="4.21875" style="1" bestFit="1" customWidth="1"/>
    <col min="15" max="15" width="3.5546875" style="1" customWidth="1"/>
    <col min="16" max="16" width="4.33203125" style="1" bestFit="1" customWidth="1"/>
    <col min="17" max="17" width="6.21875" style="1" bestFit="1" customWidth="1"/>
    <col min="18" max="16384" width="8.88671875" style="1"/>
  </cols>
  <sheetData>
    <row r="1" spans="1:17" s="5" customFormat="1" ht="14.25" customHeight="1" x14ac:dyDescent="0.25">
      <c r="A1" s="109"/>
      <c r="B1" s="39"/>
      <c r="D1" s="189" t="s">
        <v>62</v>
      </c>
      <c r="E1" s="189"/>
      <c r="F1" s="189" t="s">
        <v>62</v>
      </c>
      <c r="G1" s="189"/>
      <c r="H1" s="2" t="s">
        <v>13</v>
      </c>
      <c r="L1" s="2" t="s">
        <v>13</v>
      </c>
      <c r="M1" s="189" t="s">
        <v>62</v>
      </c>
      <c r="N1" s="189"/>
      <c r="O1" s="189" t="s">
        <v>62</v>
      </c>
      <c r="P1" s="189"/>
      <c r="Q1" s="2" t="s">
        <v>63</v>
      </c>
    </row>
    <row r="2" spans="1:17" ht="13.9" x14ac:dyDescent="0.25">
      <c r="B2" s="40" t="s">
        <v>61</v>
      </c>
      <c r="C2" s="1" t="s">
        <v>13</v>
      </c>
      <c r="D2" s="175">
        <v>1</v>
      </c>
      <c r="E2" s="175"/>
      <c r="F2" s="175">
        <v>2</v>
      </c>
      <c r="G2" s="175"/>
      <c r="M2" s="175">
        <v>3</v>
      </c>
      <c r="N2" s="175"/>
      <c r="O2" s="175">
        <v>4</v>
      </c>
      <c r="P2" s="175"/>
    </row>
    <row r="3" spans="1:17" ht="13.9" x14ac:dyDescent="0.25">
      <c r="A3" s="108">
        <v>1</v>
      </c>
      <c r="B3" s="42" t="s">
        <v>36</v>
      </c>
      <c r="C3" s="54">
        <v>190.5</v>
      </c>
      <c r="D3" s="50">
        <v>89</v>
      </c>
      <c r="E3" s="125">
        <f>SUM(E4:E5)</f>
        <v>14</v>
      </c>
      <c r="F3" s="50">
        <v>93</v>
      </c>
      <c r="G3" s="125">
        <f>SUM(G4:G5)</f>
        <v>14</v>
      </c>
      <c r="H3" s="54">
        <f>G3+E3+C3</f>
        <v>218.5</v>
      </c>
      <c r="J3" s="108">
        <v>1</v>
      </c>
      <c r="K3" s="42" t="s">
        <v>3</v>
      </c>
      <c r="L3" s="105">
        <v>214</v>
      </c>
      <c r="M3" s="50">
        <v>76</v>
      </c>
      <c r="N3" s="126">
        <f>N4+N5</f>
        <v>30</v>
      </c>
      <c r="O3" s="50">
        <v>78</v>
      </c>
      <c r="P3" s="126">
        <f>P4+P5</f>
        <v>22.5</v>
      </c>
      <c r="Q3" s="106">
        <f>P3+N3+L3</f>
        <v>266.5</v>
      </c>
    </row>
    <row r="4" spans="1:17" ht="13.9" outlineLevel="1" x14ac:dyDescent="0.25">
      <c r="B4" s="65" t="s">
        <v>37</v>
      </c>
      <c r="D4" s="50">
        <v>32</v>
      </c>
      <c r="E4" s="50">
        <v>8</v>
      </c>
      <c r="F4" s="50">
        <v>29</v>
      </c>
      <c r="G4" s="50">
        <v>4</v>
      </c>
      <c r="J4" s="108"/>
      <c r="K4" s="65" t="s">
        <v>37</v>
      </c>
      <c r="L4" s="38"/>
      <c r="M4" s="50">
        <v>37</v>
      </c>
      <c r="N4" s="50">
        <v>20</v>
      </c>
      <c r="O4" s="50">
        <v>35</v>
      </c>
      <c r="P4" s="50">
        <v>17.5</v>
      </c>
    </row>
    <row r="5" spans="1:17" ht="13.9" outlineLevel="1" x14ac:dyDescent="0.25">
      <c r="A5" s="49"/>
      <c r="B5" s="66" t="s">
        <v>6</v>
      </c>
      <c r="C5" s="30"/>
      <c r="D5" s="62">
        <v>-4</v>
      </c>
      <c r="E5" s="52">
        <v>6</v>
      </c>
      <c r="F5" s="62">
        <v>4</v>
      </c>
      <c r="G5" s="52">
        <v>10</v>
      </c>
      <c r="H5" s="30"/>
      <c r="J5" s="49"/>
      <c r="K5" s="66" t="s">
        <v>6</v>
      </c>
      <c r="L5" s="38"/>
      <c r="M5" s="62"/>
      <c r="N5" s="52">
        <v>10</v>
      </c>
      <c r="O5" s="62">
        <v>-37</v>
      </c>
      <c r="P5" s="52">
        <v>5</v>
      </c>
    </row>
    <row r="6" spans="1:17" ht="13.9" x14ac:dyDescent="0.25">
      <c r="A6" s="108">
        <v>2</v>
      </c>
      <c r="B6" s="42" t="s">
        <v>3</v>
      </c>
      <c r="C6" s="54">
        <v>165</v>
      </c>
      <c r="D6" s="50">
        <v>77</v>
      </c>
      <c r="E6" s="125">
        <f>SUM(E7:E8)</f>
        <v>25</v>
      </c>
      <c r="F6" s="50">
        <v>76</v>
      </c>
      <c r="G6" s="125">
        <f>SUM(G7:G8)</f>
        <v>24</v>
      </c>
      <c r="H6" s="54">
        <f>G6+E6+C6</f>
        <v>214</v>
      </c>
      <c r="J6" s="108">
        <v>2</v>
      </c>
      <c r="K6" s="68" t="s">
        <v>78</v>
      </c>
      <c r="L6" s="105">
        <v>213</v>
      </c>
      <c r="M6" s="50">
        <v>79</v>
      </c>
      <c r="N6" s="126">
        <f>N7+N8</f>
        <v>35</v>
      </c>
      <c r="O6" s="50">
        <v>84</v>
      </c>
      <c r="P6" s="126">
        <f>P7+P8</f>
        <v>15</v>
      </c>
      <c r="Q6" s="106">
        <f>P6+N6+L6</f>
        <v>263</v>
      </c>
    </row>
    <row r="7" spans="1:17" ht="13.9" outlineLevel="1" collapsed="1" x14ac:dyDescent="0.25">
      <c r="B7" s="40" t="s">
        <v>37</v>
      </c>
      <c r="C7" s="30"/>
      <c r="D7" s="50">
        <v>35</v>
      </c>
      <c r="E7" s="50">
        <v>15</v>
      </c>
      <c r="F7" s="50">
        <v>37</v>
      </c>
      <c r="G7" s="50">
        <v>12</v>
      </c>
      <c r="J7" s="108"/>
      <c r="K7" s="65" t="s">
        <v>37</v>
      </c>
      <c r="M7" s="50">
        <v>35</v>
      </c>
      <c r="N7" s="50">
        <v>15</v>
      </c>
      <c r="O7" s="50">
        <v>31</v>
      </c>
      <c r="P7" s="50">
        <v>5</v>
      </c>
    </row>
    <row r="8" spans="1:17" ht="13.9" outlineLevel="1" x14ac:dyDescent="0.25">
      <c r="A8" s="49"/>
      <c r="B8" s="44" t="s">
        <v>6</v>
      </c>
      <c r="C8" s="30"/>
      <c r="D8" s="62">
        <v>-2</v>
      </c>
      <c r="E8" s="52">
        <v>10</v>
      </c>
      <c r="F8" s="62">
        <v>11</v>
      </c>
      <c r="G8" s="52">
        <v>12</v>
      </c>
      <c r="J8" s="49"/>
      <c r="K8" s="66" t="s">
        <v>6</v>
      </c>
      <c r="M8" s="62"/>
      <c r="N8" s="52">
        <v>20</v>
      </c>
      <c r="O8" s="62">
        <v>-1</v>
      </c>
      <c r="P8" s="52">
        <v>10</v>
      </c>
    </row>
    <row r="9" spans="1:17" ht="13.9" x14ac:dyDescent="0.25">
      <c r="A9" s="108">
        <v>3</v>
      </c>
      <c r="B9" s="42" t="s">
        <v>78</v>
      </c>
      <c r="C9" s="54">
        <v>172</v>
      </c>
      <c r="D9" s="50">
        <v>78</v>
      </c>
      <c r="E9" s="125">
        <f>SUM(E10:E11)</f>
        <v>31</v>
      </c>
      <c r="F9" s="50">
        <v>83</v>
      </c>
      <c r="G9" s="125">
        <f>SUM(G10:G11)</f>
        <v>10</v>
      </c>
      <c r="H9" s="54">
        <f>G9+E9+C9</f>
        <v>213</v>
      </c>
      <c r="J9" s="108">
        <v>3</v>
      </c>
      <c r="K9" s="42" t="s">
        <v>39</v>
      </c>
      <c r="L9" s="105">
        <v>201.5</v>
      </c>
      <c r="M9" s="50">
        <v>101</v>
      </c>
      <c r="N9" s="126">
        <f>N10+N11</f>
        <v>25</v>
      </c>
      <c r="O9" s="50">
        <v>99</v>
      </c>
      <c r="P9" s="126">
        <f>P10+P11</f>
        <v>32.5</v>
      </c>
      <c r="Q9" s="106">
        <f>P9+N9+L9</f>
        <v>259</v>
      </c>
    </row>
    <row r="10" spans="1:17" ht="13.9" outlineLevel="1" x14ac:dyDescent="0.25">
      <c r="B10" s="65" t="s">
        <v>37</v>
      </c>
      <c r="C10" s="30"/>
      <c r="D10" s="50">
        <v>35</v>
      </c>
      <c r="E10" s="60">
        <v>15</v>
      </c>
      <c r="F10" s="50">
        <v>32</v>
      </c>
      <c r="G10" s="50">
        <v>6</v>
      </c>
      <c r="H10" s="30"/>
      <c r="J10" s="108"/>
      <c r="K10" s="65" t="s">
        <v>37</v>
      </c>
      <c r="L10" s="38"/>
      <c r="M10" s="50">
        <v>33</v>
      </c>
      <c r="N10" s="50">
        <v>10</v>
      </c>
      <c r="O10" s="50">
        <v>35</v>
      </c>
      <c r="P10" s="50">
        <v>17.5</v>
      </c>
    </row>
    <row r="11" spans="1:17" ht="13.9" outlineLevel="1" collapsed="1" x14ac:dyDescent="0.25">
      <c r="A11" s="49"/>
      <c r="B11" s="66" t="s">
        <v>6</v>
      </c>
      <c r="C11" s="30"/>
      <c r="D11" s="62">
        <v>17</v>
      </c>
      <c r="E11" s="52">
        <v>16</v>
      </c>
      <c r="F11" s="62">
        <v>-13</v>
      </c>
      <c r="G11" s="52">
        <v>4</v>
      </c>
      <c r="H11" s="30"/>
      <c r="J11" s="49"/>
      <c r="K11" s="66" t="s">
        <v>6</v>
      </c>
      <c r="L11" s="38"/>
      <c r="M11" s="62"/>
      <c r="N11" s="52">
        <v>15</v>
      </c>
      <c r="O11" s="62">
        <v>11</v>
      </c>
      <c r="P11" s="52">
        <v>15</v>
      </c>
    </row>
    <row r="12" spans="1:17" ht="13.9" x14ac:dyDescent="0.25">
      <c r="A12" s="108">
        <v>4</v>
      </c>
      <c r="B12" s="42" t="s">
        <v>39</v>
      </c>
      <c r="C12" s="54">
        <v>149.5</v>
      </c>
      <c r="D12" s="50">
        <v>103</v>
      </c>
      <c r="E12" s="125">
        <f>SUM(E13:E14)</f>
        <v>22</v>
      </c>
      <c r="F12" s="50">
        <v>94</v>
      </c>
      <c r="G12" s="125">
        <f>SUM(G13:G14)</f>
        <v>30</v>
      </c>
      <c r="H12" s="54">
        <f>G12+E12+C12</f>
        <v>201.5</v>
      </c>
      <c r="J12" s="108">
        <v>4</v>
      </c>
      <c r="K12" s="42" t="s">
        <v>36</v>
      </c>
      <c r="L12" s="105">
        <v>218.5</v>
      </c>
      <c r="M12" s="50">
        <v>96</v>
      </c>
      <c r="N12" s="126">
        <f>N13+N14</f>
        <v>10</v>
      </c>
      <c r="O12" s="50">
        <v>93</v>
      </c>
      <c r="P12" s="126">
        <f>P13+P14</f>
        <v>30</v>
      </c>
      <c r="Q12" s="106">
        <f>P12+N12+L12</f>
        <v>258.5</v>
      </c>
    </row>
    <row r="13" spans="1:17" ht="13.9" outlineLevel="1" x14ac:dyDescent="0.25">
      <c r="B13" s="65" t="s">
        <v>37</v>
      </c>
      <c r="D13" s="50">
        <v>32</v>
      </c>
      <c r="E13" s="50">
        <v>8</v>
      </c>
      <c r="F13" s="50">
        <v>40</v>
      </c>
      <c r="G13" s="50">
        <v>16</v>
      </c>
      <c r="K13" s="40" t="s">
        <v>37</v>
      </c>
      <c r="L13" s="38"/>
      <c r="M13" s="50">
        <v>28</v>
      </c>
      <c r="N13" s="50">
        <v>5</v>
      </c>
      <c r="O13" s="50">
        <v>31</v>
      </c>
      <c r="P13" s="50">
        <v>10</v>
      </c>
      <c r="Q13" s="107"/>
    </row>
    <row r="14" spans="1:17" ht="13.9" outlineLevel="1" x14ac:dyDescent="0.25">
      <c r="A14" s="49"/>
      <c r="B14" s="66" t="s">
        <v>6</v>
      </c>
      <c r="D14" s="62">
        <v>12</v>
      </c>
      <c r="E14" s="52">
        <v>14</v>
      </c>
      <c r="F14" s="62">
        <v>13</v>
      </c>
      <c r="G14" s="52">
        <v>14</v>
      </c>
      <c r="J14" s="49"/>
      <c r="K14" s="44" t="s">
        <v>6</v>
      </c>
      <c r="L14" s="38"/>
      <c r="M14" s="64"/>
      <c r="N14" s="50">
        <v>5</v>
      </c>
      <c r="O14" s="64">
        <v>27</v>
      </c>
      <c r="P14" s="50">
        <v>20</v>
      </c>
    </row>
    <row r="15" spans="1:17" ht="13.9" x14ac:dyDescent="0.25">
      <c r="A15" s="108">
        <v>5</v>
      </c>
      <c r="B15" s="42" t="s">
        <v>58</v>
      </c>
      <c r="C15" s="54">
        <v>164</v>
      </c>
      <c r="D15" s="50">
        <v>93</v>
      </c>
      <c r="E15" s="125">
        <f>SUM(E16:E17)</f>
        <v>4</v>
      </c>
      <c r="F15" s="50">
        <v>79</v>
      </c>
      <c r="G15" s="125">
        <f>SUM(G16:G17)</f>
        <v>30</v>
      </c>
      <c r="H15" s="54">
        <f>G15+E15+C15</f>
        <v>198</v>
      </c>
      <c r="L15" s="30"/>
      <c r="M15" s="50"/>
      <c r="N15" s="60"/>
      <c r="O15" s="50"/>
      <c r="P15" s="60"/>
    </row>
    <row r="16" spans="1:17" ht="13.9" outlineLevel="1" x14ac:dyDescent="0.25">
      <c r="B16" s="65" t="s">
        <v>37</v>
      </c>
      <c r="D16" s="50">
        <v>27</v>
      </c>
      <c r="E16" s="50">
        <v>2</v>
      </c>
      <c r="F16" s="50">
        <v>39</v>
      </c>
      <c r="G16" s="50">
        <v>14</v>
      </c>
      <c r="M16" s="50"/>
      <c r="N16" s="50"/>
      <c r="O16" s="50"/>
      <c r="P16" s="50"/>
    </row>
    <row r="17" spans="1:16" ht="13.9" outlineLevel="1" x14ac:dyDescent="0.25">
      <c r="A17" s="49"/>
      <c r="B17" s="66" t="s">
        <v>6</v>
      </c>
      <c r="D17" s="62">
        <v>-17</v>
      </c>
      <c r="E17" s="52">
        <v>2</v>
      </c>
      <c r="F17" s="62">
        <v>34</v>
      </c>
      <c r="G17" s="52">
        <v>16</v>
      </c>
      <c r="M17" s="64"/>
      <c r="N17" s="50"/>
      <c r="O17" s="64"/>
      <c r="P17" s="50"/>
    </row>
    <row r="18" spans="1:16" ht="13.9" x14ac:dyDescent="0.25">
      <c r="A18" s="108">
        <v>6</v>
      </c>
      <c r="B18" s="42" t="s">
        <v>51</v>
      </c>
      <c r="C18" s="54">
        <v>160.5</v>
      </c>
      <c r="D18" s="50">
        <v>79</v>
      </c>
      <c r="E18" s="125">
        <f>SUM(E19:E20)</f>
        <v>16</v>
      </c>
      <c r="F18" s="50">
        <v>80</v>
      </c>
      <c r="G18" s="125">
        <f>SUM(G19:G20)</f>
        <v>18</v>
      </c>
      <c r="H18" s="54">
        <f>G18+E18+C18</f>
        <v>194.5</v>
      </c>
      <c r="L18" s="30"/>
      <c r="M18" s="50"/>
      <c r="N18" s="60"/>
      <c r="O18" s="50"/>
      <c r="P18" s="60"/>
    </row>
    <row r="19" spans="1:16" ht="13.9" outlineLevel="1" collapsed="1" x14ac:dyDescent="0.25">
      <c r="B19" s="65" t="s">
        <v>37</v>
      </c>
      <c r="C19" s="30"/>
      <c r="D19" s="50">
        <v>34</v>
      </c>
      <c r="E19" s="124">
        <v>12</v>
      </c>
      <c r="F19" s="50">
        <v>34</v>
      </c>
      <c r="G19" s="50">
        <v>10</v>
      </c>
      <c r="H19" s="30"/>
      <c r="M19" s="50"/>
      <c r="N19" s="50"/>
      <c r="O19" s="50"/>
      <c r="P19" s="50"/>
    </row>
    <row r="20" spans="1:16" ht="13.9" outlineLevel="1" x14ac:dyDescent="0.25">
      <c r="A20" s="49"/>
      <c r="B20" s="66" t="s">
        <v>6</v>
      </c>
      <c r="C20" s="30"/>
      <c r="D20" s="62">
        <v>-6</v>
      </c>
      <c r="E20" s="52">
        <v>4</v>
      </c>
      <c r="F20" s="62">
        <v>-2</v>
      </c>
      <c r="G20" s="52">
        <v>8</v>
      </c>
      <c r="H20" s="30"/>
      <c r="M20" s="64"/>
      <c r="N20" s="50"/>
      <c r="O20" s="64"/>
      <c r="P20" s="50"/>
    </row>
    <row r="21" spans="1:16" ht="13.9" x14ac:dyDescent="0.25">
      <c r="A21" s="108">
        <v>7</v>
      </c>
      <c r="B21" s="42" t="s">
        <v>35</v>
      </c>
      <c r="C21" s="54">
        <v>160.5</v>
      </c>
      <c r="D21" s="50">
        <v>81</v>
      </c>
      <c r="E21" s="125">
        <f>SUM(E22:E23)</f>
        <v>20</v>
      </c>
      <c r="F21" s="50">
        <v>81</v>
      </c>
      <c r="G21" s="125">
        <f>SUM(G22:G23)</f>
        <v>10</v>
      </c>
      <c r="H21" s="54">
        <f>G21+E21+C21</f>
        <v>190.5</v>
      </c>
      <c r="L21" s="30"/>
      <c r="M21" s="50"/>
      <c r="N21" s="60"/>
      <c r="O21" s="50"/>
      <c r="P21" s="60"/>
    </row>
    <row r="22" spans="1:16" ht="13.9" outlineLevel="1" x14ac:dyDescent="0.25">
      <c r="B22" s="65" t="s">
        <v>37</v>
      </c>
      <c r="C22" s="30"/>
      <c r="D22" s="50">
        <v>32</v>
      </c>
      <c r="E22" s="50">
        <v>8</v>
      </c>
      <c r="F22" s="50">
        <v>33</v>
      </c>
      <c r="G22" s="50">
        <v>8</v>
      </c>
      <c r="H22" s="30"/>
      <c r="M22" s="50"/>
      <c r="N22" s="50"/>
      <c r="O22" s="50"/>
      <c r="P22" s="50"/>
    </row>
    <row r="23" spans="1:16" ht="13.9" outlineLevel="1" collapsed="1" x14ac:dyDescent="0.25">
      <c r="A23" s="49"/>
      <c r="B23" s="66" t="s">
        <v>6</v>
      </c>
      <c r="C23" s="30"/>
      <c r="D23" s="62">
        <v>3</v>
      </c>
      <c r="E23" s="52">
        <v>12</v>
      </c>
      <c r="F23" s="62">
        <v>-36</v>
      </c>
      <c r="G23" s="52">
        <v>2</v>
      </c>
      <c r="H23" s="30"/>
      <c r="M23" s="64"/>
      <c r="N23" s="50"/>
      <c r="O23" s="64"/>
      <c r="P23" s="50"/>
    </row>
    <row r="24" spans="1:16" ht="13.9" x14ac:dyDescent="0.25">
      <c r="A24" s="108">
        <v>8</v>
      </c>
      <c r="B24" s="68" t="s">
        <v>188</v>
      </c>
      <c r="C24" s="54">
        <v>168.5</v>
      </c>
      <c r="D24" s="50">
        <v>95</v>
      </c>
      <c r="E24" s="125">
        <f>SUM(E25:E26)</f>
        <v>12</v>
      </c>
      <c r="F24" s="50">
        <v>97</v>
      </c>
      <c r="G24" s="125">
        <f>SUM(G25:G26)</f>
        <v>8</v>
      </c>
      <c r="H24" s="54">
        <f>G24+E24+C24</f>
        <v>188.5</v>
      </c>
      <c r="L24" s="30"/>
      <c r="M24" s="50"/>
      <c r="N24" s="60"/>
      <c r="O24" s="50"/>
      <c r="P24" s="60"/>
    </row>
    <row r="25" spans="1:16" ht="13.9" outlineLevel="1" x14ac:dyDescent="0.25">
      <c r="B25" s="65" t="s">
        <v>37</v>
      </c>
      <c r="C25" s="30"/>
      <c r="D25" s="50">
        <v>30</v>
      </c>
      <c r="E25" s="50">
        <v>4</v>
      </c>
      <c r="F25" s="50">
        <v>27</v>
      </c>
      <c r="G25" s="50">
        <v>2</v>
      </c>
      <c r="H25" s="30"/>
      <c r="M25" s="50"/>
      <c r="N25" s="50"/>
      <c r="O25" s="50"/>
      <c r="P25" s="50"/>
    </row>
    <row r="26" spans="1:16" ht="13.9" outlineLevel="1" x14ac:dyDescent="0.25">
      <c r="A26" s="49"/>
      <c r="B26" s="66" t="s">
        <v>6</v>
      </c>
      <c r="C26" s="30"/>
      <c r="D26" s="62">
        <v>-3</v>
      </c>
      <c r="E26" s="52">
        <v>8</v>
      </c>
      <c r="F26" s="62">
        <v>-11</v>
      </c>
      <c r="G26" s="52">
        <v>6</v>
      </c>
      <c r="H26" s="30"/>
      <c r="M26" s="64"/>
      <c r="N26" s="50"/>
      <c r="O26" s="64"/>
      <c r="P26" s="50"/>
    </row>
    <row r="27" spans="1:16" ht="5.25" customHeight="1" x14ac:dyDescent="0.25">
      <c r="B27" s="6"/>
      <c r="D27" s="12"/>
      <c r="E27" s="12"/>
      <c r="F27" s="12"/>
      <c r="G27" s="12"/>
      <c r="M27" s="12"/>
      <c r="N27" s="12"/>
      <c r="O27" s="12"/>
      <c r="P27" s="12"/>
    </row>
    <row r="28" spans="1:16" ht="13.9" collapsed="1" x14ac:dyDescent="0.25">
      <c r="B28" t="s">
        <v>15</v>
      </c>
      <c r="E28" s="31">
        <f>AVERAGE(E3,E6,E9,E12,E15,E18,E21,E24)</f>
        <v>18</v>
      </c>
      <c r="G28" s="31">
        <f>AVERAGE(G3,G6,G9,G12,G15,G18,G21,G24)</f>
        <v>18</v>
      </c>
      <c r="N28" s="31"/>
      <c r="P28" s="31"/>
    </row>
    <row r="29" spans="1:16" ht="6" customHeight="1" x14ac:dyDescent="0.25">
      <c r="B29"/>
      <c r="D29" s="36"/>
    </row>
    <row r="30" spans="1:16" ht="13.9" x14ac:dyDescent="0.25">
      <c r="B30" t="s">
        <v>13</v>
      </c>
      <c r="D30" s="36"/>
      <c r="E30" s="32">
        <f>E24+E21+E18+E15+E12+E9+E6+E3</f>
        <v>144</v>
      </c>
      <c r="G30" s="32">
        <f>G24+G21+G18+G15+G12+G9+G6+G3</f>
        <v>144</v>
      </c>
      <c r="N30" s="32"/>
      <c r="P30" s="32"/>
    </row>
    <row r="31" spans="1:16" ht="13.9" x14ac:dyDescent="0.25">
      <c r="B31"/>
      <c r="D31" s="36"/>
    </row>
    <row r="46" spans="2:2" x14ac:dyDescent="0.2">
      <c r="B46" s="42"/>
    </row>
  </sheetData>
  <sortState ref="K3:Q14">
    <sortCondition descending="1" ref="Q3:Q14"/>
  </sortState>
  <dataConsolidate/>
  <mergeCells count="8">
    <mergeCell ref="D1:E1"/>
    <mergeCell ref="F1:G1"/>
    <mergeCell ref="M1:N1"/>
    <mergeCell ref="O1:P1"/>
    <mergeCell ref="D2:E2"/>
    <mergeCell ref="F2:G2"/>
    <mergeCell ref="M2:N2"/>
    <mergeCell ref="O2:P2"/>
  </mergeCells>
  <pageMargins left="0.7" right="0.2" top="1.25" bottom="0.25" header="0.3" footer="0.3"/>
  <pageSetup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I21"/>
  <sheetViews>
    <sheetView tabSelected="1" workbookViewId="0">
      <selection activeCell="I21" sqref="I21"/>
    </sheetView>
  </sheetViews>
  <sheetFormatPr defaultRowHeight="14.25" x14ac:dyDescent="0.2"/>
  <cols>
    <col min="2" max="2" width="11" bestFit="1" customWidth="1"/>
    <col min="8" max="8" width="14.6640625" bestFit="1" customWidth="1"/>
    <col min="9" max="9" width="10" bestFit="1" customWidth="1"/>
  </cols>
  <sheetData>
    <row r="2" spans="1:9" x14ac:dyDescent="0.25">
      <c r="A2" t="s">
        <v>109</v>
      </c>
    </row>
    <row r="3" spans="1:9" x14ac:dyDescent="0.25">
      <c r="B3" s="128" t="s">
        <v>5</v>
      </c>
      <c r="C3" s="129">
        <v>100</v>
      </c>
      <c r="D3" s="127"/>
      <c r="E3" s="127"/>
      <c r="G3" t="s">
        <v>65</v>
      </c>
      <c r="I3" s="72">
        <f>C19</f>
        <v>1500</v>
      </c>
    </row>
    <row r="4" spans="1:9" x14ac:dyDescent="0.25">
      <c r="B4" s="128" t="s">
        <v>40</v>
      </c>
      <c r="C4" s="129">
        <v>100</v>
      </c>
      <c r="D4" s="127"/>
      <c r="E4" s="127"/>
      <c r="I4" s="71"/>
    </row>
    <row r="5" spans="1:9" x14ac:dyDescent="0.25">
      <c r="B5" s="128" t="s">
        <v>0</v>
      </c>
      <c r="C5" s="129">
        <v>100</v>
      </c>
      <c r="D5" s="127"/>
      <c r="E5" s="127"/>
      <c r="G5" t="s">
        <v>66</v>
      </c>
      <c r="I5" s="71"/>
    </row>
    <row r="6" spans="1:9" x14ac:dyDescent="0.25">
      <c r="B6" s="128" t="s">
        <v>3</v>
      </c>
      <c r="C6" s="129">
        <v>100</v>
      </c>
      <c r="D6" s="127"/>
      <c r="E6" s="127"/>
      <c r="H6" t="s">
        <v>67</v>
      </c>
      <c r="I6" s="71">
        <v>642</v>
      </c>
    </row>
    <row r="7" spans="1:9" x14ac:dyDescent="0.25">
      <c r="B7" s="128" t="s">
        <v>2</v>
      </c>
      <c r="C7" s="129">
        <v>100</v>
      </c>
      <c r="D7" s="127"/>
      <c r="E7" s="127"/>
      <c r="H7" t="s">
        <v>69</v>
      </c>
      <c r="I7" s="71">
        <v>50</v>
      </c>
    </row>
    <row r="8" spans="1:9" x14ac:dyDescent="0.25">
      <c r="B8" s="131" t="s">
        <v>39</v>
      </c>
      <c r="C8" s="129">
        <v>100</v>
      </c>
      <c r="D8" s="127"/>
      <c r="E8" s="127"/>
      <c r="H8" t="s">
        <v>70</v>
      </c>
      <c r="I8" s="71">
        <v>25</v>
      </c>
    </row>
    <row r="9" spans="1:9" x14ac:dyDescent="0.25">
      <c r="B9" s="128" t="s">
        <v>36</v>
      </c>
      <c r="C9" s="129">
        <v>100</v>
      </c>
      <c r="D9" s="127"/>
      <c r="E9" s="127"/>
      <c r="H9" t="s">
        <v>68</v>
      </c>
      <c r="I9" s="71">
        <v>16.28</v>
      </c>
    </row>
    <row r="10" spans="1:9" x14ac:dyDescent="0.25">
      <c r="B10" s="130" t="s">
        <v>58</v>
      </c>
      <c r="C10" s="129">
        <v>100</v>
      </c>
      <c r="D10" s="127"/>
      <c r="E10" s="127"/>
      <c r="H10" t="s">
        <v>192</v>
      </c>
      <c r="I10" s="71">
        <v>280</v>
      </c>
    </row>
    <row r="11" spans="1:9" x14ac:dyDescent="0.25">
      <c r="B11" s="128" t="s">
        <v>55</v>
      </c>
      <c r="C11" s="129">
        <v>100</v>
      </c>
      <c r="D11" s="127"/>
      <c r="E11" s="127"/>
      <c r="H11" t="s">
        <v>99</v>
      </c>
      <c r="I11" s="71"/>
    </row>
    <row r="12" spans="1:9" x14ac:dyDescent="0.25">
      <c r="B12" s="128" t="s">
        <v>111</v>
      </c>
      <c r="C12" s="129">
        <v>100</v>
      </c>
      <c r="D12" s="127"/>
      <c r="E12" s="127"/>
    </row>
    <row r="13" spans="1:9" x14ac:dyDescent="0.25">
      <c r="B13" s="128" t="s">
        <v>28</v>
      </c>
      <c r="C13" s="129">
        <v>100</v>
      </c>
      <c r="D13" s="127"/>
      <c r="E13" s="127"/>
      <c r="H13" t="s">
        <v>110</v>
      </c>
      <c r="I13" s="71">
        <v>-13.910000000000309</v>
      </c>
    </row>
    <row r="14" spans="1:9" x14ac:dyDescent="0.25">
      <c r="B14" s="128" t="s">
        <v>78</v>
      </c>
      <c r="C14" s="129">
        <v>100</v>
      </c>
      <c r="D14" s="127"/>
      <c r="E14" s="127"/>
    </row>
    <row r="15" spans="1:9" x14ac:dyDescent="0.25">
      <c r="B15" s="128" t="s">
        <v>51</v>
      </c>
      <c r="C15" s="129">
        <v>100</v>
      </c>
      <c r="D15" s="127"/>
      <c r="E15" s="127"/>
      <c r="H15" t="s">
        <v>71</v>
      </c>
      <c r="I15" s="71">
        <f>SUM(I6:I11)-I13</f>
        <v>1027.1900000000003</v>
      </c>
    </row>
    <row r="16" spans="1:9" x14ac:dyDescent="0.25">
      <c r="B16" s="128" t="s">
        <v>83</v>
      </c>
      <c r="C16" s="129">
        <v>100</v>
      </c>
      <c r="D16" s="127"/>
      <c r="E16" s="127"/>
      <c r="I16" s="71"/>
    </row>
    <row r="17" spans="2:9" x14ac:dyDescent="0.25">
      <c r="B17" s="128" t="s">
        <v>91</v>
      </c>
      <c r="C17" s="129">
        <v>100</v>
      </c>
      <c r="D17" s="127"/>
      <c r="E17" s="127"/>
      <c r="G17" t="s">
        <v>72</v>
      </c>
      <c r="I17" s="71">
        <f>I3-I15</f>
        <v>472.80999999999972</v>
      </c>
    </row>
    <row r="18" spans="2:9" x14ac:dyDescent="0.25">
      <c r="B18" s="42"/>
      <c r="C18" s="70"/>
      <c r="D18" s="70"/>
      <c r="E18" s="70"/>
    </row>
    <row r="19" spans="2:9" x14ac:dyDescent="0.25">
      <c r="B19" s="42" t="s">
        <v>65</v>
      </c>
      <c r="C19" s="70">
        <f>SUM(C3:C17)</f>
        <v>1500</v>
      </c>
      <c r="D19" s="70"/>
      <c r="E19" s="70"/>
      <c r="G19" t="s">
        <v>190</v>
      </c>
      <c r="I19">
        <v>316.82</v>
      </c>
    </row>
    <row r="21" spans="2:9" x14ac:dyDescent="0.2">
      <c r="G21" t="s">
        <v>191</v>
      </c>
      <c r="I21" s="157">
        <f>I17-I19</f>
        <v>155.98999999999972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workbookViewId="0">
      <selection activeCell="G23" sqref="G23"/>
    </sheetView>
  </sheetViews>
  <sheetFormatPr defaultRowHeight="14.25" x14ac:dyDescent="0.2"/>
  <cols>
    <col min="2" max="2" width="12.77734375" style="153" bestFit="1" customWidth="1"/>
    <col min="3" max="6" width="5" style="36" bestFit="1" customWidth="1"/>
    <col min="8" max="8" width="11.6640625" bestFit="1" customWidth="1"/>
    <col min="11" max="11" width="10.5546875" bestFit="1" customWidth="1"/>
  </cols>
  <sheetData>
    <row r="1" spans="2:9" x14ac:dyDescent="0.2">
      <c r="C1" s="36">
        <v>2018</v>
      </c>
      <c r="D1" s="36">
        <v>2017</v>
      </c>
      <c r="E1" s="36">
        <v>2016</v>
      </c>
      <c r="F1" s="36">
        <v>2015</v>
      </c>
      <c r="G1" s="36" t="s">
        <v>13</v>
      </c>
    </row>
    <row r="3" spans="2:9" x14ac:dyDescent="0.2">
      <c r="B3" s="123" t="s">
        <v>73</v>
      </c>
      <c r="C3" s="155"/>
      <c r="D3" s="61">
        <v>48.5</v>
      </c>
      <c r="E3" s="61">
        <v>11</v>
      </c>
      <c r="G3" s="36">
        <f t="shared" ref="G3:G16" si="0">SUM(C3:F3)</f>
        <v>59.5</v>
      </c>
    </row>
    <row r="4" spans="2:9" x14ac:dyDescent="0.2">
      <c r="B4" s="123" t="s">
        <v>146</v>
      </c>
      <c r="C4" s="61">
        <v>41.5</v>
      </c>
      <c r="D4" s="155"/>
      <c r="E4" s="134"/>
      <c r="F4" s="54"/>
      <c r="G4" s="36">
        <f t="shared" si="0"/>
        <v>41.5</v>
      </c>
    </row>
    <row r="5" spans="2:9" x14ac:dyDescent="0.2">
      <c r="B5" s="123" t="s">
        <v>89</v>
      </c>
      <c r="C5" s="155"/>
      <c r="D5" s="61">
        <v>31.5</v>
      </c>
      <c r="E5" s="61">
        <v>8.5</v>
      </c>
      <c r="G5" s="36">
        <f t="shared" si="0"/>
        <v>40</v>
      </c>
    </row>
    <row r="6" spans="2:9" x14ac:dyDescent="0.2">
      <c r="B6" s="123" t="s">
        <v>75</v>
      </c>
      <c r="C6" s="155"/>
      <c r="D6" s="155"/>
      <c r="E6" s="61">
        <v>35.5</v>
      </c>
      <c r="F6" s="61"/>
      <c r="G6" s="36">
        <f t="shared" si="0"/>
        <v>35.5</v>
      </c>
    </row>
    <row r="7" spans="2:9" x14ac:dyDescent="0.2">
      <c r="B7" s="123" t="s">
        <v>27</v>
      </c>
      <c r="C7" s="61">
        <v>25.5</v>
      </c>
      <c r="D7" s="61">
        <v>8</v>
      </c>
      <c r="E7" s="155"/>
      <c r="G7" s="36">
        <f t="shared" si="0"/>
        <v>33.5</v>
      </c>
    </row>
    <row r="8" spans="2:9" x14ac:dyDescent="0.2">
      <c r="B8" s="123" t="s">
        <v>169</v>
      </c>
      <c r="C8" s="61">
        <v>29</v>
      </c>
      <c r="D8" s="155"/>
      <c r="E8" s="155"/>
      <c r="G8" s="36">
        <f t="shared" si="0"/>
        <v>29</v>
      </c>
      <c r="H8" s="6"/>
      <c r="I8" s="61"/>
    </row>
    <row r="9" spans="2:9" x14ac:dyDescent="0.2">
      <c r="B9" s="123" t="s">
        <v>105</v>
      </c>
      <c r="C9" s="155"/>
      <c r="D9" s="61">
        <v>27.5</v>
      </c>
      <c r="E9" s="156"/>
      <c r="F9" s="61"/>
      <c r="G9" s="36">
        <f t="shared" si="0"/>
        <v>27.5</v>
      </c>
    </row>
    <row r="10" spans="2:9" x14ac:dyDescent="0.2">
      <c r="B10" s="123" t="s">
        <v>151</v>
      </c>
      <c r="C10" s="61">
        <v>16</v>
      </c>
      <c r="D10" s="61">
        <v>6.5</v>
      </c>
      <c r="E10" s="155"/>
      <c r="G10" s="36">
        <f t="shared" si="0"/>
        <v>22.5</v>
      </c>
    </row>
    <row r="11" spans="2:9" x14ac:dyDescent="0.2">
      <c r="B11" s="33" t="s">
        <v>49</v>
      </c>
      <c r="C11" s="155"/>
      <c r="D11" s="155"/>
      <c r="E11" s="155"/>
      <c r="F11" s="36">
        <v>17</v>
      </c>
      <c r="G11" s="36">
        <f t="shared" si="0"/>
        <v>17</v>
      </c>
    </row>
    <row r="12" spans="2:9" x14ac:dyDescent="0.2">
      <c r="B12" s="33" t="s">
        <v>82</v>
      </c>
      <c r="C12" s="155"/>
      <c r="D12" s="61">
        <v>14.5</v>
      </c>
      <c r="E12" s="155"/>
      <c r="G12" s="36">
        <f t="shared" si="0"/>
        <v>14.5</v>
      </c>
    </row>
    <row r="13" spans="2:9" x14ac:dyDescent="0.2">
      <c r="B13" s="123" t="s">
        <v>81</v>
      </c>
      <c r="C13" s="61">
        <v>5.5</v>
      </c>
      <c r="D13" s="155"/>
      <c r="E13" s="61">
        <v>7.5</v>
      </c>
      <c r="G13" s="36">
        <f t="shared" si="0"/>
        <v>13</v>
      </c>
    </row>
    <row r="14" spans="2:9" x14ac:dyDescent="0.2">
      <c r="B14" s="123" t="s">
        <v>76</v>
      </c>
      <c r="C14" s="61">
        <v>9.5</v>
      </c>
      <c r="D14" s="155"/>
      <c r="E14" s="155"/>
      <c r="G14" s="36">
        <f t="shared" si="0"/>
        <v>9.5</v>
      </c>
    </row>
    <row r="15" spans="2:9" x14ac:dyDescent="0.2">
      <c r="B15" s="33" t="s">
        <v>134</v>
      </c>
      <c r="C15" s="155"/>
      <c r="D15" s="61">
        <v>5</v>
      </c>
      <c r="E15" s="155"/>
      <c r="G15" s="36">
        <f t="shared" si="0"/>
        <v>5</v>
      </c>
    </row>
    <row r="16" spans="2:9" x14ac:dyDescent="0.2">
      <c r="B16" s="123" t="s">
        <v>56</v>
      </c>
      <c r="C16" s="155"/>
      <c r="D16" s="61">
        <v>2</v>
      </c>
      <c r="E16" s="156"/>
      <c r="F16" s="61"/>
      <c r="G16" s="36">
        <f t="shared" si="0"/>
        <v>2</v>
      </c>
    </row>
    <row r="17" spans="2:2" x14ac:dyDescent="0.2">
      <c r="B17" s="22" t="s">
        <v>132</v>
      </c>
    </row>
    <row r="18" spans="2:2" x14ac:dyDescent="0.2">
      <c r="B18" s="154" t="s">
        <v>189</v>
      </c>
    </row>
    <row r="19" spans="2:2" x14ac:dyDescent="0.2">
      <c r="B19" s="22" t="s">
        <v>135</v>
      </c>
    </row>
    <row r="20" spans="2:2" x14ac:dyDescent="0.2">
      <c r="B20" s="22" t="s">
        <v>136</v>
      </c>
    </row>
    <row r="21" spans="2:2" x14ac:dyDescent="0.2">
      <c r="B21" s="22" t="s">
        <v>42</v>
      </c>
    </row>
    <row r="22" spans="2:2" x14ac:dyDescent="0.2">
      <c r="B22" s="22" t="s">
        <v>54</v>
      </c>
    </row>
    <row r="23" spans="2:2" x14ac:dyDescent="0.2">
      <c r="B23" s="22" t="s">
        <v>105</v>
      </c>
    </row>
    <row r="24" spans="2:2" x14ac:dyDescent="0.2">
      <c r="B24" s="22" t="s">
        <v>74</v>
      </c>
    </row>
    <row r="25" spans="2:2" x14ac:dyDescent="0.2">
      <c r="B25" s="22" t="s">
        <v>102</v>
      </c>
    </row>
    <row r="26" spans="2:2" x14ac:dyDescent="0.2">
      <c r="B26" s="22" t="s">
        <v>103</v>
      </c>
    </row>
    <row r="27" spans="2:2" x14ac:dyDescent="0.2">
      <c r="B27" s="22" t="s">
        <v>25</v>
      </c>
    </row>
    <row r="28" spans="2:2" x14ac:dyDescent="0.2">
      <c r="B28" s="22" t="s">
        <v>41</v>
      </c>
    </row>
    <row r="29" spans="2:2" x14ac:dyDescent="0.2">
      <c r="B29" s="22" t="s">
        <v>4</v>
      </c>
    </row>
    <row r="30" spans="2:2" x14ac:dyDescent="0.2">
      <c r="B30" s="22" t="s">
        <v>44</v>
      </c>
    </row>
    <row r="31" spans="2:2" x14ac:dyDescent="0.2">
      <c r="B31" s="22" t="s">
        <v>45</v>
      </c>
    </row>
    <row r="32" spans="2:2" x14ac:dyDescent="0.2">
      <c r="B32" s="22" t="s">
        <v>47</v>
      </c>
    </row>
    <row r="33" spans="2:2" x14ac:dyDescent="0.2">
      <c r="B33" s="22" t="s">
        <v>48</v>
      </c>
    </row>
    <row r="34" spans="2:2" x14ac:dyDescent="0.2">
      <c r="B34" s="22" t="s">
        <v>53</v>
      </c>
    </row>
    <row r="35" spans="2:2" x14ac:dyDescent="0.2">
      <c r="B35" s="22" t="s">
        <v>57</v>
      </c>
    </row>
    <row r="36" spans="2:2" x14ac:dyDescent="0.2">
      <c r="B36" s="22" t="s">
        <v>59</v>
      </c>
    </row>
    <row r="37" spans="2:2" x14ac:dyDescent="0.2">
      <c r="B37" s="22" t="s">
        <v>64</v>
      </c>
    </row>
    <row r="38" spans="2:2" x14ac:dyDescent="0.2">
      <c r="B38" s="22" t="s">
        <v>90</v>
      </c>
    </row>
    <row r="39" spans="2:2" x14ac:dyDescent="0.2">
      <c r="B39" s="22" t="s">
        <v>160</v>
      </c>
    </row>
  </sheetData>
  <sortState ref="B3:G16">
    <sortCondition descending="1" ref="G3:G16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Printable</vt:lpstr>
      <vt:lpstr>Standings</vt:lpstr>
      <vt:lpstr>Pairings</vt:lpstr>
      <vt:lpstr>Tee Sheet</vt:lpstr>
      <vt:lpstr>Sub list</vt:lpstr>
      <vt:lpstr>Playoffs</vt:lpstr>
      <vt:lpstr>Money</vt:lpstr>
      <vt:lpstr>Updated sub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Moses</dc:creator>
  <cp:lastModifiedBy>Jason Moses</cp:lastModifiedBy>
  <cp:lastPrinted>2018-11-05T20:53:13Z</cp:lastPrinted>
  <dcterms:created xsi:type="dcterms:W3CDTF">2014-04-02T21:11:50Z</dcterms:created>
  <dcterms:modified xsi:type="dcterms:W3CDTF">2019-05-01T20:05:27Z</dcterms:modified>
</cp:coreProperties>
</file>