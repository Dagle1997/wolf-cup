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60" yWindow="-192" windowWidth="13740" windowHeight="9828" activeTab="5"/>
  </bookViews>
  <sheets>
    <sheet name="Printable" sheetId="6" r:id="rId1"/>
    <sheet name="Standings" sheetId="9" r:id="rId2"/>
    <sheet name="Pairings" sheetId="27" r:id="rId3"/>
    <sheet name="Tee Sheet" sheetId="4" r:id="rId4"/>
    <sheet name="Playoffs" sheetId="28" r:id="rId5"/>
    <sheet name="Money" sheetId="22" r:id="rId6"/>
    <sheet name="Updated sub list" sheetId="30" r:id="rId7"/>
  </sheets>
  <calcPr calcId="145621"/>
</workbook>
</file>

<file path=xl/calcChain.xml><?xml version="1.0" encoding="utf-8"?>
<calcChain xmlns="http://schemas.openxmlformats.org/spreadsheetml/2006/main">
  <c r="I24" i="22" l="1"/>
  <c r="I22" i="22"/>
  <c r="I15" i="22" l="1"/>
  <c r="P12" i="28" l="1"/>
  <c r="P9" i="28"/>
  <c r="P6" i="28"/>
  <c r="P3" i="28"/>
  <c r="N9" i="28" l="1"/>
  <c r="N12" i="28"/>
  <c r="N6" i="28"/>
  <c r="N3" i="28"/>
  <c r="G12" i="28" l="1"/>
  <c r="G3" i="28"/>
  <c r="G6" i="28"/>
  <c r="G9" i="28"/>
  <c r="G18" i="28"/>
  <c r="G15" i="28"/>
  <c r="G21" i="28"/>
  <c r="G24" i="28"/>
  <c r="E24" i="28" l="1"/>
  <c r="E21" i="28"/>
  <c r="E6" i="28"/>
  <c r="E15" i="28"/>
  <c r="E12" i="28"/>
  <c r="E9" i="28"/>
  <c r="E18" i="28"/>
  <c r="E3" i="28"/>
  <c r="AK14" i="9" l="1"/>
  <c r="AK11" i="9"/>
  <c r="AJ32" i="9" l="1"/>
  <c r="AJ29" i="9"/>
  <c r="AJ23" i="9"/>
  <c r="AJ8" i="9"/>
  <c r="AJ14" i="9"/>
  <c r="AJ20" i="9"/>
  <c r="AJ11" i="9"/>
  <c r="AJ59" i="9"/>
  <c r="O22" i="4"/>
  <c r="J22" i="4"/>
  <c r="X20" i="4"/>
  <c r="X19" i="4"/>
  <c r="W19" i="4"/>
  <c r="W22" i="4" s="1"/>
  <c r="X18" i="4"/>
  <c r="W18" i="4"/>
  <c r="V18" i="4"/>
  <c r="X17" i="4"/>
  <c r="W17" i="4"/>
  <c r="V17" i="4"/>
  <c r="U17" i="4"/>
  <c r="X16" i="4"/>
  <c r="W16" i="4"/>
  <c r="V16" i="4"/>
  <c r="U16" i="4"/>
  <c r="T16" i="4"/>
  <c r="X15" i="4"/>
  <c r="W15" i="4"/>
  <c r="V15" i="4"/>
  <c r="U15" i="4"/>
  <c r="T15" i="4"/>
  <c r="S15" i="4"/>
  <c r="X14" i="4"/>
  <c r="W14" i="4"/>
  <c r="V14" i="4"/>
  <c r="U14" i="4"/>
  <c r="T14" i="4"/>
  <c r="S14" i="4"/>
  <c r="R14" i="4"/>
  <c r="X13" i="4"/>
  <c r="W13" i="4"/>
  <c r="V13" i="4"/>
  <c r="U13" i="4"/>
  <c r="T13" i="4"/>
  <c r="S13" i="4"/>
  <c r="R13" i="4"/>
  <c r="Q13" i="4"/>
  <c r="X12" i="4"/>
  <c r="W12" i="4"/>
  <c r="V12" i="4"/>
  <c r="U12" i="4"/>
  <c r="T12" i="4"/>
  <c r="S12" i="4"/>
  <c r="R12" i="4"/>
  <c r="Q12" i="4"/>
  <c r="P12" i="4"/>
  <c r="X11" i="4"/>
  <c r="W11" i="4"/>
  <c r="V11" i="4"/>
  <c r="U11" i="4"/>
  <c r="T11" i="4"/>
  <c r="S11" i="4"/>
  <c r="R11" i="4"/>
  <c r="Q11" i="4"/>
  <c r="P11" i="4"/>
  <c r="O11" i="4"/>
  <c r="X10" i="4"/>
  <c r="W10" i="4"/>
  <c r="V10" i="4"/>
  <c r="U10" i="4"/>
  <c r="T10" i="4"/>
  <c r="S10" i="4"/>
  <c r="R10" i="4"/>
  <c r="Q10" i="4"/>
  <c r="P10" i="4"/>
  <c r="O10" i="4"/>
  <c r="N10" i="4"/>
  <c r="X9" i="4"/>
  <c r="W9" i="4"/>
  <c r="V9" i="4"/>
  <c r="U9" i="4"/>
  <c r="T9" i="4"/>
  <c r="S9" i="4"/>
  <c r="R9" i="4"/>
  <c r="Q9" i="4"/>
  <c r="P9" i="4"/>
  <c r="O9" i="4"/>
  <c r="N9" i="4"/>
  <c r="M9" i="4"/>
  <c r="X8" i="4"/>
  <c r="X22" i="4" s="1"/>
  <c r="W8" i="4"/>
  <c r="V8" i="4"/>
  <c r="U8" i="4"/>
  <c r="T8" i="4"/>
  <c r="T22" i="4" s="1"/>
  <c r="S8" i="4"/>
  <c r="R8" i="4"/>
  <c r="Q8" i="4"/>
  <c r="P8" i="4"/>
  <c r="P22" i="4" s="1"/>
  <c r="O8" i="4"/>
  <c r="N8" i="4"/>
  <c r="M8" i="4"/>
  <c r="L8" i="4"/>
  <c r="L22" i="4" s="1"/>
  <c r="X7" i="4"/>
  <c r="W7" i="4"/>
  <c r="V7" i="4"/>
  <c r="V22" i="4" s="1"/>
  <c r="U7" i="4"/>
  <c r="U22" i="4" s="1"/>
  <c r="T7" i="4"/>
  <c r="S7" i="4"/>
  <c r="S22" i="4" s="1"/>
  <c r="R7" i="4"/>
  <c r="R22" i="4" s="1"/>
  <c r="Q7" i="4"/>
  <c r="Q22" i="4" s="1"/>
  <c r="P7" i="4"/>
  <c r="O7" i="4"/>
  <c r="N7" i="4"/>
  <c r="N22" i="4" s="1"/>
  <c r="M7" i="4"/>
  <c r="M22" i="4" s="1"/>
  <c r="L7" i="4"/>
  <c r="K7" i="4"/>
  <c r="K22" i="4" s="1"/>
  <c r="AH62" i="9" l="1"/>
  <c r="AH14" i="9" l="1"/>
  <c r="AH11" i="9"/>
  <c r="AH8" i="9"/>
  <c r="AH17" i="9"/>
  <c r="AH5" i="9"/>
  <c r="AH20" i="9"/>
  <c r="AH23" i="9"/>
  <c r="AH26" i="9"/>
  <c r="AH32" i="9"/>
  <c r="AH38" i="9"/>
  <c r="AH29" i="9"/>
  <c r="AF23" i="9" l="1"/>
  <c r="AF59" i="9"/>
  <c r="AF17" i="9"/>
  <c r="AF20" i="9"/>
  <c r="AD29" i="9" l="1"/>
  <c r="AD26" i="9"/>
  <c r="AD20" i="9"/>
  <c r="AD11" i="9"/>
  <c r="AB29" i="9" l="1"/>
  <c r="AB26" i="9"/>
  <c r="AB23" i="9"/>
  <c r="AB17" i="9"/>
  <c r="AB5" i="9"/>
  <c r="AB11" i="9"/>
  <c r="AB8" i="9"/>
  <c r="AB14" i="9"/>
  <c r="Z71" i="9" l="1"/>
  <c r="AK71" i="9" s="1"/>
  <c r="Z38" i="9"/>
  <c r="Z23" i="9"/>
  <c r="Z20" i="9"/>
  <c r="Z11" i="9"/>
  <c r="Z17" i="9"/>
  <c r="Z14" i="9"/>
  <c r="Z8" i="9"/>
  <c r="X80" i="9" l="1"/>
  <c r="AK80" i="9" s="1"/>
  <c r="X86" i="9"/>
  <c r="AK86" i="9" s="1"/>
  <c r="X62" i="9"/>
  <c r="X5" i="9"/>
  <c r="X8" i="9"/>
  <c r="X11" i="9"/>
  <c r="X20" i="9"/>
  <c r="X17" i="9"/>
  <c r="X23" i="9"/>
  <c r="X26" i="9"/>
  <c r="X29" i="9"/>
  <c r="X32" i="9"/>
  <c r="V65" i="9" l="1"/>
  <c r="V59" i="9"/>
  <c r="V32" i="9"/>
  <c r="V35" i="9"/>
  <c r="V23" i="9"/>
  <c r="V29" i="9"/>
  <c r="V17" i="9"/>
  <c r="V20" i="9"/>
  <c r="V11" i="9"/>
  <c r="V8" i="9"/>
  <c r="V5" i="9"/>
  <c r="V14" i="9"/>
  <c r="T32" i="9" l="1"/>
  <c r="T35" i="9"/>
  <c r="T23" i="9"/>
  <c r="T29" i="9"/>
  <c r="T20" i="9"/>
  <c r="T17" i="9"/>
  <c r="T8" i="9"/>
  <c r="T5" i="9"/>
  <c r="T14" i="9"/>
  <c r="T65" i="9"/>
  <c r="T62" i="9"/>
  <c r="AK62" i="9" s="1"/>
  <c r="T92" i="9"/>
  <c r="AK92" i="9" s="1"/>
  <c r="R89" i="9" l="1"/>
  <c r="AK89" i="9" s="1"/>
  <c r="R59" i="9"/>
  <c r="R38" i="9"/>
  <c r="R32" i="9"/>
  <c r="R35" i="9"/>
  <c r="R23" i="9"/>
  <c r="R17" i="9"/>
  <c r="R29" i="9"/>
  <c r="R8" i="9"/>
  <c r="R20" i="9"/>
  <c r="R5" i="9"/>
  <c r="R11" i="9"/>
  <c r="P77" i="9" l="1"/>
  <c r="AK77" i="9" s="1"/>
  <c r="P74" i="9"/>
  <c r="AK74" i="9" s="1"/>
  <c r="P14" i="9"/>
  <c r="P26" i="9"/>
  <c r="P29" i="9"/>
  <c r="P20" i="9"/>
  <c r="P17" i="9"/>
  <c r="P11" i="9"/>
  <c r="N26" i="9" l="1"/>
  <c r="N11" i="9"/>
  <c r="N29" i="9"/>
  <c r="N20" i="9"/>
  <c r="L17" i="9" l="1"/>
  <c r="L26" i="9"/>
  <c r="L8" i="9"/>
  <c r="L14" i="9"/>
  <c r="AL40" i="9" l="1"/>
  <c r="AK40" i="9"/>
  <c r="AL39" i="9"/>
  <c r="AK39" i="9"/>
  <c r="AL38" i="9"/>
  <c r="AK38" i="9"/>
  <c r="AL34" i="9"/>
  <c r="AK34" i="9"/>
  <c r="AL33" i="9"/>
  <c r="AK33" i="9"/>
  <c r="AL19" i="9"/>
  <c r="AK19" i="9"/>
  <c r="AL18" i="9"/>
  <c r="AK18" i="9"/>
  <c r="AL22" i="9"/>
  <c r="AK22" i="9"/>
  <c r="AL21" i="9"/>
  <c r="AK21" i="9"/>
  <c r="AL37" i="9"/>
  <c r="AK37" i="9"/>
  <c r="AL36" i="9"/>
  <c r="AK36" i="9"/>
  <c r="AL31" i="9"/>
  <c r="AK31" i="9"/>
  <c r="AL30" i="9"/>
  <c r="AK30" i="9"/>
  <c r="AL28" i="9"/>
  <c r="AK28" i="9"/>
  <c r="AL27" i="9"/>
  <c r="AK27" i="9"/>
  <c r="AL25" i="9"/>
  <c r="AK25" i="9"/>
  <c r="AL24" i="9"/>
  <c r="AK24" i="9"/>
  <c r="AL13" i="9"/>
  <c r="AK13" i="9"/>
  <c r="AL12" i="9"/>
  <c r="AK12" i="9"/>
  <c r="AL10" i="9"/>
  <c r="AK10" i="9"/>
  <c r="AL9" i="9"/>
  <c r="AK9" i="9"/>
  <c r="AL7" i="9"/>
  <c r="AK7" i="9"/>
  <c r="AL6" i="9"/>
  <c r="AK6" i="9"/>
  <c r="AK16" i="9"/>
  <c r="AL16" i="9"/>
  <c r="AK15" i="9"/>
  <c r="AL15" i="9"/>
  <c r="J35" i="9"/>
  <c r="J20" i="9"/>
  <c r="AK20" i="9" s="1"/>
  <c r="J26" i="9"/>
  <c r="J11" i="9"/>
  <c r="J29" i="9"/>
  <c r="J23" i="9"/>
  <c r="J5" i="9"/>
  <c r="J14" i="9"/>
  <c r="L19" i="22" l="1"/>
  <c r="H26" i="9"/>
  <c r="H17" i="9"/>
  <c r="H29" i="9"/>
  <c r="H8" i="9"/>
  <c r="H5" i="9"/>
  <c r="H14" i="9"/>
  <c r="H65" i="9"/>
  <c r="AK65" i="9" s="1"/>
  <c r="H68" i="9"/>
  <c r="AK68" i="9" s="1"/>
  <c r="F83" i="9" l="1"/>
  <c r="AK83" i="9" s="1"/>
  <c r="F59" i="9"/>
  <c r="AK59" i="9" s="1"/>
  <c r="F26" i="9"/>
  <c r="AK26" i="9" s="1"/>
  <c r="F35" i="9"/>
  <c r="F29" i="9"/>
  <c r="AK29" i="9" s="1"/>
  <c r="F20" i="9"/>
  <c r="F14" i="9"/>
  <c r="F8" i="9"/>
  <c r="F11" i="9"/>
  <c r="F32" i="9"/>
  <c r="F5" i="9"/>
  <c r="F23" i="9"/>
  <c r="AL29" i="9" l="1"/>
  <c r="AL35" i="9"/>
  <c r="AK35" i="9"/>
  <c r="AL26" i="9"/>
  <c r="D32" i="9"/>
  <c r="D5" i="9"/>
  <c r="AK5" i="9" s="1"/>
  <c r="D23" i="9"/>
  <c r="AK23" i="9" s="1"/>
  <c r="D11" i="9"/>
  <c r="D20" i="9"/>
  <c r="D17" i="9"/>
  <c r="AK17" i="9" s="1"/>
  <c r="D8" i="9"/>
  <c r="AK8" i="9" s="1"/>
  <c r="D14" i="9"/>
  <c r="AL14" i="9" l="1"/>
  <c r="AK32" i="9"/>
  <c r="AL32" i="9"/>
  <c r="AL23" i="9"/>
  <c r="AL5" i="9"/>
  <c r="AL11" i="9"/>
  <c r="AL17" i="9"/>
  <c r="AL8" i="9"/>
  <c r="AL20" i="9"/>
  <c r="AK49" i="9" l="1"/>
  <c r="AK48" i="9"/>
  <c r="AK47" i="9"/>
  <c r="AK46" i="9"/>
  <c r="AK45" i="9"/>
  <c r="AK44" i="9"/>
  <c r="AK43" i="9"/>
  <c r="AK42" i="9"/>
  <c r="AK41" i="9"/>
  <c r="H18" i="30" l="1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C19" i="22"/>
  <c r="I3" i="22" s="1"/>
  <c r="G30" i="28"/>
  <c r="E30" i="28"/>
  <c r="G28" i="28"/>
  <c r="E28" i="28"/>
  <c r="H24" i="28"/>
  <c r="H21" i="28"/>
  <c r="H6" i="28"/>
  <c r="H15" i="28"/>
  <c r="Q12" i="28"/>
  <c r="H12" i="28"/>
  <c r="Q9" i="28"/>
  <c r="H9" i="28"/>
  <c r="Q6" i="28"/>
  <c r="H18" i="28"/>
  <c r="Q3" i="28"/>
  <c r="H3" i="28"/>
  <c r="BF19" i="27"/>
  <c r="BE19" i="27"/>
  <c r="BD19" i="27"/>
  <c r="BR17" i="27"/>
  <c r="BR16" i="27"/>
  <c r="BQ16" i="27"/>
  <c r="BR15" i="27"/>
  <c r="BQ15" i="27"/>
  <c r="BP15" i="27"/>
  <c r="BR14" i="27"/>
  <c r="BQ14" i="27"/>
  <c r="BP14" i="27"/>
  <c r="BO14" i="27"/>
  <c r="BR13" i="27"/>
  <c r="BQ13" i="27"/>
  <c r="BP13" i="27"/>
  <c r="BO13" i="27"/>
  <c r="BN13" i="27"/>
  <c r="BR12" i="27"/>
  <c r="BQ12" i="27"/>
  <c r="BP12" i="27"/>
  <c r="BO12" i="27"/>
  <c r="BN12" i="27"/>
  <c r="BM12" i="27"/>
  <c r="BR11" i="27"/>
  <c r="BQ11" i="27"/>
  <c r="BP11" i="27"/>
  <c r="BO11" i="27"/>
  <c r="BN11" i="27"/>
  <c r="BM11" i="27"/>
  <c r="BL11" i="27"/>
  <c r="BR10" i="27"/>
  <c r="BQ10" i="27"/>
  <c r="BP10" i="27"/>
  <c r="BO10" i="27"/>
  <c r="BN10" i="27"/>
  <c r="BM10" i="27"/>
  <c r="BL10" i="27"/>
  <c r="BK10" i="27"/>
  <c r="BR9" i="27"/>
  <c r="BQ9" i="27"/>
  <c r="BP9" i="27"/>
  <c r="BO9" i="27"/>
  <c r="BN9" i="27"/>
  <c r="BM9" i="27"/>
  <c r="BL9" i="27"/>
  <c r="BK9" i="27"/>
  <c r="BJ9" i="27"/>
  <c r="BR8" i="27"/>
  <c r="BQ8" i="27"/>
  <c r="BP8" i="27"/>
  <c r="BO8" i="27"/>
  <c r="BN8" i="27"/>
  <c r="BM8" i="27"/>
  <c r="BL8" i="27"/>
  <c r="BK8" i="27"/>
  <c r="BJ8" i="27"/>
  <c r="BI8" i="27"/>
  <c r="BR7" i="27"/>
  <c r="BQ7" i="27"/>
  <c r="BP7" i="27"/>
  <c r="BO7" i="27"/>
  <c r="BN7" i="27"/>
  <c r="BM7" i="27"/>
  <c r="BL7" i="27"/>
  <c r="BK7" i="27"/>
  <c r="BJ7" i="27"/>
  <c r="BI7" i="27"/>
  <c r="BH7" i="27"/>
  <c r="BR6" i="27"/>
  <c r="BQ6" i="27"/>
  <c r="BP6" i="27"/>
  <c r="BO6" i="27"/>
  <c r="BN6" i="27"/>
  <c r="BM6" i="27"/>
  <c r="BL6" i="27"/>
  <c r="BK6" i="27"/>
  <c r="BJ6" i="27"/>
  <c r="BI6" i="27"/>
  <c r="BH6" i="27"/>
  <c r="BG6" i="27"/>
  <c r="BR5" i="27"/>
  <c r="BQ5" i="27"/>
  <c r="BP5" i="27"/>
  <c r="BO5" i="27"/>
  <c r="BN5" i="27"/>
  <c r="BM5" i="27"/>
  <c r="BL5" i="27"/>
  <c r="BK5" i="27"/>
  <c r="BJ5" i="27"/>
  <c r="BI5" i="27"/>
  <c r="BH5" i="27"/>
  <c r="BG5" i="27"/>
  <c r="BF5" i="27"/>
  <c r="BR4" i="27"/>
  <c r="BQ4" i="27"/>
  <c r="BP4" i="27"/>
  <c r="BO4" i="27"/>
  <c r="BN4" i="27"/>
  <c r="BM4" i="27"/>
  <c r="BL4" i="27"/>
  <c r="BK4" i="27"/>
  <c r="BJ4" i="27"/>
  <c r="BI4" i="27"/>
  <c r="BH4" i="27"/>
  <c r="BG4" i="27"/>
  <c r="BF4" i="27"/>
  <c r="BE4" i="27"/>
  <c r="AJ53" i="9"/>
  <c r="AJ55" i="9" s="1"/>
  <c r="AH53" i="9"/>
  <c r="AH55" i="9" s="1"/>
  <c r="AF53" i="9"/>
  <c r="AF55" i="9" s="1"/>
  <c r="AD53" i="9"/>
  <c r="AD55" i="9" s="1"/>
  <c r="AB53" i="9"/>
  <c r="AB55" i="9" s="1"/>
  <c r="Z53" i="9"/>
  <c r="Z55" i="9" s="1"/>
  <c r="X53" i="9"/>
  <c r="X55" i="9" s="1"/>
  <c r="V53" i="9"/>
  <c r="V55" i="9" s="1"/>
  <c r="T53" i="9"/>
  <c r="T55" i="9" s="1"/>
  <c r="R53" i="9"/>
  <c r="R55" i="9" s="1"/>
  <c r="P53" i="9"/>
  <c r="P55" i="9" s="1"/>
  <c r="N53" i="9"/>
  <c r="N55" i="9" s="1"/>
  <c r="L53" i="9"/>
  <c r="L55" i="9" s="1"/>
  <c r="J53" i="9"/>
  <c r="J55" i="9" s="1"/>
  <c r="H53" i="9"/>
  <c r="H55" i="9" s="1"/>
  <c r="F53" i="9"/>
  <c r="F55" i="9" s="1"/>
  <c r="D53" i="9"/>
  <c r="D55" i="9" s="1"/>
  <c r="AJ51" i="9"/>
  <c r="AH51" i="9"/>
  <c r="AF51" i="9"/>
  <c r="AD51" i="9"/>
  <c r="AB51" i="9"/>
  <c r="Z51" i="9"/>
  <c r="X51" i="9"/>
  <c r="V51" i="9"/>
  <c r="T51" i="9"/>
  <c r="R51" i="9"/>
  <c r="P51" i="9"/>
  <c r="N51" i="9"/>
  <c r="L51" i="9"/>
  <c r="J51" i="9"/>
  <c r="H51" i="9"/>
  <c r="F51" i="9"/>
  <c r="D51" i="9"/>
  <c r="I17" i="22" l="1"/>
  <c r="BN19" i="27"/>
  <c r="BM19" i="27"/>
  <c r="BL19" i="27"/>
  <c r="BG19" i="27"/>
  <c r="BP19" i="27"/>
  <c r="BI19" i="27"/>
  <c r="BQ19" i="27"/>
  <c r="BO19" i="27"/>
  <c r="BH19" i="27"/>
  <c r="BJ19" i="27"/>
  <c r="BR19" i="27"/>
  <c r="BK19" i="27"/>
  <c r="AK51" i="9"/>
  <c r="AK53" i="9"/>
</calcChain>
</file>

<file path=xl/sharedStrings.xml><?xml version="1.0" encoding="utf-8"?>
<sst xmlns="http://schemas.openxmlformats.org/spreadsheetml/2006/main" count="607" uniqueCount="186">
  <si>
    <t>matt white</t>
  </si>
  <si>
    <t>BDM</t>
  </si>
  <si>
    <t>Chris McNeely</t>
  </si>
  <si>
    <t>Chris Preston</t>
  </si>
  <si>
    <t>Steve Flesher</t>
  </si>
  <si>
    <t>cash +/-</t>
  </si>
  <si>
    <t>Group A</t>
  </si>
  <si>
    <t>Group B</t>
  </si>
  <si>
    <t>Matt White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</si>
  <si>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</si>
  <si>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</si>
  <si>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</si>
  <si>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</si>
  <si>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</si>
  <si>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</si>
  <si>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</si>
  <si>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</si>
  <si>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</si>
  <si>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</si>
  <si>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MW</t>
  </si>
  <si>
    <t>CP</t>
  </si>
  <si>
    <t>X</t>
  </si>
  <si>
    <t>Ben Hardman</t>
  </si>
  <si>
    <t>AVG</t>
  </si>
  <si>
    <t>Nick Mayo</t>
  </si>
  <si>
    <t>Sid Torlone</t>
  </si>
  <si>
    <t>Group C</t>
  </si>
  <si>
    <t>1:20 pm Group</t>
  </si>
  <si>
    <t>AD</t>
  </si>
  <si>
    <t>Bagger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</si>
  <si>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</si>
  <si>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</si>
  <si>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</si>
  <si>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</si>
  <si>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</si>
  <si>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</si>
  <si>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</si>
  <si>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Don Ray</t>
  </si>
  <si>
    <t>Monte Ward</t>
  </si>
  <si>
    <t>Bryan Vance</t>
  </si>
  <si>
    <t>Ronnie Adkins</t>
  </si>
  <si>
    <t>CK</t>
  </si>
  <si>
    <t>Kurt Fleckenstein</t>
  </si>
  <si>
    <t>Robbie Simmons</t>
  </si>
  <si>
    <t>A. Dawson</t>
  </si>
  <si>
    <t>Reggie Opimo</t>
  </si>
  <si>
    <t>Jay Patterson</t>
  </si>
  <si>
    <t>Jim Freeman</t>
  </si>
  <si>
    <t>go aggressive on Subs early in the year and have 3 foursomes for the most part.  See if any of the subs become full timers</t>
  </si>
  <si>
    <t>PLAYOFFS</t>
  </si>
  <si>
    <t>Round</t>
  </si>
  <si>
    <t>FINAL</t>
  </si>
  <si>
    <t>Todd Williams</t>
  </si>
  <si>
    <t>Revenue</t>
  </si>
  <si>
    <t>Expenses</t>
  </si>
  <si>
    <t>Weekly Cash prize</t>
  </si>
  <si>
    <t>Wolf Jacket</t>
  </si>
  <si>
    <t>estimate</t>
  </si>
  <si>
    <t>2nd place</t>
  </si>
  <si>
    <t>3rd place</t>
  </si>
  <si>
    <t>Total</t>
  </si>
  <si>
    <t>Remaining</t>
  </si>
  <si>
    <t>Brandon Cline</t>
  </si>
  <si>
    <t>Ian Wiley</t>
  </si>
  <si>
    <t>Adam Yeager</t>
  </si>
  <si>
    <t>Marc Hettlinger</t>
  </si>
  <si>
    <t>Jeff Madden</t>
  </si>
  <si>
    <t>JEFF</t>
  </si>
  <si>
    <t>JAY</t>
  </si>
  <si>
    <t>Allan Thacker</t>
  </si>
  <si>
    <t>David Sheils</t>
  </si>
  <si>
    <t>Tim Eves</t>
  </si>
  <si>
    <t>Group D</t>
  </si>
  <si>
    <t>Side Game</t>
  </si>
  <si>
    <t>Winners</t>
  </si>
  <si>
    <t>Rounds</t>
  </si>
  <si>
    <t>EVES</t>
  </si>
  <si>
    <t>Joe McDonie</t>
  </si>
  <si>
    <t>Chris Tatum</t>
  </si>
  <si>
    <t>Sean Wilson</t>
  </si>
  <si>
    <t>group 1</t>
  </si>
  <si>
    <t>group 3</t>
  </si>
  <si>
    <t>group 2</t>
  </si>
  <si>
    <t>pods</t>
  </si>
  <si>
    <t>top3</t>
  </si>
  <si>
    <t>plays</t>
  </si>
  <si>
    <t>1:30 pm Group</t>
  </si>
  <si>
    <t>plus embroidery</t>
  </si>
  <si>
    <t>Ronnie A.</t>
  </si>
  <si>
    <t>RA</t>
  </si>
  <si>
    <t>Mike Insco</t>
  </si>
  <si>
    <t>Joe White</t>
  </si>
  <si>
    <t>Mike Barbera</t>
  </si>
  <si>
    <t>SW</t>
  </si>
  <si>
    <t>SUBS:</t>
  </si>
  <si>
    <t>banquet</t>
  </si>
  <si>
    <t>Rick Ellison</t>
  </si>
  <si>
    <t>Mark Newfeld</t>
  </si>
  <si>
    <t>Tyler Gatrell</t>
  </si>
  <si>
    <t>Paul Jacobson</t>
  </si>
  <si>
    <t>group 4</t>
  </si>
  <si>
    <t>Chris Smith</t>
  </si>
  <si>
    <t>Brad "El Nino" Wright</t>
  </si>
  <si>
    <t>Scott Pierson</t>
  </si>
  <si>
    <t>Lee VanHorn</t>
  </si>
  <si>
    <t>May 3rd</t>
  </si>
  <si>
    <t>May 10th</t>
  </si>
  <si>
    <t>May 17th</t>
  </si>
  <si>
    <t>May 24th</t>
  </si>
  <si>
    <t>May 31st</t>
  </si>
  <si>
    <t>June 14th</t>
  </si>
  <si>
    <t>June 21st</t>
  </si>
  <si>
    <t>June 28th</t>
  </si>
  <si>
    <t>July 5th</t>
  </si>
  <si>
    <t>July 12th</t>
  </si>
  <si>
    <t>July 19th</t>
  </si>
  <si>
    <t>July 26th</t>
  </si>
  <si>
    <t>August 2nd</t>
  </si>
  <si>
    <t>August 9th</t>
  </si>
  <si>
    <t>August 16th</t>
  </si>
  <si>
    <t>August 23rd</t>
  </si>
  <si>
    <t>August 30th</t>
  </si>
  <si>
    <t>carryover from '18</t>
  </si>
  <si>
    <t>(bad weather)</t>
  </si>
  <si>
    <t>Jeff Biederman</t>
  </si>
  <si>
    <t>Matt Jaquint</t>
  </si>
  <si>
    <t>Bobby Marshall</t>
  </si>
  <si>
    <t>Most Net Pars</t>
  </si>
  <si>
    <t>Least Putts</t>
  </si>
  <si>
    <t>Skins</t>
  </si>
  <si>
    <t>Closest to the Pin</t>
  </si>
  <si>
    <t>Most Holes Under Par</t>
  </si>
  <si>
    <t>Matt Boggs</t>
  </si>
  <si>
    <t>Jason Moses</t>
  </si>
  <si>
    <t>Jay P.</t>
  </si>
  <si>
    <t>Andrew Dawson</t>
  </si>
  <si>
    <t>Biederman</t>
  </si>
  <si>
    <t>Jeffrey B.</t>
  </si>
  <si>
    <t>Kyle Cox</t>
  </si>
  <si>
    <t>Patrick Arnold</t>
  </si>
  <si>
    <t>Noah Mullens</t>
  </si>
  <si>
    <t>JSx3,CMx4TE,Jeffx2</t>
  </si>
  <si>
    <t>Chris keaton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</si>
  <si>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</si>
  <si>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</si>
  <si>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</si>
  <si>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</si>
  <si>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</si>
  <si>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</si>
  <si>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</si>
  <si>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</si>
  <si>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</si>
  <si>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</si>
  <si>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</si>
  <si>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</si>
  <si>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</si>
  <si>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</si>
  <si>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</si>
  <si>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</si>
  <si>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</si>
  <si>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chris keaton</t>
  </si>
  <si>
    <t>Bagger McNeely</t>
  </si>
  <si>
    <t>AD,JS</t>
  </si>
  <si>
    <t>chris preston</t>
  </si>
  <si>
    <t>Stoll</t>
  </si>
  <si>
    <t>TE, JM</t>
  </si>
  <si>
    <t>Glen Yost</t>
  </si>
  <si>
    <t>Scotty Pierson</t>
  </si>
  <si>
    <t>Jay</t>
  </si>
  <si>
    <t>CMx2, AD, RA</t>
  </si>
  <si>
    <t>Mike Bonner</t>
  </si>
  <si>
    <t>patrick Arnold</t>
  </si>
  <si>
    <t>JP, Bagger, MW</t>
  </si>
  <si>
    <t>McBags</t>
  </si>
  <si>
    <t>Matt Whjte</t>
  </si>
  <si>
    <t>Preston</t>
  </si>
  <si>
    <t>Clarence Lykins</t>
  </si>
  <si>
    <t>CMx2, CP, JM, JS, Jeff, SW, TE</t>
  </si>
  <si>
    <t>JM, CK</t>
  </si>
  <si>
    <t>nick mayo</t>
  </si>
  <si>
    <t>Jay, Jeff</t>
  </si>
  <si>
    <t>plaque &amp; trophy</t>
  </si>
  <si>
    <t>Snow Cone</t>
  </si>
  <si>
    <t>Party</t>
  </si>
  <si>
    <t>Keaton</t>
  </si>
  <si>
    <t>carryover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</si>
</sst>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4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  <font>
      <b/>
      <sz val="9"/>
      <color theme="1"/>
      <name val="Georgia"/>
      <family val="1"/>
      <scheme val="minor"/>
    </font>
    <font>
      <i/>
      <sz val="11"/>
      <color theme="1"/>
      <name val="Georgia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/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Fill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Fill="1" applyBorder="1"/>
    <xf numFmtId="165" fontId="2" fillId="0" borderId="0" xfId="0" applyNumberFormat="1" applyFont="1" applyBorder="1"/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Border="1"/>
    <xf numFmtId="0" fontId="4" fillId="0" borderId="6" xfId="0" applyFont="1" applyFill="1" applyBorder="1"/>
    <xf numFmtId="0" fontId="1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165" fontId="4" fillId="0" borderId="0" xfId="0" applyNumberFormat="1" applyFont="1" applyFill="1" applyBorder="1"/>
    <xf numFmtId="165" fontId="6" fillId="0" borderId="0" xfId="0" applyNumberFormat="1" applyFont="1" applyBorder="1" applyAlignment="1">
      <alignment horizontal="center"/>
    </xf>
    <xf numFmtId="164" fontId="4" fillId="0" borderId="6" xfId="0" applyNumberFormat="1" applyFont="1" applyFill="1" applyBorder="1"/>
    <xf numFmtId="165" fontId="4" fillId="0" borderId="6" xfId="0" applyNumberFormat="1" applyFont="1" applyFill="1" applyBorder="1"/>
    <xf numFmtId="164" fontId="4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6" fontId="0" fillId="0" borderId="0" xfId="0" applyNumberFormat="1"/>
    <xf numFmtId="44" fontId="0" fillId="0" borderId="0" xfId="1" applyFont="1"/>
    <xf numFmtId="6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1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64" fontId="4" fillId="0" borderId="0" xfId="0" applyNumberFormat="1" applyFont="1" applyBorder="1"/>
    <xf numFmtId="0" fontId="2" fillId="4" borderId="2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4" fillId="0" borderId="2" xfId="0" applyFont="1" applyFill="1" applyBorder="1"/>
    <xf numFmtId="6" fontId="4" fillId="0" borderId="2" xfId="0" applyNumberFormat="1" applyFont="1" applyFill="1" applyBorder="1"/>
    <xf numFmtId="6" fontId="4" fillId="0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6" xfId="0" applyFont="1" applyBorder="1"/>
    <xf numFmtId="165" fontId="0" fillId="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1" fillId="0" borderId="0" xfId="0" applyNumberFormat="1" applyFont="1" applyBorder="1" applyAlignment="1">
      <alignment horizontal="center"/>
    </xf>
    <xf numFmtId="165" fontId="11" fillId="0" borderId="0" xfId="0" applyNumberFormat="1" applyFont="1" applyBorder="1"/>
    <xf numFmtId="0" fontId="1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165" fontId="0" fillId="0" borderId="0" xfId="0" applyNumberFormat="1" applyFont="1" applyFill="1" applyBorder="1"/>
    <xf numFmtId="164" fontId="0" fillId="0" borderId="6" xfId="0" applyNumberFormat="1" applyFont="1" applyFill="1" applyBorder="1"/>
    <xf numFmtId="165" fontId="0" fillId="0" borderId="6" xfId="0" applyNumberFormat="1" applyFont="1" applyFill="1" applyBorder="1"/>
    <xf numFmtId="165" fontId="0" fillId="0" borderId="0" xfId="0" applyNumberFormat="1" applyFill="1" applyBorder="1" applyAlignment="1">
      <alignment horizontal="center"/>
    </xf>
    <xf numFmtId="6" fontId="4" fillId="0" borderId="0" xfId="0" applyNumberFormat="1" applyFont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" fontId="4" fillId="0" borderId="0" xfId="0" applyNumberFormat="1" applyFont="1" applyFill="1" applyBorder="1"/>
    <xf numFmtId="1" fontId="12" fillId="0" borderId="0" xfId="0" applyNumberFormat="1" applyFont="1" applyFill="1" applyBorder="1"/>
    <xf numFmtId="165" fontId="12" fillId="0" borderId="0" xfId="0" applyNumberFormat="1" applyFont="1" applyFill="1" applyBorder="1"/>
    <xf numFmtId="6" fontId="0" fillId="0" borderId="0" xfId="0" applyNumberFormat="1" applyFill="1"/>
    <xf numFmtId="0" fontId="2" fillId="2" borderId="0" xfId="0" applyFont="1" applyFill="1" applyBorder="1"/>
    <xf numFmtId="0" fontId="0" fillId="0" borderId="2" xfId="0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6" fontId="0" fillId="2" borderId="0" xfId="0" applyNumberFormat="1" applyFill="1"/>
    <xf numFmtId="0" fontId="9" fillId="2" borderId="0" xfId="0" applyFont="1" applyFill="1" applyBorder="1" applyAlignment="1">
      <alignment horizontal="left"/>
    </xf>
    <xf numFmtId="165" fontId="2" fillId="0" borderId="6" xfId="0" applyNumberFormat="1" applyFont="1" applyBorder="1"/>
    <xf numFmtId="165" fontId="4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65" fontId="4" fillId="3" borderId="0" xfId="0" applyNumberFormat="1" applyFont="1" applyFill="1" applyBorder="1"/>
    <xf numFmtId="2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/>
    <xf numFmtId="0" fontId="13" fillId="0" borderId="0" xfId="0" applyFont="1" applyFill="1" applyBorder="1" applyAlignment="1">
      <alignment horizontal="left"/>
    </xf>
    <xf numFmtId="9" fontId="0" fillId="0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0" fontId="0" fillId="0" borderId="2" xfId="0" applyFill="1" applyBorder="1"/>
    <xf numFmtId="0" fontId="10" fillId="4" borderId="18" xfId="0" applyFont="1" applyFill="1" applyBorder="1" applyAlignment="1">
      <alignment horizontal="center" vertical="center" textRotation="255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fitToPage="1"/>
  </sheetPr>
  <dimension ref="A1:L49"/>
  <sheetViews>
    <sheetView workbookViewId="0">
      <selection activeCell="K40" sqref="A1:K40"/>
    </sheetView>
  </sheetViews>
  <sheetFormatPr defaultColWidth="8.90625" defaultRowHeight="13.8" x14ac:dyDescent="0.25"/>
  <cols>
    <col min="1" max="1" width="2" style="1" bestFit="1" customWidth="1"/>
    <col min="2" max="2" width="11.90625" style="1" bestFit="1" customWidth="1"/>
    <col min="3" max="3" width="3.1796875" style="36" customWidth="1"/>
    <col min="4" max="4" width="4.6328125" style="1" bestFit="1" customWidth="1"/>
    <col min="5" max="8" width="4.36328125" style="1" customWidth="1"/>
    <col min="9" max="9" width="5" style="1" bestFit="1" customWidth="1"/>
    <col min="10" max="10" width="6.54296875" style="1" bestFit="1" customWidth="1"/>
    <col min="11" max="11" width="4.54296875" style="1" customWidth="1"/>
    <col min="12" max="35" width="7.08984375" style="1"/>
    <col min="36" max="16384" width="8.90625" style="1"/>
  </cols>
  <sheetData>
    <row r="1" spans="1:12" s="5" customFormat="1" ht="30" customHeight="1" x14ac:dyDescent="0.25">
      <c r="B1" s="71"/>
      <c r="C1" s="154" t="s">
        <v>75</v>
      </c>
      <c r="D1" s="159">
        <v>14</v>
      </c>
      <c r="E1" s="160"/>
      <c r="F1" s="159">
        <v>15</v>
      </c>
      <c r="G1" s="160"/>
      <c r="H1" s="159">
        <v>16</v>
      </c>
      <c r="I1" s="160"/>
      <c r="J1" s="53"/>
      <c r="K1" s="89"/>
    </row>
    <row r="2" spans="1:12" ht="42.75" customHeight="1" thickBot="1" x14ac:dyDescent="0.3">
      <c r="B2" s="72" t="s">
        <v>12</v>
      </c>
      <c r="C2" s="154"/>
      <c r="D2" s="157" t="s">
        <v>118</v>
      </c>
      <c r="E2" s="158"/>
      <c r="F2" s="157" t="s">
        <v>119</v>
      </c>
      <c r="G2" s="158"/>
      <c r="H2" s="157" t="s">
        <v>120</v>
      </c>
      <c r="I2" s="158"/>
      <c r="J2" s="96" t="s">
        <v>11</v>
      </c>
      <c r="K2" s="54" t="s">
        <v>23</v>
      </c>
    </row>
    <row r="3" spans="1:12" ht="14.4" customHeight="1" thickTop="1" x14ac:dyDescent="0.25">
      <c r="B3" s="78" t="s">
        <v>73</v>
      </c>
      <c r="C3" s="155"/>
      <c r="D3" s="161" t="s">
        <v>130</v>
      </c>
      <c r="E3" s="162"/>
      <c r="F3" s="161" t="s">
        <v>131</v>
      </c>
      <c r="G3" s="162"/>
      <c r="H3" s="161" t="s">
        <v>127</v>
      </c>
      <c r="I3" s="162"/>
      <c r="J3" s="97"/>
      <c r="K3" s="76"/>
    </row>
    <row r="4" spans="1:12" ht="35.25" customHeight="1" thickBot="1" x14ac:dyDescent="0.3">
      <c r="B4" s="77" t="s">
        <v>74</v>
      </c>
      <c r="C4" s="156"/>
      <c r="D4" s="163" t="s">
        <v>178</v>
      </c>
      <c r="E4" s="164"/>
      <c r="F4" s="163" t="s">
        <v>168</v>
      </c>
      <c r="G4" s="164"/>
      <c r="H4" s="163" t="s">
        <v>29</v>
      </c>
      <c r="I4" s="164"/>
      <c r="J4" s="98"/>
      <c r="K4" s="76"/>
    </row>
    <row r="5" spans="1:12" ht="15.75" customHeight="1" thickTop="1" thickBot="1" x14ac:dyDescent="0.3">
      <c r="A5" s="1">
        <v>1</v>
      </c>
      <c r="B5" s="40" t="s">
        <v>2</v>
      </c>
      <c r="C5" s="80">
        <v>10</v>
      </c>
      <c r="D5" s="112"/>
      <c r="E5" s="113"/>
      <c r="F5" s="14"/>
      <c r="G5" s="55"/>
      <c r="H5" s="14">
        <v>86</v>
      </c>
      <c r="I5" s="55">
        <v>23.5</v>
      </c>
      <c r="J5" s="9">
        <v>173.5</v>
      </c>
      <c r="K5" s="90">
        <v>17.350000000000001</v>
      </c>
    </row>
    <row r="6" spans="1:12" ht="15.75" customHeight="1" thickTop="1" x14ac:dyDescent="0.25">
      <c r="B6" s="63" t="s">
        <v>31</v>
      </c>
      <c r="C6" s="83"/>
      <c r="D6" s="112"/>
      <c r="E6" s="113"/>
      <c r="F6" s="16"/>
      <c r="G6" s="116"/>
      <c r="H6" s="16">
        <v>40</v>
      </c>
      <c r="I6" s="116">
        <v>11.5</v>
      </c>
      <c r="J6" s="23">
        <v>36.6</v>
      </c>
      <c r="K6" s="91">
        <v>9.15</v>
      </c>
    </row>
    <row r="7" spans="1:12" ht="15.75" customHeight="1" thickBot="1" x14ac:dyDescent="0.3">
      <c r="B7" s="64" t="s">
        <v>5</v>
      </c>
      <c r="C7" s="84"/>
      <c r="D7" s="114"/>
      <c r="E7" s="115"/>
      <c r="F7" s="57"/>
      <c r="G7" s="100"/>
      <c r="H7" s="57">
        <v>22</v>
      </c>
      <c r="I7" s="100">
        <v>12</v>
      </c>
      <c r="J7" s="27">
        <v>104</v>
      </c>
      <c r="K7" s="92">
        <v>8.1999999999999993</v>
      </c>
    </row>
    <row r="8" spans="1:12" ht="15" customHeight="1" thickBot="1" x14ac:dyDescent="0.3">
      <c r="A8" s="1">
        <v>2</v>
      </c>
      <c r="B8" s="40" t="s">
        <v>34</v>
      </c>
      <c r="C8" s="81">
        <v>12</v>
      </c>
      <c r="D8" s="112">
        <v>74</v>
      </c>
      <c r="E8" s="113">
        <v>16</v>
      </c>
      <c r="F8" s="14"/>
      <c r="G8" s="55"/>
      <c r="H8" s="14">
        <v>77</v>
      </c>
      <c r="I8" s="55">
        <v>20</v>
      </c>
      <c r="J8" s="25">
        <v>165</v>
      </c>
      <c r="K8" s="93">
        <v>15.666666666666666</v>
      </c>
      <c r="L8" s="8"/>
    </row>
    <row r="9" spans="1:12" ht="15" customHeight="1" thickTop="1" x14ac:dyDescent="0.25">
      <c r="B9" s="63" t="s">
        <v>31</v>
      </c>
      <c r="C9" s="83"/>
      <c r="D9" s="112">
        <v>40</v>
      </c>
      <c r="E9" s="113">
        <v>8</v>
      </c>
      <c r="F9" s="16"/>
      <c r="G9" s="116"/>
      <c r="H9" s="16">
        <v>36</v>
      </c>
      <c r="I9" s="116">
        <v>9</v>
      </c>
      <c r="J9" s="23">
        <v>35.666666666666664</v>
      </c>
      <c r="K9" s="91">
        <v>8.5</v>
      </c>
    </row>
    <row r="10" spans="1:12" ht="15" customHeight="1" thickBot="1" x14ac:dyDescent="0.3">
      <c r="B10" s="64" t="s">
        <v>5</v>
      </c>
      <c r="C10" s="84"/>
      <c r="D10" s="114">
        <v>20</v>
      </c>
      <c r="E10" s="115">
        <v>8</v>
      </c>
      <c r="F10" s="57"/>
      <c r="G10" s="100"/>
      <c r="H10" s="57">
        <v>19</v>
      </c>
      <c r="I10" s="100">
        <v>11</v>
      </c>
      <c r="J10" s="24">
        <v>103</v>
      </c>
      <c r="K10" s="94">
        <v>7.166666666666667</v>
      </c>
    </row>
    <row r="11" spans="1:12" ht="15" customHeight="1" thickBot="1" x14ac:dyDescent="0.3">
      <c r="A11" s="1">
        <v>3</v>
      </c>
      <c r="B11" s="110" t="s">
        <v>30</v>
      </c>
      <c r="C11" s="81">
        <v>11</v>
      </c>
      <c r="D11" s="112"/>
      <c r="E11" s="113"/>
      <c r="F11" s="14"/>
      <c r="G11" s="55"/>
      <c r="H11" s="14">
        <v>84</v>
      </c>
      <c r="I11" s="55">
        <v>13.5</v>
      </c>
      <c r="J11" s="25">
        <v>161.5</v>
      </c>
      <c r="K11" s="93">
        <v>15.636363636363637</v>
      </c>
    </row>
    <row r="12" spans="1:12" ht="15" customHeight="1" thickTop="1" x14ac:dyDescent="0.25">
      <c r="B12" s="63" t="s">
        <v>31</v>
      </c>
      <c r="C12" s="83"/>
      <c r="D12" s="112"/>
      <c r="E12" s="113"/>
      <c r="F12" s="16"/>
      <c r="G12" s="116"/>
      <c r="H12" s="16">
        <v>35</v>
      </c>
      <c r="I12" s="116">
        <v>6.5</v>
      </c>
      <c r="J12" s="23">
        <v>35.363636363636367</v>
      </c>
      <c r="K12" s="91">
        <v>8.1363636363636367</v>
      </c>
    </row>
    <row r="13" spans="1:12" ht="15" customHeight="1" thickBot="1" x14ac:dyDescent="0.3">
      <c r="B13" s="64" t="s">
        <v>5</v>
      </c>
      <c r="C13" s="84"/>
      <c r="D13" s="114"/>
      <c r="E13" s="115"/>
      <c r="F13" s="57"/>
      <c r="G13" s="100"/>
      <c r="H13" s="57">
        <v>-4</v>
      </c>
      <c r="I13" s="100">
        <v>7</v>
      </c>
      <c r="J13" s="27">
        <v>52</v>
      </c>
      <c r="K13" s="92">
        <v>7.5</v>
      </c>
    </row>
    <row r="14" spans="1:12" ht="15" customHeight="1" thickBot="1" x14ac:dyDescent="0.3">
      <c r="A14" s="1">
        <v>4</v>
      </c>
      <c r="B14" s="66" t="s">
        <v>66</v>
      </c>
      <c r="C14" s="81">
        <v>11</v>
      </c>
      <c r="D14" s="112"/>
      <c r="E14" s="113"/>
      <c r="F14" s="14"/>
      <c r="G14" s="55"/>
      <c r="H14" s="14">
        <v>82</v>
      </c>
      <c r="I14" s="55">
        <v>12.5</v>
      </c>
      <c r="J14" s="25">
        <v>159</v>
      </c>
      <c r="K14" s="93">
        <v>15.181818181818182</v>
      </c>
    </row>
    <row r="15" spans="1:12" ht="15" customHeight="1" thickTop="1" x14ac:dyDescent="0.25">
      <c r="B15" s="63" t="s">
        <v>31</v>
      </c>
      <c r="C15" s="83"/>
      <c r="D15" s="112"/>
      <c r="E15" s="113"/>
      <c r="F15" s="14"/>
      <c r="G15" s="55"/>
      <c r="H15" s="14">
        <v>34</v>
      </c>
      <c r="I15" s="55">
        <v>4.5</v>
      </c>
      <c r="J15" s="23">
        <v>36</v>
      </c>
      <c r="K15" s="91">
        <v>7.6818181818181817</v>
      </c>
    </row>
    <row r="16" spans="1:12" ht="15" customHeight="1" thickBot="1" x14ac:dyDescent="0.3">
      <c r="B16" s="64" t="s">
        <v>5</v>
      </c>
      <c r="C16" s="84"/>
      <c r="D16" s="114"/>
      <c r="E16" s="115"/>
      <c r="F16" s="56"/>
      <c r="G16" s="101"/>
      <c r="H16" s="56">
        <v>-1</v>
      </c>
      <c r="I16" s="101">
        <v>8</v>
      </c>
      <c r="J16" s="27">
        <v>36</v>
      </c>
      <c r="K16" s="92">
        <v>7.5</v>
      </c>
    </row>
    <row r="17" spans="1:11" ht="15" customHeight="1" thickBot="1" x14ac:dyDescent="0.3">
      <c r="A17" s="1">
        <v>5</v>
      </c>
      <c r="B17" s="40" t="s">
        <v>3</v>
      </c>
      <c r="C17" s="82">
        <v>12</v>
      </c>
      <c r="D17" s="112"/>
      <c r="E17" s="113"/>
      <c r="F17" s="14">
        <v>75</v>
      </c>
      <c r="G17" s="55">
        <v>13</v>
      </c>
      <c r="H17" s="14">
        <v>81</v>
      </c>
      <c r="I17" s="55">
        <v>4.5</v>
      </c>
      <c r="J17" s="25">
        <v>154</v>
      </c>
      <c r="K17" s="93">
        <v>14.041666666666666</v>
      </c>
    </row>
    <row r="18" spans="1:11" ht="15" customHeight="1" thickTop="1" x14ac:dyDescent="0.25">
      <c r="B18" s="63" t="s">
        <v>31</v>
      </c>
      <c r="C18" s="83"/>
      <c r="D18" s="112"/>
      <c r="E18" s="113"/>
      <c r="F18" s="16">
        <v>36</v>
      </c>
      <c r="G18" s="116">
        <v>7</v>
      </c>
      <c r="H18" s="16">
        <v>30</v>
      </c>
      <c r="I18" s="116">
        <v>2.5</v>
      </c>
      <c r="J18" s="23">
        <v>35.5</v>
      </c>
      <c r="K18" s="91">
        <v>7.833333333333333</v>
      </c>
    </row>
    <row r="19" spans="1:11" ht="15" customHeight="1" thickBot="1" x14ac:dyDescent="0.3">
      <c r="B19" s="64" t="s">
        <v>5</v>
      </c>
      <c r="C19" s="84"/>
      <c r="D19" s="114"/>
      <c r="E19" s="115"/>
      <c r="F19" s="57">
        <v>-8</v>
      </c>
      <c r="G19" s="100">
        <v>6</v>
      </c>
      <c r="H19" s="57">
        <v>-11</v>
      </c>
      <c r="I19" s="100">
        <v>2</v>
      </c>
      <c r="J19" s="27">
        <v>-8</v>
      </c>
      <c r="K19" s="92">
        <v>6.208333333333333</v>
      </c>
    </row>
    <row r="20" spans="1:11" ht="15" customHeight="1" thickBot="1" x14ac:dyDescent="0.3">
      <c r="A20" s="1">
        <v>6</v>
      </c>
      <c r="B20" s="40" t="s">
        <v>46</v>
      </c>
      <c r="C20" s="81">
        <v>13</v>
      </c>
      <c r="D20" s="112">
        <v>82</v>
      </c>
      <c r="E20" s="113">
        <v>13</v>
      </c>
      <c r="F20" s="14">
        <v>80</v>
      </c>
      <c r="G20" s="55">
        <v>16</v>
      </c>
      <c r="H20" s="14">
        <v>85</v>
      </c>
      <c r="I20" s="55">
        <v>18</v>
      </c>
      <c r="J20" s="26">
        <v>145.5</v>
      </c>
      <c r="K20" s="95">
        <v>13.076923076923077</v>
      </c>
    </row>
    <row r="21" spans="1:11" ht="15" customHeight="1" thickTop="1" x14ac:dyDescent="0.25">
      <c r="B21" s="63" t="s">
        <v>31</v>
      </c>
      <c r="C21" s="83"/>
      <c r="D21" s="112">
        <v>37</v>
      </c>
      <c r="E21" s="113">
        <v>7</v>
      </c>
      <c r="F21" s="14">
        <v>40</v>
      </c>
      <c r="G21" s="55">
        <v>8</v>
      </c>
      <c r="H21" s="14">
        <v>36</v>
      </c>
      <c r="I21" s="55">
        <v>9</v>
      </c>
      <c r="J21" s="23">
        <v>32.615384615384613</v>
      </c>
      <c r="K21" s="91">
        <v>6.4230769230769234</v>
      </c>
    </row>
    <row r="22" spans="1:11" ht="15" customHeight="1" thickBot="1" x14ac:dyDescent="0.3">
      <c r="B22" s="64" t="s">
        <v>5</v>
      </c>
      <c r="C22" s="84"/>
      <c r="D22" s="114">
        <v>-4</v>
      </c>
      <c r="E22" s="115">
        <v>6</v>
      </c>
      <c r="F22" s="56">
        <v>20</v>
      </c>
      <c r="G22" s="101">
        <v>8</v>
      </c>
      <c r="H22" s="56">
        <v>8</v>
      </c>
      <c r="I22" s="101">
        <v>9</v>
      </c>
      <c r="J22" s="27">
        <v>20</v>
      </c>
      <c r="K22" s="92">
        <v>6.6538461538461542</v>
      </c>
    </row>
    <row r="23" spans="1:11" ht="15" customHeight="1" thickBot="1" x14ac:dyDescent="0.3">
      <c r="A23" s="1">
        <v>7</v>
      </c>
      <c r="B23" s="40" t="s">
        <v>79</v>
      </c>
      <c r="C23" s="81">
        <v>11</v>
      </c>
      <c r="D23" s="112"/>
      <c r="E23" s="113"/>
      <c r="F23" s="14">
        <v>100</v>
      </c>
      <c r="G23" s="55">
        <v>10</v>
      </c>
      <c r="H23" s="14">
        <v>90</v>
      </c>
      <c r="I23" s="55">
        <v>14.5</v>
      </c>
      <c r="J23" s="26">
        <v>129</v>
      </c>
      <c r="K23" s="95">
        <v>12.363636363636363</v>
      </c>
    </row>
    <row r="24" spans="1:11" ht="15" customHeight="1" thickTop="1" x14ac:dyDescent="0.25">
      <c r="B24" s="63" t="s">
        <v>31</v>
      </c>
      <c r="C24" s="83"/>
      <c r="D24" s="112"/>
      <c r="E24" s="113"/>
      <c r="F24" s="14">
        <v>30</v>
      </c>
      <c r="G24" s="55">
        <v>5</v>
      </c>
      <c r="H24" s="14">
        <v>40</v>
      </c>
      <c r="I24" s="55">
        <v>11.5</v>
      </c>
      <c r="J24" s="23">
        <v>31.09090909090909</v>
      </c>
      <c r="K24" s="91">
        <v>5.9090909090909092</v>
      </c>
    </row>
    <row r="25" spans="1:11" ht="15" customHeight="1" thickBot="1" x14ac:dyDescent="0.3">
      <c r="B25" s="64" t="s">
        <v>5</v>
      </c>
      <c r="C25" s="84"/>
      <c r="D25" s="114"/>
      <c r="E25" s="115"/>
      <c r="F25" s="56">
        <v>-10</v>
      </c>
      <c r="G25" s="101">
        <v>5</v>
      </c>
      <c r="H25" s="56">
        <v>-10</v>
      </c>
      <c r="I25" s="101">
        <v>3</v>
      </c>
      <c r="J25" s="27">
        <v>-7</v>
      </c>
      <c r="K25" s="92">
        <v>6.4545454545454541</v>
      </c>
    </row>
    <row r="26" spans="1:11" ht="15" customHeight="1" thickBot="1" x14ac:dyDescent="0.3">
      <c r="A26" s="1">
        <v>8</v>
      </c>
      <c r="B26" s="40" t="s">
        <v>71</v>
      </c>
      <c r="C26" s="81">
        <v>10</v>
      </c>
      <c r="D26" s="112">
        <v>94</v>
      </c>
      <c r="E26" s="113">
        <v>11</v>
      </c>
      <c r="F26" s="14"/>
      <c r="G26" s="55"/>
      <c r="H26" s="14">
        <v>101</v>
      </c>
      <c r="I26" s="55">
        <v>12.5</v>
      </c>
      <c r="J26" s="25">
        <v>123</v>
      </c>
      <c r="K26" s="93">
        <v>12.3</v>
      </c>
    </row>
    <row r="27" spans="1:11" ht="15" customHeight="1" thickTop="1" x14ac:dyDescent="0.25">
      <c r="B27" s="63" t="s">
        <v>31</v>
      </c>
      <c r="C27" s="83"/>
      <c r="D27" s="112">
        <v>33</v>
      </c>
      <c r="E27" s="113">
        <v>6</v>
      </c>
      <c r="F27" s="14"/>
      <c r="G27" s="55"/>
      <c r="H27" s="14">
        <v>30</v>
      </c>
      <c r="I27" s="55">
        <v>2.5</v>
      </c>
      <c r="J27" s="23">
        <v>29.1</v>
      </c>
      <c r="K27" s="91">
        <v>5.25</v>
      </c>
    </row>
    <row r="28" spans="1:11" ht="15" customHeight="1" thickBot="1" x14ac:dyDescent="0.3">
      <c r="B28" s="64" t="s">
        <v>5</v>
      </c>
      <c r="C28" s="84"/>
      <c r="D28" s="114">
        <v>-16</v>
      </c>
      <c r="E28" s="115">
        <v>5</v>
      </c>
      <c r="F28" s="56"/>
      <c r="G28" s="101"/>
      <c r="H28" s="56">
        <v>10</v>
      </c>
      <c r="I28" s="101">
        <v>10</v>
      </c>
      <c r="J28" s="27">
        <v>-62</v>
      </c>
      <c r="K28" s="92">
        <v>7.05</v>
      </c>
    </row>
    <row r="29" spans="1:11" ht="15" customHeight="1" thickBot="1" x14ac:dyDescent="0.3">
      <c r="B29" s="66" t="s">
        <v>33</v>
      </c>
      <c r="C29" s="81">
        <v>12</v>
      </c>
      <c r="D29" s="112">
        <v>102</v>
      </c>
      <c r="E29" s="113">
        <v>12</v>
      </c>
      <c r="F29" s="14"/>
      <c r="G29" s="55"/>
      <c r="H29" s="14">
        <v>103</v>
      </c>
      <c r="I29" s="55">
        <v>2</v>
      </c>
      <c r="J29" s="26">
        <v>101</v>
      </c>
      <c r="K29" s="95">
        <v>8.9166666666666661</v>
      </c>
    </row>
    <row r="30" spans="1:11" ht="14.4" thickTop="1" x14ac:dyDescent="0.25">
      <c r="B30" s="63" t="s">
        <v>31</v>
      </c>
      <c r="C30" s="83"/>
      <c r="D30" s="112">
        <v>29</v>
      </c>
      <c r="E30" s="113">
        <v>5</v>
      </c>
      <c r="F30" s="14"/>
      <c r="G30" s="55"/>
      <c r="H30" s="14">
        <v>29</v>
      </c>
      <c r="I30" s="55">
        <v>1</v>
      </c>
      <c r="J30" s="23">
        <v>27</v>
      </c>
      <c r="K30" s="91">
        <v>3.375</v>
      </c>
    </row>
    <row r="31" spans="1:11" ht="14.4" thickBot="1" x14ac:dyDescent="0.3">
      <c r="B31" s="64" t="s">
        <v>5</v>
      </c>
      <c r="C31" s="84"/>
      <c r="D31" s="114">
        <v>0</v>
      </c>
      <c r="E31" s="115">
        <v>7</v>
      </c>
      <c r="F31" s="56"/>
      <c r="G31" s="102"/>
      <c r="H31" s="56">
        <v>-12</v>
      </c>
      <c r="I31" s="102">
        <v>1</v>
      </c>
      <c r="J31" s="27">
        <v>-45</v>
      </c>
      <c r="K31" s="92">
        <v>5.541666666666667</v>
      </c>
    </row>
    <row r="32" spans="1:11" ht="14.4" thickBot="1" x14ac:dyDescent="0.3">
      <c r="B32" s="40" t="s">
        <v>8</v>
      </c>
      <c r="C32" s="81">
        <v>7</v>
      </c>
      <c r="D32" s="112"/>
      <c r="E32" s="113"/>
      <c r="F32" s="14"/>
      <c r="G32" s="55"/>
      <c r="H32" s="14">
        <v>84</v>
      </c>
      <c r="I32" s="55">
        <v>10.5</v>
      </c>
      <c r="J32" s="25">
        <v>92</v>
      </c>
      <c r="K32" s="93">
        <v>13.142857142857142</v>
      </c>
    </row>
    <row r="33" spans="2:11" ht="14.4" thickTop="1" x14ac:dyDescent="0.25">
      <c r="B33" s="63" t="s">
        <v>31</v>
      </c>
      <c r="C33" s="83"/>
      <c r="D33" s="112"/>
      <c r="E33" s="113"/>
      <c r="F33" s="14"/>
      <c r="G33" s="55"/>
      <c r="H33" s="14">
        <v>34</v>
      </c>
      <c r="I33" s="55">
        <v>4.5</v>
      </c>
      <c r="J33" s="23">
        <v>32</v>
      </c>
      <c r="K33" s="91">
        <v>6.6428571428571432</v>
      </c>
    </row>
    <row r="34" spans="2:11" ht="14.4" thickBot="1" x14ac:dyDescent="0.3">
      <c r="B34" s="64" t="s">
        <v>5</v>
      </c>
      <c r="C34" s="84"/>
      <c r="D34" s="114"/>
      <c r="E34" s="115"/>
      <c r="F34" s="56"/>
      <c r="G34" s="102"/>
      <c r="H34" s="56">
        <v>-6</v>
      </c>
      <c r="I34" s="102">
        <v>6</v>
      </c>
      <c r="J34" s="27">
        <v>-25</v>
      </c>
      <c r="K34" s="92">
        <v>6.5</v>
      </c>
    </row>
    <row r="35" spans="2:11" ht="14.4" thickBot="1" x14ac:dyDescent="0.3">
      <c r="B35" s="65" t="s">
        <v>44</v>
      </c>
      <c r="C35" s="81">
        <v>5</v>
      </c>
      <c r="D35" s="112"/>
      <c r="E35" s="113"/>
      <c r="F35" s="14"/>
      <c r="G35" s="55"/>
      <c r="H35" s="14"/>
      <c r="I35" s="55"/>
      <c r="J35" s="25">
        <v>65</v>
      </c>
      <c r="K35" s="93">
        <v>13</v>
      </c>
    </row>
    <row r="36" spans="2:11" ht="14.4" thickTop="1" x14ac:dyDescent="0.25">
      <c r="B36" s="63" t="s">
        <v>31</v>
      </c>
      <c r="C36" s="83"/>
      <c r="D36" s="112"/>
      <c r="E36" s="113"/>
      <c r="F36" s="14"/>
      <c r="G36" s="55"/>
      <c r="H36" s="14"/>
      <c r="I36" s="55"/>
      <c r="J36" s="23">
        <v>31.8</v>
      </c>
      <c r="K36" s="91">
        <v>5.4</v>
      </c>
    </row>
    <row r="37" spans="2:11" ht="14.4" thickBot="1" x14ac:dyDescent="0.3">
      <c r="B37" s="64" t="s">
        <v>5</v>
      </c>
      <c r="C37" s="84"/>
      <c r="D37" s="114"/>
      <c r="E37" s="115"/>
      <c r="F37" s="56"/>
      <c r="G37" s="102"/>
      <c r="H37" s="56"/>
      <c r="I37" s="102"/>
      <c r="J37" s="27">
        <v>36</v>
      </c>
      <c r="K37" s="92">
        <v>7.6</v>
      </c>
    </row>
    <row r="38" spans="2:11" ht="14.4" thickBot="1" x14ac:dyDescent="0.3">
      <c r="B38" s="40" t="s">
        <v>88</v>
      </c>
      <c r="C38" s="81">
        <v>3</v>
      </c>
      <c r="D38" s="112"/>
      <c r="E38" s="113"/>
      <c r="F38" s="14"/>
      <c r="G38" s="55"/>
      <c r="H38" s="14">
        <v>79</v>
      </c>
      <c r="I38" s="55">
        <v>13</v>
      </c>
      <c r="J38" s="25">
        <v>41.5</v>
      </c>
      <c r="K38" s="93">
        <v>13.833333333333334</v>
      </c>
    </row>
    <row r="39" spans="2:11" ht="14.4" thickTop="1" x14ac:dyDescent="0.25">
      <c r="B39" s="63" t="s">
        <v>31</v>
      </c>
      <c r="C39" s="83"/>
      <c r="D39" s="112"/>
      <c r="E39" s="113"/>
      <c r="F39" s="14"/>
      <c r="G39" s="55"/>
      <c r="H39" s="14">
        <v>36</v>
      </c>
      <c r="I39" s="55">
        <v>9</v>
      </c>
      <c r="J39" s="23">
        <v>34.333333333333336</v>
      </c>
      <c r="K39" s="91">
        <v>7.333333333333333</v>
      </c>
    </row>
    <row r="40" spans="2:11" ht="14.4" thickBot="1" x14ac:dyDescent="0.3">
      <c r="B40" s="64" t="s">
        <v>5</v>
      </c>
      <c r="C40" s="84"/>
      <c r="D40" s="114"/>
      <c r="E40" s="115"/>
      <c r="F40" s="56"/>
      <c r="G40" s="102"/>
      <c r="H40" s="56">
        <v>-8</v>
      </c>
      <c r="I40" s="102">
        <v>4</v>
      </c>
      <c r="J40" s="27">
        <v>15</v>
      </c>
      <c r="K40" s="92">
        <v>6.5</v>
      </c>
    </row>
    <row r="41" spans="2:11" ht="14.4" thickBot="1" x14ac:dyDescent="0.3">
      <c r="B41" s="66"/>
      <c r="C41" s="81"/>
      <c r="D41" s="112"/>
      <c r="E41" s="113"/>
      <c r="F41" s="14"/>
      <c r="G41" s="55"/>
      <c r="H41" s="14"/>
      <c r="I41" s="55"/>
      <c r="J41" s="25"/>
      <c r="K41" s="93"/>
    </row>
    <row r="42" spans="2:11" ht="14.4" thickTop="1" x14ac:dyDescent="0.25">
      <c r="B42" s="63"/>
      <c r="C42" s="83"/>
      <c r="D42" s="112"/>
      <c r="E42" s="113"/>
      <c r="F42" s="14"/>
      <c r="G42" s="55"/>
      <c r="H42" s="14"/>
      <c r="I42" s="55"/>
      <c r="J42" s="23"/>
      <c r="K42" s="91"/>
    </row>
    <row r="43" spans="2:11" ht="14.4" thickBot="1" x14ac:dyDescent="0.3">
      <c r="B43" s="118"/>
      <c r="C43" s="84"/>
      <c r="D43" s="114"/>
      <c r="E43" s="115"/>
      <c r="F43" s="56"/>
      <c r="G43" s="102"/>
      <c r="H43" s="56"/>
      <c r="I43" s="102"/>
      <c r="J43" s="27"/>
      <c r="K43" s="92"/>
    </row>
    <row r="44" spans="2:11" ht="14.4" thickBot="1" x14ac:dyDescent="0.3">
      <c r="B44" s="65"/>
      <c r="C44" s="81"/>
      <c r="D44" s="112"/>
      <c r="E44" s="113"/>
      <c r="F44" s="14"/>
      <c r="G44" s="55"/>
      <c r="H44" s="14"/>
      <c r="I44" s="55"/>
      <c r="J44" s="25"/>
      <c r="K44" s="93"/>
    </row>
    <row r="45" spans="2:11" ht="14.4" thickTop="1" x14ac:dyDescent="0.25">
      <c r="B45" s="63"/>
      <c r="C45" s="83"/>
      <c r="D45" s="112"/>
      <c r="E45" s="113"/>
      <c r="F45" s="14"/>
      <c r="G45" s="55"/>
      <c r="H45" s="14"/>
      <c r="I45" s="55"/>
      <c r="J45" s="23"/>
      <c r="K45" s="91"/>
    </row>
    <row r="46" spans="2:11" ht="14.4" thickBot="1" x14ac:dyDescent="0.3">
      <c r="B46" s="64"/>
      <c r="C46" s="84"/>
      <c r="D46" s="114"/>
      <c r="E46" s="115"/>
      <c r="F46" s="56"/>
      <c r="G46" s="102"/>
      <c r="H46" s="56"/>
      <c r="I46" s="102"/>
      <c r="J46" s="27"/>
      <c r="K46" s="92"/>
    </row>
    <row r="47" spans="2:11" ht="14.4" thickBot="1" x14ac:dyDescent="0.3">
      <c r="B47" s="65"/>
      <c r="C47" s="81"/>
      <c r="D47" s="112"/>
      <c r="E47" s="113"/>
      <c r="F47" s="14"/>
      <c r="G47" s="55"/>
      <c r="H47" s="14"/>
      <c r="I47" s="55"/>
      <c r="J47" s="25"/>
      <c r="K47" s="25"/>
    </row>
    <row r="48" spans="2:11" ht="14.4" thickTop="1" x14ac:dyDescent="0.25">
      <c r="B48" s="63"/>
      <c r="C48" s="83"/>
      <c r="D48" s="112"/>
      <c r="E48" s="113"/>
      <c r="F48" s="14"/>
      <c r="G48" s="55"/>
      <c r="H48" s="14"/>
      <c r="I48" s="55"/>
      <c r="J48" s="23"/>
      <c r="K48" s="23"/>
    </row>
    <row r="49" spans="2:11" ht="14.4" thickBot="1" x14ac:dyDescent="0.3">
      <c r="B49" s="64"/>
      <c r="C49" s="84"/>
      <c r="D49" s="114"/>
      <c r="E49" s="115"/>
      <c r="F49" s="56"/>
      <c r="G49" s="102"/>
      <c r="H49" s="56"/>
      <c r="I49" s="102"/>
      <c r="J49" s="27"/>
      <c r="K49" s="92"/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AL94"/>
  <sheetViews>
    <sheetView zoomScale="90" zoomScaleNormal="90" workbookViewId="0">
      <selection activeCell="AK15" sqref="AK15"/>
    </sheetView>
  </sheetViews>
  <sheetFormatPr defaultColWidth="8.90625" defaultRowHeight="13.8" outlineLevelRow="1" x14ac:dyDescent="0.25"/>
  <cols>
    <col min="1" max="1" width="2.1796875" style="45" customWidth="1"/>
    <col min="2" max="2" width="10" style="1" customWidth="1"/>
    <col min="3" max="5" width="3.81640625" style="1" customWidth="1"/>
    <col min="6" max="6" width="3.90625" style="1" bestFit="1" customWidth="1"/>
    <col min="7" max="20" width="3.81640625" style="1" customWidth="1"/>
    <col min="21" max="36" width="4.36328125" style="1" customWidth="1"/>
    <col min="37" max="37" width="5.36328125" style="1" customWidth="1"/>
    <col min="38" max="38" width="4.36328125" style="1" customWidth="1"/>
    <col min="39" max="16384" width="8.90625" style="1"/>
  </cols>
  <sheetData>
    <row r="1" spans="1:38" s="5" customFormat="1" ht="14.25" customHeight="1" x14ac:dyDescent="0.25">
      <c r="A1" s="46"/>
      <c r="B1" s="37"/>
      <c r="C1" s="167">
        <v>1</v>
      </c>
      <c r="D1" s="167"/>
      <c r="E1" s="167">
        <v>2</v>
      </c>
      <c r="F1" s="167"/>
      <c r="G1" s="167">
        <v>3</v>
      </c>
      <c r="H1" s="167"/>
      <c r="I1" s="167">
        <v>4</v>
      </c>
      <c r="J1" s="167"/>
      <c r="K1" s="167">
        <v>5</v>
      </c>
      <c r="L1" s="167"/>
      <c r="M1" s="167">
        <v>6</v>
      </c>
      <c r="N1" s="167"/>
      <c r="O1" s="167">
        <v>7</v>
      </c>
      <c r="P1" s="167"/>
      <c r="Q1" s="167">
        <v>8</v>
      </c>
      <c r="R1" s="167"/>
      <c r="S1" s="167">
        <v>9</v>
      </c>
      <c r="T1" s="167"/>
      <c r="U1" s="167">
        <v>10</v>
      </c>
      <c r="V1" s="167"/>
      <c r="W1" s="167">
        <v>11</v>
      </c>
      <c r="X1" s="167"/>
      <c r="Y1" s="167">
        <v>12</v>
      </c>
      <c r="Z1" s="167"/>
      <c r="AA1" s="167">
        <v>13</v>
      </c>
      <c r="AB1" s="167"/>
      <c r="AC1" s="167">
        <v>14</v>
      </c>
      <c r="AD1" s="167"/>
      <c r="AE1" s="167">
        <v>15</v>
      </c>
      <c r="AF1" s="167"/>
      <c r="AG1" s="167">
        <v>16</v>
      </c>
      <c r="AH1" s="167"/>
      <c r="AI1" s="167">
        <v>17</v>
      </c>
      <c r="AJ1" s="167"/>
      <c r="AK1" s="37"/>
      <c r="AL1" s="37"/>
    </row>
    <row r="2" spans="1:38" ht="13.95" x14ac:dyDescent="0.25">
      <c r="B2" s="38" t="s">
        <v>12</v>
      </c>
      <c r="C2" s="168" t="s">
        <v>105</v>
      </c>
      <c r="D2" s="169"/>
      <c r="E2" s="168" t="s">
        <v>106</v>
      </c>
      <c r="F2" s="169"/>
      <c r="G2" s="168" t="s">
        <v>107</v>
      </c>
      <c r="H2" s="169"/>
      <c r="I2" s="168" t="s">
        <v>108</v>
      </c>
      <c r="J2" s="169"/>
      <c r="K2" s="168" t="s">
        <v>109</v>
      </c>
      <c r="L2" s="169"/>
      <c r="M2" s="168" t="s">
        <v>110</v>
      </c>
      <c r="N2" s="169"/>
      <c r="O2" s="168" t="s">
        <v>111</v>
      </c>
      <c r="P2" s="169"/>
      <c r="Q2" s="168" t="s">
        <v>112</v>
      </c>
      <c r="R2" s="169"/>
      <c r="S2" s="168" t="s">
        <v>113</v>
      </c>
      <c r="T2" s="169"/>
      <c r="U2" s="168" t="s">
        <v>114</v>
      </c>
      <c r="V2" s="169"/>
      <c r="W2" s="168" t="s">
        <v>115</v>
      </c>
      <c r="X2" s="169"/>
      <c r="Y2" s="168" t="s">
        <v>116</v>
      </c>
      <c r="Z2" s="169"/>
      <c r="AA2" s="168" t="s">
        <v>117</v>
      </c>
      <c r="AB2" s="169"/>
      <c r="AC2" s="168" t="s">
        <v>118</v>
      </c>
      <c r="AD2" s="169"/>
      <c r="AE2" s="168" t="s">
        <v>119</v>
      </c>
      <c r="AF2" s="169"/>
      <c r="AG2" s="168" t="s">
        <v>120</v>
      </c>
      <c r="AH2" s="169"/>
      <c r="AI2" s="168" t="s">
        <v>121</v>
      </c>
      <c r="AJ2" s="169"/>
      <c r="AK2" s="39" t="s">
        <v>11</v>
      </c>
      <c r="AL2" s="39" t="s">
        <v>23</v>
      </c>
    </row>
    <row r="3" spans="1:38" ht="23.25" customHeight="1" x14ac:dyDescent="0.25">
      <c r="B3" s="38"/>
      <c r="C3" s="165" t="s">
        <v>127</v>
      </c>
      <c r="D3" s="166"/>
      <c r="E3" s="165" t="s">
        <v>128</v>
      </c>
      <c r="F3" s="165"/>
      <c r="G3" s="165" t="s">
        <v>129</v>
      </c>
      <c r="H3" s="165"/>
      <c r="I3" s="165" t="s">
        <v>130</v>
      </c>
      <c r="J3" s="165"/>
      <c r="K3" s="165" t="s">
        <v>131</v>
      </c>
      <c r="L3" s="165"/>
      <c r="M3" s="170" t="s">
        <v>127</v>
      </c>
      <c r="N3" s="170"/>
      <c r="O3" s="165" t="s">
        <v>128</v>
      </c>
      <c r="P3" s="165"/>
      <c r="Q3" s="165" t="s">
        <v>129</v>
      </c>
      <c r="R3" s="165"/>
      <c r="S3" s="165" t="s">
        <v>130</v>
      </c>
      <c r="T3" s="165"/>
      <c r="U3" s="165" t="s">
        <v>131</v>
      </c>
      <c r="V3" s="165"/>
      <c r="W3" s="170" t="s">
        <v>127</v>
      </c>
      <c r="X3" s="170"/>
      <c r="Y3" s="165" t="s">
        <v>128</v>
      </c>
      <c r="Z3" s="165"/>
      <c r="AA3" s="165" t="s">
        <v>129</v>
      </c>
      <c r="AB3" s="165"/>
      <c r="AC3" s="165" t="s">
        <v>130</v>
      </c>
      <c r="AD3" s="165"/>
      <c r="AE3" s="165" t="s">
        <v>131</v>
      </c>
      <c r="AF3" s="165"/>
      <c r="AG3" s="170" t="s">
        <v>127</v>
      </c>
      <c r="AH3" s="171"/>
      <c r="AI3" s="165" t="s">
        <v>128</v>
      </c>
      <c r="AJ3" s="165"/>
      <c r="AK3" s="39"/>
      <c r="AL3" s="39"/>
    </row>
    <row r="4" spans="1:38" s="44" customFormat="1" ht="38.25" customHeight="1" x14ac:dyDescent="0.2">
      <c r="A4" s="45"/>
      <c r="B4" s="43"/>
      <c r="C4" s="165" t="s">
        <v>134</v>
      </c>
      <c r="D4" s="166"/>
      <c r="E4" s="165" t="s">
        <v>29</v>
      </c>
      <c r="F4" s="166"/>
      <c r="G4" s="165" t="s">
        <v>141</v>
      </c>
      <c r="H4" s="166"/>
      <c r="I4" s="165" t="s">
        <v>162</v>
      </c>
      <c r="J4" s="166"/>
      <c r="K4" s="165" t="s">
        <v>164</v>
      </c>
      <c r="L4" s="166"/>
      <c r="M4" s="165" t="s">
        <v>165</v>
      </c>
      <c r="N4" s="166"/>
      <c r="O4" s="170" t="s">
        <v>168</v>
      </c>
      <c r="P4" s="171"/>
      <c r="Q4" s="170" t="s">
        <v>169</v>
      </c>
      <c r="R4" s="171"/>
      <c r="S4" s="170" t="s">
        <v>172</v>
      </c>
      <c r="T4" s="171"/>
      <c r="U4" s="165" t="s">
        <v>164</v>
      </c>
      <c r="V4" s="165"/>
      <c r="W4" s="165" t="s">
        <v>175</v>
      </c>
      <c r="X4" s="166"/>
      <c r="Y4" s="170" t="s">
        <v>164</v>
      </c>
      <c r="Z4" s="171"/>
      <c r="AA4" s="165" t="s">
        <v>177</v>
      </c>
      <c r="AB4" s="166"/>
      <c r="AC4" s="165" t="s">
        <v>178</v>
      </c>
      <c r="AD4" s="166"/>
      <c r="AE4" s="165" t="s">
        <v>168</v>
      </c>
      <c r="AF4" s="166"/>
      <c r="AG4" s="165" t="s">
        <v>29</v>
      </c>
      <c r="AH4" s="166"/>
      <c r="AI4" s="165" t="s">
        <v>180</v>
      </c>
      <c r="AJ4" s="166"/>
    </row>
    <row r="5" spans="1:38" ht="13.95" x14ac:dyDescent="0.25">
      <c r="A5" s="45">
        <v>1</v>
      </c>
      <c r="B5" s="40" t="s">
        <v>2</v>
      </c>
      <c r="C5" s="48">
        <v>97</v>
      </c>
      <c r="D5" s="146">
        <f>D6+D7</f>
        <v>10.5</v>
      </c>
      <c r="E5" s="48">
        <v>86</v>
      </c>
      <c r="F5" s="146">
        <f>F6+F7</f>
        <v>19</v>
      </c>
      <c r="G5" s="48">
        <v>95</v>
      </c>
      <c r="H5" s="146">
        <f>H6+H7</f>
        <v>16</v>
      </c>
      <c r="I5" s="48">
        <v>95</v>
      </c>
      <c r="J5" s="146">
        <f>J6+J7</f>
        <v>17</v>
      </c>
      <c r="K5" s="48"/>
      <c r="L5" s="58"/>
      <c r="M5" s="48"/>
      <c r="N5" s="58"/>
      <c r="O5" s="48"/>
      <c r="P5" s="58"/>
      <c r="Q5" s="48">
        <v>87</v>
      </c>
      <c r="R5" s="146">
        <f>R6+R7</f>
        <v>22</v>
      </c>
      <c r="S5" s="48">
        <v>91</v>
      </c>
      <c r="T5" s="146">
        <f>T6+T7</f>
        <v>18</v>
      </c>
      <c r="U5" s="48">
        <v>93</v>
      </c>
      <c r="V5" s="146">
        <f>V6+V7</f>
        <v>20</v>
      </c>
      <c r="W5" s="48">
        <v>99</v>
      </c>
      <c r="X5" s="146">
        <f>X6+X7</f>
        <v>10.5</v>
      </c>
      <c r="Y5" s="48"/>
      <c r="Z5" s="58"/>
      <c r="AA5" s="48">
        <v>85</v>
      </c>
      <c r="AB5" s="146">
        <f>AB6+AB7</f>
        <v>17</v>
      </c>
      <c r="AC5" s="48"/>
      <c r="AD5" s="58"/>
      <c r="AE5" s="48"/>
      <c r="AF5" s="58"/>
      <c r="AG5" s="48">
        <v>86</v>
      </c>
      <c r="AH5" s="146">
        <f>AH6+AH7</f>
        <v>23.5</v>
      </c>
      <c r="AI5" s="48"/>
      <c r="AJ5" s="58"/>
      <c r="AK5" s="52">
        <f>D5+F5+H5+J5+L5+N5+X5+Z5+AD5+AF5+AB5+P5+R5+T5+V5+AH5+AJ5</f>
        <v>173.5</v>
      </c>
      <c r="AL5" s="41">
        <f t="shared" ref="AL5:AL40" si="0">AVERAGE(D5,F5,H5,J5,L5,N5,P5,R5,T5,V5,X5,Z5,AB5,AD5,AF5,AH5,AJ5)</f>
        <v>17.350000000000001</v>
      </c>
    </row>
    <row r="6" spans="1:38" ht="13.95" outlineLevel="1" x14ac:dyDescent="0.25">
      <c r="B6" s="63" t="s">
        <v>31</v>
      </c>
      <c r="C6" s="48">
        <v>31</v>
      </c>
      <c r="D6" s="58">
        <v>5</v>
      </c>
      <c r="E6" s="48">
        <v>41</v>
      </c>
      <c r="F6" s="58">
        <v>12</v>
      </c>
      <c r="G6" s="48">
        <v>33</v>
      </c>
      <c r="H6" s="58">
        <v>8.5</v>
      </c>
      <c r="I6" s="48">
        <v>33</v>
      </c>
      <c r="J6" s="58">
        <v>8</v>
      </c>
      <c r="K6" s="48"/>
      <c r="L6" s="58"/>
      <c r="M6" s="48"/>
      <c r="N6" s="58"/>
      <c r="O6" s="48"/>
      <c r="P6" s="58"/>
      <c r="Q6" s="48">
        <v>42</v>
      </c>
      <c r="R6" s="58">
        <v>12</v>
      </c>
      <c r="S6" s="48">
        <v>38</v>
      </c>
      <c r="T6" s="58">
        <v>12</v>
      </c>
      <c r="U6" s="48">
        <v>36</v>
      </c>
      <c r="V6" s="58">
        <v>9</v>
      </c>
      <c r="W6" s="48">
        <v>30</v>
      </c>
      <c r="X6" s="58">
        <v>3.5</v>
      </c>
      <c r="Y6" s="48"/>
      <c r="Z6" s="58"/>
      <c r="AA6" s="48">
        <v>42</v>
      </c>
      <c r="AB6" s="58">
        <v>10</v>
      </c>
      <c r="AC6" s="48"/>
      <c r="AD6" s="58"/>
      <c r="AE6" s="48"/>
      <c r="AF6" s="58"/>
      <c r="AG6" s="48">
        <v>40</v>
      </c>
      <c r="AH6" s="58">
        <v>11.5</v>
      </c>
      <c r="AI6" s="48"/>
      <c r="AJ6" s="58"/>
      <c r="AK6" s="41">
        <f>AVERAGE(C6,E6,G6,I6,K6,M6,O6,Q6,S6,U6,W6,Y6,AA6,AC6,AE6,AG6,AI6)</f>
        <v>36.6</v>
      </c>
      <c r="AL6" s="41">
        <f t="shared" si="0"/>
        <v>9.15</v>
      </c>
    </row>
    <row r="7" spans="1:38" ht="13.95" outlineLevel="1" x14ac:dyDescent="0.25">
      <c r="A7" s="47"/>
      <c r="B7" s="64" t="s">
        <v>5</v>
      </c>
      <c r="C7" s="60">
        <v>-6</v>
      </c>
      <c r="D7" s="61">
        <v>5.5</v>
      </c>
      <c r="E7" s="60">
        <v>8</v>
      </c>
      <c r="F7" s="61">
        <v>7</v>
      </c>
      <c r="G7" s="60">
        <v>4</v>
      </c>
      <c r="H7" s="61">
        <v>7.5</v>
      </c>
      <c r="I7" s="60">
        <v>23</v>
      </c>
      <c r="J7" s="61">
        <v>9</v>
      </c>
      <c r="K7" s="60"/>
      <c r="L7" s="61"/>
      <c r="M7" s="60"/>
      <c r="N7" s="61"/>
      <c r="O7" s="60"/>
      <c r="P7" s="61"/>
      <c r="Q7" s="60">
        <v>18</v>
      </c>
      <c r="R7" s="61">
        <v>10</v>
      </c>
      <c r="S7" s="60">
        <v>2</v>
      </c>
      <c r="T7" s="61">
        <v>6</v>
      </c>
      <c r="U7" s="60">
        <v>20</v>
      </c>
      <c r="V7" s="61">
        <v>11</v>
      </c>
      <c r="W7" s="60">
        <v>0</v>
      </c>
      <c r="X7" s="61">
        <v>7</v>
      </c>
      <c r="Y7" s="60"/>
      <c r="Z7" s="61"/>
      <c r="AA7" s="60">
        <v>13</v>
      </c>
      <c r="AB7" s="61">
        <v>7</v>
      </c>
      <c r="AC7" s="60"/>
      <c r="AD7" s="61"/>
      <c r="AE7" s="60"/>
      <c r="AF7" s="61"/>
      <c r="AG7" s="60">
        <v>22</v>
      </c>
      <c r="AH7" s="61">
        <v>12</v>
      </c>
      <c r="AI7" s="60"/>
      <c r="AJ7" s="61"/>
      <c r="AK7" s="128">
        <f>C7+E7+G7+I7+K7+M7+O7+Q7+S7+U7+W7+Y7+AA7+AC7+AE7+AG7+AI7</f>
        <v>104</v>
      </c>
      <c r="AL7" s="143">
        <f t="shared" si="0"/>
        <v>8.1999999999999993</v>
      </c>
    </row>
    <row r="8" spans="1:38" ht="13.95" x14ac:dyDescent="0.25">
      <c r="A8" s="45">
        <v>2</v>
      </c>
      <c r="B8" s="66" t="s">
        <v>66</v>
      </c>
      <c r="C8" s="48">
        <v>77</v>
      </c>
      <c r="D8" s="146">
        <f>D9+D10</f>
        <v>18</v>
      </c>
      <c r="E8" s="48">
        <v>87</v>
      </c>
      <c r="F8" s="58">
        <f>F9+F10</f>
        <v>9</v>
      </c>
      <c r="G8" s="48">
        <v>79</v>
      </c>
      <c r="H8" s="146">
        <f>H9+H10</f>
        <v>17.5</v>
      </c>
      <c r="I8" s="48"/>
      <c r="J8" s="58"/>
      <c r="K8" s="48">
        <v>74</v>
      </c>
      <c r="L8" s="146">
        <f>L9+L10</f>
        <v>15.5</v>
      </c>
      <c r="M8" s="48"/>
      <c r="N8" s="58"/>
      <c r="O8" s="48"/>
      <c r="P8" s="58"/>
      <c r="Q8" s="48">
        <v>88</v>
      </c>
      <c r="R8" s="146">
        <f>R9+R10</f>
        <v>16</v>
      </c>
      <c r="S8" s="48">
        <v>84</v>
      </c>
      <c r="T8" s="146">
        <f>T9+T10</f>
        <v>22.5</v>
      </c>
      <c r="U8" s="48">
        <v>83</v>
      </c>
      <c r="V8" s="146">
        <f>V9+V10</f>
        <v>16</v>
      </c>
      <c r="W8" s="48">
        <v>78</v>
      </c>
      <c r="X8" s="146">
        <f>X9+X10</f>
        <v>23</v>
      </c>
      <c r="Y8" s="48">
        <v>85</v>
      </c>
      <c r="Z8" s="58">
        <f>Z9+Z10</f>
        <v>8</v>
      </c>
      <c r="AA8" s="48">
        <v>85</v>
      </c>
      <c r="AB8" s="146">
        <f>AB9+AB10</f>
        <v>9</v>
      </c>
      <c r="AC8" s="48"/>
      <c r="AD8" s="58"/>
      <c r="AE8" s="48"/>
      <c r="AF8" s="58"/>
      <c r="AG8" s="48">
        <v>82</v>
      </c>
      <c r="AH8" s="146">
        <f>AH9+AH10</f>
        <v>12.5</v>
      </c>
      <c r="AI8" s="48">
        <v>77</v>
      </c>
      <c r="AJ8" s="146">
        <f>AJ9+AJ10</f>
        <v>20</v>
      </c>
      <c r="AK8" s="52">
        <f>D8+H8+J8+L8+N8+X8+AD8+AF8+AB8+P8+R8+T8+V8+AH8+AJ8</f>
        <v>170</v>
      </c>
      <c r="AL8" s="41">
        <f t="shared" si="0"/>
        <v>15.583333333333334</v>
      </c>
    </row>
    <row r="9" spans="1:38" ht="13.95" outlineLevel="1" collapsed="1" x14ac:dyDescent="0.25">
      <c r="B9" s="63" t="s">
        <v>31</v>
      </c>
      <c r="C9" s="48">
        <v>42</v>
      </c>
      <c r="D9" s="58">
        <v>10</v>
      </c>
      <c r="E9" s="48">
        <v>32</v>
      </c>
      <c r="F9" s="58">
        <v>8</v>
      </c>
      <c r="G9" s="48">
        <v>40</v>
      </c>
      <c r="H9" s="58">
        <v>10</v>
      </c>
      <c r="I9" s="48"/>
      <c r="J9" s="58"/>
      <c r="K9" s="48">
        <v>45</v>
      </c>
      <c r="L9" s="58">
        <v>7.5</v>
      </c>
      <c r="M9" s="48"/>
      <c r="N9" s="58"/>
      <c r="O9" s="48"/>
      <c r="P9" s="58"/>
      <c r="Q9" s="48">
        <v>31</v>
      </c>
      <c r="R9" s="58">
        <v>5</v>
      </c>
      <c r="S9" s="48">
        <v>35</v>
      </c>
      <c r="T9" s="58">
        <v>10.5</v>
      </c>
      <c r="U9" s="48">
        <v>36</v>
      </c>
      <c r="V9" s="58">
        <v>9</v>
      </c>
      <c r="W9" s="48">
        <v>38</v>
      </c>
      <c r="X9" s="58">
        <v>12</v>
      </c>
      <c r="Y9" s="48">
        <v>32</v>
      </c>
      <c r="Z9" s="58">
        <v>3</v>
      </c>
      <c r="AA9" s="48">
        <v>31</v>
      </c>
      <c r="AB9" s="58">
        <v>5</v>
      </c>
      <c r="AC9" s="48"/>
      <c r="AD9" s="58"/>
      <c r="AE9" s="48"/>
      <c r="AF9" s="58"/>
      <c r="AG9" s="48">
        <v>34</v>
      </c>
      <c r="AH9" s="58">
        <v>4.5</v>
      </c>
      <c r="AI9" s="48">
        <v>39</v>
      </c>
      <c r="AJ9" s="58">
        <v>10</v>
      </c>
      <c r="AK9" s="41">
        <f>AVERAGE(C9,E9,G9,I9,K9,M9,O9,Q9,S9,U9,W9,Y9,AA9,AC9,AE9,AG9,AI9)</f>
        <v>36.25</v>
      </c>
      <c r="AL9" s="41">
        <f t="shared" si="0"/>
        <v>7.875</v>
      </c>
    </row>
    <row r="10" spans="1:38" ht="13.95" outlineLevel="1" x14ac:dyDescent="0.25">
      <c r="A10" s="47"/>
      <c r="B10" s="64" t="s">
        <v>5</v>
      </c>
      <c r="C10" s="60">
        <v>9</v>
      </c>
      <c r="D10" s="61">
        <v>8</v>
      </c>
      <c r="E10" s="60">
        <v>-48</v>
      </c>
      <c r="F10" s="61">
        <v>1</v>
      </c>
      <c r="G10" s="60">
        <v>4</v>
      </c>
      <c r="H10" s="61">
        <v>7.5</v>
      </c>
      <c r="I10" s="60"/>
      <c r="J10" s="61"/>
      <c r="K10" s="60">
        <v>45</v>
      </c>
      <c r="L10" s="61">
        <v>8</v>
      </c>
      <c r="M10" s="60"/>
      <c r="N10" s="61"/>
      <c r="O10" s="60"/>
      <c r="P10" s="61"/>
      <c r="Q10" s="60">
        <v>22</v>
      </c>
      <c r="R10" s="61">
        <v>11</v>
      </c>
      <c r="S10" s="60">
        <v>23</v>
      </c>
      <c r="T10" s="61">
        <v>12</v>
      </c>
      <c r="U10" s="60">
        <v>4</v>
      </c>
      <c r="V10" s="61">
        <v>7</v>
      </c>
      <c r="W10" s="60">
        <v>19</v>
      </c>
      <c r="X10" s="61">
        <v>11</v>
      </c>
      <c r="Y10" s="60">
        <v>-13</v>
      </c>
      <c r="Z10" s="61">
        <v>5</v>
      </c>
      <c r="AA10" s="60">
        <v>-28</v>
      </c>
      <c r="AB10" s="61">
        <v>4</v>
      </c>
      <c r="AC10" s="60"/>
      <c r="AD10" s="61"/>
      <c r="AE10" s="60"/>
      <c r="AF10" s="61"/>
      <c r="AG10" s="60">
        <v>-1</v>
      </c>
      <c r="AH10" s="61">
        <v>8</v>
      </c>
      <c r="AI10" s="60">
        <v>35</v>
      </c>
      <c r="AJ10" s="61">
        <v>10</v>
      </c>
      <c r="AK10" s="128">
        <f>C10+E10+G10+I10+K10+M10+O10+Q10+S10+U10+W10+Y10+AA10+AC10+AE10+AG10+AI10</f>
        <v>71</v>
      </c>
      <c r="AL10" s="143">
        <f t="shared" si="0"/>
        <v>7.708333333333333</v>
      </c>
    </row>
    <row r="11" spans="1:38" ht="13.95" x14ac:dyDescent="0.25">
      <c r="A11" s="45">
        <v>3</v>
      </c>
      <c r="B11" s="40" t="s">
        <v>34</v>
      </c>
      <c r="C11" s="48">
        <v>83</v>
      </c>
      <c r="D11" s="146">
        <f>D12+D13</f>
        <v>15</v>
      </c>
      <c r="E11" s="48">
        <v>80</v>
      </c>
      <c r="F11" s="58">
        <f>F12+F13</f>
        <v>12.5</v>
      </c>
      <c r="G11" s="48"/>
      <c r="H11" s="58"/>
      <c r="I11" s="48">
        <v>79</v>
      </c>
      <c r="J11" s="146">
        <f>J12+J13</f>
        <v>16</v>
      </c>
      <c r="K11" s="48"/>
      <c r="L11" s="58"/>
      <c r="M11" s="48">
        <v>87</v>
      </c>
      <c r="N11" s="146">
        <f>N12+N13</f>
        <v>12.5</v>
      </c>
      <c r="O11" s="48">
        <v>76</v>
      </c>
      <c r="P11" s="146">
        <f>P12+P13</f>
        <v>20</v>
      </c>
      <c r="Q11" s="48">
        <v>80</v>
      </c>
      <c r="R11" s="146">
        <f>R12+R13</f>
        <v>19</v>
      </c>
      <c r="S11" s="48"/>
      <c r="T11" s="58"/>
      <c r="U11" s="48">
        <v>80</v>
      </c>
      <c r="V11" s="58">
        <f>V12+V13</f>
        <v>10.5</v>
      </c>
      <c r="W11" s="48">
        <v>82</v>
      </c>
      <c r="X11" s="146">
        <f>X12+X13</f>
        <v>13</v>
      </c>
      <c r="Y11" s="48">
        <v>72</v>
      </c>
      <c r="Z11" s="146">
        <f>Z12+Z13</f>
        <v>18</v>
      </c>
      <c r="AA11" s="48">
        <v>80</v>
      </c>
      <c r="AB11" s="146">
        <f>AB12+AB13</f>
        <v>15.5</v>
      </c>
      <c r="AC11" s="48">
        <v>74</v>
      </c>
      <c r="AD11" s="146">
        <f>AD12+AD13</f>
        <v>16</v>
      </c>
      <c r="AE11" s="48"/>
      <c r="AF11" s="58"/>
      <c r="AG11" s="48">
        <v>77</v>
      </c>
      <c r="AH11" s="146">
        <f>AH12+AH13</f>
        <v>20</v>
      </c>
      <c r="AI11" s="48">
        <v>82</v>
      </c>
      <c r="AJ11" s="58">
        <f>AJ12+AJ13</f>
        <v>7.5</v>
      </c>
      <c r="AK11" s="52">
        <f>D11+H11+J11+L11+N11+X11+Z11+AD11+AF11+AB11+P11+R11+T11+AH11</f>
        <v>165</v>
      </c>
      <c r="AL11" s="41">
        <f t="shared" si="0"/>
        <v>15.038461538461538</v>
      </c>
    </row>
    <row r="12" spans="1:38" ht="13.95" outlineLevel="1" x14ac:dyDescent="0.25">
      <c r="B12" s="63" t="s">
        <v>31</v>
      </c>
      <c r="C12" s="48">
        <v>32</v>
      </c>
      <c r="D12" s="58">
        <v>6</v>
      </c>
      <c r="E12" s="48">
        <v>35</v>
      </c>
      <c r="F12" s="58">
        <v>10.5</v>
      </c>
      <c r="G12" s="48"/>
      <c r="H12" s="58"/>
      <c r="I12" s="48">
        <v>36</v>
      </c>
      <c r="J12" s="58">
        <v>9</v>
      </c>
      <c r="K12" s="48"/>
      <c r="L12" s="58"/>
      <c r="M12" s="48">
        <v>28</v>
      </c>
      <c r="N12" s="58">
        <v>6</v>
      </c>
      <c r="O12" s="48">
        <v>40</v>
      </c>
      <c r="P12" s="58">
        <v>10</v>
      </c>
      <c r="Q12" s="48">
        <v>36</v>
      </c>
      <c r="R12" s="58">
        <v>11</v>
      </c>
      <c r="S12" s="48"/>
      <c r="T12" s="58"/>
      <c r="U12" s="48">
        <v>35</v>
      </c>
      <c r="V12" s="58">
        <v>6</v>
      </c>
      <c r="W12" s="48">
        <v>33</v>
      </c>
      <c r="X12" s="58">
        <v>9</v>
      </c>
      <c r="Y12" s="48">
        <v>43</v>
      </c>
      <c r="Z12" s="58">
        <v>10</v>
      </c>
      <c r="AA12" s="48">
        <v>34</v>
      </c>
      <c r="AB12" s="58">
        <v>7.5</v>
      </c>
      <c r="AC12" s="48">
        <v>40</v>
      </c>
      <c r="AD12" s="58">
        <v>8</v>
      </c>
      <c r="AE12" s="48"/>
      <c r="AF12" s="58"/>
      <c r="AG12" s="48">
        <v>36</v>
      </c>
      <c r="AH12" s="58">
        <v>9</v>
      </c>
      <c r="AI12" s="48">
        <v>31</v>
      </c>
      <c r="AJ12" s="58">
        <v>4.5</v>
      </c>
      <c r="AK12" s="41">
        <f>AVERAGE(C12,E12,G12,I12,K12,M12,O12,Q12,S12,U12,W12,Y12,AA12,AC12,AE12,AG12,AI12)</f>
        <v>35.307692307692307</v>
      </c>
      <c r="AL12" s="41">
        <f t="shared" si="0"/>
        <v>8.1923076923076916</v>
      </c>
    </row>
    <row r="13" spans="1:38" ht="13.95" outlineLevel="1" collapsed="1" x14ac:dyDescent="0.25">
      <c r="A13" s="47"/>
      <c r="B13" s="64" t="s">
        <v>5</v>
      </c>
      <c r="C13" s="60">
        <v>11</v>
      </c>
      <c r="D13" s="61">
        <v>9</v>
      </c>
      <c r="E13" s="60">
        <v>-34</v>
      </c>
      <c r="F13" s="61">
        <v>2</v>
      </c>
      <c r="G13" s="60"/>
      <c r="H13" s="61"/>
      <c r="I13" s="60">
        <v>11</v>
      </c>
      <c r="J13" s="61">
        <v>7</v>
      </c>
      <c r="K13" s="60"/>
      <c r="L13" s="61"/>
      <c r="M13" s="60">
        <v>0</v>
      </c>
      <c r="N13" s="61">
        <v>6.5</v>
      </c>
      <c r="O13" s="60">
        <v>47</v>
      </c>
      <c r="P13" s="61">
        <v>10</v>
      </c>
      <c r="Q13" s="60">
        <v>4</v>
      </c>
      <c r="R13" s="61">
        <v>8</v>
      </c>
      <c r="S13" s="60"/>
      <c r="T13" s="61"/>
      <c r="U13" s="60">
        <v>1</v>
      </c>
      <c r="V13" s="61">
        <v>4.5</v>
      </c>
      <c r="W13" s="60">
        <v>-10</v>
      </c>
      <c r="X13" s="61">
        <v>4</v>
      </c>
      <c r="Y13" s="60">
        <v>13</v>
      </c>
      <c r="Z13" s="61">
        <v>8</v>
      </c>
      <c r="AA13" s="60">
        <v>21</v>
      </c>
      <c r="AB13" s="61">
        <v>8</v>
      </c>
      <c r="AC13" s="60">
        <v>20</v>
      </c>
      <c r="AD13" s="61">
        <v>8</v>
      </c>
      <c r="AE13" s="60"/>
      <c r="AF13" s="61"/>
      <c r="AG13" s="60">
        <v>19</v>
      </c>
      <c r="AH13" s="61">
        <v>11</v>
      </c>
      <c r="AI13" s="60">
        <v>-53</v>
      </c>
      <c r="AJ13" s="61">
        <v>3</v>
      </c>
      <c r="AK13" s="128">
        <f>C13+E13+G13+I13+K13+M13+O13+Q13+S13+U13+W13+Y13+AA13+AC13+AE13+AG13+AI13</f>
        <v>50</v>
      </c>
      <c r="AL13" s="143">
        <f t="shared" si="0"/>
        <v>6.8461538461538458</v>
      </c>
    </row>
    <row r="14" spans="1:38" ht="13.95" x14ac:dyDescent="0.25">
      <c r="A14" s="45">
        <v>4</v>
      </c>
      <c r="B14" s="40" t="s">
        <v>30</v>
      </c>
      <c r="C14" s="48">
        <v>93</v>
      </c>
      <c r="D14" s="146">
        <f>D15+D16</f>
        <v>18</v>
      </c>
      <c r="E14" s="48">
        <v>95</v>
      </c>
      <c r="F14" s="146">
        <f>F15+F16</f>
        <v>20</v>
      </c>
      <c r="G14" s="48">
        <v>93</v>
      </c>
      <c r="H14" s="146">
        <f>H15+H16</f>
        <v>13.5</v>
      </c>
      <c r="I14" s="48">
        <v>97</v>
      </c>
      <c r="J14" s="58">
        <f>J15+J16</f>
        <v>11</v>
      </c>
      <c r="K14" s="48">
        <v>80</v>
      </c>
      <c r="L14" s="146">
        <f>L15+L16</f>
        <v>14.5</v>
      </c>
      <c r="M14" s="48"/>
      <c r="N14" s="58"/>
      <c r="O14" s="48">
        <v>87</v>
      </c>
      <c r="P14" s="146">
        <f>P15+P16</f>
        <v>14</v>
      </c>
      <c r="Q14" s="48"/>
      <c r="R14" s="58"/>
      <c r="S14" s="48">
        <v>88</v>
      </c>
      <c r="T14" s="146">
        <f>T15+T16</f>
        <v>15.5</v>
      </c>
      <c r="U14" s="48">
        <v>82</v>
      </c>
      <c r="V14" s="146">
        <f>V15+V16</f>
        <v>24</v>
      </c>
      <c r="W14" s="48"/>
      <c r="X14" s="58"/>
      <c r="Y14" s="48">
        <v>86</v>
      </c>
      <c r="Z14" s="146">
        <f>Z15+Z16</f>
        <v>17.5</v>
      </c>
      <c r="AA14" s="48">
        <v>85</v>
      </c>
      <c r="AB14" s="58">
        <f>AB15+AB16</f>
        <v>10.5</v>
      </c>
      <c r="AC14" s="48"/>
      <c r="AD14" s="58"/>
      <c r="AE14" s="48"/>
      <c r="AF14" s="58"/>
      <c r="AG14" s="48">
        <v>84</v>
      </c>
      <c r="AH14" s="146">
        <f>AH15+AH16</f>
        <v>13.5</v>
      </c>
      <c r="AI14" s="48">
        <v>87</v>
      </c>
      <c r="AJ14" s="146">
        <f>AJ15+AJ16</f>
        <v>14.5</v>
      </c>
      <c r="AK14" s="52">
        <f>D14+F14+H14+L14+N14+X14+Z14+AD14+AF14+P14+R14+T14+V14+AH14+AJ14</f>
        <v>165</v>
      </c>
      <c r="AL14" s="41">
        <f t="shared" si="0"/>
        <v>15.541666666666666</v>
      </c>
    </row>
    <row r="15" spans="1:38" ht="13.95" outlineLevel="1" x14ac:dyDescent="0.25">
      <c r="B15" s="63" t="s">
        <v>31</v>
      </c>
      <c r="C15" s="48">
        <v>34</v>
      </c>
      <c r="D15" s="58">
        <v>8</v>
      </c>
      <c r="E15" s="48">
        <v>33</v>
      </c>
      <c r="F15" s="58">
        <v>9</v>
      </c>
      <c r="G15" s="48">
        <v>33</v>
      </c>
      <c r="H15" s="58">
        <v>8.5</v>
      </c>
      <c r="I15" s="48">
        <v>29</v>
      </c>
      <c r="J15" s="58">
        <v>6</v>
      </c>
      <c r="K15" s="48">
        <v>45</v>
      </c>
      <c r="L15" s="58">
        <v>7.5</v>
      </c>
      <c r="M15" s="48"/>
      <c r="N15" s="58"/>
      <c r="O15" s="48">
        <v>34</v>
      </c>
      <c r="P15" s="58">
        <v>6</v>
      </c>
      <c r="Q15" s="48"/>
      <c r="R15" s="58"/>
      <c r="S15" s="48">
        <v>35</v>
      </c>
      <c r="T15" s="58">
        <v>10.5</v>
      </c>
      <c r="U15" s="48">
        <v>41</v>
      </c>
      <c r="V15" s="58">
        <v>12</v>
      </c>
      <c r="W15" s="48"/>
      <c r="X15" s="58"/>
      <c r="Y15" s="48">
        <v>36</v>
      </c>
      <c r="Z15" s="58">
        <v>8</v>
      </c>
      <c r="AA15" s="48">
        <v>34</v>
      </c>
      <c r="AB15" s="58">
        <v>7.5</v>
      </c>
      <c r="AC15" s="48"/>
      <c r="AD15" s="58"/>
      <c r="AE15" s="48"/>
      <c r="AF15" s="58"/>
      <c r="AG15" s="48">
        <v>35</v>
      </c>
      <c r="AH15" s="58">
        <v>6.5</v>
      </c>
      <c r="AI15" s="48">
        <v>32</v>
      </c>
      <c r="AJ15" s="58">
        <v>6.5</v>
      </c>
      <c r="AK15" s="41">
        <f>AVERAGE(C15,E15,G15,I15,K15,M15,O15,Q15,S15,U15,W15,Y15,AA15,AC15,AE15,AG15,AI15)</f>
        <v>35.083333333333336</v>
      </c>
      <c r="AL15" s="41">
        <f t="shared" si="0"/>
        <v>8</v>
      </c>
    </row>
    <row r="16" spans="1:38" ht="13.95" outlineLevel="1" x14ac:dyDescent="0.25">
      <c r="A16" s="47"/>
      <c r="B16" s="64" t="s">
        <v>5</v>
      </c>
      <c r="C16" s="60">
        <v>12</v>
      </c>
      <c r="D16" s="61">
        <v>10</v>
      </c>
      <c r="E16" s="60">
        <v>24</v>
      </c>
      <c r="F16" s="61">
        <v>11</v>
      </c>
      <c r="G16" s="60">
        <v>-10</v>
      </c>
      <c r="H16" s="61">
        <v>5</v>
      </c>
      <c r="I16" s="60">
        <v>-1</v>
      </c>
      <c r="J16" s="61">
        <v>5</v>
      </c>
      <c r="K16" s="60">
        <v>25</v>
      </c>
      <c r="L16" s="61">
        <v>7</v>
      </c>
      <c r="M16" s="60"/>
      <c r="N16" s="61"/>
      <c r="O16" s="60">
        <v>9</v>
      </c>
      <c r="P16" s="61">
        <v>8</v>
      </c>
      <c r="Q16" s="60"/>
      <c r="R16" s="61"/>
      <c r="S16" s="60">
        <v>0</v>
      </c>
      <c r="T16" s="61">
        <v>5</v>
      </c>
      <c r="U16" s="60">
        <v>23</v>
      </c>
      <c r="V16" s="61">
        <v>12</v>
      </c>
      <c r="W16" s="60"/>
      <c r="X16" s="61"/>
      <c r="Y16" s="60">
        <v>27</v>
      </c>
      <c r="Z16" s="61">
        <v>9.5</v>
      </c>
      <c r="AA16" s="60">
        <v>-53</v>
      </c>
      <c r="AB16" s="61">
        <v>3</v>
      </c>
      <c r="AC16" s="60"/>
      <c r="AD16" s="61"/>
      <c r="AE16" s="60"/>
      <c r="AF16" s="61"/>
      <c r="AG16" s="60">
        <v>-4</v>
      </c>
      <c r="AH16" s="61">
        <v>7</v>
      </c>
      <c r="AI16" s="60">
        <v>11</v>
      </c>
      <c r="AJ16" s="61">
        <v>8</v>
      </c>
      <c r="AK16" s="128">
        <f>C16+E16+G16+I16+K16+M16+O16+Q16+S16+U16+W16+Y16+AA16+AC16+AE16+AG16+AI16</f>
        <v>63</v>
      </c>
      <c r="AL16" s="143">
        <f t="shared" si="0"/>
        <v>7.541666666666667</v>
      </c>
    </row>
    <row r="17" spans="1:38" ht="13.95" x14ac:dyDescent="0.25">
      <c r="A17" s="45">
        <v>5</v>
      </c>
      <c r="B17" s="40" t="s">
        <v>3</v>
      </c>
      <c r="C17" s="48">
        <v>75</v>
      </c>
      <c r="D17" s="146">
        <f>D18+D19</f>
        <v>12</v>
      </c>
      <c r="E17" s="48"/>
      <c r="F17" s="58"/>
      <c r="G17" s="48">
        <v>81</v>
      </c>
      <c r="H17" s="58">
        <f>H18+H19</f>
        <v>10</v>
      </c>
      <c r="I17" s="48"/>
      <c r="J17" s="58"/>
      <c r="K17" s="48">
        <v>79</v>
      </c>
      <c r="L17" s="146">
        <f>L18+L19</f>
        <v>12</v>
      </c>
      <c r="M17" s="48"/>
      <c r="N17" s="58"/>
      <c r="O17" s="48">
        <v>77</v>
      </c>
      <c r="P17" s="146">
        <f>P18+P19</f>
        <v>15</v>
      </c>
      <c r="Q17" s="48">
        <v>78</v>
      </c>
      <c r="R17" s="146">
        <f>R18+R19</f>
        <v>22</v>
      </c>
      <c r="S17" s="48">
        <v>82</v>
      </c>
      <c r="T17" s="146">
        <f>T18+T19</f>
        <v>14.5</v>
      </c>
      <c r="U17" s="48">
        <v>76</v>
      </c>
      <c r="V17" s="146">
        <f>V18+V19</f>
        <v>15.5</v>
      </c>
      <c r="W17" s="48">
        <v>78</v>
      </c>
      <c r="X17" s="146">
        <f>X18+X19</f>
        <v>20</v>
      </c>
      <c r="Y17" s="48">
        <v>72</v>
      </c>
      <c r="Z17" s="146">
        <f>Z18+Z19</f>
        <v>12</v>
      </c>
      <c r="AA17" s="48">
        <v>71</v>
      </c>
      <c r="AB17" s="146">
        <f>AB18+AB19</f>
        <v>18</v>
      </c>
      <c r="AC17" s="48"/>
      <c r="AD17" s="58"/>
      <c r="AE17" s="48">
        <v>75</v>
      </c>
      <c r="AF17" s="146">
        <f>AF18+AF19</f>
        <v>13</v>
      </c>
      <c r="AG17" s="48">
        <v>81</v>
      </c>
      <c r="AH17" s="58">
        <f>AH18+AH19</f>
        <v>4.5</v>
      </c>
      <c r="AI17" s="48"/>
      <c r="AJ17" s="58"/>
      <c r="AK17" s="52">
        <f>D17+F17+J17+L17+N17+X17+Z17+AD17+AF17+AB17+P17+R17+T17+V17+AJ17</f>
        <v>154</v>
      </c>
      <c r="AL17" s="41">
        <f t="shared" si="0"/>
        <v>14.041666666666666</v>
      </c>
    </row>
    <row r="18" spans="1:38" ht="13.95" outlineLevel="1" x14ac:dyDescent="0.25">
      <c r="B18" s="63" t="s">
        <v>31</v>
      </c>
      <c r="C18" s="48">
        <v>38</v>
      </c>
      <c r="D18" s="58">
        <v>9</v>
      </c>
      <c r="E18" s="48"/>
      <c r="F18" s="58"/>
      <c r="G18" s="48">
        <v>32</v>
      </c>
      <c r="H18" s="58">
        <v>6.5</v>
      </c>
      <c r="I18" s="48"/>
      <c r="J18" s="58"/>
      <c r="K18" s="48">
        <v>34</v>
      </c>
      <c r="L18" s="58">
        <v>6</v>
      </c>
      <c r="M18" s="48"/>
      <c r="N18" s="58"/>
      <c r="O18" s="48">
        <v>36</v>
      </c>
      <c r="P18" s="58">
        <v>8</v>
      </c>
      <c r="Q18" s="48">
        <v>35</v>
      </c>
      <c r="R18" s="58">
        <v>10</v>
      </c>
      <c r="S18" s="48">
        <v>31</v>
      </c>
      <c r="T18" s="58">
        <v>5</v>
      </c>
      <c r="U18" s="48">
        <v>37</v>
      </c>
      <c r="V18" s="58">
        <v>11</v>
      </c>
      <c r="W18" s="48">
        <v>35</v>
      </c>
      <c r="X18" s="58">
        <v>11</v>
      </c>
      <c r="Y18" s="48">
        <v>41</v>
      </c>
      <c r="Z18" s="58">
        <v>9</v>
      </c>
      <c r="AA18" s="48">
        <v>41</v>
      </c>
      <c r="AB18" s="58">
        <v>9</v>
      </c>
      <c r="AC18" s="48"/>
      <c r="AD18" s="58"/>
      <c r="AE18" s="48">
        <v>36</v>
      </c>
      <c r="AF18" s="58">
        <v>7</v>
      </c>
      <c r="AG18" s="48">
        <v>30</v>
      </c>
      <c r="AH18" s="58">
        <v>2.5</v>
      </c>
      <c r="AI18" s="48"/>
      <c r="AJ18" s="58"/>
      <c r="AK18" s="41">
        <f>AVERAGE(C18,E18,G18,I18,K18,M18,O18,Q18,S18,U18,W18,Y18,AA18,AC18,AE18,AG18,AI18)</f>
        <v>35.5</v>
      </c>
      <c r="AL18" s="41">
        <f t="shared" si="0"/>
        <v>7.833333333333333</v>
      </c>
    </row>
    <row r="19" spans="1:38" ht="13.95" outlineLevel="1" x14ac:dyDescent="0.25">
      <c r="A19" s="47"/>
      <c r="B19" s="64" t="s">
        <v>5</v>
      </c>
      <c r="C19" s="60">
        <v>-13</v>
      </c>
      <c r="D19" s="61">
        <v>3</v>
      </c>
      <c r="E19" s="60"/>
      <c r="F19" s="61"/>
      <c r="G19" s="60">
        <v>-22</v>
      </c>
      <c r="H19" s="61">
        <v>3.5</v>
      </c>
      <c r="I19" s="60"/>
      <c r="J19" s="61"/>
      <c r="K19" s="60">
        <v>17</v>
      </c>
      <c r="L19" s="61">
        <v>6</v>
      </c>
      <c r="M19" s="60"/>
      <c r="N19" s="61"/>
      <c r="O19" s="60">
        <v>3</v>
      </c>
      <c r="P19" s="61">
        <v>7</v>
      </c>
      <c r="Q19" s="60">
        <v>25</v>
      </c>
      <c r="R19" s="61">
        <v>12</v>
      </c>
      <c r="S19" s="60">
        <v>10</v>
      </c>
      <c r="T19" s="61">
        <v>9.5</v>
      </c>
      <c r="U19" s="60">
        <v>1</v>
      </c>
      <c r="V19" s="61">
        <v>4.5</v>
      </c>
      <c r="W19" s="60">
        <v>6</v>
      </c>
      <c r="X19" s="61">
        <v>9</v>
      </c>
      <c r="Y19" s="60">
        <v>-39</v>
      </c>
      <c r="Z19" s="61">
        <v>3</v>
      </c>
      <c r="AA19" s="60">
        <v>23</v>
      </c>
      <c r="AB19" s="61">
        <v>9</v>
      </c>
      <c r="AC19" s="60"/>
      <c r="AD19" s="61"/>
      <c r="AE19" s="60">
        <v>-8</v>
      </c>
      <c r="AF19" s="61">
        <v>6</v>
      </c>
      <c r="AG19" s="60">
        <v>-11</v>
      </c>
      <c r="AH19" s="61">
        <v>2</v>
      </c>
      <c r="AI19" s="60"/>
      <c r="AJ19" s="61"/>
      <c r="AK19" s="128">
        <f>C19+E19+G19+I19+K19+M19+O19+Q19+S19+U19+W19+Y19+AA19+AC19+AE19+AG19+AI19</f>
        <v>-8</v>
      </c>
      <c r="AL19" s="143">
        <f t="shared" si="0"/>
        <v>6.208333333333333</v>
      </c>
    </row>
    <row r="20" spans="1:38" ht="13.95" x14ac:dyDescent="0.25">
      <c r="A20" s="45">
        <v>6</v>
      </c>
      <c r="B20" s="66" t="s">
        <v>46</v>
      </c>
      <c r="C20" s="48">
        <v>89</v>
      </c>
      <c r="D20" s="58">
        <f>D21+D22</f>
        <v>9.5</v>
      </c>
      <c r="E20" s="48">
        <v>100</v>
      </c>
      <c r="F20" s="58">
        <f>F21+F22</f>
        <v>9</v>
      </c>
      <c r="G20" s="48"/>
      <c r="H20" s="58"/>
      <c r="I20" s="48">
        <v>88</v>
      </c>
      <c r="J20" s="146">
        <f>J21+J22</f>
        <v>13</v>
      </c>
      <c r="K20" s="48"/>
      <c r="L20" s="58"/>
      <c r="M20" s="48">
        <v>87</v>
      </c>
      <c r="N20" s="146">
        <f>N21+N22</f>
        <v>12</v>
      </c>
      <c r="O20" s="48">
        <v>80</v>
      </c>
      <c r="P20" s="146">
        <f>P21+P22</f>
        <v>18</v>
      </c>
      <c r="Q20" s="48">
        <v>86</v>
      </c>
      <c r="R20" s="58">
        <f>R21+R22</f>
        <v>7</v>
      </c>
      <c r="S20" s="48">
        <v>85</v>
      </c>
      <c r="T20" s="146">
        <f>T21+T22</f>
        <v>17.5</v>
      </c>
      <c r="U20" s="48">
        <v>82</v>
      </c>
      <c r="V20" s="146">
        <f>V21+V22</f>
        <v>18</v>
      </c>
      <c r="W20" s="48">
        <v>89</v>
      </c>
      <c r="X20" s="58">
        <f>X21+X22</f>
        <v>8.5</v>
      </c>
      <c r="Y20" s="48">
        <v>84</v>
      </c>
      <c r="Z20" s="146">
        <f>Z21+Z22</f>
        <v>10.5</v>
      </c>
      <c r="AA20" s="48"/>
      <c r="AB20" s="58"/>
      <c r="AC20" s="48">
        <v>82</v>
      </c>
      <c r="AD20" s="146">
        <f>AD21+AD22</f>
        <v>13</v>
      </c>
      <c r="AE20" s="48">
        <v>80</v>
      </c>
      <c r="AF20" s="146">
        <f>AF21+AF22</f>
        <v>16</v>
      </c>
      <c r="AG20" s="48">
        <v>85</v>
      </c>
      <c r="AH20" s="146">
        <f>AH21+AH22</f>
        <v>18</v>
      </c>
      <c r="AI20" s="48">
        <v>82</v>
      </c>
      <c r="AJ20" s="146">
        <f>AJ21+AJ22</f>
        <v>14</v>
      </c>
      <c r="AK20" s="52">
        <f>H20+J20+L20+N20+Z20+AD20+AF20+AB20+P20+T20+V20+AH20+AJ20</f>
        <v>150</v>
      </c>
      <c r="AL20" s="41">
        <f t="shared" si="0"/>
        <v>13.142857142857142</v>
      </c>
    </row>
    <row r="21" spans="1:38" ht="13.95" outlineLevel="1" collapsed="1" x14ac:dyDescent="0.25">
      <c r="B21" s="63" t="s">
        <v>31</v>
      </c>
      <c r="C21" s="48">
        <v>30</v>
      </c>
      <c r="D21" s="58">
        <v>4</v>
      </c>
      <c r="E21" s="48">
        <v>18</v>
      </c>
      <c r="F21" s="58">
        <v>1</v>
      </c>
      <c r="G21" s="48"/>
      <c r="H21" s="58"/>
      <c r="I21" s="48">
        <v>30</v>
      </c>
      <c r="J21" s="58">
        <v>7</v>
      </c>
      <c r="K21" s="48"/>
      <c r="L21" s="58"/>
      <c r="M21" s="48">
        <v>30</v>
      </c>
      <c r="N21" s="58">
        <v>7</v>
      </c>
      <c r="O21" s="48">
        <v>38</v>
      </c>
      <c r="P21" s="58">
        <v>9</v>
      </c>
      <c r="Q21" s="48">
        <v>32</v>
      </c>
      <c r="R21" s="58">
        <v>6</v>
      </c>
      <c r="S21" s="48">
        <v>33</v>
      </c>
      <c r="T21" s="58">
        <v>6.5</v>
      </c>
      <c r="U21" s="48">
        <v>36</v>
      </c>
      <c r="V21" s="58">
        <v>9</v>
      </c>
      <c r="W21" s="48">
        <v>30</v>
      </c>
      <c r="X21" s="58">
        <v>3.5</v>
      </c>
      <c r="Y21" s="48">
        <v>34</v>
      </c>
      <c r="Z21" s="58">
        <v>6.5</v>
      </c>
      <c r="AA21" s="48"/>
      <c r="AB21" s="58"/>
      <c r="AC21" s="48">
        <v>37</v>
      </c>
      <c r="AD21" s="58">
        <v>7</v>
      </c>
      <c r="AE21" s="48">
        <v>40</v>
      </c>
      <c r="AF21" s="58">
        <v>8</v>
      </c>
      <c r="AG21" s="48">
        <v>36</v>
      </c>
      <c r="AH21" s="58">
        <v>9</v>
      </c>
      <c r="AI21" s="48">
        <v>38</v>
      </c>
      <c r="AJ21" s="58">
        <v>9</v>
      </c>
      <c r="AK21" s="41">
        <f>AVERAGE(C21,E21,G21,I21,K21,M21,O21,Q21,S21,U21,W21,Y21,AA21,AC21,AE21,AG21,AI21)</f>
        <v>33</v>
      </c>
      <c r="AL21" s="41">
        <f t="shared" si="0"/>
        <v>6.6071428571428568</v>
      </c>
    </row>
    <row r="22" spans="1:38" ht="13.95" outlineLevel="1" x14ac:dyDescent="0.25">
      <c r="A22" s="47"/>
      <c r="B22" s="64" t="s">
        <v>5</v>
      </c>
      <c r="C22" s="60">
        <v>-6</v>
      </c>
      <c r="D22" s="61">
        <v>5.5</v>
      </c>
      <c r="E22" s="60">
        <v>11</v>
      </c>
      <c r="F22" s="61">
        <v>8</v>
      </c>
      <c r="G22" s="60"/>
      <c r="H22" s="61"/>
      <c r="I22" s="60">
        <v>5</v>
      </c>
      <c r="J22" s="61">
        <v>6</v>
      </c>
      <c r="K22" s="60"/>
      <c r="L22" s="61"/>
      <c r="M22" s="60">
        <v>-4</v>
      </c>
      <c r="N22" s="61">
        <v>5</v>
      </c>
      <c r="O22" s="60">
        <v>11</v>
      </c>
      <c r="P22" s="61">
        <v>9</v>
      </c>
      <c r="Q22" s="60">
        <v>-24</v>
      </c>
      <c r="R22" s="61">
        <v>1</v>
      </c>
      <c r="S22" s="60">
        <v>18</v>
      </c>
      <c r="T22" s="61">
        <v>11</v>
      </c>
      <c r="U22" s="60">
        <v>7</v>
      </c>
      <c r="V22" s="61">
        <v>9</v>
      </c>
      <c r="W22" s="60">
        <v>-7</v>
      </c>
      <c r="X22" s="61">
        <v>5</v>
      </c>
      <c r="Y22" s="60">
        <v>-15</v>
      </c>
      <c r="Z22" s="61">
        <v>4</v>
      </c>
      <c r="AA22" s="60"/>
      <c r="AB22" s="61"/>
      <c r="AC22" s="60">
        <v>-4</v>
      </c>
      <c r="AD22" s="61">
        <v>6</v>
      </c>
      <c r="AE22" s="60">
        <v>20</v>
      </c>
      <c r="AF22" s="61">
        <v>8</v>
      </c>
      <c r="AG22" s="60">
        <v>8</v>
      </c>
      <c r="AH22" s="61">
        <v>9</v>
      </c>
      <c r="AI22" s="60">
        <v>1</v>
      </c>
      <c r="AJ22" s="61">
        <v>5</v>
      </c>
      <c r="AK22" s="128">
        <f>C22+E22+G22+I22+K22+M22+O22+Q22+S22+U22+W22+Y22+AA22+AC22+AE22+AG22+AI22</f>
        <v>21</v>
      </c>
      <c r="AL22" s="143">
        <f t="shared" si="0"/>
        <v>6.5357142857142856</v>
      </c>
    </row>
    <row r="23" spans="1:38" ht="13.95" x14ac:dyDescent="0.25">
      <c r="A23" s="45">
        <v>7</v>
      </c>
      <c r="B23" s="40" t="s">
        <v>79</v>
      </c>
      <c r="C23" s="48">
        <v>105</v>
      </c>
      <c r="D23" s="146">
        <f>D24+D25</f>
        <v>10</v>
      </c>
      <c r="E23" s="48">
        <v>98</v>
      </c>
      <c r="F23" s="146">
        <f>F24+F25</f>
        <v>22.5</v>
      </c>
      <c r="G23" s="48"/>
      <c r="H23" s="58"/>
      <c r="I23" s="48">
        <v>113</v>
      </c>
      <c r="J23" s="58">
        <f>J24+J25</f>
        <v>7</v>
      </c>
      <c r="K23" s="48"/>
      <c r="L23" s="58"/>
      <c r="M23" s="48"/>
      <c r="N23" s="58"/>
      <c r="O23" s="48"/>
      <c r="P23" s="58"/>
      <c r="Q23" s="48">
        <v>106</v>
      </c>
      <c r="R23" s="58">
        <f>R24+R25</f>
        <v>7</v>
      </c>
      <c r="S23" s="48">
        <v>96</v>
      </c>
      <c r="T23" s="146">
        <f>T24+T25</f>
        <v>15.5</v>
      </c>
      <c r="U23" s="48">
        <v>100</v>
      </c>
      <c r="V23" s="146">
        <f>V24+V25</f>
        <v>13</v>
      </c>
      <c r="W23" s="48">
        <v>100</v>
      </c>
      <c r="X23" s="146">
        <f>X24+X25</f>
        <v>9</v>
      </c>
      <c r="Y23" s="48">
        <v>97</v>
      </c>
      <c r="Z23" s="146">
        <f>Z24+Z25</f>
        <v>11.5</v>
      </c>
      <c r="AA23" s="48">
        <v>98</v>
      </c>
      <c r="AB23" s="146">
        <f>AB24+AB25</f>
        <v>16</v>
      </c>
      <c r="AC23" s="48"/>
      <c r="AD23" s="58"/>
      <c r="AE23" s="48">
        <v>100</v>
      </c>
      <c r="AF23" s="146">
        <f>AF24+AF25</f>
        <v>10</v>
      </c>
      <c r="AG23" s="48">
        <v>90</v>
      </c>
      <c r="AH23" s="146">
        <f>AH24+AH25</f>
        <v>14.5</v>
      </c>
      <c r="AI23" s="48">
        <v>99</v>
      </c>
      <c r="AJ23" s="146">
        <f>AJ24+AJ25</f>
        <v>13.5</v>
      </c>
      <c r="AK23" s="52">
        <f>D23+F23+H23+L23+N23+X23+Z23+AD23+AF23+AB23+P23+T23+V23+AH23+AJ23</f>
        <v>135.5</v>
      </c>
      <c r="AL23" s="41">
        <f t="shared" si="0"/>
        <v>12.458333333333334</v>
      </c>
    </row>
    <row r="24" spans="1:38" ht="13.95" outlineLevel="1" x14ac:dyDescent="0.25">
      <c r="B24" s="63" t="s">
        <v>31</v>
      </c>
      <c r="C24" s="48">
        <v>27</v>
      </c>
      <c r="D24" s="58">
        <v>3</v>
      </c>
      <c r="E24" s="48">
        <v>35</v>
      </c>
      <c r="F24" s="58">
        <v>10.5</v>
      </c>
      <c r="G24" s="48"/>
      <c r="H24" s="58"/>
      <c r="I24" s="48">
        <v>21</v>
      </c>
      <c r="J24" s="58">
        <v>3</v>
      </c>
      <c r="K24" s="48"/>
      <c r="L24" s="58"/>
      <c r="M24" s="48"/>
      <c r="N24" s="58"/>
      <c r="O24" s="48"/>
      <c r="P24" s="58"/>
      <c r="Q24" s="48">
        <v>26</v>
      </c>
      <c r="R24" s="58">
        <v>3</v>
      </c>
      <c r="S24" s="48">
        <v>35</v>
      </c>
      <c r="T24" s="58">
        <v>8.5</v>
      </c>
      <c r="U24" s="48">
        <v>31</v>
      </c>
      <c r="V24" s="58">
        <v>3</v>
      </c>
      <c r="W24" s="48">
        <v>32</v>
      </c>
      <c r="X24" s="58">
        <v>7</v>
      </c>
      <c r="Y24" s="48">
        <v>33</v>
      </c>
      <c r="Z24" s="58">
        <v>4.5</v>
      </c>
      <c r="AA24" s="48">
        <v>32</v>
      </c>
      <c r="AB24" s="58">
        <v>6</v>
      </c>
      <c r="AC24" s="48"/>
      <c r="AD24" s="58"/>
      <c r="AE24" s="48">
        <v>30</v>
      </c>
      <c r="AF24" s="58">
        <v>5</v>
      </c>
      <c r="AG24" s="48">
        <v>40</v>
      </c>
      <c r="AH24" s="58">
        <v>11.5</v>
      </c>
      <c r="AI24" s="48">
        <v>31</v>
      </c>
      <c r="AJ24" s="58">
        <v>4.5</v>
      </c>
      <c r="AK24" s="41">
        <f>AVERAGE(C24,E24,G24,I24,K24,M24,O24,Q24,S24,U24,W24,Y24,AA24,AC24,AE24,AG24,AI24)</f>
        <v>31.083333333333332</v>
      </c>
      <c r="AL24" s="41">
        <f t="shared" si="0"/>
        <v>5.791666666666667</v>
      </c>
    </row>
    <row r="25" spans="1:38" ht="13.95" outlineLevel="1" collapsed="1" x14ac:dyDescent="0.25">
      <c r="A25" s="47"/>
      <c r="B25" s="64" t="s">
        <v>5</v>
      </c>
      <c r="C25" s="60">
        <v>0</v>
      </c>
      <c r="D25" s="61">
        <v>7</v>
      </c>
      <c r="E25" s="60">
        <v>30</v>
      </c>
      <c r="F25" s="61">
        <v>12</v>
      </c>
      <c r="G25" s="60"/>
      <c r="H25" s="61"/>
      <c r="I25" s="60">
        <v>-35</v>
      </c>
      <c r="J25" s="61">
        <v>4</v>
      </c>
      <c r="K25" s="60"/>
      <c r="L25" s="61"/>
      <c r="M25" s="60"/>
      <c r="N25" s="61"/>
      <c r="O25" s="60"/>
      <c r="P25" s="61"/>
      <c r="Q25" s="60">
        <v>-7</v>
      </c>
      <c r="R25" s="61">
        <v>4</v>
      </c>
      <c r="S25" s="60">
        <v>3</v>
      </c>
      <c r="T25" s="61">
        <v>7</v>
      </c>
      <c r="U25" s="60">
        <v>13</v>
      </c>
      <c r="V25" s="61">
        <v>10</v>
      </c>
      <c r="W25" s="60">
        <v>-16</v>
      </c>
      <c r="X25" s="61">
        <v>2</v>
      </c>
      <c r="Y25" s="60">
        <v>1</v>
      </c>
      <c r="Z25" s="61">
        <v>7</v>
      </c>
      <c r="AA25" s="60">
        <v>24</v>
      </c>
      <c r="AB25" s="61">
        <v>10</v>
      </c>
      <c r="AC25" s="60"/>
      <c r="AD25" s="61"/>
      <c r="AE25" s="60">
        <v>-10</v>
      </c>
      <c r="AF25" s="61">
        <v>5</v>
      </c>
      <c r="AG25" s="60">
        <v>-10</v>
      </c>
      <c r="AH25" s="61">
        <v>3</v>
      </c>
      <c r="AI25" s="60">
        <v>25</v>
      </c>
      <c r="AJ25" s="61">
        <v>9</v>
      </c>
      <c r="AK25" s="128">
        <f>C25+E25+G25+I25+K25+M25+O25+Q25+S25+U25+W25+Y25+AA25+AC25+AE25+AG25+AI25</f>
        <v>18</v>
      </c>
      <c r="AL25" s="143">
        <f t="shared" si="0"/>
        <v>6.666666666666667</v>
      </c>
    </row>
    <row r="26" spans="1:38" ht="13.95" x14ac:dyDescent="0.25">
      <c r="A26" s="45">
        <v>8</v>
      </c>
      <c r="B26" s="66" t="s">
        <v>71</v>
      </c>
      <c r="C26" s="48"/>
      <c r="D26" s="58"/>
      <c r="E26" s="48">
        <v>101</v>
      </c>
      <c r="F26" s="146">
        <f>F27+F28</f>
        <v>12</v>
      </c>
      <c r="G26" s="48">
        <v>96</v>
      </c>
      <c r="H26" s="146">
        <f>H27+H28</f>
        <v>10</v>
      </c>
      <c r="I26" s="48">
        <v>100</v>
      </c>
      <c r="J26" s="146">
        <f>J27+J28</f>
        <v>15</v>
      </c>
      <c r="K26" s="48">
        <v>100</v>
      </c>
      <c r="L26" s="146">
        <f>L27+L28</f>
        <v>10</v>
      </c>
      <c r="M26" s="48">
        <v>96</v>
      </c>
      <c r="N26" s="146">
        <f>N27+N28</f>
        <v>16</v>
      </c>
      <c r="O26" s="48">
        <v>110</v>
      </c>
      <c r="P26" s="146">
        <f>P27+P28</f>
        <v>9</v>
      </c>
      <c r="Q26" s="48"/>
      <c r="R26" s="58"/>
      <c r="S26" s="48"/>
      <c r="T26" s="58"/>
      <c r="U26" s="48"/>
      <c r="V26" s="58"/>
      <c r="W26" s="48">
        <v>96</v>
      </c>
      <c r="X26" s="146">
        <f>X27+X28</f>
        <v>19</v>
      </c>
      <c r="Y26" s="48"/>
      <c r="Z26" s="58"/>
      <c r="AA26" s="48">
        <v>100</v>
      </c>
      <c r="AB26" s="146">
        <f>AB27+AB28</f>
        <v>8.5</v>
      </c>
      <c r="AC26" s="48">
        <v>94</v>
      </c>
      <c r="AD26" s="146">
        <f>AD27+AD28</f>
        <v>11</v>
      </c>
      <c r="AE26" s="48"/>
      <c r="AF26" s="58"/>
      <c r="AG26" s="48">
        <v>101</v>
      </c>
      <c r="AH26" s="146">
        <f>AH27+AH28</f>
        <v>12.5</v>
      </c>
      <c r="AI26" s="48"/>
      <c r="AJ26" s="58"/>
      <c r="AK26" s="52">
        <f>D26+F26+H26+J26+L26+N26+X26+Z26+AD26+AF26+AB26+P26+R26+T26+V26+AH26+AJ26</f>
        <v>123</v>
      </c>
      <c r="AL26" s="41">
        <f t="shared" si="0"/>
        <v>12.3</v>
      </c>
    </row>
    <row r="27" spans="1:38" ht="13.95" outlineLevel="1" x14ac:dyDescent="0.25">
      <c r="B27" s="63" t="s">
        <v>31</v>
      </c>
      <c r="C27" s="48"/>
      <c r="D27" s="58"/>
      <c r="E27" s="48">
        <v>28</v>
      </c>
      <c r="F27" s="58">
        <v>6</v>
      </c>
      <c r="G27" s="48">
        <v>32</v>
      </c>
      <c r="H27" s="58">
        <v>6.5</v>
      </c>
      <c r="I27" s="48">
        <v>28</v>
      </c>
      <c r="J27" s="58">
        <v>5</v>
      </c>
      <c r="K27" s="48">
        <v>27</v>
      </c>
      <c r="L27" s="58">
        <v>5</v>
      </c>
      <c r="M27" s="48">
        <v>32</v>
      </c>
      <c r="N27" s="58">
        <v>8</v>
      </c>
      <c r="O27" s="48">
        <v>20</v>
      </c>
      <c r="P27" s="58">
        <v>3</v>
      </c>
      <c r="Q27" s="48"/>
      <c r="R27" s="58"/>
      <c r="S27" s="48"/>
      <c r="T27" s="58"/>
      <c r="U27" s="48"/>
      <c r="V27" s="58"/>
      <c r="W27" s="48">
        <v>32</v>
      </c>
      <c r="X27" s="58">
        <v>7</v>
      </c>
      <c r="Y27" s="48"/>
      <c r="Z27" s="58"/>
      <c r="AA27" s="48">
        <v>29</v>
      </c>
      <c r="AB27" s="58">
        <v>3.5</v>
      </c>
      <c r="AC27" s="48">
        <v>33</v>
      </c>
      <c r="AD27" s="58">
        <v>6</v>
      </c>
      <c r="AE27" s="48"/>
      <c r="AF27" s="58"/>
      <c r="AG27" s="48">
        <v>30</v>
      </c>
      <c r="AH27" s="58">
        <v>2.5</v>
      </c>
      <c r="AI27" s="48"/>
      <c r="AJ27" s="58"/>
      <c r="AK27" s="41">
        <f>AVERAGE(C27,E27,G27,I27,K27,M27,O27,Q27,S27,U27,W27,Y27,AA27,AC27,AE27,AG27,AI27)</f>
        <v>29.1</v>
      </c>
      <c r="AL27" s="41">
        <f t="shared" si="0"/>
        <v>5.25</v>
      </c>
    </row>
    <row r="28" spans="1:38" ht="13.95" outlineLevel="1" x14ac:dyDescent="0.25">
      <c r="A28" s="47"/>
      <c r="B28" s="118" t="s">
        <v>5</v>
      </c>
      <c r="C28" s="60"/>
      <c r="D28" s="61"/>
      <c r="E28" s="60">
        <v>6</v>
      </c>
      <c r="F28" s="61">
        <v>6</v>
      </c>
      <c r="G28" s="60">
        <v>-22</v>
      </c>
      <c r="H28" s="61">
        <v>3.5</v>
      </c>
      <c r="I28" s="60">
        <v>25</v>
      </c>
      <c r="J28" s="61">
        <v>10</v>
      </c>
      <c r="K28" s="60">
        <v>-87</v>
      </c>
      <c r="L28" s="61">
        <v>5</v>
      </c>
      <c r="M28" s="60">
        <v>4</v>
      </c>
      <c r="N28" s="61">
        <v>8</v>
      </c>
      <c r="O28" s="60">
        <v>-5</v>
      </c>
      <c r="P28" s="61">
        <v>6</v>
      </c>
      <c r="Q28" s="60"/>
      <c r="R28" s="61"/>
      <c r="S28" s="60"/>
      <c r="T28" s="61"/>
      <c r="U28" s="60"/>
      <c r="V28" s="61"/>
      <c r="W28" s="60">
        <v>32</v>
      </c>
      <c r="X28" s="61">
        <v>12</v>
      </c>
      <c r="Y28" s="60"/>
      <c r="Z28" s="61"/>
      <c r="AA28" s="60">
        <v>-9</v>
      </c>
      <c r="AB28" s="61">
        <v>5</v>
      </c>
      <c r="AC28" s="60">
        <v>-16</v>
      </c>
      <c r="AD28" s="61">
        <v>5</v>
      </c>
      <c r="AE28" s="60"/>
      <c r="AF28" s="61"/>
      <c r="AG28" s="60">
        <v>10</v>
      </c>
      <c r="AH28" s="61">
        <v>10</v>
      </c>
      <c r="AI28" s="60"/>
      <c r="AJ28" s="61"/>
      <c r="AK28" s="128">
        <f>C28+E28+G28+I28+K28+M28+O28+Q28+S28+U28+W28+Y28+AA28+AC28+AE28+AG28+AI28</f>
        <v>-62</v>
      </c>
      <c r="AL28" s="143">
        <f t="shared" si="0"/>
        <v>7.05</v>
      </c>
    </row>
    <row r="29" spans="1:38" ht="13.95" x14ac:dyDescent="0.25">
      <c r="A29" s="45">
        <v>9</v>
      </c>
      <c r="B29" s="65" t="s">
        <v>33</v>
      </c>
      <c r="C29" s="48"/>
      <c r="D29" s="58"/>
      <c r="E29" s="48">
        <v>105</v>
      </c>
      <c r="F29" s="146">
        <f>F30+F31</f>
        <v>16</v>
      </c>
      <c r="G29" s="48">
        <v>108</v>
      </c>
      <c r="H29" s="146">
        <f>H30+H31</f>
        <v>12</v>
      </c>
      <c r="I29" s="48">
        <v>108</v>
      </c>
      <c r="J29" s="146">
        <f>J30+J31</f>
        <v>7</v>
      </c>
      <c r="K29" s="48"/>
      <c r="L29" s="58"/>
      <c r="M29" s="48">
        <v>112</v>
      </c>
      <c r="N29" s="146">
        <f>N30+N31</f>
        <v>11.5</v>
      </c>
      <c r="O29" s="48">
        <v>103</v>
      </c>
      <c r="P29" s="146">
        <f>P30+P31</f>
        <v>8</v>
      </c>
      <c r="Q29" s="48">
        <v>114</v>
      </c>
      <c r="R29" s="58">
        <f>R30+R31</f>
        <v>4</v>
      </c>
      <c r="S29" s="48">
        <v>105</v>
      </c>
      <c r="T29" s="146">
        <f>T30+T31</f>
        <v>8</v>
      </c>
      <c r="U29" s="48">
        <v>104</v>
      </c>
      <c r="V29" s="58">
        <f>V30+V31</f>
        <v>5</v>
      </c>
      <c r="W29" s="48">
        <v>107</v>
      </c>
      <c r="X29" s="146">
        <f>X30+X31</f>
        <v>12</v>
      </c>
      <c r="Y29" s="48"/>
      <c r="Z29" s="58"/>
      <c r="AA29" s="48">
        <v>103</v>
      </c>
      <c r="AB29" s="146">
        <f>AB30+AB31</f>
        <v>9.5</v>
      </c>
      <c r="AC29" s="48">
        <v>102</v>
      </c>
      <c r="AD29" s="146">
        <f>AD30+AD31</f>
        <v>12</v>
      </c>
      <c r="AE29" s="48"/>
      <c r="AF29" s="58"/>
      <c r="AG29" s="48">
        <v>103</v>
      </c>
      <c r="AH29" s="58">
        <f>AH30+AH31</f>
        <v>2</v>
      </c>
      <c r="AI29" s="48">
        <v>95</v>
      </c>
      <c r="AJ29" s="146">
        <f>AJ30+AJ31</f>
        <v>15</v>
      </c>
      <c r="AK29" s="52">
        <f>D29+F29+H29+J29+L29+N29+X29+Z29+AD29+AF29+AB29+P29+T29+AJ29</f>
        <v>111</v>
      </c>
      <c r="AL29" s="41">
        <f t="shared" si="0"/>
        <v>9.384615384615385</v>
      </c>
    </row>
    <row r="30" spans="1:38" ht="13.95" outlineLevel="1" x14ac:dyDescent="0.25">
      <c r="B30" s="63" t="s">
        <v>31</v>
      </c>
      <c r="C30" s="48"/>
      <c r="D30" s="58"/>
      <c r="E30" s="48">
        <v>28</v>
      </c>
      <c r="F30" s="58">
        <v>6</v>
      </c>
      <c r="G30" s="48">
        <v>25</v>
      </c>
      <c r="H30" s="58">
        <v>3</v>
      </c>
      <c r="I30" s="48">
        <v>25</v>
      </c>
      <c r="J30" s="58">
        <v>4</v>
      </c>
      <c r="K30" s="48"/>
      <c r="L30" s="58"/>
      <c r="M30" s="48">
        <v>22</v>
      </c>
      <c r="N30" s="58">
        <v>5</v>
      </c>
      <c r="O30" s="48">
        <v>30</v>
      </c>
      <c r="P30" s="58">
        <v>4</v>
      </c>
      <c r="Q30" s="48">
        <v>21</v>
      </c>
      <c r="R30" s="58">
        <v>1</v>
      </c>
      <c r="S30" s="48">
        <v>29</v>
      </c>
      <c r="T30" s="58">
        <v>4</v>
      </c>
      <c r="U30" s="48">
        <v>29</v>
      </c>
      <c r="V30" s="58">
        <v>2</v>
      </c>
      <c r="W30" s="48">
        <v>28</v>
      </c>
      <c r="X30" s="58">
        <v>2</v>
      </c>
      <c r="Y30" s="48"/>
      <c r="Z30" s="58"/>
      <c r="AA30" s="48">
        <v>29</v>
      </c>
      <c r="AB30" s="58">
        <v>3.5</v>
      </c>
      <c r="AC30" s="48">
        <v>29</v>
      </c>
      <c r="AD30" s="58">
        <v>5</v>
      </c>
      <c r="AE30" s="48"/>
      <c r="AF30" s="58"/>
      <c r="AG30" s="48">
        <v>29</v>
      </c>
      <c r="AH30" s="58">
        <v>1</v>
      </c>
      <c r="AI30" s="48">
        <v>37</v>
      </c>
      <c r="AJ30" s="58">
        <v>8</v>
      </c>
      <c r="AK30" s="41">
        <f>AVERAGE(C30,E30,G30,I30,K30,M30,O30,Q30,S30,U30,W30,Y30,AA30,AC30,AE30,AG30,AI30)</f>
        <v>27.76923076923077</v>
      </c>
      <c r="AL30" s="41">
        <f t="shared" si="0"/>
        <v>3.7307692307692308</v>
      </c>
    </row>
    <row r="31" spans="1:38" ht="13.95" outlineLevel="1" x14ac:dyDescent="0.25">
      <c r="A31" s="47"/>
      <c r="B31" s="64" t="s">
        <v>5</v>
      </c>
      <c r="C31" s="60"/>
      <c r="D31" s="61"/>
      <c r="E31" s="60">
        <v>18</v>
      </c>
      <c r="F31" s="61">
        <v>10</v>
      </c>
      <c r="G31" s="60">
        <v>18</v>
      </c>
      <c r="H31" s="61">
        <v>9</v>
      </c>
      <c r="I31" s="60">
        <v>-41</v>
      </c>
      <c r="J31" s="61">
        <v>3</v>
      </c>
      <c r="K31" s="60"/>
      <c r="L31" s="61"/>
      <c r="M31" s="60">
        <v>0</v>
      </c>
      <c r="N31" s="61">
        <v>6.5</v>
      </c>
      <c r="O31" s="60">
        <v>-11</v>
      </c>
      <c r="P31" s="61">
        <v>4</v>
      </c>
      <c r="Q31" s="60">
        <v>-13</v>
      </c>
      <c r="R31" s="61">
        <v>3</v>
      </c>
      <c r="S31" s="60">
        <v>-3</v>
      </c>
      <c r="T31" s="61">
        <v>4</v>
      </c>
      <c r="U31" s="60">
        <v>-19</v>
      </c>
      <c r="V31" s="61">
        <v>3</v>
      </c>
      <c r="W31" s="60">
        <v>9</v>
      </c>
      <c r="X31" s="61">
        <v>10</v>
      </c>
      <c r="Y31" s="60"/>
      <c r="Z31" s="61"/>
      <c r="AA31" s="60">
        <v>9</v>
      </c>
      <c r="AB31" s="61">
        <v>6</v>
      </c>
      <c r="AC31" s="60">
        <v>0</v>
      </c>
      <c r="AD31" s="61">
        <v>7</v>
      </c>
      <c r="AE31" s="60"/>
      <c r="AF31" s="61"/>
      <c r="AG31" s="60">
        <v>-12</v>
      </c>
      <c r="AH31" s="61">
        <v>1</v>
      </c>
      <c r="AI31" s="60">
        <v>9</v>
      </c>
      <c r="AJ31" s="61">
        <v>7</v>
      </c>
      <c r="AK31" s="128">
        <f>C31+E31+G31+I31+K31+M31+O31+Q31+S31+U31+W31+Y31+AA31+AC31+AE31+AG31+AI31</f>
        <v>-36</v>
      </c>
      <c r="AL31" s="143">
        <f t="shared" si="0"/>
        <v>5.6538461538461542</v>
      </c>
    </row>
    <row r="32" spans="1:38" ht="13.95" x14ac:dyDescent="0.25">
      <c r="A32" s="111">
        <v>10</v>
      </c>
      <c r="B32" s="40" t="s">
        <v>8</v>
      </c>
      <c r="C32" s="48">
        <v>84</v>
      </c>
      <c r="D32" s="58">
        <f>D33+D34</f>
        <v>11</v>
      </c>
      <c r="E32" s="48">
        <v>98</v>
      </c>
      <c r="F32" s="58">
        <f>F33+F34</f>
        <v>5</v>
      </c>
      <c r="G32" s="48"/>
      <c r="H32" s="58"/>
      <c r="I32" s="48"/>
      <c r="J32" s="58"/>
      <c r="K32" s="48"/>
      <c r="L32" s="58"/>
      <c r="M32" s="48"/>
      <c r="N32" s="58"/>
      <c r="O32" s="48"/>
      <c r="P32" s="58"/>
      <c r="Q32" s="48">
        <v>83</v>
      </c>
      <c r="R32" s="58">
        <f>R33+R34</f>
        <v>17.5</v>
      </c>
      <c r="S32" s="48">
        <v>84</v>
      </c>
      <c r="T32" s="58">
        <f>T33+T34</f>
        <v>18</v>
      </c>
      <c r="U32" s="48">
        <v>83</v>
      </c>
      <c r="V32" s="58">
        <f>V33+V34</f>
        <v>14</v>
      </c>
      <c r="W32" s="48">
        <v>85</v>
      </c>
      <c r="X32" s="58">
        <f>X33+X34</f>
        <v>16</v>
      </c>
      <c r="Y32" s="48"/>
      <c r="Z32" s="58"/>
      <c r="AA32" s="48"/>
      <c r="AB32" s="58"/>
      <c r="AC32" s="48"/>
      <c r="AD32" s="58"/>
      <c r="AE32" s="48"/>
      <c r="AF32" s="58"/>
      <c r="AG32" s="48">
        <v>84</v>
      </c>
      <c r="AH32" s="58">
        <f>AH33+AH34</f>
        <v>10.5</v>
      </c>
      <c r="AI32" s="48">
        <v>86</v>
      </c>
      <c r="AJ32" s="58">
        <f>AJ33+AJ34</f>
        <v>12.5</v>
      </c>
      <c r="AK32" s="52">
        <f>D32+F32+H32+J32+L32+N32+X32+Z32+AD32+AF32+AB32+P32+R32+T32+V32+AH32+AJ32</f>
        <v>104.5</v>
      </c>
      <c r="AL32" s="41">
        <f t="shared" si="0"/>
        <v>13.0625</v>
      </c>
    </row>
    <row r="33" spans="1:38" ht="13.95" outlineLevel="1" x14ac:dyDescent="0.25">
      <c r="B33" s="63" t="s">
        <v>31</v>
      </c>
      <c r="C33" s="48">
        <v>33</v>
      </c>
      <c r="D33" s="58">
        <v>7</v>
      </c>
      <c r="E33" s="48">
        <v>20</v>
      </c>
      <c r="F33" s="58">
        <v>2</v>
      </c>
      <c r="G33" s="48"/>
      <c r="H33" s="58"/>
      <c r="I33" s="48"/>
      <c r="J33" s="58"/>
      <c r="K33" s="48"/>
      <c r="L33" s="58"/>
      <c r="M33" s="48"/>
      <c r="N33" s="58"/>
      <c r="O33" s="48"/>
      <c r="P33" s="58"/>
      <c r="Q33" s="48">
        <v>34</v>
      </c>
      <c r="R33" s="58">
        <v>8.5</v>
      </c>
      <c r="S33" s="48">
        <v>34</v>
      </c>
      <c r="T33" s="58">
        <v>8.5</v>
      </c>
      <c r="U33" s="48">
        <v>35</v>
      </c>
      <c r="V33" s="58">
        <v>6</v>
      </c>
      <c r="W33" s="48">
        <v>34</v>
      </c>
      <c r="X33" s="58">
        <v>10</v>
      </c>
      <c r="Y33" s="48"/>
      <c r="Z33" s="58"/>
      <c r="AA33" s="48"/>
      <c r="AB33" s="58"/>
      <c r="AC33" s="48"/>
      <c r="AD33" s="58"/>
      <c r="AE33" s="48"/>
      <c r="AF33" s="58"/>
      <c r="AG33" s="48">
        <v>34</v>
      </c>
      <c r="AH33" s="58">
        <v>4.5</v>
      </c>
      <c r="AI33" s="48">
        <v>32</v>
      </c>
      <c r="AJ33" s="58">
        <v>6.5</v>
      </c>
      <c r="AK33" s="41">
        <f>AVERAGE(C33,E33,G33,I33,K33,M33,O33,Q33,S33,U33,W33,Y33,AA33,AC33,AE33,AG33,AI33)</f>
        <v>32</v>
      </c>
      <c r="AL33" s="41">
        <f t="shared" si="0"/>
        <v>6.625</v>
      </c>
    </row>
    <row r="34" spans="1:38" outlineLevel="1" x14ac:dyDescent="0.25">
      <c r="A34" s="47"/>
      <c r="B34" s="64" t="s">
        <v>5</v>
      </c>
      <c r="C34" s="60">
        <v>-7</v>
      </c>
      <c r="D34" s="61">
        <v>4</v>
      </c>
      <c r="E34" s="60">
        <v>-31</v>
      </c>
      <c r="F34" s="61">
        <v>3</v>
      </c>
      <c r="G34" s="60"/>
      <c r="H34" s="61"/>
      <c r="I34" s="60"/>
      <c r="J34" s="61"/>
      <c r="K34" s="60"/>
      <c r="L34" s="61"/>
      <c r="M34" s="60"/>
      <c r="N34" s="61"/>
      <c r="O34" s="60"/>
      <c r="P34" s="61"/>
      <c r="Q34" s="60">
        <v>6</v>
      </c>
      <c r="R34" s="61">
        <v>9</v>
      </c>
      <c r="S34" s="60">
        <v>10</v>
      </c>
      <c r="T34" s="61">
        <v>9.5</v>
      </c>
      <c r="U34" s="60">
        <v>5</v>
      </c>
      <c r="V34" s="61">
        <v>8</v>
      </c>
      <c r="W34" s="60">
        <v>-2</v>
      </c>
      <c r="X34" s="61">
        <v>6</v>
      </c>
      <c r="Y34" s="60"/>
      <c r="Z34" s="61"/>
      <c r="AA34" s="60"/>
      <c r="AB34" s="61"/>
      <c r="AC34" s="60"/>
      <c r="AD34" s="61"/>
      <c r="AE34" s="60"/>
      <c r="AF34" s="61"/>
      <c r="AG34" s="60">
        <v>-6</v>
      </c>
      <c r="AH34" s="61">
        <v>6</v>
      </c>
      <c r="AI34" s="60">
        <v>7</v>
      </c>
      <c r="AJ34" s="61">
        <v>6</v>
      </c>
      <c r="AK34" s="128">
        <f>C34+E34+G34+I34+K34+M34+O34+Q34+S34+U34+W34+Y34+AA34+AC34+AE34+AG34+AI34</f>
        <v>-18</v>
      </c>
      <c r="AL34" s="143">
        <f t="shared" si="0"/>
        <v>6.4375</v>
      </c>
    </row>
    <row r="35" spans="1:38" x14ac:dyDescent="0.25">
      <c r="A35" s="45">
        <v>11</v>
      </c>
      <c r="B35" s="40" t="s">
        <v>44</v>
      </c>
      <c r="C35" s="48"/>
      <c r="D35" s="58"/>
      <c r="E35" s="48">
        <v>102</v>
      </c>
      <c r="F35" s="58">
        <f>F36+F37</f>
        <v>15</v>
      </c>
      <c r="G35" s="48"/>
      <c r="H35" s="58"/>
      <c r="I35" s="48">
        <v>90</v>
      </c>
      <c r="J35" s="58">
        <f>J36+J37</f>
        <v>18</v>
      </c>
      <c r="K35" s="48"/>
      <c r="L35" s="58"/>
      <c r="M35" s="48"/>
      <c r="N35" s="58"/>
      <c r="O35" s="48"/>
      <c r="P35" s="58"/>
      <c r="Q35" s="48">
        <v>102</v>
      </c>
      <c r="R35" s="58">
        <f>R36+R37</f>
        <v>11</v>
      </c>
      <c r="S35" s="48">
        <v>104</v>
      </c>
      <c r="T35" s="58">
        <f>T36+T37</f>
        <v>11</v>
      </c>
      <c r="U35" s="48">
        <v>97</v>
      </c>
      <c r="V35" s="58">
        <f>V36+V37</f>
        <v>10</v>
      </c>
      <c r="W35" s="48"/>
      <c r="X35" s="58"/>
      <c r="Y35" s="48"/>
      <c r="Z35" s="58"/>
      <c r="AA35" s="48"/>
      <c r="AB35" s="58"/>
      <c r="AC35" s="48"/>
      <c r="AD35" s="58"/>
      <c r="AE35" s="48"/>
      <c r="AF35" s="58"/>
      <c r="AG35" s="48"/>
      <c r="AH35" s="58"/>
      <c r="AI35" s="48"/>
      <c r="AJ35" s="58"/>
      <c r="AK35" s="52">
        <f>D35+F35+H35+J35+L35+N35+X35+Z35+AD35+AF35+AB35+P35+R35+T35+V35+AH35+AJ35</f>
        <v>65</v>
      </c>
      <c r="AL35" s="41">
        <f t="shared" si="0"/>
        <v>13</v>
      </c>
    </row>
    <row r="36" spans="1:38" outlineLevel="1" x14ac:dyDescent="0.25">
      <c r="B36" s="63" t="s">
        <v>31</v>
      </c>
      <c r="C36" s="48"/>
      <c r="D36" s="58"/>
      <c r="E36" s="48">
        <v>28</v>
      </c>
      <c r="F36" s="58">
        <v>6</v>
      </c>
      <c r="G36" s="48"/>
      <c r="H36" s="58"/>
      <c r="I36" s="48">
        <v>41</v>
      </c>
      <c r="J36" s="58">
        <v>10</v>
      </c>
      <c r="K36" s="48"/>
      <c r="L36" s="58"/>
      <c r="M36" s="48"/>
      <c r="N36" s="58"/>
      <c r="O36" s="48"/>
      <c r="P36" s="58"/>
      <c r="Q36" s="48">
        <v>29</v>
      </c>
      <c r="R36" s="58">
        <v>4</v>
      </c>
      <c r="S36" s="48">
        <v>28</v>
      </c>
      <c r="T36" s="58">
        <v>3</v>
      </c>
      <c r="U36" s="48">
        <v>33</v>
      </c>
      <c r="V36" s="58">
        <v>4</v>
      </c>
      <c r="W36" s="48"/>
      <c r="X36" s="58"/>
      <c r="Y36" s="48"/>
      <c r="Z36" s="58"/>
      <c r="AA36" s="48"/>
      <c r="AB36" s="58"/>
      <c r="AC36" s="48"/>
      <c r="AD36" s="58"/>
      <c r="AE36" s="48"/>
      <c r="AF36" s="58"/>
      <c r="AG36" s="48"/>
      <c r="AH36" s="58"/>
      <c r="AI36" s="48"/>
      <c r="AJ36" s="58"/>
      <c r="AK36" s="41">
        <f>AVERAGE(C36,E36,G36,I36,K36,M36,O36,Q36,S36,U36,W36,Y36,AA36,AC36,AE36,AG36,AI36)</f>
        <v>31.8</v>
      </c>
      <c r="AL36" s="41">
        <f t="shared" si="0"/>
        <v>5.4</v>
      </c>
    </row>
    <row r="37" spans="1:38" outlineLevel="1" x14ac:dyDescent="0.25">
      <c r="A37" s="47"/>
      <c r="B37" s="64" t="s">
        <v>5</v>
      </c>
      <c r="C37" s="60"/>
      <c r="D37" s="61"/>
      <c r="E37" s="60">
        <v>17</v>
      </c>
      <c r="F37" s="61">
        <v>9</v>
      </c>
      <c r="G37" s="60"/>
      <c r="H37" s="61"/>
      <c r="I37" s="60">
        <v>13</v>
      </c>
      <c r="J37" s="61">
        <v>8</v>
      </c>
      <c r="K37" s="60"/>
      <c r="L37" s="61"/>
      <c r="M37" s="60"/>
      <c r="N37" s="61"/>
      <c r="O37" s="60"/>
      <c r="P37" s="61"/>
      <c r="Q37" s="60">
        <v>0</v>
      </c>
      <c r="R37" s="61">
        <v>7</v>
      </c>
      <c r="S37" s="60">
        <v>4</v>
      </c>
      <c r="T37" s="61">
        <v>8</v>
      </c>
      <c r="U37" s="60">
        <v>2</v>
      </c>
      <c r="V37" s="61">
        <v>6</v>
      </c>
      <c r="W37" s="60"/>
      <c r="X37" s="61"/>
      <c r="Y37" s="60"/>
      <c r="Z37" s="61"/>
      <c r="AA37" s="60"/>
      <c r="AB37" s="61"/>
      <c r="AC37" s="60"/>
      <c r="AD37" s="61"/>
      <c r="AE37" s="60"/>
      <c r="AF37" s="61"/>
      <c r="AG37" s="60"/>
      <c r="AH37" s="61"/>
      <c r="AI37" s="60"/>
      <c r="AJ37" s="61"/>
      <c r="AK37" s="128">
        <f>C37+E37+G37+I37+K37+M37+O37+Q37+S37+U37+W37+Y37+AA37+AC37+AE37+AG37+AI37</f>
        <v>36</v>
      </c>
      <c r="AL37" s="143">
        <f t="shared" si="0"/>
        <v>7.6</v>
      </c>
    </row>
    <row r="38" spans="1:38" x14ac:dyDescent="0.25">
      <c r="A38" s="45">
        <v>12</v>
      </c>
      <c r="B38" s="110" t="s">
        <v>88</v>
      </c>
      <c r="C38" s="48"/>
      <c r="D38" s="58"/>
      <c r="E38" s="48"/>
      <c r="F38" s="58"/>
      <c r="G38" s="48"/>
      <c r="H38" s="58"/>
      <c r="I38" s="48"/>
      <c r="J38" s="58"/>
      <c r="K38" s="48"/>
      <c r="L38" s="58"/>
      <c r="M38" s="48"/>
      <c r="N38" s="58"/>
      <c r="O38" s="48"/>
      <c r="P38" s="58"/>
      <c r="Q38" s="48">
        <v>83</v>
      </c>
      <c r="R38" s="58">
        <f>R39+R40</f>
        <v>14.5</v>
      </c>
      <c r="S38" s="48"/>
      <c r="T38" s="58"/>
      <c r="U38" s="48"/>
      <c r="V38" s="58"/>
      <c r="W38" s="48"/>
      <c r="X38" s="58"/>
      <c r="Y38" s="48">
        <v>84</v>
      </c>
      <c r="Z38" s="58">
        <f>Z39+Z40</f>
        <v>14</v>
      </c>
      <c r="AA38" s="48"/>
      <c r="AB38" s="58"/>
      <c r="AC38" s="48"/>
      <c r="AD38" s="58"/>
      <c r="AE38" s="48"/>
      <c r="AF38" s="58"/>
      <c r="AG38" s="48">
        <v>79</v>
      </c>
      <c r="AH38" s="58">
        <f>AH39+AH40</f>
        <v>13</v>
      </c>
      <c r="AI38" s="48"/>
      <c r="AJ38" s="58"/>
      <c r="AK38" s="52">
        <f>D38+F38+H38+J38+L38+N38+X38+Z38+AD38+AF38+AB38+P38+R38+T38+V38+AH38+AJ38</f>
        <v>41.5</v>
      </c>
      <c r="AL38" s="41">
        <f t="shared" si="0"/>
        <v>13.833333333333334</v>
      </c>
    </row>
    <row r="39" spans="1:38" outlineLevel="1" x14ac:dyDescent="0.25">
      <c r="B39" s="63" t="s">
        <v>31</v>
      </c>
      <c r="C39" s="48"/>
      <c r="D39" s="58"/>
      <c r="E39" s="48"/>
      <c r="F39" s="58"/>
      <c r="G39" s="48"/>
      <c r="H39" s="58"/>
      <c r="I39" s="48"/>
      <c r="J39" s="58"/>
      <c r="K39" s="48"/>
      <c r="L39" s="58"/>
      <c r="M39" s="48"/>
      <c r="N39" s="58"/>
      <c r="O39" s="48"/>
      <c r="P39" s="58"/>
      <c r="Q39" s="48">
        <v>34</v>
      </c>
      <c r="R39" s="58">
        <v>8.5</v>
      </c>
      <c r="S39" s="48"/>
      <c r="T39" s="58"/>
      <c r="U39" s="48"/>
      <c r="V39" s="58"/>
      <c r="W39" s="48"/>
      <c r="X39" s="58"/>
      <c r="Y39" s="48">
        <v>33</v>
      </c>
      <c r="Z39" s="58">
        <v>4.5</v>
      </c>
      <c r="AA39" s="48"/>
      <c r="AB39" s="58"/>
      <c r="AC39" s="48"/>
      <c r="AD39" s="58"/>
      <c r="AE39" s="48"/>
      <c r="AF39" s="58"/>
      <c r="AG39" s="48">
        <v>36</v>
      </c>
      <c r="AH39" s="58">
        <v>9</v>
      </c>
      <c r="AI39" s="48"/>
      <c r="AJ39" s="58"/>
      <c r="AK39" s="41">
        <f>AVERAGE(C39,E39,G39,I39,K39,M39,O39,Q39,S39,U39,W39,Y39,AA39,AC39,AE39,AG39,AI39)</f>
        <v>34.333333333333336</v>
      </c>
      <c r="AL39" s="41">
        <f t="shared" si="0"/>
        <v>7.333333333333333</v>
      </c>
    </row>
    <row r="40" spans="1:38" outlineLevel="1" x14ac:dyDescent="0.25">
      <c r="A40" s="47"/>
      <c r="B40" s="64" t="s">
        <v>5</v>
      </c>
      <c r="C40" s="60"/>
      <c r="D40" s="61"/>
      <c r="E40" s="60"/>
      <c r="F40" s="61"/>
      <c r="G40" s="60"/>
      <c r="H40" s="61"/>
      <c r="I40" s="60"/>
      <c r="J40" s="61"/>
      <c r="K40" s="60"/>
      <c r="L40" s="61"/>
      <c r="M40" s="60"/>
      <c r="N40" s="61"/>
      <c r="O40" s="60"/>
      <c r="P40" s="61"/>
      <c r="Q40" s="60">
        <v>-4</v>
      </c>
      <c r="R40" s="61">
        <v>6</v>
      </c>
      <c r="S40" s="60"/>
      <c r="T40" s="61"/>
      <c r="U40" s="60"/>
      <c r="V40" s="61"/>
      <c r="W40" s="60"/>
      <c r="X40" s="61"/>
      <c r="Y40" s="60">
        <v>27</v>
      </c>
      <c r="Z40" s="61">
        <v>9.5</v>
      </c>
      <c r="AA40" s="60"/>
      <c r="AB40" s="61"/>
      <c r="AC40" s="60"/>
      <c r="AD40" s="61"/>
      <c r="AE40" s="60"/>
      <c r="AF40" s="61"/>
      <c r="AG40" s="60">
        <v>-8</v>
      </c>
      <c r="AH40" s="61">
        <v>4</v>
      </c>
      <c r="AI40" s="60"/>
      <c r="AJ40" s="61"/>
      <c r="AK40" s="128">
        <f>C40+E40+G40+I40+K40+M40+O40+Q40+S40+U40+W40+Y40+AA40+AC40+AE40+AG40+AI40</f>
        <v>15</v>
      </c>
      <c r="AL40" s="143">
        <f t="shared" si="0"/>
        <v>6.5</v>
      </c>
    </row>
    <row r="41" spans="1:38" x14ac:dyDescent="0.25">
      <c r="A41" s="74">
        <v>13</v>
      </c>
      <c r="B41" s="66"/>
      <c r="C41" s="48"/>
      <c r="D41" s="58"/>
      <c r="E41" s="48"/>
      <c r="F41" s="58"/>
      <c r="G41" s="48"/>
      <c r="H41" s="58"/>
      <c r="I41" s="48"/>
      <c r="J41" s="58"/>
      <c r="K41" s="48"/>
      <c r="L41" s="58"/>
      <c r="M41" s="48"/>
      <c r="N41" s="58"/>
      <c r="O41" s="48"/>
      <c r="P41" s="58"/>
      <c r="Q41" s="48"/>
      <c r="R41" s="58"/>
      <c r="S41" s="48"/>
      <c r="T41" s="58"/>
      <c r="U41" s="48"/>
      <c r="V41" s="58"/>
      <c r="W41" s="48"/>
      <c r="X41" s="58"/>
      <c r="Y41" s="48"/>
      <c r="Z41" s="58"/>
      <c r="AA41" s="48"/>
      <c r="AB41" s="58"/>
      <c r="AC41" s="48"/>
      <c r="AD41" s="58"/>
      <c r="AE41" s="48"/>
      <c r="AF41" s="58"/>
      <c r="AG41" s="48"/>
      <c r="AH41" s="58"/>
      <c r="AI41" s="48"/>
      <c r="AJ41" s="58"/>
      <c r="AK41" s="52">
        <f>D41+F41+H41+J41+L41+N41+X41+Z41+AD41+AF41+AB41+P41+R41+T41+V41+AH41+AJ41</f>
        <v>0</v>
      </c>
      <c r="AL41" s="41"/>
    </row>
    <row r="42" spans="1:38" outlineLevel="1" x14ac:dyDescent="0.25">
      <c r="A42" s="74"/>
      <c r="B42" s="63" t="s">
        <v>31</v>
      </c>
      <c r="C42" s="48"/>
      <c r="D42" s="58"/>
      <c r="E42" s="48"/>
      <c r="F42" s="58"/>
      <c r="G42" s="48"/>
      <c r="H42" s="58"/>
      <c r="I42" s="48"/>
      <c r="J42" s="58"/>
      <c r="K42" s="48"/>
      <c r="L42" s="58"/>
      <c r="M42" s="48"/>
      <c r="N42" s="58"/>
      <c r="O42" s="48"/>
      <c r="P42" s="58"/>
      <c r="Q42" s="48"/>
      <c r="R42" s="58"/>
      <c r="S42" s="48"/>
      <c r="T42" s="58"/>
      <c r="U42" s="48"/>
      <c r="V42" s="58"/>
      <c r="W42" s="48"/>
      <c r="X42" s="58"/>
      <c r="Y42" s="48"/>
      <c r="Z42" s="58"/>
      <c r="AA42" s="48"/>
      <c r="AB42" s="58"/>
      <c r="AC42" s="48"/>
      <c r="AD42" s="58"/>
      <c r="AE42" s="48"/>
      <c r="AF42" s="58"/>
      <c r="AG42" s="48"/>
      <c r="AH42" s="58"/>
      <c r="AI42" s="48"/>
      <c r="AJ42" s="58"/>
      <c r="AK42" s="59">
        <f>D42+F42+H42+J42+L42+N42+P42+R42+T42+V42+X42+Z42+AB42+AD42+AF42+AH42+AJ42</f>
        <v>0</v>
      </c>
      <c r="AL42" s="41"/>
    </row>
    <row r="43" spans="1:38" outlineLevel="1" x14ac:dyDescent="0.25">
      <c r="A43" s="47"/>
      <c r="B43" s="118" t="s">
        <v>5</v>
      </c>
      <c r="C43" s="60"/>
      <c r="D43" s="61"/>
      <c r="E43" s="60"/>
      <c r="F43" s="61"/>
      <c r="G43" s="60"/>
      <c r="H43" s="61"/>
      <c r="I43" s="60"/>
      <c r="J43" s="61"/>
      <c r="K43" s="60"/>
      <c r="L43" s="61"/>
      <c r="M43" s="60"/>
      <c r="N43" s="61"/>
      <c r="O43" s="60"/>
      <c r="P43" s="61"/>
      <c r="Q43" s="60"/>
      <c r="R43" s="61"/>
      <c r="S43" s="60"/>
      <c r="T43" s="61"/>
      <c r="U43" s="60"/>
      <c r="V43" s="61"/>
      <c r="W43" s="60"/>
      <c r="X43" s="61"/>
      <c r="Y43" s="60"/>
      <c r="Z43" s="61"/>
      <c r="AA43" s="60"/>
      <c r="AB43" s="61"/>
      <c r="AC43" s="60"/>
      <c r="AD43" s="61"/>
      <c r="AE43" s="60"/>
      <c r="AF43" s="61"/>
      <c r="AG43" s="60"/>
      <c r="AH43" s="61"/>
      <c r="AI43" s="60"/>
      <c r="AJ43" s="61"/>
      <c r="AK43" s="128">
        <f>D43+F43+H43+J43+L43+N43+P43+R43+T43+V43+X43+Z43+AB43+AD43+AF43+AH43+AJ43</f>
        <v>0</v>
      </c>
      <c r="AL43" s="60"/>
    </row>
    <row r="44" spans="1:38" x14ac:dyDescent="0.25">
      <c r="A44" s="88">
        <v>14</v>
      </c>
      <c r="B44" s="40"/>
      <c r="C44" s="48"/>
      <c r="D44" s="58"/>
      <c r="E44" s="48"/>
      <c r="F44" s="58"/>
      <c r="G44" s="48"/>
      <c r="H44" s="58"/>
      <c r="I44" s="48"/>
      <c r="J44" s="58"/>
      <c r="K44" s="48"/>
      <c r="L44" s="58"/>
      <c r="M44" s="48"/>
      <c r="N44" s="58"/>
      <c r="O44" s="48"/>
      <c r="P44" s="58"/>
      <c r="Q44" s="48"/>
      <c r="R44" s="58"/>
      <c r="S44" s="48"/>
      <c r="T44" s="58"/>
      <c r="U44" s="48"/>
      <c r="V44" s="58"/>
      <c r="W44" s="48"/>
      <c r="X44" s="58"/>
      <c r="Y44" s="48"/>
      <c r="Z44" s="58"/>
      <c r="AA44" s="48"/>
      <c r="AB44" s="58"/>
      <c r="AC44" s="48"/>
      <c r="AD44" s="58"/>
      <c r="AE44" s="48"/>
      <c r="AF44" s="58"/>
      <c r="AG44" s="48"/>
      <c r="AH44" s="58"/>
      <c r="AI44" s="48"/>
      <c r="AJ44" s="58"/>
      <c r="AK44" s="52">
        <f>D44+F44+H44+J44+L44+N44+X44+Z44+AD44+AF44+AB44+P44+R44+T44+V44+AH44+AJ44</f>
        <v>0</v>
      </c>
      <c r="AL44" s="41"/>
    </row>
    <row r="45" spans="1:38" outlineLevel="1" x14ac:dyDescent="0.25">
      <c r="A45" s="88"/>
      <c r="B45" s="63" t="s">
        <v>31</v>
      </c>
      <c r="C45" s="48"/>
      <c r="D45" s="58"/>
      <c r="E45" s="48"/>
      <c r="F45" s="58"/>
      <c r="G45" s="48"/>
      <c r="H45" s="58"/>
      <c r="I45" s="48"/>
      <c r="J45" s="58"/>
      <c r="K45" s="48"/>
      <c r="L45" s="58"/>
      <c r="M45" s="48"/>
      <c r="N45" s="58"/>
      <c r="O45" s="48"/>
      <c r="P45" s="58"/>
      <c r="Q45" s="48"/>
      <c r="R45" s="58"/>
      <c r="S45" s="48"/>
      <c r="T45" s="58"/>
      <c r="U45" s="48"/>
      <c r="V45" s="58"/>
      <c r="W45" s="48"/>
      <c r="X45" s="58"/>
      <c r="Y45" s="48"/>
      <c r="Z45" s="58"/>
      <c r="AA45" s="48"/>
      <c r="AB45" s="58"/>
      <c r="AC45" s="48"/>
      <c r="AD45" s="58"/>
      <c r="AE45" s="48"/>
      <c r="AF45" s="58"/>
      <c r="AG45" s="48"/>
      <c r="AH45" s="58"/>
      <c r="AI45" s="48"/>
      <c r="AJ45" s="58"/>
      <c r="AK45" s="59">
        <f>D45+F45+H45+J45+L45+N45+P45+R45+T45+V45+X45+Z45+AB45+AD45+AF45+AH45+AJ45</f>
        <v>0</v>
      </c>
      <c r="AL45" s="41"/>
    </row>
    <row r="46" spans="1:38" outlineLevel="1" x14ac:dyDescent="0.25">
      <c r="A46" s="47"/>
      <c r="B46" s="64" t="s">
        <v>5</v>
      </c>
      <c r="C46" s="60"/>
      <c r="D46" s="61"/>
      <c r="E46" s="60"/>
      <c r="F46" s="61"/>
      <c r="G46" s="60"/>
      <c r="H46" s="61"/>
      <c r="I46" s="60"/>
      <c r="J46" s="61"/>
      <c r="K46" s="60"/>
      <c r="L46" s="61"/>
      <c r="M46" s="60"/>
      <c r="N46" s="61"/>
      <c r="O46" s="60"/>
      <c r="P46" s="61"/>
      <c r="Q46" s="60"/>
      <c r="R46" s="61"/>
      <c r="S46" s="60"/>
      <c r="T46" s="61"/>
      <c r="U46" s="60"/>
      <c r="V46" s="61"/>
      <c r="W46" s="60"/>
      <c r="X46" s="61"/>
      <c r="Y46" s="60"/>
      <c r="Z46" s="61"/>
      <c r="AA46" s="60"/>
      <c r="AB46" s="61"/>
      <c r="AC46" s="60"/>
      <c r="AD46" s="61"/>
      <c r="AE46" s="60"/>
      <c r="AF46" s="61"/>
      <c r="AG46" s="60"/>
      <c r="AH46" s="61"/>
      <c r="AI46" s="60"/>
      <c r="AJ46" s="61"/>
      <c r="AK46" s="128">
        <f>D46+F46+H46+J46+L46+N46+P46+R46+T46+V46+X46+Z46+AB46+AD46+AF46+AH46+AJ46</f>
        <v>0</v>
      </c>
      <c r="AL46" s="60"/>
    </row>
    <row r="47" spans="1:38" x14ac:dyDescent="0.25">
      <c r="A47" s="45">
        <v>15</v>
      </c>
      <c r="B47" s="40"/>
      <c r="C47" s="48"/>
      <c r="D47" s="58"/>
      <c r="E47" s="48"/>
      <c r="F47" s="58"/>
      <c r="G47" s="48"/>
      <c r="H47" s="58"/>
      <c r="I47" s="48"/>
      <c r="J47" s="58"/>
      <c r="K47" s="48"/>
      <c r="L47" s="58"/>
      <c r="M47" s="48"/>
      <c r="N47" s="58"/>
      <c r="O47" s="48"/>
      <c r="P47" s="58"/>
      <c r="Q47" s="48"/>
      <c r="R47" s="58"/>
      <c r="S47" s="48"/>
      <c r="T47" s="58"/>
      <c r="U47" s="48"/>
      <c r="V47" s="58"/>
      <c r="W47" s="48"/>
      <c r="X47" s="58"/>
      <c r="Y47" s="48"/>
      <c r="Z47" s="58"/>
      <c r="AA47" s="48"/>
      <c r="AB47" s="58"/>
      <c r="AC47" s="48"/>
      <c r="AD47" s="58"/>
      <c r="AE47" s="48"/>
      <c r="AF47" s="58"/>
      <c r="AG47" s="48"/>
      <c r="AH47" s="58"/>
      <c r="AI47" s="48"/>
      <c r="AJ47" s="58"/>
      <c r="AK47" s="52">
        <f>D47+F47+H47+J47+L47+N47+X47+Z47+AD47+AF47+AB47+P47+R47+T47+V47+AH47+AJ47</f>
        <v>0</v>
      </c>
      <c r="AL47" s="41"/>
    </row>
    <row r="48" spans="1:38" outlineLevel="1" x14ac:dyDescent="0.25">
      <c r="B48" s="63" t="s">
        <v>31</v>
      </c>
      <c r="C48" s="48"/>
      <c r="D48" s="58"/>
      <c r="E48" s="48"/>
      <c r="F48" s="58"/>
      <c r="G48" s="48"/>
      <c r="H48" s="58"/>
      <c r="I48" s="48"/>
      <c r="J48" s="58"/>
      <c r="K48" s="48"/>
      <c r="L48" s="58"/>
      <c r="M48" s="48"/>
      <c r="N48" s="58"/>
      <c r="O48" s="48"/>
      <c r="P48" s="58"/>
      <c r="Q48" s="48"/>
      <c r="R48" s="58"/>
      <c r="S48" s="48"/>
      <c r="T48" s="58"/>
      <c r="U48" s="48"/>
      <c r="V48" s="58"/>
      <c r="W48" s="48"/>
      <c r="X48" s="58"/>
      <c r="Y48" s="48"/>
      <c r="Z48" s="58"/>
      <c r="AA48" s="48"/>
      <c r="AB48" s="58"/>
      <c r="AC48" s="48"/>
      <c r="AD48" s="58"/>
      <c r="AE48" s="48"/>
      <c r="AF48" s="58"/>
      <c r="AG48" s="48"/>
      <c r="AH48" s="58"/>
      <c r="AI48" s="48"/>
      <c r="AJ48" s="58"/>
      <c r="AK48" s="59">
        <f>D48+F48+H48+J48+L48+N48+P48+R48+T48+V48+X48+Z48+AB48+AD48+AF48+AH48+AJ48</f>
        <v>0</v>
      </c>
      <c r="AL48" s="41"/>
    </row>
    <row r="49" spans="1:38" outlineLevel="1" x14ac:dyDescent="0.25">
      <c r="A49" s="47"/>
      <c r="B49" s="64" t="s">
        <v>5</v>
      </c>
      <c r="C49" s="60"/>
      <c r="D49" s="61"/>
      <c r="E49" s="60"/>
      <c r="F49" s="61"/>
      <c r="G49" s="60"/>
      <c r="H49" s="61"/>
      <c r="I49" s="60"/>
      <c r="J49" s="61"/>
      <c r="K49" s="60"/>
      <c r="L49" s="61"/>
      <c r="M49" s="60"/>
      <c r="N49" s="61"/>
      <c r="O49" s="60"/>
      <c r="P49" s="61"/>
      <c r="Q49" s="60"/>
      <c r="R49" s="61"/>
      <c r="S49" s="60"/>
      <c r="T49" s="61"/>
      <c r="U49" s="60"/>
      <c r="V49" s="61"/>
      <c r="W49" s="60"/>
      <c r="X49" s="61"/>
      <c r="Y49" s="60"/>
      <c r="Z49" s="61"/>
      <c r="AA49" s="60"/>
      <c r="AB49" s="61"/>
      <c r="AC49" s="60"/>
      <c r="AD49" s="61"/>
      <c r="AE49" s="60"/>
      <c r="AF49" s="61"/>
      <c r="AG49" s="60"/>
      <c r="AH49" s="61"/>
      <c r="AI49" s="60"/>
      <c r="AJ49" s="61"/>
      <c r="AK49" s="128">
        <f>D49+F49+H49+J49+L49+N49+P49+R49+T49+V49+X49+Z49+AB49+AD49+AF49+AH49+AJ49</f>
        <v>0</v>
      </c>
      <c r="AL49" s="60"/>
    </row>
    <row r="50" spans="1:38" ht="5.25" customHeight="1" x14ac:dyDescent="0.25">
      <c r="B50" s="67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AK50" s="36"/>
    </row>
    <row r="51" spans="1:38" collapsed="1" x14ac:dyDescent="0.25">
      <c r="B51" s="22" t="s">
        <v>13</v>
      </c>
      <c r="D51" s="144">
        <f>AVERAGE(D5,D8,D11,D14,D17,D20,D23,D26,D29,D32,D35,D38,D41,D44,D47)</f>
        <v>13</v>
      </c>
      <c r="E51" s="12"/>
      <c r="F51" s="144">
        <f>AVERAGE(F5,F8,F11,F14,F17,F20,F23,F26,F29,F32,F35,F38,F41,F44,F47)</f>
        <v>14</v>
      </c>
      <c r="G51" s="12"/>
      <c r="H51" s="144">
        <f>AVERAGE(H5,H8,H11,H14,H17,H20,H23,H26,H29,H32,H35,H38,H41,H44,H47)</f>
        <v>13.166666666666666</v>
      </c>
      <c r="I51" s="12"/>
      <c r="J51" s="144">
        <f>AVERAGE(J5,J8,J11,J14,J17,J20,J23,J26,J29,J32,J35,J38,J41,J44,J47)</f>
        <v>13</v>
      </c>
      <c r="K51" s="12"/>
      <c r="L51" s="144">
        <f>AVERAGE(L5,L8,L11,L14,L17,L20,L23,L26,L29,L32,L35,L38,L41,L44,L47)</f>
        <v>13</v>
      </c>
      <c r="M51" s="12"/>
      <c r="N51" s="144">
        <f>AVERAGE(N5,N8,N11,N14,N17,N20,N23,N26,N29,N32,N35,N38,N41,N44,N47)</f>
        <v>13</v>
      </c>
      <c r="O51" s="12"/>
      <c r="P51" s="144">
        <f>AVERAGE(P5,P8,P11,P14,P17,P20,P23,P26,P29,P32,P35,P38,P41,P44,P47)</f>
        <v>14</v>
      </c>
      <c r="Q51" s="12"/>
      <c r="R51" s="144">
        <f>AVERAGE(R5,R8,R11,R14,R17,R20,R23,R26,R29,R32,R35,R38,R41,R44,R47)</f>
        <v>14</v>
      </c>
      <c r="S51" s="12"/>
      <c r="T51" s="144">
        <f>AVERAGE(T5,T8,T11,T14,T17,T20,T23,T26,T29,T32,T35,T38,T41,T44,T47)</f>
        <v>15.611111111111111</v>
      </c>
      <c r="U51" s="12"/>
      <c r="V51" s="144">
        <f>AVERAGE(V5,V8,V11,V14,V17,V20,V23,V26,V29,V32,V35,V38,V41,V44,V47)</f>
        <v>14.6</v>
      </c>
      <c r="W51" s="12"/>
      <c r="X51" s="144">
        <f>AVERAGE(X5,X8,X11,X14,X17,X20,X23,X26,X29,X32,X35,X38,X41,X44,X47)</f>
        <v>14.555555555555555</v>
      </c>
      <c r="Y51" s="12"/>
      <c r="Z51" s="144">
        <f>AVERAGE(Z5,Z8,Z11,Z14,Z17,Z20,Z23,Z26,Z29,Z32,Z35,Z38,Z41,Z44,Z47)</f>
        <v>13.071428571428571</v>
      </c>
      <c r="AA51" s="12"/>
      <c r="AB51" s="144">
        <f>AVERAGE(AB5,AB8,AB11,AB14,AB17,AB20,AB23,AB26,AB29,AB32,AB35,AB38,AB41,AB44,AB47)</f>
        <v>13</v>
      </c>
      <c r="AC51" s="12"/>
      <c r="AD51" s="144">
        <f>AVERAGE(AD5,AD8,AD11,AD14,AD17,AD20,AD23,AD26,AD29,AD32,AD35,AD38,AD41,AD44,AD47)</f>
        <v>13</v>
      </c>
      <c r="AE51" s="12"/>
      <c r="AF51" s="144">
        <f>AVERAGE(AF5,AF8,AF11,AF14,AF17,AF20,AF23,AF26,AF29,AF32,AF35,AF38,AF41,AF44,AF47)</f>
        <v>13</v>
      </c>
      <c r="AG51" s="12"/>
      <c r="AH51" s="144">
        <f>AVERAGE(AH5,AH8,AH11,AH14,AH17,AH20,AH23,AH26,AH29,AH32,AH35,AH38,AH41,AH44,AH47)</f>
        <v>13.136363636363637</v>
      </c>
      <c r="AI51" s="12"/>
      <c r="AJ51" s="144">
        <f>AVERAGE(AJ5,AJ8,AJ11,AJ14,AJ17,AJ20,AJ23,AJ26,AJ29,AJ32,AJ35,AJ38,AJ41,AJ44,AJ47)</f>
        <v>13.857142857142858</v>
      </c>
      <c r="AK51" s="31">
        <f>AVERAGE(AK5,AK8,AK11,AK14,AK17,AK20,AK23,AK26,AK29,AK32,AK35,AK38,AK41,AK44,AK47)</f>
        <v>103.86666666666666</v>
      </c>
    </row>
    <row r="52" spans="1:38" ht="6" customHeight="1" x14ac:dyDescent="0.25">
      <c r="B52" s="22"/>
      <c r="C52" s="7"/>
    </row>
    <row r="53" spans="1:38" x14ac:dyDescent="0.25">
      <c r="B53" t="s">
        <v>11</v>
      </c>
      <c r="C53" s="7"/>
      <c r="D53" s="32">
        <f>D29+D26+D23+D20+D17+D14+D11+D8+D5+D32+D35+D38+D41+D44+D47</f>
        <v>104</v>
      </c>
      <c r="F53" s="32">
        <f>F29+F26+F23+F20+F17+F14+F11+F8+F5+F32+F35+F38+F41+F44+F47</f>
        <v>140</v>
      </c>
      <c r="H53" s="32">
        <f>H29+H26+H23+H20+H17+H14+H11+H8+H5+H32+H35+H38+H41+H44+H47</f>
        <v>79</v>
      </c>
      <c r="J53" s="32">
        <f>J29+J26+J23+J20+J17+J14+J11+J8+J5+J32+J35+J38+J41+J44+J47</f>
        <v>104</v>
      </c>
      <c r="L53" s="32">
        <f>L29+L26+L23+L20+L17+L14+L11+L8+L5+L32+L35+L38+L41+L44+L47</f>
        <v>52</v>
      </c>
      <c r="N53" s="32">
        <f>N29+N26+N23+N20+N17+N14+N11+N8+N5+N32+N35+N38+N41+N44+N47</f>
        <v>52</v>
      </c>
      <c r="P53" s="32">
        <f>P29+P26+P23+P20+P17+P14+P11+P8+P5+P32+P35+P38+P41+P44+P47</f>
        <v>84</v>
      </c>
      <c r="R53" s="32">
        <f>R29+R26+R23+R20+R17+R14+R11+R8+R5+R32+R35+R38+R41+R44+R47</f>
        <v>140</v>
      </c>
      <c r="T53" s="32">
        <f>T29+T26+T23+T20+T17+T14+T11+T8+T5+T32+T35+T38+T41+T44+T47</f>
        <v>140.5</v>
      </c>
      <c r="V53" s="32">
        <f>V29+V26+V23+V20+V17+V14+V11+V8+V5+V32+V35+V38+V41+V44+V47</f>
        <v>146</v>
      </c>
      <c r="X53" s="32">
        <f>X29+X26+X23+X20+X17+X14+X11+X8+X5+X32+X35+X38+X41+X44+X47</f>
        <v>131</v>
      </c>
      <c r="Z53" s="32">
        <f>Z29+Z26+Z23+Z20+Z17+Z14+Z11+Z8+Z5+Z32+Z35+Z38+Z41+Z44+Z47</f>
        <v>91.5</v>
      </c>
      <c r="AB53" s="32">
        <f>AB29+AB26+AB23+AB20+AB17+AB14+AB11+AB8+AB5+AB32+AB35+AB38+AB41+AB44+AB47</f>
        <v>104</v>
      </c>
      <c r="AD53" s="32">
        <f>AD29+AD26+AD23+AD20+AD17+AD14+AD11+AD8+AD5+AD32+AD35+AD38+AD41+AD44+AD47</f>
        <v>52</v>
      </c>
      <c r="AF53" s="32">
        <f>AF29+AF26+AF23+AF20+AF17+AF14+AF11+AF8+AF5+AF32+AF35+AF38+AF41+AF44+AF47</f>
        <v>39</v>
      </c>
      <c r="AH53" s="32">
        <f>AH29+AH26+AH23+AH20+AH17+AH14+AH11+AH8+AH5+AH32+AH35+AH38+AH41+AH44+AH47</f>
        <v>144.5</v>
      </c>
      <c r="AJ53" s="32">
        <f>AJ29+AJ26+AJ23+AJ20+AJ17+AJ14+AJ11+AJ8+AJ5+AJ32+AJ35+AJ38+AJ41+AJ44+AJ47</f>
        <v>97</v>
      </c>
      <c r="AK53" s="32">
        <f>AK29+AK26+AK23+AK20+AK17+AK14+AK11+AK8+AK5+AK32+AK35+AK38+AK41+AK44+AK47</f>
        <v>1558</v>
      </c>
    </row>
    <row r="54" spans="1:38" ht="9.75" customHeight="1" x14ac:dyDescent="0.25">
      <c r="B54"/>
      <c r="C54" s="7"/>
    </row>
    <row r="55" spans="1:38" x14ac:dyDescent="0.25">
      <c r="A55" s="148"/>
      <c r="B55"/>
      <c r="C55" s="35"/>
      <c r="D55" s="149">
        <f>D59+D62+D65+D68+D71+D74+D77+D80+D83+D86+D89+D92+D53</f>
        <v>104</v>
      </c>
      <c r="F55" s="149">
        <f>F59+F62+F65+F68+F71+F74+F77+F80+F83+F86+F89+F92+F53</f>
        <v>156</v>
      </c>
      <c r="H55" s="149">
        <f>H59+H62+H65+H68+H71+H74+H77+H80+H83+H86+H89+H92+H53</f>
        <v>104</v>
      </c>
      <c r="J55" s="149">
        <f>J59+J62+J65+J68+J71+J74+J77+J80+J83+J86+J89+J92+J53</f>
        <v>104</v>
      </c>
      <c r="L55" s="149">
        <f>L59+L62+L65+L68+L71+L74+L77+L80+L83+L86+L89+L92+L53</f>
        <v>52</v>
      </c>
      <c r="N55" s="149">
        <f>N59+N62+N65+N68+N71+N74+N77+N80+N83+N86+N89+N92+N53</f>
        <v>52</v>
      </c>
      <c r="P55" s="149">
        <f>P59+P62+P65+P68+P71+P74+P77+P80+P83+P86+P89+P92+P53</f>
        <v>104</v>
      </c>
      <c r="R55" s="149">
        <f>R59+R62+R65+R68+R71+R74+R77+R80+R83+R86+R89+R92+R53</f>
        <v>156</v>
      </c>
      <c r="T55" s="149">
        <f>T59+T62+T65+T68+T71+T74+T77+T80+T83+T86+T89+T92+T53</f>
        <v>156</v>
      </c>
      <c r="V55" s="149">
        <f>V59+V62+V65+V68+V71+V74+V77+V80+V83+V86+V89+V92+V53</f>
        <v>156</v>
      </c>
      <c r="X55" s="149">
        <f>X59+X62+X65+X68+X71+X74+X77+X80+X83+X86+X89+X92+X53</f>
        <v>156</v>
      </c>
      <c r="Z55" s="149">
        <f>Z59+Z62+Z65+Z68+Z71+Z74+Z77+Z80+Z83+Z86+Z89+Z92+Z53</f>
        <v>104</v>
      </c>
      <c r="AB55" s="149">
        <f>AB59+AB62+AB65+AB68+AB71+AB74+AB77+AB80+AB83+AB86+AB89+AB92+AB53</f>
        <v>104</v>
      </c>
      <c r="AD55" s="149">
        <f>AD59+AD62+AD65+AD68+AD71+AD74+AD77+AD80+AD83+AD86+AD89+AD92+AD53</f>
        <v>52</v>
      </c>
      <c r="AF55" s="149">
        <f>AF59+AF62+AF65+AF68+AF71+AF74+AF77+AF80+AF83+AF86+AF89+AF92+AF53</f>
        <v>52</v>
      </c>
      <c r="AH55" s="149">
        <f>AH59+AH62+AH65+AH68+AH71+AH74+AH77+AH80+AH83+AH86+AH89+AH92+AH53</f>
        <v>156</v>
      </c>
      <c r="AJ55" s="149">
        <f>AJ59+AJ62+AJ65+AJ68+AJ71+AJ74+AJ77+AJ80+AJ83+AJ86+AJ89+AJ92+AJ53</f>
        <v>104</v>
      </c>
    </row>
    <row r="56" spans="1:38" ht="9.75" customHeight="1" x14ac:dyDescent="0.25">
      <c r="A56" s="148"/>
      <c r="B56"/>
      <c r="C56" s="35"/>
    </row>
    <row r="57" spans="1:38" x14ac:dyDescent="0.25">
      <c r="B57" s="3" t="s">
        <v>14</v>
      </c>
      <c r="C57" s="7"/>
    </row>
    <row r="58" spans="1:38" ht="6" customHeight="1" x14ac:dyDescent="0.25">
      <c r="C58" s="34"/>
    </row>
    <row r="59" spans="1:38" x14ac:dyDescent="0.25">
      <c r="B59" s="121" t="s">
        <v>24</v>
      </c>
      <c r="C59" s="12"/>
      <c r="D59" s="12"/>
      <c r="E59" s="12">
        <v>110</v>
      </c>
      <c r="F59" s="58">
        <f>F60+F61</f>
        <v>8.5</v>
      </c>
      <c r="G59" s="12"/>
      <c r="H59" s="58"/>
      <c r="I59" s="12"/>
      <c r="J59" s="58"/>
      <c r="K59" s="12"/>
      <c r="L59" s="58"/>
      <c r="M59" s="12"/>
      <c r="N59" s="12"/>
      <c r="O59" s="12"/>
      <c r="P59" s="12"/>
      <c r="Q59" s="12">
        <v>96</v>
      </c>
      <c r="R59" s="58">
        <f>R60+R61</f>
        <v>12</v>
      </c>
      <c r="S59" s="12"/>
      <c r="T59" s="12"/>
      <c r="U59" s="12">
        <v>95</v>
      </c>
      <c r="V59" s="58">
        <f>V60+V61</f>
        <v>8</v>
      </c>
      <c r="W59" s="12"/>
      <c r="X59" s="12"/>
      <c r="Y59" s="12"/>
      <c r="Z59" s="58"/>
      <c r="AA59" s="12"/>
      <c r="AB59" s="12"/>
      <c r="AC59" s="12"/>
      <c r="AD59" s="58"/>
      <c r="AE59" s="12">
        <v>97</v>
      </c>
      <c r="AF59" s="58">
        <f>AF60+AF61</f>
        <v>13</v>
      </c>
      <c r="AG59" s="12"/>
      <c r="AH59" s="12"/>
      <c r="AI59" s="12">
        <v>104</v>
      </c>
      <c r="AJ59" s="58">
        <f>AJ60+AJ61</f>
        <v>7</v>
      </c>
      <c r="AK59" s="52">
        <f>D59+F59+H59+J59+L59+N59+X59+Z59+AD59+AF59+AB59+P59+R59+T59+V59+AH59+AJ59</f>
        <v>48.5</v>
      </c>
    </row>
    <row r="60" spans="1:38" outlineLevel="1" x14ac:dyDescent="0.25">
      <c r="B60" s="63" t="s">
        <v>31</v>
      </c>
      <c r="C60" s="12"/>
      <c r="D60" s="12"/>
      <c r="E60" s="12">
        <v>21</v>
      </c>
      <c r="F60" s="12">
        <v>3.5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>
        <v>33</v>
      </c>
      <c r="R60" s="12">
        <v>7</v>
      </c>
      <c r="S60" s="12"/>
      <c r="T60" s="12"/>
      <c r="U60" s="12">
        <v>35</v>
      </c>
      <c r="V60" s="12">
        <v>6</v>
      </c>
      <c r="W60" s="12"/>
      <c r="X60" s="12"/>
      <c r="Y60" s="12"/>
      <c r="Z60" s="12"/>
      <c r="AA60" s="12"/>
      <c r="AB60" s="12"/>
      <c r="AC60" s="12"/>
      <c r="AD60" s="12"/>
      <c r="AE60" s="12">
        <v>34</v>
      </c>
      <c r="AF60" s="12">
        <v>6</v>
      </c>
      <c r="AG60" s="12"/>
      <c r="AH60" s="12"/>
      <c r="AI60" s="12">
        <v>26</v>
      </c>
      <c r="AJ60" s="12">
        <v>3</v>
      </c>
      <c r="AK60" s="59"/>
    </row>
    <row r="61" spans="1:38" outlineLevel="1" x14ac:dyDescent="0.25">
      <c r="B61" s="67" t="s">
        <v>5</v>
      </c>
      <c r="C61" s="12"/>
      <c r="D61" s="12"/>
      <c r="E61" s="12">
        <v>3</v>
      </c>
      <c r="F61" s="12">
        <v>5</v>
      </c>
      <c r="G61" s="79"/>
      <c r="H61" s="12"/>
      <c r="I61" s="79"/>
      <c r="J61" s="12"/>
      <c r="K61" s="79"/>
      <c r="L61" s="12"/>
      <c r="M61" s="12"/>
      <c r="N61" s="12"/>
      <c r="O61" s="12"/>
      <c r="P61" s="12"/>
      <c r="Q61" s="79">
        <v>-5</v>
      </c>
      <c r="R61" s="12">
        <v>5</v>
      </c>
      <c r="S61" s="12"/>
      <c r="T61" s="12"/>
      <c r="U61" s="79">
        <v>-26</v>
      </c>
      <c r="V61" s="12">
        <v>2</v>
      </c>
      <c r="W61" s="79"/>
      <c r="X61" s="12"/>
      <c r="Y61" s="79"/>
      <c r="Z61" s="12"/>
      <c r="AA61" s="12"/>
      <c r="AB61" s="12"/>
      <c r="AC61" s="12"/>
      <c r="AD61" s="12"/>
      <c r="AE61" s="12">
        <v>-2</v>
      </c>
      <c r="AF61" s="12">
        <v>7</v>
      </c>
      <c r="AG61" s="12"/>
      <c r="AH61" s="12"/>
      <c r="AI61" s="12">
        <v>-35</v>
      </c>
      <c r="AJ61" s="12">
        <v>4</v>
      </c>
      <c r="AK61" s="59"/>
    </row>
    <row r="62" spans="1:38" x14ac:dyDescent="0.25">
      <c r="B62" s="121" t="s">
        <v>170</v>
      </c>
      <c r="C62" s="12"/>
      <c r="D62" s="58"/>
      <c r="E62" s="12"/>
      <c r="F62" s="12"/>
      <c r="G62" s="12"/>
      <c r="H62" s="58"/>
      <c r="I62" s="12"/>
      <c r="J62" s="12"/>
      <c r="K62" s="12"/>
      <c r="L62" s="12"/>
      <c r="M62" s="12"/>
      <c r="N62" s="12"/>
      <c r="O62" s="12"/>
      <c r="P62" s="12"/>
      <c r="Q62" s="12"/>
      <c r="R62" s="58"/>
      <c r="S62" s="12">
        <v>97</v>
      </c>
      <c r="T62" s="58">
        <f>T63+T64</f>
        <v>4</v>
      </c>
      <c r="U62" s="12"/>
      <c r="V62" s="12"/>
      <c r="W62" s="12">
        <v>91</v>
      </c>
      <c r="X62" s="58">
        <f>X63+X64</f>
        <v>10</v>
      </c>
      <c r="AA62" s="12"/>
      <c r="AB62" s="58"/>
      <c r="AC62" s="12"/>
      <c r="AD62" s="12"/>
      <c r="AE62" s="12"/>
      <c r="AF62" s="12"/>
      <c r="AG62" s="12">
        <v>88</v>
      </c>
      <c r="AH62" s="58">
        <f>AH63+AH64</f>
        <v>11.5</v>
      </c>
      <c r="AI62" s="12"/>
      <c r="AJ62" s="12"/>
      <c r="AK62" s="52">
        <f>D62+F62+H62+J62+L62+N62+X62+Z62+AD62+AF62+AB62+P62+R62+T62+V62+AH62+AJ62</f>
        <v>25.5</v>
      </c>
    </row>
    <row r="63" spans="1:38" outlineLevel="1" x14ac:dyDescent="0.25">
      <c r="B63" s="63" t="s">
        <v>31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>
        <v>27</v>
      </c>
      <c r="T63" s="12">
        <v>2</v>
      </c>
      <c r="U63" s="12"/>
      <c r="V63" s="12"/>
      <c r="W63" s="12">
        <v>32</v>
      </c>
      <c r="X63" s="48">
        <v>7</v>
      </c>
      <c r="AA63" s="12"/>
      <c r="AB63" s="12"/>
      <c r="AC63" s="12"/>
      <c r="AD63" s="12"/>
      <c r="AE63" s="12"/>
      <c r="AF63" s="12"/>
      <c r="AG63" s="12">
        <v>35</v>
      </c>
      <c r="AH63" s="12">
        <v>6.5</v>
      </c>
      <c r="AI63" s="12"/>
      <c r="AJ63" s="12"/>
      <c r="AK63" s="59"/>
    </row>
    <row r="64" spans="1:38" outlineLevel="1" x14ac:dyDescent="0.25">
      <c r="B64" s="67" t="s">
        <v>5</v>
      </c>
      <c r="C64" s="62"/>
      <c r="D64" s="12"/>
      <c r="E64" s="12"/>
      <c r="F64" s="12"/>
      <c r="G64" s="62"/>
      <c r="H64" s="12"/>
      <c r="I64" s="12"/>
      <c r="J64" s="12"/>
      <c r="K64" s="12"/>
      <c r="L64" s="12"/>
      <c r="M64" s="12"/>
      <c r="N64" s="12"/>
      <c r="O64" s="12"/>
      <c r="P64" s="12"/>
      <c r="Q64" s="62"/>
      <c r="R64" s="12"/>
      <c r="S64" s="48">
        <v>-23</v>
      </c>
      <c r="T64" s="48">
        <v>2</v>
      </c>
      <c r="U64" s="12"/>
      <c r="V64" s="12"/>
      <c r="W64" s="79">
        <v>-14</v>
      </c>
      <c r="X64" s="48">
        <v>3</v>
      </c>
      <c r="AA64" s="79"/>
      <c r="AB64" s="12"/>
      <c r="AC64" s="12"/>
      <c r="AD64" s="12"/>
      <c r="AE64" s="79"/>
      <c r="AF64" s="12"/>
      <c r="AG64" s="79">
        <v>-7</v>
      </c>
      <c r="AH64" s="12">
        <v>5</v>
      </c>
      <c r="AI64" s="79"/>
      <c r="AJ64" s="12"/>
      <c r="AK64" s="59"/>
    </row>
    <row r="65" spans="1:37" x14ac:dyDescent="0.25">
      <c r="B65" s="150" t="s">
        <v>139</v>
      </c>
      <c r="C65" s="12"/>
      <c r="D65" s="58"/>
      <c r="E65" s="12"/>
      <c r="F65" s="12"/>
      <c r="G65" s="12">
        <v>100</v>
      </c>
      <c r="H65" s="58">
        <f>H66+H67</f>
        <v>10</v>
      </c>
      <c r="I65" s="12"/>
      <c r="J65" s="12"/>
      <c r="K65" s="12"/>
      <c r="L65" s="12"/>
      <c r="M65" s="12"/>
      <c r="N65" s="12"/>
      <c r="O65" s="12"/>
      <c r="P65" s="12"/>
      <c r="Q65" s="12"/>
      <c r="R65" s="58"/>
      <c r="S65" s="12">
        <v>91</v>
      </c>
      <c r="T65" s="58">
        <f>T66+T67</f>
        <v>9.5</v>
      </c>
      <c r="U65" s="12">
        <v>101</v>
      </c>
      <c r="V65" s="58">
        <f>V66+V67</f>
        <v>2</v>
      </c>
      <c r="Z65" s="58"/>
      <c r="AA65" s="12"/>
      <c r="AB65" s="58"/>
      <c r="AC65" s="12"/>
      <c r="AD65" s="12"/>
      <c r="AE65" s="12"/>
      <c r="AF65" s="12"/>
      <c r="AG65" s="12"/>
      <c r="AH65" s="12"/>
      <c r="AI65" s="12"/>
      <c r="AJ65" s="12"/>
      <c r="AK65" s="52">
        <f>D65+F65+H65+J65+L65+N65+X65+Z65+AD65+AF65+AB65+P65+R65+T65+V65+AH65+AJ65</f>
        <v>21.5</v>
      </c>
    </row>
    <row r="66" spans="1:37" outlineLevel="1" x14ac:dyDescent="0.25">
      <c r="B66" s="63" t="s">
        <v>31</v>
      </c>
      <c r="C66" s="12"/>
      <c r="D66" s="12"/>
      <c r="E66" s="12"/>
      <c r="F66" s="12"/>
      <c r="G66" s="12">
        <v>29</v>
      </c>
      <c r="H66" s="12">
        <v>4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>
        <v>33</v>
      </c>
      <c r="T66" s="12">
        <v>6.5</v>
      </c>
      <c r="U66" s="12">
        <v>23</v>
      </c>
      <c r="V66" s="12">
        <v>1</v>
      </c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59"/>
    </row>
    <row r="67" spans="1:37" outlineLevel="1" x14ac:dyDescent="0.25">
      <c r="B67" s="67" t="s">
        <v>5</v>
      </c>
      <c r="C67" s="62"/>
      <c r="D67" s="12"/>
      <c r="E67" s="12"/>
      <c r="F67" s="12"/>
      <c r="G67" s="62">
        <v>0</v>
      </c>
      <c r="H67" s="12">
        <v>6</v>
      </c>
      <c r="I67" s="12"/>
      <c r="J67" s="12"/>
      <c r="K67" s="12"/>
      <c r="L67" s="12"/>
      <c r="M67" s="12"/>
      <c r="N67" s="12"/>
      <c r="O67" s="12"/>
      <c r="P67" s="12"/>
      <c r="Q67" s="62"/>
      <c r="R67" s="12"/>
      <c r="S67" s="48">
        <v>-12</v>
      </c>
      <c r="T67" s="48">
        <v>3</v>
      </c>
      <c r="U67" s="12">
        <v>-31</v>
      </c>
      <c r="V67" s="12">
        <v>1</v>
      </c>
      <c r="W67" s="12"/>
      <c r="X67" s="12"/>
      <c r="Y67" s="79"/>
      <c r="AA67" s="79"/>
      <c r="AB67" s="12"/>
      <c r="AC67" s="12"/>
      <c r="AD67" s="12"/>
      <c r="AE67" s="79"/>
      <c r="AF67" s="12"/>
      <c r="AG67" s="79"/>
      <c r="AH67" s="12"/>
      <c r="AI67" s="79"/>
      <c r="AJ67" s="12"/>
      <c r="AK67" s="59"/>
    </row>
    <row r="68" spans="1:37" x14ac:dyDescent="0.25">
      <c r="B68" s="121" t="s">
        <v>140</v>
      </c>
      <c r="C68" s="12"/>
      <c r="D68" s="12"/>
      <c r="E68" s="12"/>
      <c r="F68" s="58"/>
      <c r="G68" s="12">
        <v>75</v>
      </c>
      <c r="H68" s="58">
        <f>H69+H70</f>
        <v>15</v>
      </c>
      <c r="I68" s="12"/>
      <c r="J68" s="12"/>
      <c r="K68" s="12"/>
      <c r="L68" s="12"/>
      <c r="M68" s="12"/>
      <c r="N68" s="12"/>
      <c r="O68" s="12"/>
      <c r="P68" s="58"/>
      <c r="Q68" s="12"/>
      <c r="R68" s="58"/>
      <c r="S68" s="12"/>
      <c r="T68" s="4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52">
        <f>D68+F68+H68+J68+L68+N68+X68+Z68+AD68+AF68+AB68+P68+R68+T68+V68+AH68+AJ68</f>
        <v>15</v>
      </c>
    </row>
    <row r="69" spans="1:37" outlineLevel="1" x14ac:dyDescent="0.25">
      <c r="B69" s="63" t="s">
        <v>31</v>
      </c>
      <c r="C69" s="12"/>
      <c r="D69" s="12"/>
      <c r="E69" s="12"/>
      <c r="F69" s="49"/>
      <c r="G69" s="12">
        <v>31</v>
      </c>
      <c r="H69" s="12">
        <v>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59"/>
    </row>
    <row r="70" spans="1:37" outlineLevel="1" x14ac:dyDescent="0.25">
      <c r="B70" s="67" t="s">
        <v>5</v>
      </c>
      <c r="C70" s="12"/>
      <c r="D70" s="12"/>
      <c r="E70" s="62"/>
      <c r="F70" s="12"/>
      <c r="G70" s="79">
        <v>28</v>
      </c>
      <c r="H70" s="12">
        <v>10</v>
      </c>
      <c r="I70" s="12"/>
      <c r="J70" s="12"/>
      <c r="K70" s="12"/>
      <c r="L70" s="12"/>
      <c r="M70" s="12"/>
      <c r="N70" s="12"/>
      <c r="O70" s="79"/>
      <c r="P70" s="12"/>
      <c r="Q70" s="79"/>
      <c r="R70" s="12"/>
      <c r="S70" s="79"/>
      <c r="T70" s="48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59"/>
    </row>
    <row r="71" spans="1:37" x14ac:dyDescent="0.25">
      <c r="B71" s="150" t="s">
        <v>176</v>
      </c>
      <c r="C71" s="12"/>
      <c r="D71" s="58"/>
      <c r="E71" s="12"/>
      <c r="F71" s="12"/>
      <c r="G71" s="12"/>
      <c r="H71" s="58"/>
      <c r="I71" s="12"/>
      <c r="J71" s="12"/>
      <c r="K71" s="12"/>
      <c r="L71" s="12"/>
      <c r="M71" s="12"/>
      <c r="N71" s="12"/>
      <c r="O71" s="12"/>
      <c r="P71" s="12"/>
      <c r="Q71" s="12"/>
      <c r="R71" s="58"/>
      <c r="S71" s="12"/>
      <c r="T71" s="12"/>
      <c r="U71" s="12"/>
      <c r="V71" s="12"/>
      <c r="W71" s="12"/>
      <c r="X71" s="58"/>
      <c r="Y71" s="12">
        <v>88</v>
      </c>
      <c r="Z71" s="58">
        <f>Z72+Z73</f>
        <v>12.5</v>
      </c>
      <c r="AA71" s="12"/>
      <c r="AB71" s="58"/>
      <c r="AC71" s="12"/>
      <c r="AD71" s="12"/>
      <c r="AE71" s="12"/>
      <c r="AF71" s="12"/>
      <c r="AG71" s="12"/>
      <c r="AH71" s="12"/>
      <c r="AI71" s="12"/>
      <c r="AJ71" s="12"/>
      <c r="AK71" s="52">
        <f>D71+F71+H71+J71+L71+N71+X71+Z71+AD71+AF71+AB71+P71+R71+T71+V71+AH71+AJ71</f>
        <v>12.5</v>
      </c>
    </row>
    <row r="72" spans="1:37" outlineLevel="1" x14ac:dyDescent="0.25">
      <c r="B72" s="63" t="s">
        <v>31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>
        <v>34</v>
      </c>
      <c r="Z72" s="12">
        <v>6.5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59"/>
    </row>
    <row r="73" spans="1:37" outlineLevel="1" x14ac:dyDescent="0.25">
      <c r="B73" s="67" t="s">
        <v>5</v>
      </c>
      <c r="C73" s="62"/>
      <c r="D73" s="12"/>
      <c r="E73" s="12"/>
      <c r="F73" s="12"/>
      <c r="G73" s="62"/>
      <c r="H73" s="12"/>
      <c r="I73" s="12"/>
      <c r="J73" s="12"/>
      <c r="K73" s="12"/>
      <c r="L73" s="12"/>
      <c r="M73" s="12"/>
      <c r="N73" s="12"/>
      <c r="O73" s="12"/>
      <c r="P73" s="12"/>
      <c r="Q73" s="62"/>
      <c r="R73" s="12"/>
      <c r="S73" s="48"/>
      <c r="T73" s="48"/>
      <c r="U73" s="12"/>
      <c r="V73" s="12"/>
      <c r="W73" s="12"/>
      <c r="X73" s="12"/>
      <c r="Y73" s="79">
        <v>-1</v>
      </c>
      <c r="Z73" s="12">
        <v>6</v>
      </c>
      <c r="AA73" s="79"/>
      <c r="AB73" s="12"/>
      <c r="AC73" s="12"/>
      <c r="AD73" s="12"/>
      <c r="AE73" s="79"/>
      <c r="AF73" s="12"/>
      <c r="AG73" s="79"/>
      <c r="AH73" s="12"/>
      <c r="AI73" s="79"/>
      <c r="AJ73" s="12"/>
      <c r="AK73" s="59"/>
    </row>
    <row r="74" spans="1:37" x14ac:dyDescent="0.25">
      <c r="B74" s="67" t="s">
        <v>167</v>
      </c>
      <c r="C74" s="12"/>
      <c r="D74" s="12"/>
      <c r="E74" s="12"/>
      <c r="F74" s="58"/>
      <c r="G74" s="48"/>
      <c r="H74" s="58"/>
      <c r="I74" s="12"/>
      <c r="J74" s="12"/>
      <c r="K74" s="12"/>
      <c r="L74" s="12"/>
      <c r="M74" s="12"/>
      <c r="N74" s="58"/>
      <c r="O74" s="12">
        <v>94</v>
      </c>
      <c r="P74" s="58">
        <f>P75+P76</f>
        <v>10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58"/>
      <c r="AC74" s="12"/>
      <c r="AD74" s="12"/>
      <c r="AE74" s="12"/>
      <c r="AF74" s="58"/>
      <c r="AG74" s="12"/>
      <c r="AH74" s="12"/>
      <c r="AI74" s="12"/>
      <c r="AJ74" s="12"/>
      <c r="AK74" s="52">
        <f>D74+F74+H74+J74+L74+N74+X74+Z74+AD74+AF74+AB74+P74+R74+T74+V74+AH74+AJ74</f>
        <v>10</v>
      </c>
    </row>
    <row r="75" spans="1:37" outlineLevel="1" x14ac:dyDescent="0.25">
      <c r="B75" s="63" t="s">
        <v>31</v>
      </c>
      <c r="C75" s="12"/>
      <c r="D75" s="12"/>
      <c r="E75" s="12"/>
      <c r="F75" s="12"/>
      <c r="G75" s="48"/>
      <c r="H75" s="12"/>
      <c r="I75" s="12"/>
      <c r="J75" s="12"/>
      <c r="K75" s="12"/>
      <c r="L75" s="12"/>
      <c r="M75" s="12"/>
      <c r="N75" s="12"/>
      <c r="O75" s="12">
        <v>31</v>
      </c>
      <c r="P75" s="12">
        <v>5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59"/>
    </row>
    <row r="76" spans="1:37" outlineLevel="1" x14ac:dyDescent="0.25">
      <c r="B76" s="67" t="s">
        <v>5</v>
      </c>
      <c r="C76" s="12"/>
      <c r="D76" s="12"/>
      <c r="E76" s="62"/>
      <c r="F76" s="58"/>
      <c r="G76" s="79"/>
      <c r="H76" s="12"/>
      <c r="I76" s="79"/>
      <c r="J76" s="12"/>
      <c r="K76" s="12"/>
      <c r="L76" s="12"/>
      <c r="M76" s="62"/>
      <c r="N76" s="12"/>
      <c r="O76" s="79">
        <v>-9</v>
      </c>
      <c r="P76" s="12">
        <v>5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79"/>
      <c r="AB76" s="12"/>
      <c r="AC76" s="12"/>
      <c r="AD76" s="12"/>
      <c r="AE76" s="79"/>
      <c r="AF76" s="12"/>
      <c r="AG76" s="12"/>
      <c r="AH76" s="12"/>
      <c r="AI76" s="12"/>
      <c r="AJ76" s="12"/>
      <c r="AK76" s="59"/>
    </row>
    <row r="77" spans="1:37" x14ac:dyDescent="0.25">
      <c r="B77" s="67" t="s">
        <v>166</v>
      </c>
      <c r="C77" s="12"/>
      <c r="D77" s="12"/>
      <c r="E77" s="12"/>
      <c r="F77" s="58"/>
      <c r="G77" s="12"/>
      <c r="H77" s="12"/>
      <c r="I77" s="12"/>
      <c r="J77" s="12"/>
      <c r="K77" s="12"/>
      <c r="L77" s="12"/>
      <c r="M77" s="12"/>
      <c r="N77" s="12"/>
      <c r="O77" s="12">
        <v>80</v>
      </c>
      <c r="P77" s="58">
        <f>P78+P79</f>
        <v>10</v>
      </c>
      <c r="Q77" s="12"/>
      <c r="R77" s="12"/>
      <c r="S77" s="12"/>
      <c r="T77" s="12"/>
      <c r="U77" s="12"/>
      <c r="V77" s="58"/>
      <c r="W77" s="12"/>
      <c r="X77" s="49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52">
        <f>D77+F77+H77+J77+L77+N77+X77+Z77+AD77+AF77+AB77+P77+R77+T77+V77+AH77+AJ77</f>
        <v>10</v>
      </c>
    </row>
    <row r="78" spans="1:37" outlineLevel="1" x14ac:dyDescent="0.25">
      <c r="B78" s="63" t="s">
        <v>31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v>35</v>
      </c>
      <c r="P78" s="12">
        <v>7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59"/>
    </row>
    <row r="79" spans="1:37" outlineLevel="1" x14ac:dyDescent="0.25">
      <c r="B79" s="67" t="s">
        <v>5</v>
      </c>
      <c r="C79" s="12"/>
      <c r="D79" s="12"/>
      <c r="E79" s="62"/>
      <c r="F79" s="12"/>
      <c r="G79" s="12"/>
      <c r="H79" s="12"/>
      <c r="I79" s="12"/>
      <c r="J79" s="12"/>
      <c r="K79" s="12"/>
      <c r="L79" s="12"/>
      <c r="M79" s="12"/>
      <c r="N79" s="12"/>
      <c r="O79" s="12">
        <v>-45</v>
      </c>
      <c r="P79" s="12">
        <v>3</v>
      </c>
      <c r="Q79" s="12"/>
      <c r="R79" s="12"/>
      <c r="S79" s="12"/>
      <c r="T79" s="12"/>
      <c r="U79" s="79"/>
      <c r="V79" s="12"/>
      <c r="W79" s="79"/>
      <c r="X79" s="12"/>
      <c r="Y79" s="12"/>
      <c r="Z79" s="12"/>
      <c r="AA79" s="12"/>
      <c r="AB79" s="12"/>
      <c r="AC79" s="12"/>
      <c r="AD79" s="12"/>
      <c r="AE79" s="79"/>
      <c r="AF79" s="12"/>
      <c r="AG79" s="79"/>
      <c r="AH79" s="12"/>
      <c r="AI79" s="79"/>
      <c r="AJ79" s="12"/>
      <c r="AK79" s="59"/>
    </row>
    <row r="80" spans="1:37" x14ac:dyDescent="0.25">
      <c r="A80" s="51"/>
      <c r="B80" s="121" t="s">
        <v>101</v>
      </c>
      <c r="C80" s="12"/>
      <c r="D80" s="58"/>
      <c r="E80" s="12"/>
      <c r="F80" s="12"/>
      <c r="G80" s="12"/>
      <c r="H80" s="58"/>
      <c r="I80" s="12"/>
      <c r="J80" s="12"/>
      <c r="K80" s="12"/>
      <c r="L80" s="12"/>
      <c r="M80" s="12"/>
      <c r="N80" s="12"/>
      <c r="O80" s="12"/>
      <c r="P80" s="12"/>
      <c r="Q80" s="12"/>
      <c r="R80" s="58"/>
      <c r="S80" s="12"/>
      <c r="T80" s="12"/>
      <c r="U80" s="12"/>
      <c r="V80" s="12"/>
      <c r="W80" s="12">
        <v>102</v>
      </c>
      <c r="X80" s="58">
        <f>X81+X82</f>
        <v>9</v>
      </c>
      <c r="Y80" s="12"/>
      <c r="Z80" s="12"/>
      <c r="AA80" s="12"/>
      <c r="AB80" s="58"/>
      <c r="AC80" s="12"/>
      <c r="AD80" s="12"/>
      <c r="AE80" s="12"/>
      <c r="AF80" s="12"/>
      <c r="AG80" s="12"/>
      <c r="AH80" s="12"/>
      <c r="AI80" s="12"/>
      <c r="AJ80" s="12"/>
      <c r="AK80" s="52">
        <f>D80+F80+H80+J80+L80+N80+X80+Z80+AD80+AF80+AB80+P80+R80+T80+V80+AH80+AJ80</f>
        <v>9</v>
      </c>
    </row>
    <row r="81" spans="1:37" outlineLevel="1" x14ac:dyDescent="0.25">
      <c r="A81" s="51"/>
      <c r="B81" s="63" t="s">
        <v>31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>
        <v>19</v>
      </c>
      <c r="X81" s="12">
        <v>1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59"/>
    </row>
    <row r="82" spans="1:37" outlineLevel="1" x14ac:dyDescent="0.25">
      <c r="A82" s="51"/>
      <c r="B82" s="67" t="s">
        <v>5</v>
      </c>
      <c r="C82" s="62"/>
      <c r="D82" s="12"/>
      <c r="E82" s="12"/>
      <c r="F82" s="12"/>
      <c r="G82" s="62"/>
      <c r="H82" s="12"/>
      <c r="I82" s="12"/>
      <c r="J82" s="12"/>
      <c r="K82" s="12"/>
      <c r="L82" s="12"/>
      <c r="M82" s="12"/>
      <c r="N82" s="12"/>
      <c r="O82" s="12"/>
      <c r="P82" s="12"/>
      <c r="Q82" s="62"/>
      <c r="R82" s="12"/>
      <c r="S82" s="48"/>
      <c r="T82" s="48"/>
      <c r="U82" s="12"/>
      <c r="V82" s="12"/>
      <c r="W82" s="12">
        <v>4</v>
      </c>
      <c r="X82" s="12">
        <v>8</v>
      </c>
      <c r="Y82" s="79"/>
      <c r="Z82" s="12"/>
      <c r="AA82" s="79"/>
      <c r="AB82" s="12"/>
      <c r="AC82" s="12"/>
      <c r="AD82" s="12"/>
      <c r="AE82" s="79"/>
      <c r="AF82" s="12"/>
      <c r="AG82" s="79"/>
      <c r="AH82" s="12"/>
      <c r="AI82" s="79"/>
      <c r="AJ82" s="12"/>
      <c r="AK82" s="59"/>
    </row>
    <row r="83" spans="1:37" x14ac:dyDescent="0.25">
      <c r="A83" s="131"/>
      <c r="B83" s="8" t="s">
        <v>137</v>
      </c>
      <c r="C83" s="12"/>
      <c r="D83" s="12"/>
      <c r="E83" s="12">
        <v>113</v>
      </c>
      <c r="F83" s="58">
        <f>F84+F85</f>
        <v>7.5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58"/>
      <c r="W83" s="12"/>
      <c r="X83" s="12"/>
      <c r="Y83" s="12"/>
      <c r="Z83" s="12"/>
      <c r="AA83" s="12"/>
      <c r="AB83" s="12"/>
      <c r="AC83" s="12"/>
      <c r="AD83" s="58"/>
      <c r="AE83" s="12"/>
      <c r="AF83" s="12"/>
      <c r="AG83" s="12"/>
      <c r="AH83" s="12"/>
      <c r="AI83" s="12"/>
      <c r="AJ83" s="12"/>
      <c r="AK83" s="52">
        <f>D83+F83+H83+J83+L83+N83+X83+Z83+AD83+AF83+AB83+P83+R83+T83+V83+AH83+AJ83</f>
        <v>7.5</v>
      </c>
    </row>
    <row r="84" spans="1:37" outlineLevel="1" x14ac:dyDescent="0.25">
      <c r="A84" s="131"/>
      <c r="B84" s="63" t="s">
        <v>31</v>
      </c>
      <c r="C84" s="12"/>
      <c r="D84" s="12"/>
      <c r="E84" s="12">
        <v>21</v>
      </c>
      <c r="F84" s="12">
        <v>3.5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59"/>
    </row>
    <row r="85" spans="1:37" outlineLevel="1" x14ac:dyDescent="0.25">
      <c r="A85" s="131"/>
      <c r="B85" s="67" t="s">
        <v>5</v>
      </c>
      <c r="C85" s="12"/>
      <c r="D85" s="12"/>
      <c r="E85" s="12">
        <v>-4</v>
      </c>
      <c r="F85" s="12">
        <v>4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79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59"/>
    </row>
    <row r="86" spans="1:37" x14ac:dyDescent="0.25">
      <c r="A86" s="131"/>
      <c r="B86" s="66" t="s">
        <v>99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58"/>
      <c r="U86" s="12"/>
      <c r="V86" s="58"/>
      <c r="W86" s="12">
        <v>91</v>
      </c>
      <c r="X86" s="58">
        <f>X87+X88</f>
        <v>6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52">
        <f>D86+F86+H86+J86+L86+N86+X86+Z86+AD86+AF86+AB86+P86+R86+T86+V86+AH86+AJ86</f>
        <v>6</v>
      </c>
    </row>
    <row r="87" spans="1:37" outlineLevel="1" x14ac:dyDescent="0.25">
      <c r="A87" s="131"/>
      <c r="B87" s="63" t="s">
        <v>31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>
        <v>31</v>
      </c>
      <c r="X87" s="12">
        <v>5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59"/>
    </row>
    <row r="88" spans="1:37" outlineLevel="1" x14ac:dyDescent="0.25">
      <c r="A88" s="131"/>
      <c r="B88" s="67" t="s">
        <v>5</v>
      </c>
      <c r="C88" s="12"/>
      <c r="D88" s="12"/>
      <c r="E88" s="6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79"/>
      <c r="T88" s="12"/>
      <c r="U88" s="117"/>
      <c r="V88" s="12"/>
      <c r="W88" s="12">
        <v>-21</v>
      </c>
      <c r="X88" s="12">
        <v>1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59"/>
    </row>
    <row r="89" spans="1:37" x14ac:dyDescent="0.25">
      <c r="A89" s="133"/>
      <c r="B89" s="67" t="s">
        <v>91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>
        <v>111</v>
      </c>
      <c r="R89" s="58">
        <f>R90+R91</f>
        <v>4</v>
      </c>
      <c r="S89" s="12"/>
      <c r="T89" s="12"/>
      <c r="U89" s="12"/>
      <c r="V89" s="58"/>
      <c r="W89" s="12"/>
      <c r="X89" s="12"/>
      <c r="Y89" s="12"/>
      <c r="Z89" s="12"/>
      <c r="AA89" s="12"/>
      <c r="AB89" s="12"/>
      <c r="AC89" s="12"/>
      <c r="AD89" s="58"/>
      <c r="AE89" s="12"/>
      <c r="AF89" s="12"/>
      <c r="AG89" s="12"/>
      <c r="AH89" s="12"/>
      <c r="AI89" s="12"/>
      <c r="AJ89" s="12"/>
      <c r="AK89" s="52">
        <f>D89+F89+H89+J89+L89+N89+X89+Z89+AD89+AF89+AB89+P89+R89+T89+V89+AH89+AJ89</f>
        <v>4</v>
      </c>
    </row>
    <row r="90" spans="1:37" outlineLevel="1" x14ac:dyDescent="0.25">
      <c r="A90" s="133"/>
      <c r="B90" s="63" t="s">
        <v>31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>
        <v>23</v>
      </c>
      <c r="R90" s="12">
        <v>2</v>
      </c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59"/>
    </row>
    <row r="91" spans="1:37" outlineLevel="1" x14ac:dyDescent="0.25">
      <c r="A91" s="133"/>
      <c r="B91" s="67" t="s">
        <v>5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48">
        <v>-22</v>
      </c>
      <c r="R91" s="48">
        <v>2</v>
      </c>
      <c r="S91" s="12"/>
      <c r="T91" s="12"/>
      <c r="U91" s="79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59"/>
    </row>
    <row r="92" spans="1:37" x14ac:dyDescent="0.25">
      <c r="A92" s="145"/>
      <c r="B92" s="121" t="s">
        <v>132</v>
      </c>
      <c r="C92" s="12"/>
      <c r="D92" s="58"/>
      <c r="E92" s="12"/>
      <c r="F92" s="12"/>
      <c r="G92" s="12"/>
      <c r="H92" s="58"/>
      <c r="I92" s="12"/>
      <c r="J92" s="12"/>
      <c r="K92" s="12"/>
      <c r="L92" s="12"/>
      <c r="M92" s="12"/>
      <c r="N92" s="12"/>
      <c r="O92" s="12"/>
      <c r="P92" s="12"/>
      <c r="Q92" s="12"/>
      <c r="R92" s="58"/>
      <c r="S92" s="12">
        <v>100</v>
      </c>
      <c r="T92" s="58">
        <f>T93+T94</f>
        <v>2</v>
      </c>
      <c r="U92" s="12"/>
      <c r="V92" s="12"/>
      <c r="W92" s="12"/>
      <c r="X92" s="12"/>
      <c r="Y92" s="12"/>
      <c r="Z92" s="12"/>
      <c r="AA92" s="12"/>
      <c r="AB92" s="58"/>
      <c r="AC92" s="12"/>
      <c r="AD92" s="58"/>
      <c r="AE92" s="12"/>
      <c r="AF92" s="12"/>
      <c r="AG92" s="12"/>
      <c r="AH92" s="12"/>
      <c r="AI92" s="12"/>
      <c r="AJ92" s="12"/>
      <c r="AK92" s="52">
        <f>D92+F92+H92+J92+L92+N92+X92+Z92+AD92+AF92+AB92+P92+R92+T92+V92+AH92+AJ92</f>
        <v>2</v>
      </c>
    </row>
    <row r="93" spans="1:37" outlineLevel="1" x14ac:dyDescent="0.25">
      <c r="A93" s="145"/>
      <c r="B93" s="63" t="s">
        <v>31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>
        <v>20</v>
      </c>
      <c r="T93" s="12">
        <v>1</v>
      </c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59"/>
    </row>
    <row r="94" spans="1:37" outlineLevel="1" x14ac:dyDescent="0.25">
      <c r="A94" s="145"/>
      <c r="B94" s="67" t="s">
        <v>5</v>
      </c>
      <c r="C94" s="62"/>
      <c r="D94" s="12"/>
      <c r="E94" s="12"/>
      <c r="F94" s="12"/>
      <c r="G94" s="62"/>
      <c r="H94" s="12"/>
      <c r="I94" s="12"/>
      <c r="J94" s="12"/>
      <c r="K94" s="12"/>
      <c r="L94" s="12"/>
      <c r="M94" s="12"/>
      <c r="N94" s="12"/>
      <c r="O94" s="12"/>
      <c r="P94" s="12"/>
      <c r="Q94" s="62"/>
      <c r="R94" s="12"/>
      <c r="S94" s="48">
        <v>-32</v>
      </c>
      <c r="T94" s="48">
        <v>1</v>
      </c>
      <c r="U94" s="12"/>
      <c r="V94" s="12"/>
      <c r="W94" s="12"/>
      <c r="X94" s="12"/>
      <c r="Y94" s="79"/>
      <c r="Z94" s="12"/>
      <c r="AA94" s="79"/>
      <c r="AB94" s="12"/>
      <c r="AC94" s="79"/>
      <c r="AD94" s="12"/>
      <c r="AE94" s="79"/>
      <c r="AF94" s="12"/>
      <c r="AG94" s="79"/>
      <c r="AH94" s="12"/>
      <c r="AI94" s="79"/>
      <c r="AJ94" s="12"/>
      <c r="AK94" s="59"/>
    </row>
  </sheetData>
  <sortState ref="B5:AL40">
    <sortCondition descending="1" ref="AK5:AK40"/>
  </sortState>
  <dataConsolidate/>
  <mergeCells count="68">
    <mergeCell ref="AA3:AB3"/>
    <mergeCell ref="AC3:AD3"/>
    <mergeCell ref="AE3:AF3"/>
    <mergeCell ref="M3:N3"/>
    <mergeCell ref="O3:P3"/>
    <mergeCell ref="Q3:R3"/>
    <mergeCell ref="S3:T3"/>
    <mergeCell ref="W3:X3"/>
    <mergeCell ref="U3:V3"/>
    <mergeCell ref="U2:V2"/>
    <mergeCell ref="S2:T2"/>
    <mergeCell ref="M1:N1"/>
    <mergeCell ref="O1:P1"/>
    <mergeCell ref="Q1:R1"/>
    <mergeCell ref="S1:T1"/>
    <mergeCell ref="U1:V1"/>
    <mergeCell ref="Q2:R2"/>
    <mergeCell ref="I2:J2"/>
    <mergeCell ref="O2:P2"/>
    <mergeCell ref="M2:N2"/>
    <mergeCell ref="C2:D2"/>
    <mergeCell ref="E2:F2"/>
    <mergeCell ref="K2:L2"/>
    <mergeCell ref="G2:H2"/>
    <mergeCell ref="C1:D1"/>
    <mergeCell ref="E1:F1"/>
    <mergeCell ref="G1:H1"/>
    <mergeCell ref="I1:J1"/>
    <mergeCell ref="K1:L1"/>
    <mergeCell ref="C3:D3"/>
    <mergeCell ref="E3:F3"/>
    <mergeCell ref="I4:J4"/>
    <mergeCell ref="K4:L4"/>
    <mergeCell ref="C4:D4"/>
    <mergeCell ref="E4:F4"/>
    <mergeCell ref="G4:H4"/>
    <mergeCell ref="G3:H3"/>
    <mergeCell ref="I3:J3"/>
    <mergeCell ref="K3:L3"/>
    <mergeCell ref="M4:N4"/>
    <mergeCell ref="O4:P4"/>
    <mergeCell ref="Q4:R4"/>
    <mergeCell ref="S4:T4"/>
    <mergeCell ref="U4:V4"/>
    <mergeCell ref="AG1:AH1"/>
    <mergeCell ref="AG2:AH2"/>
    <mergeCell ref="AG4:AH4"/>
    <mergeCell ref="AI1:AJ1"/>
    <mergeCell ref="AI2:AJ2"/>
    <mergeCell ref="AI4:AJ4"/>
    <mergeCell ref="AG3:AH3"/>
    <mergeCell ref="AI3:AJ3"/>
    <mergeCell ref="AE4:AF4"/>
    <mergeCell ref="AE1:AF1"/>
    <mergeCell ref="AE2:AF2"/>
    <mergeCell ref="W4:X4"/>
    <mergeCell ref="Y4:Z4"/>
    <mergeCell ref="AA4:AB4"/>
    <mergeCell ref="AC4:AD4"/>
    <mergeCell ref="AC1:AD1"/>
    <mergeCell ref="AC2:AD2"/>
    <mergeCell ref="AA2:AB2"/>
    <mergeCell ref="Y2:Z2"/>
    <mergeCell ref="W2:X2"/>
    <mergeCell ref="W1:X1"/>
    <mergeCell ref="Y1:Z1"/>
    <mergeCell ref="AA1:AB1"/>
    <mergeCell ref="Y3:Z3"/>
  </mergeCells>
  <pageMargins left="0.45" right="0.45" top="0.25" bottom="0.25" header="0.3" footer="0.3"/>
  <pageSetup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R42"/>
  <sheetViews>
    <sheetView topLeftCell="AE1" workbookViewId="0">
      <selection activeCell="BC3" sqref="BC3:BR19"/>
    </sheetView>
  </sheetViews>
  <sheetFormatPr defaultRowHeight="13.8" x14ac:dyDescent="0.25"/>
  <cols>
    <col min="1" max="1" width="11.90625" customWidth="1"/>
    <col min="2" max="2" width="5.1796875" customWidth="1"/>
    <col min="3" max="3" width="3.81640625" style="10" customWidth="1"/>
    <col min="4" max="4" width="4.36328125" style="10" bestFit="1" customWidth="1"/>
    <col min="5" max="5" width="2.54296875" style="10" bestFit="1" customWidth="1"/>
    <col min="6" max="6" width="3.81640625" style="10" customWidth="1"/>
    <col min="7" max="7" width="4.453125" style="10" bestFit="1" customWidth="1"/>
    <col min="8" max="9" width="3.81640625" style="10" customWidth="1"/>
    <col min="10" max="10" width="4.36328125" style="10" bestFit="1" customWidth="1"/>
    <col min="11" max="12" width="3.81640625" style="10" customWidth="1"/>
    <col min="13" max="13" width="4.453125" style="10" bestFit="1" customWidth="1"/>
    <col min="14" max="16" width="3.81640625" style="10" customWidth="1"/>
    <col min="17" max="17" width="4.36328125" style="10" bestFit="1" customWidth="1"/>
    <col min="18" max="19" width="3.81640625" style="10" customWidth="1"/>
    <col min="20" max="20" width="4.453125" style="10" bestFit="1" customWidth="1"/>
    <col min="21" max="21" width="4.36328125" style="10" bestFit="1" customWidth="1"/>
    <col min="22" max="22" width="3.81640625" style="10" customWidth="1"/>
    <col min="23" max="23" width="4.453125" style="10" bestFit="1" customWidth="1"/>
    <col min="24" max="24" width="4.36328125" style="10" bestFit="1" customWidth="1"/>
    <col min="25" max="25" width="3.81640625" style="10" customWidth="1"/>
    <col min="26" max="26" width="4.453125" style="10" bestFit="1" customWidth="1"/>
    <col min="27" max="27" width="4.36328125" style="10" bestFit="1" customWidth="1"/>
    <col min="28" max="28" width="2.54296875" customWidth="1"/>
    <col min="29" max="29" width="3.81640625" style="10" customWidth="1"/>
    <col min="30" max="30" width="4.453125" style="10" bestFit="1" customWidth="1"/>
    <col min="31" max="32" width="3.81640625" style="10" customWidth="1"/>
    <col min="33" max="34" width="4.36328125" style="10" bestFit="1" customWidth="1"/>
    <col min="35" max="35" width="3.81640625" style="10" customWidth="1"/>
    <col min="36" max="37" width="4.36328125" style="10" bestFit="1" customWidth="1"/>
    <col min="38" max="38" width="3.81640625" style="10" customWidth="1"/>
    <col min="39" max="40" width="4.36328125" style="10" bestFit="1" customWidth="1"/>
    <col min="41" max="41" width="4.36328125" style="10" customWidth="1"/>
    <col min="42" max="42" width="3.81640625" style="10" customWidth="1"/>
    <col min="43" max="43" width="4.453125" style="10" bestFit="1" customWidth="1"/>
    <col min="44" max="45" width="3.81640625" style="10" customWidth="1"/>
    <col min="46" max="47" width="4.36328125" style="10" bestFit="1" customWidth="1"/>
    <col min="48" max="48" width="3.81640625" style="10" customWidth="1"/>
    <col min="49" max="50" width="4.36328125" style="10" bestFit="1" customWidth="1"/>
    <col min="51" max="51" width="3.81640625" style="10" customWidth="1"/>
    <col min="52" max="53" width="4.36328125" style="10" bestFit="1" customWidth="1"/>
    <col min="54" max="54" width="4.36328125" style="10" customWidth="1"/>
    <col min="55" max="55" width="6.453125" bestFit="1" customWidth="1"/>
    <col min="56" max="56" width="3.36328125" bestFit="1" customWidth="1"/>
    <col min="57" max="57" width="4.1796875" bestFit="1" customWidth="1"/>
    <col min="58" max="58" width="5" bestFit="1" customWidth="1"/>
    <col min="59" max="59" width="4.90625" bestFit="1" customWidth="1"/>
    <col min="60" max="60" width="3.08984375" bestFit="1" customWidth="1"/>
    <col min="61" max="61" width="6.1796875" bestFit="1" customWidth="1"/>
    <col min="62" max="62" width="3.36328125" bestFit="1" customWidth="1"/>
    <col min="63" max="63" width="2.81640625" bestFit="1" customWidth="1"/>
    <col min="64" max="64" width="3.1796875" bestFit="1" customWidth="1"/>
    <col min="65" max="65" width="4.1796875" bestFit="1" customWidth="1"/>
    <col min="66" max="66" width="3.54296875" style="35" bestFit="1" customWidth="1"/>
    <col min="67" max="67" width="5.1796875" bestFit="1" customWidth="1"/>
    <col min="68" max="68" width="3.81640625" customWidth="1"/>
    <col min="69" max="69" width="3" style="35" bestFit="1" customWidth="1"/>
    <col min="70" max="70" width="5.1796875" bestFit="1" customWidth="1"/>
  </cols>
  <sheetData>
    <row r="1" spans="1:70" ht="13.95" x14ac:dyDescent="0.25">
      <c r="B1" t="s">
        <v>9</v>
      </c>
      <c r="C1" s="178" t="s">
        <v>6</v>
      </c>
      <c r="D1" s="178"/>
      <c r="E1" s="178"/>
      <c r="F1" s="178"/>
      <c r="G1" s="178"/>
      <c r="H1" s="178"/>
      <c r="I1" s="178"/>
      <c r="J1" s="178"/>
      <c r="K1" s="178"/>
      <c r="L1" s="178"/>
      <c r="M1" s="109"/>
      <c r="N1" s="109"/>
      <c r="O1" s="13"/>
      <c r="P1" s="178" t="s">
        <v>7</v>
      </c>
      <c r="Q1" s="178"/>
      <c r="R1" s="178"/>
      <c r="S1" s="178"/>
      <c r="T1" s="178"/>
      <c r="U1" s="178"/>
      <c r="V1" s="178"/>
      <c r="W1" s="178"/>
      <c r="X1" s="178"/>
      <c r="Y1" s="178"/>
      <c r="Z1" s="13"/>
      <c r="AA1" s="13"/>
      <c r="AB1" s="22"/>
      <c r="AC1" s="178" t="s">
        <v>26</v>
      </c>
      <c r="AD1" s="178"/>
      <c r="AE1" s="178"/>
      <c r="AF1" s="178"/>
      <c r="AG1" s="178"/>
      <c r="AH1" s="178"/>
      <c r="AI1" s="178"/>
      <c r="AJ1" s="178"/>
      <c r="AK1" s="178"/>
      <c r="AL1" s="178"/>
      <c r="AM1" s="13"/>
      <c r="AN1" s="13"/>
      <c r="AO1" s="13"/>
      <c r="AP1" s="178" t="s">
        <v>72</v>
      </c>
      <c r="AQ1" s="178"/>
      <c r="AR1" s="178"/>
      <c r="AS1" s="178"/>
      <c r="AT1" s="178"/>
      <c r="AU1" s="178"/>
      <c r="AV1" s="178"/>
      <c r="AW1" s="178"/>
      <c r="AX1" s="178"/>
      <c r="AY1" s="178"/>
      <c r="AZ1" s="13"/>
      <c r="BA1" s="13"/>
    </row>
    <row r="2" spans="1:70" ht="12" customHeight="1" x14ac:dyDescent="0.25">
      <c r="A2" s="2"/>
      <c r="B2" s="36">
        <v>1</v>
      </c>
      <c r="C2" s="175" t="s">
        <v>3</v>
      </c>
      <c r="D2" s="176"/>
      <c r="E2" s="177"/>
      <c r="F2" s="175" t="s">
        <v>66</v>
      </c>
      <c r="G2" s="176"/>
      <c r="H2" s="177"/>
      <c r="I2" s="175" t="s">
        <v>8</v>
      </c>
      <c r="J2" s="176"/>
      <c r="K2" s="177"/>
      <c r="L2" s="175" t="s">
        <v>133</v>
      </c>
      <c r="M2" s="176"/>
      <c r="N2" s="177"/>
      <c r="O2" s="13"/>
      <c r="P2" s="175" t="s">
        <v>30</v>
      </c>
      <c r="Q2" s="176"/>
      <c r="R2" s="177"/>
      <c r="S2" s="175" t="s">
        <v>79</v>
      </c>
      <c r="T2" s="176"/>
      <c r="U2" s="177"/>
      <c r="V2" s="175" t="s">
        <v>46</v>
      </c>
      <c r="W2" s="176"/>
      <c r="X2" s="177"/>
      <c r="Y2" s="175" t="s">
        <v>2</v>
      </c>
      <c r="Z2" s="176"/>
      <c r="AA2" s="177"/>
      <c r="AB2" s="22"/>
      <c r="AC2" s="175"/>
      <c r="AD2" s="176"/>
      <c r="AE2" s="177"/>
      <c r="AF2" s="175"/>
      <c r="AG2" s="176"/>
      <c r="AH2" s="177"/>
      <c r="AI2" s="175"/>
      <c r="AJ2" s="176"/>
      <c r="AK2" s="177"/>
      <c r="AL2" s="175"/>
      <c r="AM2" s="176"/>
      <c r="AN2" s="177"/>
      <c r="AO2" s="28"/>
      <c r="AP2" s="175"/>
      <c r="AQ2" s="176"/>
      <c r="AR2" s="177"/>
      <c r="AS2" s="175"/>
      <c r="AT2" s="176"/>
      <c r="AU2" s="177"/>
      <c r="AV2" s="175"/>
      <c r="AW2" s="176"/>
      <c r="AX2" s="177"/>
      <c r="AY2" s="175"/>
      <c r="AZ2" s="176"/>
      <c r="BA2" s="177"/>
      <c r="BB2" s="108"/>
    </row>
    <row r="3" spans="1:70" ht="12" customHeight="1" x14ac:dyDescent="0.25">
      <c r="A3" s="179" t="s">
        <v>10</v>
      </c>
      <c r="B3" s="181"/>
      <c r="C3" s="85">
        <v>75</v>
      </c>
      <c r="D3" s="86">
        <v>-13</v>
      </c>
      <c r="E3" s="85">
        <v>38</v>
      </c>
      <c r="F3" s="85">
        <v>77</v>
      </c>
      <c r="G3" s="86">
        <v>9</v>
      </c>
      <c r="H3" s="85">
        <v>42</v>
      </c>
      <c r="I3" s="85">
        <v>84</v>
      </c>
      <c r="J3" s="86">
        <v>-7</v>
      </c>
      <c r="K3" s="85">
        <v>33</v>
      </c>
      <c r="L3" s="85">
        <v>83</v>
      </c>
      <c r="M3" s="86">
        <v>11</v>
      </c>
      <c r="N3" s="85">
        <v>32</v>
      </c>
      <c r="O3" s="13"/>
      <c r="P3" s="85">
        <v>93</v>
      </c>
      <c r="Q3" s="86">
        <v>12</v>
      </c>
      <c r="R3" s="85">
        <v>34</v>
      </c>
      <c r="S3" s="85">
        <v>105</v>
      </c>
      <c r="T3" s="86">
        <v>0</v>
      </c>
      <c r="U3" s="85">
        <v>27</v>
      </c>
      <c r="V3" s="85">
        <v>89</v>
      </c>
      <c r="W3" s="86">
        <v>-6</v>
      </c>
      <c r="X3" s="85">
        <v>30</v>
      </c>
      <c r="Y3" s="85">
        <v>97</v>
      </c>
      <c r="Z3" s="86">
        <v>-6</v>
      </c>
      <c r="AA3" s="85">
        <v>31</v>
      </c>
      <c r="AB3" s="22"/>
      <c r="AC3" s="85"/>
      <c r="AD3" s="86"/>
      <c r="AE3" s="85"/>
      <c r="AF3" s="85"/>
      <c r="AG3" s="86"/>
      <c r="AH3" s="85"/>
      <c r="AI3" s="85"/>
      <c r="AJ3" s="86"/>
      <c r="AK3" s="85"/>
      <c r="AL3" s="85"/>
      <c r="AM3" s="86"/>
      <c r="AN3" s="85"/>
      <c r="AO3" s="48"/>
      <c r="AP3" s="85"/>
      <c r="AQ3" s="86"/>
      <c r="AR3" s="85"/>
      <c r="AS3" s="85"/>
      <c r="AT3" s="86"/>
      <c r="AU3" s="85"/>
      <c r="AV3" s="85"/>
      <c r="AW3" s="86"/>
      <c r="AX3" s="85"/>
      <c r="AY3" s="85"/>
      <c r="AZ3" s="86"/>
      <c r="BA3" s="85"/>
      <c r="BB3" s="12"/>
      <c r="BD3" t="s">
        <v>89</v>
      </c>
      <c r="BE3" t="s">
        <v>19</v>
      </c>
      <c r="BF3" t="s">
        <v>67</v>
      </c>
      <c r="BG3" t="s">
        <v>1</v>
      </c>
      <c r="BH3" t="s">
        <v>20</v>
      </c>
      <c r="BI3" t="s">
        <v>29</v>
      </c>
      <c r="BJ3" t="s">
        <v>28</v>
      </c>
      <c r="BK3" s="35" t="s">
        <v>32</v>
      </c>
      <c r="BL3" s="35" t="s">
        <v>41</v>
      </c>
      <c r="BM3" t="s">
        <v>68</v>
      </c>
      <c r="BN3" s="35" t="s">
        <v>93</v>
      </c>
      <c r="BO3" t="s">
        <v>76</v>
      </c>
    </row>
    <row r="4" spans="1:70" ht="12" customHeight="1" x14ac:dyDescent="0.25">
      <c r="A4" s="2"/>
      <c r="B4" s="36">
        <v>2</v>
      </c>
      <c r="C4" s="175" t="s">
        <v>66</v>
      </c>
      <c r="D4" s="176"/>
      <c r="E4" s="177"/>
      <c r="F4" s="175" t="s">
        <v>33</v>
      </c>
      <c r="G4" s="176"/>
      <c r="H4" s="177"/>
      <c r="I4" s="175" t="s">
        <v>30</v>
      </c>
      <c r="J4" s="176"/>
      <c r="K4" s="177"/>
      <c r="L4" s="175" t="s">
        <v>71</v>
      </c>
      <c r="M4" s="176"/>
      <c r="N4" s="177"/>
      <c r="O4" s="13"/>
      <c r="P4" s="175" t="s">
        <v>135</v>
      </c>
      <c r="Q4" s="176"/>
      <c r="R4" s="177"/>
      <c r="S4" s="175" t="s">
        <v>24</v>
      </c>
      <c r="T4" s="176"/>
      <c r="U4" s="177"/>
      <c r="V4" s="175" t="s">
        <v>8</v>
      </c>
      <c r="W4" s="176"/>
      <c r="X4" s="177"/>
      <c r="Y4" s="175" t="s">
        <v>46</v>
      </c>
      <c r="Z4" s="176"/>
      <c r="AA4" s="177"/>
      <c r="AB4" s="22"/>
      <c r="AC4" s="175" t="s">
        <v>29</v>
      </c>
      <c r="AD4" s="176"/>
      <c r="AE4" s="177"/>
      <c r="AF4" s="175" t="s">
        <v>34</v>
      </c>
      <c r="AG4" s="176"/>
      <c r="AH4" s="177"/>
      <c r="AI4" s="175" t="s">
        <v>136</v>
      </c>
      <c r="AJ4" s="176"/>
      <c r="AK4" s="177"/>
      <c r="AL4" s="175" t="s">
        <v>79</v>
      </c>
      <c r="AM4" s="176"/>
      <c r="AN4" s="177"/>
      <c r="AO4" s="28"/>
      <c r="AP4" s="175"/>
      <c r="AQ4" s="176"/>
      <c r="AR4" s="177"/>
      <c r="AS4" s="175"/>
      <c r="AT4" s="176"/>
      <c r="AU4" s="177"/>
      <c r="AV4" s="175"/>
      <c r="AW4" s="176"/>
      <c r="AX4" s="177"/>
      <c r="AY4" s="175"/>
      <c r="AZ4" s="176"/>
      <c r="BA4" s="177"/>
      <c r="BB4" s="108"/>
      <c r="BC4" t="s">
        <v>89</v>
      </c>
      <c r="BD4" s="35" t="s">
        <v>21</v>
      </c>
      <c r="BE4" s="35">
        <f>BD5</f>
        <v>1</v>
      </c>
      <c r="BF4" s="35">
        <f>BD6</f>
        <v>1</v>
      </c>
      <c r="BG4" s="35">
        <f>BD7</f>
        <v>0</v>
      </c>
      <c r="BH4" s="35">
        <f>BD8</f>
        <v>1</v>
      </c>
      <c r="BI4" s="35">
        <f>BD9</f>
        <v>0</v>
      </c>
      <c r="BJ4" s="35">
        <f>BD10</f>
        <v>0</v>
      </c>
      <c r="BK4" s="35">
        <f>BD11</f>
        <v>1</v>
      </c>
      <c r="BL4" s="35">
        <f>BD12</f>
        <v>0</v>
      </c>
      <c r="BM4" s="35">
        <f>BD13</f>
        <v>3</v>
      </c>
      <c r="BN4" s="35">
        <f>BD14</f>
        <v>1</v>
      </c>
      <c r="BO4" s="35">
        <f>BD15</f>
        <v>1</v>
      </c>
      <c r="BP4" s="35">
        <f>BD16</f>
        <v>0</v>
      </c>
      <c r="BQ4" s="35">
        <f>BD17</f>
        <v>0</v>
      </c>
      <c r="BR4" s="35">
        <f>BD18</f>
        <v>0</v>
      </c>
    </row>
    <row r="5" spans="1:70" ht="12" customHeight="1" x14ac:dyDescent="0.25">
      <c r="A5" s="179" t="s">
        <v>10</v>
      </c>
      <c r="B5" s="180"/>
      <c r="C5" s="85">
        <v>87</v>
      </c>
      <c r="D5" s="86">
        <v>-48</v>
      </c>
      <c r="E5" s="85">
        <v>32</v>
      </c>
      <c r="F5" s="85">
        <v>105</v>
      </c>
      <c r="G5" s="86">
        <v>18</v>
      </c>
      <c r="H5" s="85">
        <v>28</v>
      </c>
      <c r="I5" s="85">
        <v>95</v>
      </c>
      <c r="J5" s="86">
        <v>24</v>
      </c>
      <c r="K5" s="85">
        <v>33</v>
      </c>
      <c r="L5" s="85">
        <v>101</v>
      </c>
      <c r="M5" s="86">
        <v>6</v>
      </c>
      <c r="N5" s="85">
        <v>28</v>
      </c>
      <c r="O5" s="13"/>
      <c r="P5" s="85">
        <v>102</v>
      </c>
      <c r="Q5" s="86">
        <v>17</v>
      </c>
      <c r="R5" s="85">
        <v>28</v>
      </c>
      <c r="S5" s="85">
        <v>110</v>
      </c>
      <c r="T5" s="86">
        <v>3</v>
      </c>
      <c r="U5" s="85">
        <v>21</v>
      </c>
      <c r="V5" s="85">
        <v>98</v>
      </c>
      <c r="W5" s="86">
        <v>-31</v>
      </c>
      <c r="X5" s="85">
        <v>20</v>
      </c>
      <c r="Y5" s="85">
        <v>100</v>
      </c>
      <c r="Z5" s="86">
        <v>11</v>
      </c>
      <c r="AA5" s="85">
        <v>18</v>
      </c>
      <c r="AB5" s="22"/>
      <c r="AC5" s="85">
        <v>86</v>
      </c>
      <c r="AD5" s="86">
        <v>8</v>
      </c>
      <c r="AE5" s="85">
        <v>41</v>
      </c>
      <c r="AF5" s="85">
        <v>80</v>
      </c>
      <c r="AG5" s="86">
        <v>-34</v>
      </c>
      <c r="AH5" s="85">
        <v>35</v>
      </c>
      <c r="AI5" s="85">
        <v>113</v>
      </c>
      <c r="AJ5" s="86">
        <v>-4</v>
      </c>
      <c r="AK5" s="85">
        <v>21</v>
      </c>
      <c r="AL5" s="85">
        <v>98</v>
      </c>
      <c r="AM5" s="86">
        <v>30</v>
      </c>
      <c r="AN5" s="85">
        <v>35</v>
      </c>
      <c r="AO5" s="48"/>
      <c r="AP5" s="85"/>
      <c r="AQ5" s="86"/>
      <c r="AR5" s="85"/>
      <c r="AS5" s="85"/>
      <c r="AT5" s="86"/>
      <c r="AU5" s="85"/>
      <c r="AV5" s="85"/>
      <c r="AW5" s="86"/>
      <c r="AX5" s="85"/>
      <c r="AY5" s="85"/>
      <c r="AZ5" s="86"/>
      <c r="BA5" s="85"/>
      <c r="BB5" s="12"/>
      <c r="BC5" t="s">
        <v>19</v>
      </c>
      <c r="BD5" s="35">
        <v>1</v>
      </c>
      <c r="BE5" s="35" t="s">
        <v>21</v>
      </c>
      <c r="BF5" s="35">
        <f>BE6</f>
        <v>3</v>
      </c>
      <c r="BG5" s="35">
        <f>BE7</f>
        <v>2</v>
      </c>
      <c r="BH5" s="35">
        <f>BE8</f>
        <v>2</v>
      </c>
      <c r="BI5" s="35">
        <f>BE9</f>
        <v>2</v>
      </c>
      <c r="BJ5" s="35">
        <f>BE10</f>
        <v>1</v>
      </c>
      <c r="BK5" s="35">
        <f>BE11</f>
        <v>3</v>
      </c>
      <c r="BL5" s="35">
        <f>BE12</f>
        <v>2</v>
      </c>
      <c r="BM5" s="35">
        <f>BE13</f>
        <v>2</v>
      </c>
      <c r="BN5" s="35">
        <f>BE14</f>
        <v>2</v>
      </c>
      <c r="BO5" s="35">
        <f>BE15</f>
        <v>1</v>
      </c>
      <c r="BP5" s="35">
        <f>BE16</f>
        <v>0</v>
      </c>
      <c r="BQ5" s="35">
        <f>BE17</f>
        <v>0</v>
      </c>
      <c r="BR5" s="35">
        <f>BE18</f>
        <v>0</v>
      </c>
    </row>
    <row r="6" spans="1:70" ht="12" customHeight="1" x14ac:dyDescent="0.25">
      <c r="A6" s="2"/>
      <c r="B6" s="36">
        <v>3</v>
      </c>
      <c r="C6" s="175" t="s">
        <v>66</v>
      </c>
      <c r="D6" s="176"/>
      <c r="E6" s="177"/>
      <c r="F6" s="175" t="s">
        <v>3</v>
      </c>
      <c r="G6" s="176"/>
      <c r="H6" s="177"/>
      <c r="I6" s="175" t="s">
        <v>30</v>
      </c>
      <c r="J6" s="176"/>
      <c r="K6" s="177"/>
      <c r="L6" s="175" t="s">
        <v>140</v>
      </c>
      <c r="M6" s="176"/>
      <c r="N6" s="177"/>
      <c r="O6" s="13"/>
      <c r="P6" s="175" t="s">
        <v>142</v>
      </c>
      <c r="Q6" s="176"/>
      <c r="R6" s="177"/>
      <c r="S6" s="175" t="s">
        <v>2</v>
      </c>
      <c r="T6" s="176"/>
      <c r="U6" s="177"/>
      <c r="V6" s="175" t="s">
        <v>139</v>
      </c>
      <c r="W6" s="176"/>
      <c r="X6" s="177"/>
      <c r="Y6" s="175" t="s">
        <v>71</v>
      </c>
      <c r="Z6" s="176"/>
      <c r="AA6" s="177"/>
      <c r="AB6" s="22"/>
      <c r="AC6" s="175"/>
      <c r="AD6" s="176"/>
      <c r="AE6" s="177"/>
      <c r="AF6" s="175"/>
      <c r="AG6" s="176"/>
      <c r="AH6" s="177"/>
      <c r="AI6" s="175"/>
      <c r="AJ6" s="176"/>
      <c r="AK6" s="177"/>
      <c r="AL6" s="175"/>
      <c r="AM6" s="176"/>
      <c r="AN6" s="177"/>
      <c r="AO6" s="28"/>
      <c r="AP6" s="175"/>
      <c r="AQ6" s="176"/>
      <c r="AR6" s="177"/>
      <c r="AS6" s="175"/>
      <c r="AT6" s="176"/>
      <c r="AU6" s="177"/>
      <c r="AV6" s="175"/>
      <c r="AW6" s="176"/>
      <c r="AX6" s="177"/>
      <c r="AY6" s="175"/>
      <c r="AZ6" s="176"/>
      <c r="BA6" s="177"/>
      <c r="BB6" s="108"/>
      <c r="BC6" t="s">
        <v>67</v>
      </c>
      <c r="BD6" s="35">
        <v>1</v>
      </c>
      <c r="BE6" s="35">
        <v>3</v>
      </c>
      <c r="BF6" s="35" t="s">
        <v>21</v>
      </c>
      <c r="BG6" s="35">
        <f>BF7</f>
        <v>4</v>
      </c>
      <c r="BH6" s="35">
        <f>BF8</f>
        <v>4</v>
      </c>
      <c r="BI6" s="35">
        <f>BF9</f>
        <v>2</v>
      </c>
      <c r="BJ6" s="35">
        <f>BF10</f>
        <v>1</v>
      </c>
      <c r="BK6" s="35">
        <f>BF11</f>
        <v>4</v>
      </c>
      <c r="BL6" s="35">
        <f>BF12</f>
        <v>3</v>
      </c>
      <c r="BM6" s="35">
        <f>BF13</f>
        <v>2</v>
      </c>
      <c r="BN6" s="35">
        <f>BF14</f>
        <v>3</v>
      </c>
      <c r="BO6" s="35">
        <f>BF15</f>
        <v>3</v>
      </c>
      <c r="BP6" s="35">
        <f>BF16</f>
        <v>0</v>
      </c>
      <c r="BQ6" s="35">
        <f>BF17</f>
        <v>0</v>
      </c>
      <c r="BR6" s="35">
        <f>BF18</f>
        <v>0</v>
      </c>
    </row>
    <row r="7" spans="1:70" ht="12" customHeight="1" x14ac:dyDescent="0.25">
      <c r="A7" s="179" t="s">
        <v>10</v>
      </c>
      <c r="B7" s="180"/>
      <c r="C7" s="85">
        <v>79</v>
      </c>
      <c r="D7" s="86">
        <v>4</v>
      </c>
      <c r="E7" s="85">
        <v>40</v>
      </c>
      <c r="F7" s="85">
        <v>81</v>
      </c>
      <c r="G7" s="86">
        <v>-22</v>
      </c>
      <c r="H7" s="85">
        <v>32</v>
      </c>
      <c r="I7" s="85">
        <v>93</v>
      </c>
      <c r="J7" s="86">
        <v>-10</v>
      </c>
      <c r="K7" s="85">
        <v>33</v>
      </c>
      <c r="L7" s="85">
        <v>75</v>
      </c>
      <c r="M7" s="86">
        <v>28</v>
      </c>
      <c r="N7" s="85">
        <v>31</v>
      </c>
      <c r="O7" s="13"/>
      <c r="P7" s="85">
        <v>108</v>
      </c>
      <c r="Q7" s="86">
        <v>18</v>
      </c>
      <c r="R7" s="85">
        <v>25</v>
      </c>
      <c r="S7" s="85">
        <v>95</v>
      </c>
      <c r="T7" s="86">
        <v>4</v>
      </c>
      <c r="U7" s="85">
        <v>33</v>
      </c>
      <c r="V7" s="85">
        <v>100</v>
      </c>
      <c r="W7" s="86">
        <v>0</v>
      </c>
      <c r="X7" s="85">
        <v>29</v>
      </c>
      <c r="Y7" s="85">
        <v>96</v>
      </c>
      <c r="Z7" s="86">
        <v>-22</v>
      </c>
      <c r="AA7" s="85">
        <v>32</v>
      </c>
      <c r="AB7" s="22"/>
      <c r="AC7" s="85"/>
      <c r="AD7" s="86"/>
      <c r="AE7" s="85"/>
      <c r="AF7" s="85"/>
      <c r="AG7" s="86"/>
      <c r="AH7" s="85"/>
      <c r="AI7" s="85"/>
      <c r="AJ7" s="86"/>
      <c r="AK7" s="85"/>
      <c r="AL7" s="85"/>
      <c r="AM7" s="86"/>
      <c r="AN7" s="85"/>
      <c r="AO7" s="48"/>
      <c r="AP7" s="85"/>
      <c r="AQ7" s="86"/>
      <c r="AR7" s="85"/>
      <c r="AS7" s="85"/>
      <c r="AT7" s="86"/>
      <c r="AU7" s="85"/>
      <c r="AV7" s="85"/>
      <c r="AW7" s="86"/>
      <c r="AX7" s="85"/>
      <c r="AY7" s="85"/>
      <c r="AZ7" s="86"/>
      <c r="BA7" s="85"/>
      <c r="BB7" s="12"/>
      <c r="BC7" t="s">
        <v>1</v>
      </c>
      <c r="BD7" s="35"/>
      <c r="BE7" s="35">
        <v>2</v>
      </c>
      <c r="BF7" s="35">
        <v>4</v>
      </c>
      <c r="BG7" s="35" t="s">
        <v>21</v>
      </c>
      <c r="BH7" s="35">
        <f>BG8</f>
        <v>4</v>
      </c>
      <c r="BI7" s="35">
        <f>BG9</f>
        <v>3</v>
      </c>
      <c r="BJ7" s="35">
        <f>BG10</f>
        <v>1</v>
      </c>
      <c r="BK7" s="35">
        <f>BG11</f>
        <v>5</v>
      </c>
      <c r="BL7" s="35">
        <f>BG12</f>
        <v>4</v>
      </c>
      <c r="BM7" s="35">
        <f>BG13</f>
        <v>3</v>
      </c>
      <c r="BN7" s="35">
        <f>BG14</f>
        <v>3</v>
      </c>
      <c r="BO7" s="35">
        <f>BG15</f>
        <v>3</v>
      </c>
      <c r="BP7" s="35">
        <f>BG16</f>
        <v>0</v>
      </c>
      <c r="BQ7" s="35">
        <f>BG17</f>
        <v>0</v>
      </c>
      <c r="BR7" s="35">
        <f>BG18</f>
        <v>0</v>
      </c>
    </row>
    <row r="8" spans="1:70" ht="12" customHeight="1" x14ac:dyDescent="0.25">
      <c r="A8" s="2"/>
      <c r="B8" s="36">
        <v>4</v>
      </c>
      <c r="C8" s="175" t="s">
        <v>71</v>
      </c>
      <c r="D8" s="176"/>
      <c r="E8" s="177"/>
      <c r="F8" s="175" t="s">
        <v>133</v>
      </c>
      <c r="G8" s="176"/>
      <c r="H8" s="177"/>
      <c r="I8" s="175" t="s">
        <v>30</v>
      </c>
      <c r="J8" s="176"/>
      <c r="K8" s="177"/>
      <c r="L8" s="175" t="s">
        <v>79</v>
      </c>
      <c r="M8" s="176"/>
      <c r="N8" s="177"/>
      <c r="O8" s="13"/>
      <c r="P8" s="175" t="s">
        <v>135</v>
      </c>
      <c r="Q8" s="176"/>
      <c r="R8" s="177"/>
      <c r="S8" s="175" t="s">
        <v>160</v>
      </c>
      <c r="T8" s="176"/>
      <c r="U8" s="177"/>
      <c r="V8" s="175" t="s">
        <v>46</v>
      </c>
      <c r="W8" s="176"/>
      <c r="X8" s="177"/>
      <c r="Y8" s="175" t="s">
        <v>161</v>
      </c>
      <c r="Z8" s="176"/>
      <c r="AA8" s="177"/>
      <c r="AB8" s="22"/>
      <c r="AC8" s="175"/>
      <c r="AD8" s="176"/>
      <c r="AE8" s="177"/>
      <c r="AF8" s="175"/>
      <c r="AG8" s="176"/>
      <c r="AH8" s="177"/>
      <c r="AI8" s="175"/>
      <c r="AJ8" s="176"/>
      <c r="AK8" s="177"/>
      <c r="AL8" s="175"/>
      <c r="AM8" s="176"/>
      <c r="AN8" s="177"/>
      <c r="AO8" s="28"/>
      <c r="AP8" s="175"/>
      <c r="AQ8" s="176"/>
      <c r="AR8" s="177"/>
      <c r="AS8" s="175"/>
      <c r="AT8" s="176"/>
      <c r="AU8" s="177"/>
      <c r="AV8" s="175"/>
      <c r="AW8" s="176"/>
      <c r="AX8" s="177"/>
      <c r="AY8" s="175"/>
      <c r="AZ8" s="176"/>
      <c r="BA8" s="177"/>
      <c r="BB8" s="108"/>
      <c r="BC8" t="s">
        <v>20</v>
      </c>
      <c r="BD8" s="35">
        <v>1</v>
      </c>
      <c r="BE8" s="35">
        <v>2</v>
      </c>
      <c r="BF8" s="35">
        <v>4</v>
      </c>
      <c r="BG8" s="35">
        <v>4</v>
      </c>
      <c r="BH8" s="35" t="s">
        <v>21</v>
      </c>
      <c r="BI8" s="35">
        <f>BH9</f>
        <v>1</v>
      </c>
      <c r="BJ8" s="35">
        <f>BH10</f>
        <v>1</v>
      </c>
      <c r="BK8" s="35">
        <f>BH11</f>
        <v>4</v>
      </c>
      <c r="BL8" s="35">
        <f>BH12</f>
        <v>3</v>
      </c>
      <c r="BM8" s="35">
        <f>BH13</f>
        <v>4</v>
      </c>
      <c r="BN8" s="35">
        <f>BH14</f>
        <v>3</v>
      </c>
      <c r="BO8" s="35">
        <f>BH15</f>
        <v>2</v>
      </c>
      <c r="BP8" s="35">
        <f>BH16</f>
        <v>0</v>
      </c>
      <c r="BQ8" s="35">
        <f>BH17</f>
        <v>0</v>
      </c>
      <c r="BR8" s="35">
        <f>BH18</f>
        <v>0</v>
      </c>
    </row>
    <row r="9" spans="1:70" ht="12" customHeight="1" x14ac:dyDescent="0.25">
      <c r="A9" s="179" t="s">
        <v>10</v>
      </c>
      <c r="B9" s="180"/>
      <c r="C9" s="85">
        <v>100</v>
      </c>
      <c r="D9" s="86">
        <v>25</v>
      </c>
      <c r="E9" s="85">
        <v>28</v>
      </c>
      <c r="F9" s="85">
        <v>79</v>
      </c>
      <c r="G9" s="86">
        <v>11</v>
      </c>
      <c r="H9" s="85">
        <v>36</v>
      </c>
      <c r="I9" s="85">
        <v>97</v>
      </c>
      <c r="J9" s="86">
        <v>-1</v>
      </c>
      <c r="K9" s="85">
        <v>29</v>
      </c>
      <c r="L9" s="85">
        <v>113</v>
      </c>
      <c r="M9" s="86">
        <v>-35</v>
      </c>
      <c r="N9" s="85">
        <v>21</v>
      </c>
      <c r="O9" s="13"/>
      <c r="P9" s="85">
        <v>90</v>
      </c>
      <c r="Q9" s="86">
        <v>13</v>
      </c>
      <c r="R9" s="85">
        <v>41</v>
      </c>
      <c r="S9" s="85">
        <v>108</v>
      </c>
      <c r="T9" s="86">
        <v>-41</v>
      </c>
      <c r="U9" s="85">
        <v>25</v>
      </c>
      <c r="V9" s="85">
        <v>88</v>
      </c>
      <c r="W9" s="86">
        <v>5</v>
      </c>
      <c r="X9" s="85">
        <v>30</v>
      </c>
      <c r="Y9" s="85">
        <v>95</v>
      </c>
      <c r="Z9" s="86">
        <v>23</v>
      </c>
      <c r="AA9" s="85">
        <v>25</v>
      </c>
      <c r="AB9" s="22"/>
      <c r="AC9" s="85"/>
      <c r="AD9" s="86"/>
      <c r="AE9" s="85"/>
      <c r="AF9" s="85"/>
      <c r="AG9" s="86"/>
      <c r="AH9" s="85"/>
      <c r="AI9" s="85"/>
      <c r="AJ9" s="86"/>
      <c r="AK9" s="85"/>
      <c r="AL9" s="85"/>
      <c r="AM9" s="86"/>
      <c r="AN9" s="85"/>
      <c r="AO9" s="48"/>
      <c r="AP9" s="85"/>
      <c r="AQ9" s="86"/>
      <c r="AR9" s="85"/>
      <c r="AS9" s="85"/>
      <c r="AT9" s="86"/>
      <c r="AU9" s="85"/>
      <c r="AV9" s="85"/>
      <c r="AW9" s="86"/>
      <c r="AX9" s="85"/>
      <c r="AY9" s="85"/>
      <c r="AZ9" s="86"/>
      <c r="BA9" s="85"/>
      <c r="BB9" s="12"/>
      <c r="BC9" t="s">
        <v>29</v>
      </c>
      <c r="BD9" s="35"/>
      <c r="BE9" s="35">
        <v>2</v>
      </c>
      <c r="BF9" s="35">
        <v>2</v>
      </c>
      <c r="BG9" s="35">
        <v>3</v>
      </c>
      <c r="BH9" s="35">
        <v>1</v>
      </c>
      <c r="BI9" s="35" t="s">
        <v>21</v>
      </c>
      <c r="BJ9" s="35">
        <f>BI10</f>
        <v>3</v>
      </c>
      <c r="BK9" s="35">
        <f>BI11</f>
        <v>3</v>
      </c>
      <c r="BL9" s="35">
        <f>BI12</f>
        <v>3</v>
      </c>
      <c r="BM9" s="35">
        <f>BI13</f>
        <v>2</v>
      </c>
      <c r="BN9" s="35">
        <f>BI14</f>
        <v>3</v>
      </c>
      <c r="BO9" s="35">
        <f>BI15</f>
        <v>2</v>
      </c>
      <c r="BP9" s="35">
        <f>BI16</f>
        <v>0</v>
      </c>
      <c r="BQ9" s="35">
        <f>BI17</f>
        <v>0</v>
      </c>
      <c r="BR9" s="35">
        <f>BI18</f>
        <v>0</v>
      </c>
    </row>
    <row r="10" spans="1:70" ht="12" customHeight="1" x14ac:dyDescent="0.25">
      <c r="A10" s="2"/>
      <c r="B10" s="36">
        <v>5</v>
      </c>
      <c r="C10" s="175" t="s">
        <v>30</v>
      </c>
      <c r="D10" s="176"/>
      <c r="E10" s="177"/>
      <c r="F10" s="175" t="s">
        <v>66</v>
      </c>
      <c r="G10" s="176"/>
      <c r="H10" s="177"/>
      <c r="I10" s="175" t="s">
        <v>71</v>
      </c>
      <c r="J10" s="176"/>
      <c r="K10" s="177"/>
      <c r="L10" s="175" t="s">
        <v>163</v>
      </c>
      <c r="M10" s="176"/>
      <c r="N10" s="177"/>
      <c r="O10" s="13"/>
      <c r="P10" s="175"/>
      <c r="Q10" s="176"/>
      <c r="R10" s="177"/>
      <c r="S10" s="175"/>
      <c r="T10" s="176"/>
      <c r="U10" s="177"/>
      <c r="V10" s="175"/>
      <c r="W10" s="176"/>
      <c r="X10" s="177"/>
      <c r="Y10" s="175"/>
      <c r="Z10" s="176"/>
      <c r="AA10" s="177"/>
      <c r="AB10" s="22"/>
      <c r="AC10" s="175"/>
      <c r="AD10" s="176"/>
      <c r="AE10" s="177"/>
      <c r="AF10" s="175"/>
      <c r="AG10" s="176"/>
      <c r="AH10" s="177"/>
      <c r="AI10" s="175"/>
      <c r="AJ10" s="176"/>
      <c r="AK10" s="177"/>
      <c r="AL10" s="175"/>
      <c r="AM10" s="176"/>
      <c r="AN10" s="177"/>
      <c r="AO10" s="28"/>
      <c r="AP10" s="175"/>
      <c r="AQ10" s="176"/>
      <c r="AR10" s="177"/>
      <c r="AS10" s="175"/>
      <c r="AT10" s="176"/>
      <c r="AU10" s="177"/>
      <c r="AV10" s="175"/>
      <c r="AW10" s="176"/>
      <c r="AX10" s="177"/>
      <c r="AY10" s="175"/>
      <c r="AZ10" s="176"/>
      <c r="BA10" s="177"/>
      <c r="BB10" s="28"/>
      <c r="BC10" t="s">
        <v>28</v>
      </c>
      <c r="BD10" s="35"/>
      <c r="BE10" s="35">
        <v>1</v>
      </c>
      <c r="BF10" s="35">
        <v>1</v>
      </c>
      <c r="BG10" s="35">
        <v>1</v>
      </c>
      <c r="BH10" s="35">
        <v>1</v>
      </c>
      <c r="BI10" s="35">
        <v>3</v>
      </c>
      <c r="BJ10" s="35" t="s">
        <v>21</v>
      </c>
      <c r="BK10" s="35">
        <f>BJ11</f>
        <v>0</v>
      </c>
      <c r="BL10" s="35">
        <f>BJ12</f>
        <v>1</v>
      </c>
      <c r="BM10" s="35">
        <f>BJ13</f>
        <v>3</v>
      </c>
      <c r="BN10" s="35">
        <f>BJ14</f>
        <v>0</v>
      </c>
      <c r="BO10" s="35">
        <f>BJ15</f>
        <v>0</v>
      </c>
      <c r="BP10" s="35">
        <f>BJ16</f>
        <v>0</v>
      </c>
      <c r="BQ10" s="35">
        <f>BJ17</f>
        <v>0</v>
      </c>
      <c r="BR10" s="35">
        <f>BJ18</f>
        <v>0</v>
      </c>
    </row>
    <row r="11" spans="1:70" ht="12" customHeight="1" x14ac:dyDescent="0.25">
      <c r="A11" s="179" t="s">
        <v>10</v>
      </c>
      <c r="B11" s="180"/>
      <c r="C11" s="85">
        <v>80</v>
      </c>
      <c r="D11" s="86">
        <v>25</v>
      </c>
      <c r="E11" s="85">
        <v>45</v>
      </c>
      <c r="F11" s="85">
        <v>74</v>
      </c>
      <c r="G11" s="86">
        <v>45</v>
      </c>
      <c r="H11" s="85">
        <v>45</v>
      </c>
      <c r="I11" s="85">
        <v>100</v>
      </c>
      <c r="J11" s="86">
        <v>-87</v>
      </c>
      <c r="K11" s="85">
        <v>27</v>
      </c>
      <c r="L11" s="85">
        <v>79</v>
      </c>
      <c r="M11" s="86">
        <v>17</v>
      </c>
      <c r="N11" s="85">
        <v>34</v>
      </c>
      <c r="O11" s="13"/>
      <c r="P11" s="85"/>
      <c r="Q11" s="86"/>
      <c r="R11" s="85"/>
      <c r="S11" s="85"/>
      <c r="T11" s="86"/>
      <c r="U11" s="85"/>
      <c r="V11" s="85"/>
      <c r="W11" s="87"/>
      <c r="X11" s="85"/>
      <c r="Y11" s="85"/>
      <c r="Z11" s="86"/>
      <c r="AA11" s="85"/>
      <c r="AB11" s="22"/>
      <c r="AC11" s="85"/>
      <c r="AD11" s="86"/>
      <c r="AE11" s="85"/>
      <c r="AF11" s="85"/>
      <c r="AG11" s="86"/>
      <c r="AH11" s="85"/>
      <c r="AI11" s="85"/>
      <c r="AJ11" s="86"/>
      <c r="AK11" s="85"/>
      <c r="AL11" s="85"/>
      <c r="AM11" s="86"/>
      <c r="AN11" s="85"/>
      <c r="AO11" s="48"/>
      <c r="AP11" s="85"/>
      <c r="AQ11" s="86"/>
      <c r="AR11" s="85"/>
      <c r="AS11" s="85"/>
      <c r="AT11" s="86"/>
      <c r="AU11" s="85"/>
      <c r="AV11" s="85"/>
      <c r="AW11" s="86"/>
      <c r="AX11" s="85"/>
      <c r="AY11" s="85"/>
      <c r="AZ11" s="86"/>
      <c r="BA11" s="85"/>
      <c r="BB11" s="12"/>
      <c r="BC11" s="33" t="s">
        <v>32</v>
      </c>
      <c r="BD11" s="35">
        <v>1</v>
      </c>
      <c r="BE11" s="35">
        <v>3</v>
      </c>
      <c r="BF11" s="35">
        <v>4</v>
      </c>
      <c r="BG11" s="35">
        <v>5</v>
      </c>
      <c r="BH11" s="35">
        <v>4</v>
      </c>
      <c r="BI11" s="35">
        <v>3</v>
      </c>
      <c r="BJ11" s="35"/>
      <c r="BK11" s="35" t="s">
        <v>21</v>
      </c>
      <c r="BL11" s="35">
        <f>BK12</f>
        <v>4</v>
      </c>
      <c r="BM11" s="35">
        <f>BK13</f>
        <v>3</v>
      </c>
      <c r="BN11" s="35">
        <f>BK14</f>
        <v>2</v>
      </c>
      <c r="BO11" s="35">
        <f>BK15</f>
        <v>3</v>
      </c>
      <c r="BP11" s="35">
        <f>BK16</f>
        <v>0</v>
      </c>
      <c r="BQ11" s="35">
        <f>BK17</f>
        <v>0</v>
      </c>
      <c r="BR11" s="35">
        <f>BK18</f>
        <v>0</v>
      </c>
    </row>
    <row r="12" spans="1:70" ht="12" customHeight="1" x14ac:dyDescent="0.25">
      <c r="A12" s="2"/>
      <c r="B12" s="36">
        <v>6</v>
      </c>
      <c r="C12" s="175" t="s">
        <v>71</v>
      </c>
      <c r="D12" s="176"/>
      <c r="E12" s="177"/>
      <c r="F12" s="175" t="s">
        <v>142</v>
      </c>
      <c r="G12" s="176"/>
      <c r="H12" s="177"/>
      <c r="I12" s="175" t="s">
        <v>133</v>
      </c>
      <c r="J12" s="176"/>
      <c r="K12" s="177"/>
      <c r="L12" s="175" t="s">
        <v>46</v>
      </c>
      <c r="M12" s="176"/>
      <c r="N12" s="177"/>
      <c r="O12" s="13"/>
      <c r="P12" s="175"/>
      <c r="Q12" s="176"/>
      <c r="R12" s="177"/>
      <c r="S12" s="175"/>
      <c r="T12" s="176"/>
      <c r="U12" s="177"/>
      <c r="V12" s="175"/>
      <c r="W12" s="176"/>
      <c r="X12" s="177"/>
      <c r="Y12" s="175"/>
      <c r="Z12" s="176"/>
      <c r="AA12" s="177"/>
      <c r="AB12" s="22"/>
      <c r="AC12" s="175"/>
      <c r="AD12" s="176"/>
      <c r="AE12" s="177"/>
      <c r="AF12" s="175"/>
      <c r="AG12" s="176"/>
      <c r="AH12" s="177"/>
      <c r="AI12" s="175"/>
      <c r="AJ12" s="176"/>
      <c r="AK12" s="177"/>
      <c r="AL12" s="175"/>
      <c r="AM12" s="176"/>
      <c r="AN12" s="177"/>
      <c r="AO12" s="28"/>
      <c r="AP12" s="175"/>
      <c r="AQ12" s="176"/>
      <c r="AR12" s="177"/>
      <c r="AS12" s="175"/>
      <c r="AT12" s="176"/>
      <c r="AU12" s="177"/>
      <c r="AV12" s="175"/>
      <c r="AW12" s="176"/>
      <c r="AX12" s="177"/>
      <c r="AY12" s="175"/>
      <c r="AZ12" s="176"/>
      <c r="BA12" s="177"/>
      <c r="BB12" s="28"/>
      <c r="BC12" t="s">
        <v>41</v>
      </c>
      <c r="BD12" s="35"/>
      <c r="BE12" s="35">
        <v>2</v>
      </c>
      <c r="BF12" s="35">
        <v>3</v>
      </c>
      <c r="BG12" s="35">
        <v>4</v>
      </c>
      <c r="BH12" s="35">
        <v>3</v>
      </c>
      <c r="BI12" s="35">
        <v>3</v>
      </c>
      <c r="BJ12" s="35">
        <v>1</v>
      </c>
      <c r="BK12" s="35">
        <v>4</v>
      </c>
      <c r="BL12" s="35" t="s">
        <v>21</v>
      </c>
      <c r="BM12" s="35">
        <f>BL13</f>
        <v>5</v>
      </c>
      <c r="BN12" s="35">
        <f>BL14</f>
        <v>4</v>
      </c>
      <c r="BO12" s="35">
        <f>BL15</f>
        <v>4</v>
      </c>
      <c r="BP12" s="35">
        <f>BL16</f>
        <v>0</v>
      </c>
      <c r="BQ12" s="35">
        <f>BL17</f>
        <v>0</v>
      </c>
      <c r="BR12" s="35">
        <f>BL18</f>
        <v>0</v>
      </c>
    </row>
    <row r="13" spans="1:70" ht="12" customHeight="1" x14ac:dyDescent="0.25">
      <c r="A13" s="179" t="s">
        <v>10</v>
      </c>
      <c r="B13" s="180"/>
      <c r="C13" s="85">
        <v>96</v>
      </c>
      <c r="D13" s="86">
        <v>4</v>
      </c>
      <c r="E13" s="85">
        <v>32</v>
      </c>
      <c r="F13" s="85">
        <v>112</v>
      </c>
      <c r="G13" s="86">
        <v>0</v>
      </c>
      <c r="H13" s="85">
        <v>22</v>
      </c>
      <c r="I13" s="85">
        <v>87</v>
      </c>
      <c r="J13" s="86">
        <v>0</v>
      </c>
      <c r="K13" s="85">
        <v>28</v>
      </c>
      <c r="L13" s="85">
        <v>87</v>
      </c>
      <c r="M13" s="86">
        <v>-4</v>
      </c>
      <c r="N13" s="85">
        <v>30</v>
      </c>
      <c r="O13" s="13"/>
      <c r="P13" s="85"/>
      <c r="Q13" s="86"/>
      <c r="R13" s="85"/>
      <c r="S13" s="85"/>
      <c r="T13" s="86"/>
      <c r="U13" s="85"/>
      <c r="V13" s="85"/>
      <c r="W13" s="86"/>
      <c r="X13" s="85"/>
      <c r="Y13" s="85"/>
      <c r="Z13" s="86"/>
      <c r="AA13" s="85"/>
      <c r="AB13" s="22"/>
      <c r="AC13" s="85"/>
      <c r="AD13" s="86"/>
      <c r="AE13" s="85"/>
      <c r="AF13" s="85"/>
      <c r="AG13" s="86"/>
      <c r="AH13" s="85"/>
      <c r="AI13" s="85"/>
      <c r="AJ13" s="86"/>
      <c r="AK13" s="85"/>
      <c r="AL13" s="85"/>
      <c r="AM13" s="86"/>
      <c r="AN13" s="85"/>
      <c r="AO13" s="48"/>
      <c r="AP13" s="85"/>
      <c r="AQ13" s="86"/>
      <c r="AR13" s="85"/>
      <c r="AS13" s="85"/>
      <c r="AT13" s="86"/>
      <c r="AU13" s="85"/>
      <c r="AV13" s="85"/>
      <c r="AW13" s="86"/>
      <c r="AX13" s="85"/>
      <c r="AY13" s="85"/>
      <c r="AZ13" s="86"/>
      <c r="BA13" s="85"/>
      <c r="BB13" s="12"/>
      <c r="BC13" t="s">
        <v>68</v>
      </c>
      <c r="BD13" s="35">
        <v>3</v>
      </c>
      <c r="BE13" s="35">
        <v>2</v>
      </c>
      <c r="BF13" s="35">
        <v>2</v>
      </c>
      <c r="BG13" s="35">
        <v>3</v>
      </c>
      <c r="BH13" s="35">
        <v>4</v>
      </c>
      <c r="BI13" s="35">
        <v>2</v>
      </c>
      <c r="BJ13" s="35">
        <v>3</v>
      </c>
      <c r="BK13" s="35">
        <v>3</v>
      </c>
      <c r="BL13" s="35">
        <v>5</v>
      </c>
      <c r="BM13" s="35" t="s">
        <v>21</v>
      </c>
      <c r="BN13" s="35">
        <f>BM14</f>
        <v>4</v>
      </c>
      <c r="BO13" s="35">
        <f>BM15</f>
        <v>4</v>
      </c>
      <c r="BP13" s="35">
        <f>BM16</f>
        <v>0</v>
      </c>
      <c r="BQ13" s="35">
        <f>BM17</f>
        <v>0</v>
      </c>
      <c r="BR13" s="35">
        <f>BM18</f>
        <v>0</v>
      </c>
    </row>
    <row r="14" spans="1:70" ht="12" customHeight="1" x14ac:dyDescent="0.25">
      <c r="A14" s="2"/>
      <c r="B14" s="36">
        <v>7</v>
      </c>
      <c r="C14" s="175" t="s">
        <v>33</v>
      </c>
      <c r="D14" s="176"/>
      <c r="E14" s="177"/>
      <c r="F14" s="175" t="s">
        <v>30</v>
      </c>
      <c r="G14" s="176"/>
      <c r="H14" s="177"/>
      <c r="I14" s="175" t="s">
        <v>133</v>
      </c>
      <c r="J14" s="176"/>
      <c r="K14" s="177"/>
      <c r="L14" s="175" t="s">
        <v>166</v>
      </c>
      <c r="M14" s="176"/>
      <c r="N14" s="177"/>
      <c r="O14" s="13"/>
      <c r="P14" s="175" t="s">
        <v>167</v>
      </c>
      <c r="Q14" s="176"/>
      <c r="R14" s="177"/>
      <c r="S14" s="175" t="s">
        <v>46</v>
      </c>
      <c r="T14" s="176"/>
      <c r="U14" s="177"/>
      <c r="V14" s="175" t="s">
        <v>71</v>
      </c>
      <c r="W14" s="176"/>
      <c r="X14" s="177"/>
      <c r="Y14" s="175" t="s">
        <v>3</v>
      </c>
      <c r="Z14" s="176"/>
      <c r="AA14" s="177"/>
      <c r="AB14" s="22"/>
      <c r="AC14" s="175"/>
      <c r="AD14" s="176"/>
      <c r="AE14" s="177"/>
      <c r="AF14" s="175"/>
      <c r="AG14" s="176"/>
      <c r="AH14" s="177"/>
      <c r="AI14" s="175"/>
      <c r="AJ14" s="176"/>
      <c r="AK14" s="177"/>
      <c r="AL14" s="175"/>
      <c r="AM14" s="176"/>
      <c r="AN14" s="177"/>
      <c r="AO14" s="28"/>
      <c r="AP14" s="175"/>
      <c r="AQ14" s="176"/>
      <c r="AR14" s="177"/>
      <c r="AS14" s="175"/>
      <c r="AT14" s="176"/>
      <c r="AU14" s="177"/>
      <c r="AV14" s="175"/>
      <c r="AW14" s="176"/>
      <c r="AX14" s="177"/>
      <c r="AY14" s="175"/>
      <c r="AZ14" s="176"/>
      <c r="BA14" s="177"/>
      <c r="BB14" s="28"/>
      <c r="BC14" t="s">
        <v>93</v>
      </c>
      <c r="BD14" s="36">
        <v>1</v>
      </c>
      <c r="BE14" s="36">
        <v>2</v>
      </c>
      <c r="BF14" s="36">
        <v>3</v>
      </c>
      <c r="BG14" s="36">
        <v>3</v>
      </c>
      <c r="BH14" s="35">
        <v>3</v>
      </c>
      <c r="BI14" s="35">
        <v>3</v>
      </c>
      <c r="BJ14" s="35"/>
      <c r="BK14" s="35">
        <v>2</v>
      </c>
      <c r="BL14" s="35">
        <v>4</v>
      </c>
      <c r="BM14" s="35">
        <v>4</v>
      </c>
      <c r="BN14" s="35" t="s">
        <v>21</v>
      </c>
      <c r="BO14" s="35">
        <f>BN15</f>
        <v>2</v>
      </c>
      <c r="BP14" s="35">
        <f>BN16</f>
        <v>0</v>
      </c>
      <c r="BQ14" s="35">
        <f>BN17</f>
        <v>0</v>
      </c>
      <c r="BR14" s="35">
        <f>BN18</f>
        <v>0</v>
      </c>
    </row>
    <row r="15" spans="1:70" ht="12" customHeight="1" x14ac:dyDescent="0.25">
      <c r="A15" s="179" t="s">
        <v>10</v>
      </c>
      <c r="B15" s="180"/>
      <c r="C15" s="11">
        <v>103</v>
      </c>
      <c r="D15" s="73">
        <v>-11</v>
      </c>
      <c r="E15" s="11">
        <v>30</v>
      </c>
      <c r="F15" s="11">
        <v>89</v>
      </c>
      <c r="G15" s="73">
        <v>9</v>
      </c>
      <c r="H15" s="11">
        <v>34</v>
      </c>
      <c r="I15" s="11">
        <v>76</v>
      </c>
      <c r="J15" s="73">
        <v>47</v>
      </c>
      <c r="K15" s="11">
        <v>40</v>
      </c>
      <c r="L15" s="85">
        <v>80</v>
      </c>
      <c r="M15" s="86">
        <v>-45</v>
      </c>
      <c r="N15" s="85">
        <v>35</v>
      </c>
      <c r="O15" s="13"/>
      <c r="P15" s="85">
        <v>94</v>
      </c>
      <c r="Q15" s="86">
        <v>-9</v>
      </c>
      <c r="R15" s="85">
        <v>31</v>
      </c>
      <c r="S15" s="85">
        <v>80</v>
      </c>
      <c r="T15" s="86">
        <v>11</v>
      </c>
      <c r="U15" s="85">
        <v>38</v>
      </c>
      <c r="V15" s="85">
        <v>110</v>
      </c>
      <c r="W15" s="86">
        <v>-5</v>
      </c>
      <c r="X15" s="85">
        <v>20</v>
      </c>
      <c r="Y15" s="11">
        <v>77</v>
      </c>
      <c r="Z15" s="73">
        <v>3</v>
      </c>
      <c r="AA15" s="11">
        <v>36</v>
      </c>
      <c r="AC15" s="11"/>
      <c r="AD15" s="73"/>
      <c r="AE15" s="11"/>
      <c r="AF15" s="11"/>
      <c r="AG15" s="73"/>
      <c r="AH15" s="11"/>
      <c r="AI15" s="11"/>
      <c r="AJ15" s="73"/>
      <c r="AK15" s="11"/>
      <c r="AL15" s="11"/>
      <c r="AM15" s="73"/>
      <c r="AN15" s="11"/>
      <c r="AO15" s="12"/>
      <c r="AP15" s="11"/>
      <c r="AQ15" s="73"/>
      <c r="AR15" s="11"/>
      <c r="AS15" s="11"/>
      <c r="AT15" s="73"/>
      <c r="AU15" s="11"/>
      <c r="AV15" s="11"/>
      <c r="AW15" s="73"/>
      <c r="AX15" s="11"/>
      <c r="AY15" s="11"/>
      <c r="AZ15" s="73"/>
      <c r="BA15" s="11"/>
      <c r="BB15" s="12"/>
      <c r="BC15" t="s">
        <v>76</v>
      </c>
      <c r="BD15" s="35">
        <v>1</v>
      </c>
      <c r="BE15" s="35">
        <v>1</v>
      </c>
      <c r="BF15" s="35">
        <v>3</v>
      </c>
      <c r="BG15" s="35">
        <v>3</v>
      </c>
      <c r="BH15" s="35">
        <v>2</v>
      </c>
      <c r="BI15" s="35">
        <v>2</v>
      </c>
      <c r="BJ15" s="35"/>
      <c r="BK15" s="35">
        <v>3</v>
      </c>
      <c r="BL15" s="35">
        <v>4</v>
      </c>
      <c r="BM15" s="35">
        <v>4</v>
      </c>
      <c r="BN15" s="35">
        <v>2</v>
      </c>
      <c r="BO15" s="35" t="s">
        <v>21</v>
      </c>
      <c r="BP15" s="35">
        <f>BO16</f>
        <v>0</v>
      </c>
      <c r="BQ15" s="35">
        <f>BO17</f>
        <v>0</v>
      </c>
      <c r="BR15" s="35">
        <f>BO18</f>
        <v>0</v>
      </c>
    </row>
    <row r="16" spans="1:70" ht="12" customHeight="1" x14ac:dyDescent="0.25">
      <c r="A16" s="2"/>
      <c r="B16" s="36">
        <v>8</v>
      </c>
      <c r="C16" s="175" t="s">
        <v>3</v>
      </c>
      <c r="D16" s="176"/>
      <c r="E16" s="177"/>
      <c r="F16" s="175" t="s">
        <v>33</v>
      </c>
      <c r="G16" s="176"/>
      <c r="H16" s="177"/>
      <c r="I16" s="175" t="s">
        <v>79</v>
      </c>
      <c r="J16" s="176"/>
      <c r="K16" s="177"/>
      <c r="L16" s="175" t="s">
        <v>24</v>
      </c>
      <c r="M16" s="176"/>
      <c r="N16" s="177"/>
      <c r="O16" s="13"/>
      <c r="P16" s="175" t="s">
        <v>133</v>
      </c>
      <c r="Q16" s="176"/>
      <c r="R16" s="177"/>
      <c r="S16" s="175" t="s">
        <v>91</v>
      </c>
      <c r="T16" s="176"/>
      <c r="U16" s="177"/>
      <c r="V16" s="175" t="s">
        <v>135</v>
      </c>
      <c r="W16" s="176"/>
      <c r="X16" s="177"/>
      <c r="Y16" s="175" t="s">
        <v>161</v>
      </c>
      <c r="Z16" s="176"/>
      <c r="AA16" s="177"/>
      <c r="AC16" s="175" t="s">
        <v>66</v>
      </c>
      <c r="AD16" s="176"/>
      <c r="AE16" s="177"/>
      <c r="AF16" s="175" t="s">
        <v>40</v>
      </c>
      <c r="AG16" s="176"/>
      <c r="AH16" s="177"/>
      <c r="AI16" s="175" t="s">
        <v>8</v>
      </c>
      <c r="AJ16" s="176"/>
      <c r="AK16" s="177"/>
      <c r="AL16" s="175" t="s">
        <v>46</v>
      </c>
      <c r="AM16" s="176"/>
      <c r="AN16" s="177"/>
      <c r="AO16" s="28"/>
      <c r="AP16" s="175"/>
      <c r="AQ16" s="176"/>
      <c r="AR16" s="177"/>
      <c r="AS16" s="175"/>
      <c r="AT16" s="176"/>
      <c r="AU16" s="177"/>
      <c r="AV16" s="175"/>
      <c r="AW16" s="176"/>
      <c r="AX16" s="177"/>
      <c r="AY16" s="175"/>
      <c r="AZ16" s="176"/>
      <c r="BA16" s="177"/>
      <c r="BB16" s="28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O16" s="35"/>
      <c r="BP16" s="35" t="s">
        <v>21</v>
      </c>
      <c r="BQ16" s="35">
        <f>BP17</f>
        <v>0</v>
      </c>
      <c r="BR16" s="35">
        <f>BP18</f>
        <v>0</v>
      </c>
    </row>
    <row r="17" spans="1:70" ht="12" customHeight="1" x14ac:dyDescent="0.25">
      <c r="A17" s="179" t="s">
        <v>10</v>
      </c>
      <c r="B17" s="180"/>
      <c r="C17" s="11">
        <v>78</v>
      </c>
      <c r="D17" s="73">
        <v>25</v>
      </c>
      <c r="E17" s="11">
        <v>35</v>
      </c>
      <c r="F17" s="11">
        <v>114</v>
      </c>
      <c r="G17" s="73">
        <v>-13</v>
      </c>
      <c r="H17" s="11">
        <v>21</v>
      </c>
      <c r="I17" s="11">
        <v>106</v>
      </c>
      <c r="J17" s="73">
        <v>-7</v>
      </c>
      <c r="K17" s="11">
        <v>26</v>
      </c>
      <c r="L17" s="85">
        <v>96</v>
      </c>
      <c r="M17" s="86">
        <v>-5</v>
      </c>
      <c r="N17" s="85">
        <v>33</v>
      </c>
      <c r="O17" s="13"/>
      <c r="P17" s="85">
        <v>80</v>
      </c>
      <c r="Q17" s="86">
        <v>4</v>
      </c>
      <c r="R17" s="85">
        <v>36</v>
      </c>
      <c r="S17" s="85">
        <v>111</v>
      </c>
      <c r="T17" s="86">
        <v>-22</v>
      </c>
      <c r="U17" s="85">
        <v>23</v>
      </c>
      <c r="V17" s="85">
        <v>102</v>
      </c>
      <c r="W17" s="86">
        <v>0</v>
      </c>
      <c r="X17" s="85">
        <v>29</v>
      </c>
      <c r="Y17" s="11">
        <v>87</v>
      </c>
      <c r="Z17" s="73">
        <v>18</v>
      </c>
      <c r="AA17" s="11">
        <v>42</v>
      </c>
      <c r="AC17" s="11">
        <v>88</v>
      </c>
      <c r="AD17" s="73">
        <v>22</v>
      </c>
      <c r="AE17" s="11">
        <v>31</v>
      </c>
      <c r="AF17" s="11">
        <v>83</v>
      </c>
      <c r="AG17" s="73">
        <v>-4</v>
      </c>
      <c r="AH17" s="11">
        <v>34</v>
      </c>
      <c r="AI17" s="11">
        <v>83</v>
      </c>
      <c r="AJ17" s="73">
        <v>6</v>
      </c>
      <c r="AK17" s="11">
        <v>34</v>
      </c>
      <c r="AL17" s="11">
        <v>86</v>
      </c>
      <c r="AM17" s="73">
        <v>-24</v>
      </c>
      <c r="AN17" s="11">
        <v>32</v>
      </c>
      <c r="AO17" s="12"/>
      <c r="AP17" s="11"/>
      <c r="AQ17" s="73"/>
      <c r="AR17" s="11"/>
      <c r="AS17" s="11"/>
      <c r="AT17" s="73"/>
      <c r="AU17" s="11"/>
      <c r="AV17" s="11"/>
      <c r="AW17" s="73"/>
      <c r="AX17" s="11"/>
      <c r="AY17" s="11"/>
      <c r="AZ17" s="73"/>
      <c r="BA17" s="11"/>
      <c r="BB17" s="12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O17" s="35"/>
      <c r="BP17" s="35"/>
      <c r="BQ17" s="35" t="s">
        <v>21</v>
      </c>
      <c r="BR17" s="35">
        <f>BQ18</f>
        <v>0</v>
      </c>
    </row>
    <row r="18" spans="1:70" ht="12" customHeight="1" x14ac:dyDescent="0.25">
      <c r="A18" s="2"/>
      <c r="B18" s="36">
        <v>9</v>
      </c>
      <c r="C18" s="175" t="s">
        <v>29</v>
      </c>
      <c r="D18" s="176"/>
      <c r="E18" s="177"/>
      <c r="F18" s="175" t="s">
        <v>164</v>
      </c>
      <c r="G18" s="176"/>
      <c r="H18" s="177"/>
      <c r="I18" s="175" t="s">
        <v>171</v>
      </c>
      <c r="J18" s="176"/>
      <c r="K18" s="177"/>
      <c r="L18" s="175" t="s">
        <v>0</v>
      </c>
      <c r="M18" s="176"/>
      <c r="N18" s="177"/>
      <c r="O18" s="13"/>
      <c r="P18" s="175" t="s">
        <v>3</v>
      </c>
      <c r="Q18" s="176"/>
      <c r="R18" s="177"/>
      <c r="S18" s="175" t="s">
        <v>135</v>
      </c>
      <c r="T18" s="176"/>
      <c r="U18" s="177"/>
      <c r="V18" s="175" t="s">
        <v>46</v>
      </c>
      <c r="W18" s="176"/>
      <c r="X18" s="177"/>
      <c r="Y18" s="175" t="s">
        <v>132</v>
      </c>
      <c r="Z18" s="176"/>
      <c r="AA18" s="177"/>
      <c r="AC18" s="175" t="s">
        <v>33</v>
      </c>
      <c r="AD18" s="176"/>
      <c r="AE18" s="177"/>
      <c r="AF18" s="175" t="s">
        <v>66</v>
      </c>
      <c r="AG18" s="176"/>
      <c r="AH18" s="177"/>
      <c r="AI18" s="175" t="s">
        <v>79</v>
      </c>
      <c r="AJ18" s="176"/>
      <c r="AK18" s="177"/>
      <c r="AL18" s="175" t="s">
        <v>170</v>
      </c>
      <c r="AM18" s="176"/>
      <c r="AN18" s="177"/>
      <c r="AO18" s="108"/>
      <c r="AP18" s="175"/>
      <c r="AQ18" s="176"/>
      <c r="AR18" s="177"/>
      <c r="AS18" s="175"/>
      <c r="AT18" s="176"/>
      <c r="AU18" s="177"/>
      <c r="AV18" s="175"/>
      <c r="AW18" s="176"/>
      <c r="AX18" s="177"/>
      <c r="AY18" s="175"/>
      <c r="AZ18" s="176"/>
      <c r="BA18" s="177"/>
      <c r="BB18" s="28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O18" s="35"/>
      <c r="BP18" s="35"/>
      <c r="BR18" s="35" t="s">
        <v>21</v>
      </c>
    </row>
    <row r="19" spans="1:70" ht="12" customHeight="1" x14ac:dyDescent="0.25">
      <c r="A19" s="179" t="s">
        <v>10</v>
      </c>
      <c r="B19" s="180"/>
      <c r="C19" s="11">
        <v>91</v>
      </c>
      <c r="D19" s="73">
        <v>2</v>
      </c>
      <c r="E19" s="11">
        <v>38</v>
      </c>
      <c r="F19" s="11">
        <v>88</v>
      </c>
      <c r="G19" s="73">
        <v>0</v>
      </c>
      <c r="H19" s="11">
        <v>35</v>
      </c>
      <c r="I19" s="11">
        <v>91</v>
      </c>
      <c r="J19" s="73">
        <v>-12</v>
      </c>
      <c r="K19" s="11">
        <v>33</v>
      </c>
      <c r="L19" s="11">
        <v>94</v>
      </c>
      <c r="M19" s="73">
        <v>10</v>
      </c>
      <c r="N19" s="11">
        <v>34</v>
      </c>
      <c r="P19" s="11">
        <v>82</v>
      </c>
      <c r="Q19" s="73">
        <v>10</v>
      </c>
      <c r="R19" s="11">
        <v>31</v>
      </c>
      <c r="S19" s="11">
        <v>104</v>
      </c>
      <c r="T19" s="73">
        <v>4</v>
      </c>
      <c r="U19" s="11">
        <v>28</v>
      </c>
      <c r="V19" s="11">
        <v>85</v>
      </c>
      <c r="W19" s="73">
        <v>18</v>
      </c>
      <c r="X19" s="11">
        <v>33</v>
      </c>
      <c r="Y19" s="11">
        <v>100</v>
      </c>
      <c r="Z19" s="73">
        <v>-32</v>
      </c>
      <c r="AA19" s="11">
        <v>20</v>
      </c>
      <c r="AC19" s="11">
        <v>105</v>
      </c>
      <c r="AD19" s="73">
        <v>-3</v>
      </c>
      <c r="AE19" s="11">
        <v>29</v>
      </c>
      <c r="AF19" s="11">
        <v>84</v>
      </c>
      <c r="AG19" s="73">
        <v>23</v>
      </c>
      <c r="AH19" s="11">
        <v>35</v>
      </c>
      <c r="AI19" s="11">
        <v>96</v>
      </c>
      <c r="AJ19" s="73">
        <v>3</v>
      </c>
      <c r="AK19" s="11">
        <v>34</v>
      </c>
      <c r="AL19" s="11">
        <v>97</v>
      </c>
      <c r="AM19" s="73">
        <v>-23</v>
      </c>
      <c r="AN19" s="11">
        <v>27</v>
      </c>
      <c r="AO19" s="12"/>
      <c r="AP19" s="11"/>
      <c r="AQ19" s="73"/>
      <c r="AR19" s="11"/>
      <c r="AS19" s="11"/>
      <c r="AT19" s="73"/>
      <c r="AU19" s="11"/>
      <c r="AV19" s="11"/>
      <c r="AW19" s="73"/>
      <c r="AX19" s="11"/>
      <c r="AY19" s="11"/>
      <c r="AZ19" s="73"/>
      <c r="BA19" s="11"/>
      <c r="BB19" s="12"/>
      <c r="BC19" t="s">
        <v>11</v>
      </c>
      <c r="BD19" s="35">
        <f>SUM(BD5:BD18)</f>
        <v>9</v>
      </c>
      <c r="BE19" s="35">
        <f>SUM(BE4:BE18)</f>
        <v>21</v>
      </c>
      <c r="BF19" s="35">
        <f t="shared" ref="BF19:BR19" si="0">SUM(BF4:BF18)</f>
        <v>30</v>
      </c>
      <c r="BG19" s="35">
        <f t="shared" si="0"/>
        <v>32</v>
      </c>
      <c r="BH19" s="35">
        <f t="shared" si="0"/>
        <v>29</v>
      </c>
      <c r="BI19" s="35">
        <f t="shared" si="0"/>
        <v>24</v>
      </c>
      <c r="BJ19" s="35">
        <f t="shared" si="0"/>
        <v>11</v>
      </c>
      <c r="BK19" s="35">
        <f t="shared" si="0"/>
        <v>32</v>
      </c>
      <c r="BL19" s="35">
        <f t="shared" si="0"/>
        <v>33</v>
      </c>
      <c r="BM19" s="35">
        <f t="shared" si="0"/>
        <v>35</v>
      </c>
      <c r="BN19" s="35">
        <f t="shared" si="0"/>
        <v>27</v>
      </c>
      <c r="BO19" s="35">
        <f t="shared" si="0"/>
        <v>25</v>
      </c>
      <c r="BP19" s="35">
        <f t="shared" si="0"/>
        <v>0</v>
      </c>
      <c r="BQ19" s="35">
        <f t="shared" si="0"/>
        <v>0</v>
      </c>
      <c r="BR19" s="35">
        <f t="shared" si="0"/>
        <v>0</v>
      </c>
    </row>
    <row r="20" spans="1:70" ht="12" customHeight="1" x14ac:dyDescent="0.25">
      <c r="A20" s="2"/>
      <c r="B20" s="36">
        <v>10</v>
      </c>
      <c r="C20" s="175" t="s">
        <v>66</v>
      </c>
      <c r="D20" s="176"/>
      <c r="E20" s="177"/>
      <c r="F20" s="175" t="s">
        <v>24</v>
      </c>
      <c r="G20" s="176"/>
      <c r="H20" s="177"/>
      <c r="I20" s="175" t="s">
        <v>135</v>
      </c>
      <c r="J20" s="176"/>
      <c r="K20" s="177"/>
      <c r="L20" s="175" t="s">
        <v>173</v>
      </c>
      <c r="M20" s="176"/>
      <c r="N20" s="177"/>
      <c r="O20" s="13"/>
      <c r="P20" s="175" t="s">
        <v>3</v>
      </c>
      <c r="Q20" s="176"/>
      <c r="R20" s="177"/>
      <c r="S20" s="175" t="s">
        <v>33</v>
      </c>
      <c r="T20" s="176"/>
      <c r="U20" s="177"/>
      <c r="V20" s="175" t="s">
        <v>8</v>
      </c>
      <c r="W20" s="176"/>
      <c r="X20" s="177"/>
      <c r="Y20" s="175" t="s">
        <v>79</v>
      </c>
      <c r="Z20" s="176"/>
      <c r="AA20" s="177"/>
      <c r="AC20" s="175" t="s">
        <v>46</v>
      </c>
      <c r="AD20" s="176"/>
      <c r="AE20" s="177"/>
      <c r="AF20" s="175" t="s">
        <v>30</v>
      </c>
      <c r="AG20" s="176"/>
      <c r="AH20" s="177"/>
      <c r="AI20" s="175" t="s">
        <v>133</v>
      </c>
      <c r="AJ20" s="176"/>
      <c r="AK20" s="177"/>
      <c r="AL20" s="175" t="s">
        <v>139</v>
      </c>
      <c r="AM20" s="176"/>
      <c r="AN20" s="177"/>
      <c r="AO20" s="28"/>
      <c r="AP20" s="175"/>
      <c r="AQ20" s="176"/>
      <c r="AR20" s="177"/>
      <c r="AS20" s="175"/>
      <c r="AT20" s="176"/>
      <c r="AU20" s="177"/>
      <c r="AV20" s="175"/>
      <c r="AW20" s="176"/>
      <c r="AX20" s="177"/>
      <c r="AY20" s="175"/>
      <c r="AZ20" s="176"/>
      <c r="BA20" s="177"/>
      <c r="BB20" s="28"/>
    </row>
    <row r="21" spans="1:70" ht="12" customHeight="1" x14ac:dyDescent="0.25">
      <c r="A21" s="179" t="s">
        <v>10</v>
      </c>
      <c r="B21" s="180"/>
      <c r="C21" s="11">
        <v>83</v>
      </c>
      <c r="D21" s="73">
        <v>4</v>
      </c>
      <c r="E21" s="11">
        <v>36</v>
      </c>
      <c r="F21" s="11">
        <v>95</v>
      </c>
      <c r="G21" s="73">
        <v>-26</v>
      </c>
      <c r="H21" s="11">
        <v>35</v>
      </c>
      <c r="I21" s="11">
        <v>97</v>
      </c>
      <c r="J21" s="73">
        <v>2</v>
      </c>
      <c r="K21" s="11">
        <v>33</v>
      </c>
      <c r="L21" s="11">
        <v>93</v>
      </c>
      <c r="M21" s="73">
        <v>20</v>
      </c>
      <c r="N21" s="11">
        <v>36</v>
      </c>
      <c r="P21" s="11">
        <v>76</v>
      </c>
      <c r="Q21" s="73">
        <v>1</v>
      </c>
      <c r="R21" s="11">
        <v>37</v>
      </c>
      <c r="S21" s="11">
        <v>104</v>
      </c>
      <c r="T21" s="73">
        <v>-19</v>
      </c>
      <c r="U21" s="11">
        <v>29</v>
      </c>
      <c r="V21" s="11">
        <v>83</v>
      </c>
      <c r="W21" s="73">
        <v>5</v>
      </c>
      <c r="X21" s="11">
        <v>35</v>
      </c>
      <c r="Y21" s="11">
        <v>100</v>
      </c>
      <c r="Z21" s="73">
        <v>13</v>
      </c>
      <c r="AA21" s="11">
        <v>31</v>
      </c>
      <c r="AC21" s="11">
        <v>82</v>
      </c>
      <c r="AD21" s="73">
        <v>7</v>
      </c>
      <c r="AE21" s="11">
        <v>36</v>
      </c>
      <c r="AF21" s="11">
        <v>82</v>
      </c>
      <c r="AG21" s="73">
        <v>23</v>
      </c>
      <c r="AH21" s="11">
        <v>41</v>
      </c>
      <c r="AI21" s="11">
        <v>80</v>
      </c>
      <c r="AJ21" s="73">
        <v>1</v>
      </c>
      <c r="AK21" s="11">
        <v>25</v>
      </c>
      <c r="AL21" s="11">
        <v>101</v>
      </c>
      <c r="AM21" s="73">
        <v>-31</v>
      </c>
      <c r="AN21" s="11">
        <v>23</v>
      </c>
      <c r="AO21" s="12"/>
      <c r="AP21" s="11"/>
      <c r="AQ21" s="73"/>
      <c r="AR21" s="11"/>
      <c r="AS21" s="11"/>
      <c r="AT21" s="73"/>
      <c r="AU21" s="11"/>
      <c r="AV21" s="11"/>
      <c r="AW21" s="73"/>
      <c r="AX21" s="11"/>
      <c r="AY21" s="11"/>
      <c r="AZ21" s="73"/>
      <c r="BA21" s="11"/>
      <c r="BB21" s="12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O21" s="35"/>
    </row>
    <row r="22" spans="1:70" ht="12" customHeight="1" x14ac:dyDescent="0.25">
      <c r="A22" s="2"/>
      <c r="B22" s="36">
        <v>11</v>
      </c>
      <c r="C22" s="175" t="s">
        <v>174</v>
      </c>
      <c r="D22" s="176"/>
      <c r="E22" s="177"/>
      <c r="F22" s="175" t="s">
        <v>79</v>
      </c>
      <c r="G22" s="176"/>
      <c r="H22" s="177"/>
      <c r="I22" s="175" t="s">
        <v>71</v>
      </c>
      <c r="J22" s="176"/>
      <c r="K22" s="177"/>
      <c r="L22" s="175" t="s">
        <v>170</v>
      </c>
      <c r="M22" s="176"/>
      <c r="N22" s="177"/>
      <c r="O22" s="13"/>
      <c r="P22" s="175" t="s">
        <v>133</v>
      </c>
      <c r="Q22" s="176"/>
      <c r="R22" s="177"/>
      <c r="S22" s="175" t="s">
        <v>29</v>
      </c>
      <c r="T22" s="176"/>
      <c r="U22" s="177"/>
      <c r="V22" s="175" t="s">
        <v>175</v>
      </c>
      <c r="W22" s="176"/>
      <c r="X22" s="177"/>
      <c r="Y22" s="175" t="s">
        <v>101</v>
      </c>
      <c r="Z22" s="176"/>
      <c r="AA22" s="177"/>
      <c r="AC22" s="175" t="s">
        <v>33</v>
      </c>
      <c r="AD22" s="176"/>
      <c r="AE22" s="177"/>
      <c r="AF22" s="175" t="s">
        <v>66</v>
      </c>
      <c r="AG22" s="176"/>
      <c r="AH22" s="177"/>
      <c r="AI22" s="175" t="s">
        <v>46</v>
      </c>
      <c r="AJ22" s="176"/>
      <c r="AK22" s="177"/>
      <c r="AL22" s="175" t="s">
        <v>99</v>
      </c>
      <c r="AM22" s="176"/>
      <c r="AN22" s="177"/>
      <c r="AO22" s="28"/>
      <c r="AP22" s="175"/>
      <c r="AQ22" s="176"/>
      <c r="AR22" s="177"/>
      <c r="AS22" s="175"/>
      <c r="AT22" s="176"/>
      <c r="AU22" s="177"/>
      <c r="AV22" s="175"/>
      <c r="AW22" s="176"/>
      <c r="AX22" s="177"/>
      <c r="AY22" s="175"/>
      <c r="AZ22" s="176"/>
      <c r="BA22" s="177"/>
      <c r="BB22" s="28"/>
    </row>
    <row r="23" spans="1:70" ht="12" customHeight="1" x14ac:dyDescent="0.25">
      <c r="A23" s="179" t="s">
        <v>10</v>
      </c>
      <c r="B23" s="180"/>
      <c r="C23" s="11">
        <v>85</v>
      </c>
      <c r="D23" s="73">
        <v>-2</v>
      </c>
      <c r="E23" s="11">
        <v>34</v>
      </c>
      <c r="F23" s="11">
        <v>100</v>
      </c>
      <c r="G23" s="73">
        <v>-16</v>
      </c>
      <c r="H23" s="11">
        <v>32</v>
      </c>
      <c r="I23" s="11">
        <v>96</v>
      </c>
      <c r="J23" s="73">
        <v>32</v>
      </c>
      <c r="K23" s="11">
        <v>32</v>
      </c>
      <c r="L23" s="11">
        <v>91</v>
      </c>
      <c r="M23" s="73">
        <v>-14</v>
      </c>
      <c r="N23" s="11">
        <v>32</v>
      </c>
      <c r="P23" s="11">
        <v>82</v>
      </c>
      <c r="Q23" s="73">
        <v>-10</v>
      </c>
      <c r="R23" s="11">
        <v>33</v>
      </c>
      <c r="S23" s="11">
        <v>99</v>
      </c>
      <c r="T23" s="73">
        <v>0</v>
      </c>
      <c r="U23" s="11">
        <v>30</v>
      </c>
      <c r="V23" s="11">
        <v>78</v>
      </c>
      <c r="W23" s="73">
        <v>6</v>
      </c>
      <c r="X23" s="11">
        <v>35</v>
      </c>
      <c r="Y23" s="11">
        <v>102</v>
      </c>
      <c r="Z23" s="73">
        <v>4</v>
      </c>
      <c r="AA23" s="11">
        <v>19</v>
      </c>
      <c r="AC23" s="11">
        <v>107</v>
      </c>
      <c r="AD23" s="73">
        <v>9</v>
      </c>
      <c r="AE23" s="11">
        <v>28</v>
      </c>
      <c r="AF23" s="11">
        <v>78</v>
      </c>
      <c r="AG23" s="73">
        <v>19</v>
      </c>
      <c r="AH23" s="11">
        <v>38</v>
      </c>
      <c r="AI23" s="11">
        <v>89</v>
      </c>
      <c r="AJ23" s="73">
        <v>-7</v>
      </c>
      <c r="AK23" s="11">
        <v>30</v>
      </c>
      <c r="AL23" s="11">
        <v>91</v>
      </c>
      <c r="AM23" s="73">
        <v>-21</v>
      </c>
      <c r="AN23" s="11">
        <v>31</v>
      </c>
      <c r="AO23" s="12"/>
      <c r="AP23" s="11"/>
      <c r="AQ23" s="73"/>
      <c r="AR23" s="11"/>
      <c r="AS23" s="11"/>
      <c r="AT23" s="73"/>
      <c r="AU23" s="11"/>
      <c r="AV23" s="11"/>
      <c r="AW23" s="73"/>
      <c r="AX23" s="11"/>
      <c r="AY23" s="11"/>
      <c r="AZ23" s="73"/>
      <c r="BA23" s="11"/>
      <c r="BB23" s="12"/>
    </row>
    <row r="24" spans="1:70" ht="12" customHeight="1" x14ac:dyDescent="0.25">
      <c r="A24" s="2"/>
      <c r="B24" s="36">
        <v>12</v>
      </c>
      <c r="C24" s="175" t="s">
        <v>46</v>
      </c>
      <c r="D24" s="176"/>
      <c r="E24" s="177"/>
      <c r="F24" s="175" t="s">
        <v>30</v>
      </c>
      <c r="G24" s="176"/>
      <c r="H24" s="177"/>
      <c r="I24" s="175" t="s">
        <v>3</v>
      </c>
      <c r="J24" s="176"/>
      <c r="K24" s="177"/>
      <c r="L24" s="175" t="s">
        <v>40</v>
      </c>
      <c r="M24" s="176"/>
      <c r="N24" s="177"/>
      <c r="O24" s="13"/>
      <c r="P24" s="175" t="s">
        <v>79</v>
      </c>
      <c r="Q24" s="176"/>
      <c r="R24" s="177"/>
      <c r="S24" s="175" t="s">
        <v>66</v>
      </c>
      <c r="T24" s="176"/>
      <c r="U24" s="177"/>
      <c r="V24" s="175" t="s">
        <v>133</v>
      </c>
      <c r="W24" s="176"/>
      <c r="X24" s="177"/>
      <c r="Y24" s="175" t="s">
        <v>176</v>
      </c>
      <c r="Z24" s="176"/>
      <c r="AA24" s="177"/>
      <c r="AC24" s="175"/>
      <c r="AD24" s="176"/>
      <c r="AE24" s="177"/>
      <c r="AF24" s="175"/>
      <c r="AG24" s="176"/>
      <c r="AH24" s="177"/>
      <c r="AI24" s="175"/>
      <c r="AJ24" s="176"/>
      <c r="AK24" s="177"/>
      <c r="AL24" s="175"/>
      <c r="AM24" s="176"/>
      <c r="AN24" s="177"/>
      <c r="AO24" s="28"/>
      <c r="AP24" s="175"/>
      <c r="AQ24" s="176"/>
      <c r="AR24" s="177"/>
      <c r="AS24" s="175"/>
      <c r="AT24" s="176"/>
      <c r="AU24" s="177"/>
      <c r="AV24" s="175"/>
      <c r="AW24" s="176"/>
      <c r="AX24" s="177"/>
      <c r="AY24" s="175"/>
      <c r="AZ24" s="176"/>
      <c r="BA24" s="177"/>
      <c r="BB24" s="28"/>
    </row>
    <row r="25" spans="1:70" ht="12" customHeight="1" x14ac:dyDescent="0.25">
      <c r="A25" s="179" t="s">
        <v>10</v>
      </c>
      <c r="B25" s="180"/>
      <c r="C25" s="11">
        <v>84</v>
      </c>
      <c r="D25" s="73">
        <v>-15</v>
      </c>
      <c r="E25" s="11">
        <v>34</v>
      </c>
      <c r="F25" s="11">
        <v>86</v>
      </c>
      <c r="G25" s="73">
        <v>27</v>
      </c>
      <c r="H25" s="11">
        <v>36</v>
      </c>
      <c r="I25" s="11">
        <v>72</v>
      </c>
      <c r="J25" s="73">
        <v>-39</v>
      </c>
      <c r="K25" s="11">
        <v>41</v>
      </c>
      <c r="L25" s="11">
        <v>84</v>
      </c>
      <c r="M25" s="73">
        <v>27</v>
      </c>
      <c r="N25" s="11">
        <v>33</v>
      </c>
      <c r="P25" s="11">
        <v>97</v>
      </c>
      <c r="Q25" s="73">
        <v>1</v>
      </c>
      <c r="R25" s="11">
        <v>33</v>
      </c>
      <c r="S25" s="11">
        <v>85</v>
      </c>
      <c r="T25" s="73">
        <v>-13</v>
      </c>
      <c r="U25" s="11">
        <v>32</v>
      </c>
      <c r="V25" s="11">
        <v>72</v>
      </c>
      <c r="W25" s="73">
        <v>13</v>
      </c>
      <c r="X25" s="11">
        <v>43</v>
      </c>
      <c r="Y25" s="11">
        <v>88</v>
      </c>
      <c r="Z25" s="73">
        <v>-1</v>
      </c>
      <c r="AA25" s="11">
        <v>34</v>
      </c>
      <c r="AC25" s="11"/>
      <c r="AD25" s="73"/>
      <c r="AE25" s="11"/>
      <c r="AF25" s="11"/>
      <c r="AG25" s="73"/>
      <c r="AH25" s="11"/>
      <c r="AI25" s="11"/>
      <c r="AJ25" s="73"/>
      <c r="AK25" s="11"/>
      <c r="AL25" s="11"/>
      <c r="AM25" s="73"/>
      <c r="AN25" s="11"/>
      <c r="AO25" s="12"/>
      <c r="AP25" s="11"/>
      <c r="AQ25" s="73"/>
      <c r="AR25" s="11"/>
      <c r="AS25" s="11"/>
      <c r="AT25" s="73"/>
      <c r="AU25" s="11"/>
      <c r="AV25" s="11"/>
      <c r="AW25" s="73"/>
      <c r="AX25" s="11"/>
      <c r="AY25" s="11"/>
      <c r="AZ25" s="73"/>
      <c r="BA25" s="11"/>
      <c r="BB25" s="12"/>
    </row>
    <row r="26" spans="1:70" ht="12" customHeight="1" x14ac:dyDescent="0.25">
      <c r="A26" s="2"/>
      <c r="B26" s="36">
        <v>13</v>
      </c>
      <c r="C26" s="175" t="s">
        <v>33</v>
      </c>
      <c r="D26" s="176"/>
      <c r="E26" s="177"/>
      <c r="F26" s="175" t="s">
        <v>3</v>
      </c>
      <c r="G26" s="176"/>
      <c r="H26" s="177"/>
      <c r="I26" s="175" t="s">
        <v>30</v>
      </c>
      <c r="J26" s="176"/>
      <c r="K26" s="177"/>
      <c r="L26" s="175" t="s">
        <v>133</v>
      </c>
      <c r="M26" s="176"/>
      <c r="N26" s="177"/>
      <c r="O26" s="13"/>
      <c r="P26" s="175" t="s">
        <v>79</v>
      </c>
      <c r="Q26" s="176"/>
      <c r="R26" s="177"/>
      <c r="S26" s="175" t="s">
        <v>71</v>
      </c>
      <c r="T26" s="176"/>
      <c r="U26" s="177"/>
      <c r="V26" s="175" t="s">
        <v>2</v>
      </c>
      <c r="W26" s="176"/>
      <c r="X26" s="177"/>
      <c r="Y26" s="175" t="s">
        <v>66</v>
      </c>
      <c r="Z26" s="176"/>
      <c r="AA26" s="177"/>
      <c r="AC26" s="175"/>
      <c r="AD26" s="176"/>
      <c r="AE26" s="177"/>
      <c r="AF26" s="175"/>
      <c r="AG26" s="176"/>
      <c r="AH26" s="177"/>
      <c r="AI26" s="175"/>
      <c r="AJ26" s="176"/>
      <c r="AK26" s="177"/>
      <c r="AL26" s="175"/>
      <c r="AM26" s="176"/>
      <c r="AN26" s="177"/>
      <c r="AO26" s="28"/>
      <c r="AP26" s="175"/>
      <c r="AQ26" s="176"/>
      <c r="AR26" s="177"/>
      <c r="AS26" s="175"/>
      <c r="AT26" s="176"/>
      <c r="AU26" s="177"/>
      <c r="AV26" s="175"/>
      <c r="AW26" s="176"/>
      <c r="AX26" s="177"/>
      <c r="AY26" s="175"/>
      <c r="AZ26" s="176"/>
      <c r="BA26" s="177"/>
      <c r="BB26" s="28"/>
    </row>
    <row r="27" spans="1:70" ht="12" customHeight="1" x14ac:dyDescent="0.25">
      <c r="A27" s="179" t="s">
        <v>10</v>
      </c>
      <c r="B27" s="180"/>
      <c r="C27" s="11">
        <v>103</v>
      </c>
      <c r="D27" s="73">
        <v>9</v>
      </c>
      <c r="E27" s="11">
        <v>29</v>
      </c>
      <c r="F27" s="11">
        <v>71</v>
      </c>
      <c r="G27" s="73">
        <v>23</v>
      </c>
      <c r="H27" s="11">
        <v>41</v>
      </c>
      <c r="I27" s="11">
        <v>85</v>
      </c>
      <c r="J27" s="73">
        <v>-53</v>
      </c>
      <c r="K27" s="11">
        <v>34</v>
      </c>
      <c r="L27" s="11">
        <v>80</v>
      </c>
      <c r="M27" s="73">
        <v>21</v>
      </c>
      <c r="N27" s="11">
        <v>34</v>
      </c>
      <c r="P27" s="11">
        <v>98</v>
      </c>
      <c r="Q27" s="73">
        <v>24</v>
      </c>
      <c r="R27" s="11">
        <v>32</v>
      </c>
      <c r="S27" s="11">
        <v>100</v>
      </c>
      <c r="T27" s="73">
        <v>-8</v>
      </c>
      <c r="U27" s="11">
        <v>29</v>
      </c>
      <c r="V27" s="11">
        <v>85</v>
      </c>
      <c r="W27" s="73">
        <v>14</v>
      </c>
      <c r="X27" s="11">
        <v>42</v>
      </c>
      <c r="Y27" s="11">
        <v>85</v>
      </c>
      <c r="Z27" s="73">
        <v>-28</v>
      </c>
      <c r="AA27" s="11">
        <v>31</v>
      </c>
      <c r="AC27" s="11"/>
      <c r="AD27" s="73"/>
      <c r="AE27" s="11"/>
      <c r="AF27" s="11"/>
      <c r="AG27" s="73"/>
      <c r="AH27" s="11"/>
      <c r="AI27" s="11"/>
      <c r="AJ27" s="73"/>
      <c r="AK27" s="11"/>
      <c r="AL27" s="11"/>
      <c r="AM27" s="73"/>
      <c r="AN27" s="11"/>
      <c r="AO27" s="12"/>
      <c r="AP27" s="11"/>
      <c r="AQ27" s="73"/>
      <c r="AR27" s="11"/>
      <c r="AS27" s="11"/>
      <c r="AT27" s="73"/>
      <c r="AU27" s="11"/>
      <c r="AV27" s="11"/>
      <c r="AW27" s="73"/>
      <c r="AX27" s="11"/>
      <c r="AY27" s="11"/>
      <c r="AZ27" s="73"/>
      <c r="BA27" s="11"/>
      <c r="BB27" s="12"/>
    </row>
    <row r="28" spans="1:70" ht="12" customHeight="1" x14ac:dyDescent="0.25">
      <c r="A28" s="2"/>
      <c r="B28" s="36">
        <v>14</v>
      </c>
      <c r="C28" s="175" t="s">
        <v>133</v>
      </c>
      <c r="D28" s="176"/>
      <c r="E28" s="177"/>
      <c r="F28" s="175" t="s">
        <v>46</v>
      </c>
      <c r="G28" s="176"/>
      <c r="H28" s="177"/>
      <c r="I28" s="175" t="s">
        <v>33</v>
      </c>
      <c r="J28" s="176"/>
      <c r="K28" s="177"/>
      <c r="L28" s="175" t="s">
        <v>71</v>
      </c>
      <c r="M28" s="176"/>
      <c r="N28" s="177"/>
      <c r="O28" s="13"/>
      <c r="P28" s="175"/>
      <c r="Q28" s="176"/>
      <c r="R28" s="177"/>
      <c r="S28" s="175"/>
      <c r="T28" s="176"/>
      <c r="U28" s="177"/>
      <c r="V28" s="175"/>
      <c r="W28" s="176"/>
      <c r="X28" s="177"/>
      <c r="Y28" s="175"/>
      <c r="Z28" s="176"/>
      <c r="AA28" s="177"/>
      <c r="AC28" s="175"/>
      <c r="AD28" s="176"/>
      <c r="AE28" s="177"/>
      <c r="AF28" s="175"/>
      <c r="AG28" s="176"/>
      <c r="AH28" s="177"/>
      <c r="AI28" s="175"/>
      <c r="AJ28" s="176"/>
      <c r="AK28" s="177"/>
      <c r="AL28" s="175"/>
      <c r="AM28" s="176"/>
      <c r="AN28" s="177"/>
      <c r="AO28" s="28"/>
      <c r="AP28" s="175"/>
      <c r="AQ28" s="176"/>
      <c r="AR28" s="177"/>
      <c r="AS28" s="175"/>
      <c r="AT28" s="176"/>
      <c r="AU28" s="177"/>
      <c r="AV28" s="175"/>
      <c r="AW28" s="176"/>
      <c r="AX28" s="177"/>
      <c r="AY28" s="175"/>
      <c r="AZ28" s="176"/>
      <c r="BA28" s="177"/>
      <c r="BB28" s="28"/>
    </row>
    <row r="29" spans="1:70" ht="12" customHeight="1" x14ac:dyDescent="0.25">
      <c r="A29" s="179" t="s">
        <v>10</v>
      </c>
      <c r="B29" s="180"/>
      <c r="C29" s="11">
        <v>74</v>
      </c>
      <c r="D29" s="73">
        <v>20</v>
      </c>
      <c r="E29" s="11">
        <v>40</v>
      </c>
      <c r="F29" s="11">
        <v>82</v>
      </c>
      <c r="G29" s="73">
        <v>-4</v>
      </c>
      <c r="H29" s="11">
        <v>37</v>
      </c>
      <c r="I29" s="11">
        <v>102</v>
      </c>
      <c r="J29" s="73">
        <v>0</v>
      </c>
      <c r="K29" s="11">
        <v>29</v>
      </c>
      <c r="L29" s="11">
        <v>94</v>
      </c>
      <c r="M29" s="73">
        <v>-16</v>
      </c>
      <c r="N29" s="11">
        <v>33</v>
      </c>
      <c r="P29" s="11"/>
      <c r="Q29" s="73"/>
      <c r="R29" s="11"/>
      <c r="S29" s="11"/>
      <c r="T29" s="73"/>
      <c r="U29" s="11"/>
      <c r="V29" s="11"/>
      <c r="W29" s="73"/>
      <c r="X29" s="11"/>
      <c r="Y29" s="11"/>
      <c r="Z29" s="73"/>
      <c r="AA29" s="11"/>
      <c r="AC29" s="11"/>
      <c r="AD29" s="73"/>
      <c r="AE29" s="11"/>
      <c r="AF29" s="11"/>
      <c r="AG29" s="73"/>
      <c r="AH29" s="11"/>
      <c r="AI29" s="11"/>
      <c r="AJ29" s="73"/>
      <c r="AK29" s="11"/>
      <c r="AL29" s="11"/>
      <c r="AM29" s="73"/>
      <c r="AN29" s="11"/>
      <c r="AO29" s="12"/>
      <c r="AP29" s="11"/>
      <c r="AQ29" s="73"/>
      <c r="AR29" s="11"/>
      <c r="AS29" s="11"/>
      <c r="AT29" s="73"/>
      <c r="AU29" s="11"/>
      <c r="AV29" s="11"/>
      <c r="AW29" s="73"/>
      <c r="AX29" s="11"/>
      <c r="AY29" s="11"/>
      <c r="AZ29" s="73"/>
      <c r="BA29" s="11"/>
      <c r="BB29" s="12"/>
    </row>
    <row r="30" spans="1:70" ht="12" customHeight="1" x14ac:dyDescent="0.25">
      <c r="A30" s="2"/>
      <c r="B30" s="36">
        <v>15</v>
      </c>
      <c r="C30" s="172" t="s">
        <v>46</v>
      </c>
      <c r="D30" s="173"/>
      <c r="E30" s="174"/>
      <c r="F30" s="172" t="s">
        <v>3</v>
      </c>
      <c r="G30" s="173"/>
      <c r="H30" s="174"/>
      <c r="I30" s="172" t="s">
        <v>79</v>
      </c>
      <c r="J30" s="173"/>
      <c r="K30" s="174"/>
      <c r="L30" s="172" t="s">
        <v>24</v>
      </c>
      <c r="M30" s="173"/>
      <c r="N30" s="174"/>
      <c r="P30" s="172"/>
      <c r="Q30" s="173"/>
      <c r="R30" s="174"/>
      <c r="S30" s="172"/>
      <c r="T30" s="173"/>
      <c r="U30" s="174"/>
      <c r="V30" s="172"/>
      <c r="W30" s="173"/>
      <c r="X30" s="174"/>
      <c r="Y30" s="172"/>
      <c r="Z30" s="173"/>
      <c r="AA30" s="174"/>
      <c r="AC30" s="172"/>
      <c r="AD30" s="173"/>
      <c r="AE30" s="174"/>
      <c r="AF30" s="172"/>
      <c r="AG30" s="173"/>
      <c r="AH30" s="174"/>
      <c r="AI30" s="172"/>
      <c r="AJ30" s="173"/>
      <c r="AK30" s="174"/>
      <c r="AL30" s="172"/>
      <c r="AM30" s="173"/>
      <c r="AN30" s="174"/>
      <c r="AO30" s="108"/>
      <c r="AP30" s="172"/>
      <c r="AQ30" s="173"/>
      <c r="AR30" s="174"/>
      <c r="AS30" s="172"/>
      <c r="AT30" s="173"/>
      <c r="AU30" s="174"/>
      <c r="AV30" s="172"/>
      <c r="AW30" s="173"/>
      <c r="AX30" s="174"/>
      <c r="AY30" s="172"/>
      <c r="AZ30" s="173"/>
      <c r="BA30" s="174"/>
      <c r="BB30" s="108"/>
    </row>
    <row r="31" spans="1:70" ht="12" customHeight="1" x14ac:dyDescent="0.25">
      <c r="A31" s="179" t="s">
        <v>10</v>
      </c>
      <c r="B31" s="180"/>
      <c r="C31" s="11">
        <v>80</v>
      </c>
      <c r="D31" s="73">
        <v>20</v>
      </c>
      <c r="E31" s="11">
        <v>40</v>
      </c>
      <c r="F31" s="11">
        <v>75</v>
      </c>
      <c r="G31" s="73">
        <v>-8</v>
      </c>
      <c r="H31" s="11">
        <v>36</v>
      </c>
      <c r="I31" s="11">
        <v>100</v>
      </c>
      <c r="J31" s="73">
        <v>-10</v>
      </c>
      <c r="K31" s="11">
        <v>30</v>
      </c>
      <c r="L31" s="11">
        <v>97</v>
      </c>
      <c r="M31" s="73">
        <v>-2</v>
      </c>
      <c r="N31" s="11">
        <v>34</v>
      </c>
      <c r="P31" s="11"/>
      <c r="Q31" s="73"/>
      <c r="R31" s="11"/>
      <c r="S31" s="11"/>
      <c r="T31" s="73"/>
      <c r="U31" s="11"/>
      <c r="V31" s="11"/>
      <c r="W31" s="73"/>
      <c r="X31" s="11"/>
      <c r="Y31" s="11"/>
      <c r="Z31" s="73"/>
      <c r="AA31" s="11"/>
      <c r="AC31" s="11"/>
      <c r="AD31" s="73"/>
      <c r="AE31" s="11"/>
      <c r="AF31" s="11"/>
      <c r="AG31" s="73"/>
      <c r="AH31" s="11"/>
      <c r="AI31" s="11"/>
      <c r="AJ31" s="73"/>
      <c r="AK31" s="11"/>
      <c r="AL31" s="11"/>
      <c r="AM31" s="73"/>
      <c r="AN31" s="11"/>
      <c r="AO31" s="12"/>
      <c r="AP31" s="11"/>
      <c r="AQ31" s="73"/>
      <c r="AR31" s="11"/>
      <c r="AS31" s="11"/>
      <c r="AT31" s="73"/>
      <c r="AU31" s="11"/>
      <c r="AV31" s="11"/>
      <c r="AW31" s="73"/>
      <c r="AX31" s="11"/>
      <c r="AY31" s="11"/>
      <c r="AZ31" s="73"/>
      <c r="BA31" s="11"/>
      <c r="BB31" s="12"/>
    </row>
    <row r="32" spans="1:70" ht="12" customHeight="1" x14ac:dyDescent="0.25">
      <c r="A32" s="2"/>
      <c r="B32" s="36">
        <v>16</v>
      </c>
      <c r="C32" s="172" t="s">
        <v>174</v>
      </c>
      <c r="D32" s="173"/>
      <c r="E32" s="174"/>
      <c r="F32" s="172" t="s">
        <v>29</v>
      </c>
      <c r="G32" s="173"/>
      <c r="H32" s="174"/>
      <c r="I32" s="172" t="s">
        <v>30</v>
      </c>
      <c r="J32" s="173"/>
      <c r="K32" s="174"/>
      <c r="L32" s="172" t="s">
        <v>33</v>
      </c>
      <c r="M32" s="173"/>
      <c r="N32" s="174"/>
      <c r="P32" s="172" t="s">
        <v>79</v>
      </c>
      <c r="Q32" s="173"/>
      <c r="R32" s="174"/>
      <c r="S32" s="172" t="s">
        <v>46</v>
      </c>
      <c r="T32" s="173"/>
      <c r="U32" s="174"/>
      <c r="V32" s="172" t="s">
        <v>40</v>
      </c>
      <c r="W32" s="173"/>
      <c r="X32" s="174"/>
      <c r="Y32" s="172" t="s">
        <v>71</v>
      </c>
      <c r="Z32" s="173"/>
      <c r="AA32" s="174"/>
      <c r="AC32" s="172" t="s">
        <v>133</v>
      </c>
      <c r="AD32" s="173"/>
      <c r="AE32" s="174"/>
      <c r="AF32" s="172" t="s">
        <v>3</v>
      </c>
      <c r="AG32" s="173"/>
      <c r="AH32" s="174"/>
      <c r="AI32" s="172" t="s">
        <v>66</v>
      </c>
      <c r="AJ32" s="173"/>
      <c r="AK32" s="174"/>
      <c r="AL32" s="172" t="s">
        <v>170</v>
      </c>
      <c r="AM32" s="173"/>
      <c r="AN32" s="174"/>
      <c r="AO32" s="108"/>
      <c r="AP32" s="172"/>
      <c r="AQ32" s="173"/>
      <c r="AR32" s="174"/>
      <c r="AS32" s="172"/>
      <c r="AT32" s="173"/>
      <c r="AU32" s="174"/>
      <c r="AV32" s="172"/>
      <c r="AW32" s="173"/>
      <c r="AX32" s="174"/>
      <c r="AY32" s="172"/>
      <c r="AZ32" s="173"/>
      <c r="BA32" s="174"/>
      <c r="BB32" s="108"/>
    </row>
    <row r="33" spans="1:54" ht="12" customHeight="1" x14ac:dyDescent="0.25">
      <c r="A33" s="179" t="s">
        <v>10</v>
      </c>
      <c r="B33" s="180"/>
      <c r="C33" s="11">
        <v>84</v>
      </c>
      <c r="D33" s="73">
        <v>-6</v>
      </c>
      <c r="E33" s="11">
        <v>34</v>
      </c>
      <c r="F33" s="11">
        <v>86</v>
      </c>
      <c r="G33" s="73">
        <v>22</v>
      </c>
      <c r="H33" s="11">
        <v>40</v>
      </c>
      <c r="I33" s="11">
        <v>84</v>
      </c>
      <c r="J33" s="73">
        <v>-4</v>
      </c>
      <c r="K33" s="11">
        <v>35</v>
      </c>
      <c r="L33" s="11">
        <v>103</v>
      </c>
      <c r="M33" s="73">
        <v>-12</v>
      </c>
      <c r="N33" s="11">
        <v>29</v>
      </c>
      <c r="P33" s="11">
        <v>90</v>
      </c>
      <c r="Q33" s="73">
        <v>-10</v>
      </c>
      <c r="R33" s="11">
        <v>40</v>
      </c>
      <c r="S33" s="11">
        <v>85</v>
      </c>
      <c r="T33" s="73">
        <v>8</v>
      </c>
      <c r="U33" s="11">
        <v>36</v>
      </c>
      <c r="V33" s="11">
        <v>79</v>
      </c>
      <c r="W33" s="73">
        <v>-8</v>
      </c>
      <c r="X33" s="11">
        <v>36</v>
      </c>
      <c r="Y33" s="11">
        <v>101</v>
      </c>
      <c r="Z33" s="73">
        <v>10</v>
      </c>
      <c r="AA33" s="11">
        <v>30</v>
      </c>
      <c r="AC33" s="11">
        <v>77</v>
      </c>
      <c r="AD33" s="73">
        <v>19</v>
      </c>
      <c r="AE33" s="11">
        <v>36</v>
      </c>
      <c r="AF33" s="11">
        <v>81</v>
      </c>
      <c r="AG33" s="73">
        <v>-11</v>
      </c>
      <c r="AH33" s="11">
        <v>30</v>
      </c>
      <c r="AI33" s="11">
        <v>82</v>
      </c>
      <c r="AJ33" s="73">
        <v>-1</v>
      </c>
      <c r="AK33" s="11">
        <v>34</v>
      </c>
      <c r="AL33" s="11">
        <v>88</v>
      </c>
      <c r="AM33" s="73">
        <v>-7</v>
      </c>
      <c r="AN33" s="11">
        <v>35</v>
      </c>
      <c r="AO33" s="12"/>
      <c r="AP33" s="11"/>
      <c r="AQ33" s="73"/>
      <c r="AR33" s="11"/>
      <c r="AS33" s="11"/>
      <c r="AT33" s="73"/>
      <c r="AU33" s="11"/>
      <c r="AV33" s="11"/>
      <c r="AW33" s="73"/>
      <c r="AX33" s="11"/>
      <c r="AY33" s="11"/>
      <c r="AZ33" s="73"/>
      <c r="BA33" s="11"/>
      <c r="BB33" s="12"/>
    </row>
    <row r="34" spans="1:54" ht="12" customHeight="1" x14ac:dyDescent="0.25">
      <c r="A34" s="2"/>
      <c r="B34" s="36">
        <v>17</v>
      </c>
      <c r="C34" s="172" t="s">
        <v>46</v>
      </c>
      <c r="D34" s="173"/>
      <c r="E34" s="174"/>
      <c r="F34" s="172" t="s">
        <v>33</v>
      </c>
      <c r="G34" s="173"/>
      <c r="H34" s="174"/>
      <c r="I34" s="172" t="s">
        <v>179</v>
      </c>
      <c r="J34" s="173"/>
      <c r="K34" s="174"/>
      <c r="L34" s="172" t="s">
        <v>79</v>
      </c>
      <c r="M34" s="173"/>
      <c r="N34" s="174"/>
      <c r="P34" s="172" t="s">
        <v>66</v>
      </c>
      <c r="Q34" s="173"/>
      <c r="R34" s="174"/>
      <c r="S34" s="172" t="s">
        <v>133</v>
      </c>
      <c r="T34" s="173"/>
      <c r="U34" s="174"/>
      <c r="V34" s="172" t="s">
        <v>30</v>
      </c>
      <c r="W34" s="173"/>
      <c r="X34" s="174"/>
      <c r="Y34" s="172" t="s">
        <v>8</v>
      </c>
      <c r="Z34" s="173"/>
      <c r="AA34" s="174"/>
      <c r="AC34" s="172"/>
      <c r="AD34" s="173"/>
      <c r="AE34" s="174"/>
      <c r="AF34" s="172"/>
      <c r="AG34" s="173"/>
      <c r="AH34" s="174"/>
      <c r="AI34" s="172"/>
      <c r="AJ34" s="173"/>
      <c r="AK34" s="174"/>
      <c r="AL34" s="172"/>
      <c r="AM34" s="173"/>
      <c r="AN34" s="174"/>
      <c r="AO34" s="108"/>
      <c r="AP34" s="172"/>
      <c r="AQ34" s="173"/>
      <c r="AR34" s="174"/>
      <c r="AS34" s="172"/>
      <c r="AT34" s="173"/>
      <c r="AU34" s="174"/>
      <c r="AV34" s="172"/>
      <c r="AW34" s="173"/>
      <c r="AX34" s="174"/>
      <c r="AY34" s="172"/>
      <c r="AZ34" s="173"/>
      <c r="BA34" s="174"/>
      <c r="BB34" s="108"/>
    </row>
    <row r="35" spans="1:54" ht="12" customHeight="1" x14ac:dyDescent="0.25">
      <c r="A35" s="179" t="s">
        <v>10</v>
      </c>
      <c r="B35" s="180"/>
      <c r="C35" s="11">
        <v>82</v>
      </c>
      <c r="D35" s="73">
        <v>1</v>
      </c>
      <c r="E35" s="11">
        <v>38</v>
      </c>
      <c r="F35" s="11">
        <v>95</v>
      </c>
      <c r="G35" s="73">
        <v>9</v>
      </c>
      <c r="H35" s="11">
        <v>37</v>
      </c>
      <c r="I35" s="11">
        <v>104</v>
      </c>
      <c r="J35" s="73">
        <v>-35</v>
      </c>
      <c r="K35" s="11">
        <v>26</v>
      </c>
      <c r="L35" s="11">
        <v>99</v>
      </c>
      <c r="M35" s="73">
        <v>25</v>
      </c>
      <c r="N35" s="11">
        <v>31</v>
      </c>
      <c r="O35" s="99"/>
      <c r="P35" s="11">
        <v>77</v>
      </c>
      <c r="Q35" s="73">
        <v>35</v>
      </c>
      <c r="R35" s="11">
        <v>39</v>
      </c>
      <c r="S35" s="11">
        <v>81</v>
      </c>
      <c r="T35" s="73">
        <v>-53</v>
      </c>
      <c r="U35" s="11">
        <v>31</v>
      </c>
      <c r="V35" s="11">
        <v>87</v>
      </c>
      <c r="W35" s="73">
        <v>11</v>
      </c>
      <c r="X35" s="11">
        <v>32</v>
      </c>
      <c r="Y35" s="11">
        <v>86</v>
      </c>
      <c r="Z35" s="73">
        <v>7</v>
      </c>
      <c r="AA35" s="11">
        <v>32</v>
      </c>
      <c r="AB35" s="3"/>
      <c r="AC35" s="11"/>
      <c r="AD35" s="73"/>
      <c r="AE35" s="11"/>
      <c r="AF35" s="11"/>
      <c r="AG35" s="73"/>
      <c r="AH35" s="11"/>
      <c r="AI35" s="11"/>
      <c r="AJ35" s="73"/>
      <c r="AK35" s="11"/>
      <c r="AL35" s="11"/>
      <c r="AM35" s="73"/>
      <c r="AN35" s="11"/>
      <c r="AO35" s="12"/>
      <c r="AP35" s="11"/>
      <c r="AQ35" s="73"/>
      <c r="AR35" s="11"/>
      <c r="AS35" s="11"/>
      <c r="AT35" s="73"/>
      <c r="AU35" s="11"/>
      <c r="AV35" s="11"/>
      <c r="AW35" s="73"/>
      <c r="AX35" s="11"/>
      <c r="AY35" s="11"/>
      <c r="AZ35" s="73"/>
      <c r="BA35" s="11"/>
      <c r="BB35" s="12"/>
    </row>
    <row r="36" spans="1:54" ht="12" customHeight="1" x14ac:dyDescent="0.25">
      <c r="A36" s="2"/>
      <c r="B36" s="36">
        <v>18</v>
      </c>
      <c r="C36" s="172"/>
      <c r="D36" s="173"/>
      <c r="E36" s="174"/>
      <c r="F36" s="172"/>
      <c r="G36" s="173"/>
      <c r="H36" s="174"/>
      <c r="I36" s="172"/>
      <c r="J36" s="173"/>
      <c r="K36" s="174"/>
      <c r="L36" s="172"/>
      <c r="M36" s="173"/>
      <c r="N36" s="174"/>
      <c r="P36" s="172"/>
      <c r="Q36" s="173"/>
      <c r="R36" s="174"/>
      <c r="S36" s="172"/>
      <c r="T36" s="173"/>
      <c r="U36" s="174"/>
      <c r="V36" s="172"/>
      <c r="W36" s="173"/>
      <c r="X36" s="174"/>
      <c r="Y36" s="172"/>
      <c r="Z36" s="173"/>
      <c r="AA36" s="174"/>
      <c r="AC36" s="172"/>
      <c r="AD36" s="173"/>
      <c r="AE36" s="174"/>
      <c r="AF36" s="172"/>
      <c r="AG36" s="173"/>
      <c r="AH36" s="174"/>
      <c r="AI36" s="172"/>
      <c r="AJ36" s="173"/>
      <c r="AK36" s="174"/>
      <c r="AL36" s="172"/>
      <c r="AM36" s="173"/>
      <c r="AN36" s="174"/>
      <c r="AO36" s="134"/>
      <c r="AP36" s="172"/>
      <c r="AQ36" s="173"/>
      <c r="AR36" s="174"/>
      <c r="AS36" s="172"/>
      <c r="AT36" s="173"/>
      <c r="AU36" s="174"/>
      <c r="AV36" s="172"/>
      <c r="AW36" s="173"/>
      <c r="AX36" s="174"/>
      <c r="AY36" s="172"/>
      <c r="AZ36" s="173"/>
      <c r="BA36" s="174"/>
      <c r="BB36" s="134"/>
    </row>
    <row r="37" spans="1:54" ht="12" customHeight="1" x14ac:dyDescent="0.2">
      <c r="A37" s="179" t="s">
        <v>10</v>
      </c>
      <c r="B37" s="180"/>
      <c r="C37" s="11"/>
      <c r="D37" s="73"/>
      <c r="E37" s="11"/>
      <c r="F37" s="11"/>
      <c r="G37" s="73"/>
      <c r="H37" s="11"/>
      <c r="I37" s="11"/>
      <c r="J37" s="73"/>
      <c r="K37" s="11"/>
      <c r="L37" s="11"/>
      <c r="M37" s="73"/>
      <c r="N37" s="11"/>
      <c r="O37" s="99"/>
      <c r="P37" s="11"/>
      <c r="Q37" s="73"/>
      <c r="R37" s="11"/>
      <c r="S37" s="11"/>
      <c r="T37" s="73"/>
      <c r="U37" s="11"/>
      <c r="V37" s="11"/>
      <c r="W37" s="73"/>
      <c r="X37" s="11"/>
      <c r="Y37" s="11"/>
      <c r="Z37" s="73"/>
      <c r="AA37" s="11"/>
      <c r="AB37" s="3"/>
      <c r="AC37" s="11"/>
      <c r="AD37" s="73"/>
      <c r="AE37" s="11"/>
      <c r="AF37" s="11"/>
      <c r="AG37" s="73"/>
      <c r="AH37" s="11"/>
      <c r="AI37" s="11"/>
      <c r="AJ37" s="73"/>
      <c r="AK37" s="11"/>
      <c r="AL37" s="11"/>
      <c r="AM37" s="73"/>
      <c r="AN37" s="11"/>
      <c r="AO37" s="12"/>
      <c r="AP37" s="11"/>
      <c r="AQ37" s="73"/>
      <c r="AR37" s="11"/>
      <c r="AS37" s="11"/>
      <c r="AT37" s="73"/>
      <c r="AU37" s="11"/>
      <c r="AV37" s="11"/>
      <c r="AW37" s="73"/>
      <c r="AX37" s="11"/>
      <c r="AY37" s="11"/>
      <c r="AZ37" s="73"/>
      <c r="BA37" s="11"/>
      <c r="BB37" s="12"/>
    </row>
    <row r="38" spans="1:54" x14ac:dyDescent="0.25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42" spans="1:54" x14ac:dyDescent="0.25">
      <c r="A42" t="s">
        <v>48</v>
      </c>
    </row>
  </sheetData>
  <mergeCells count="310">
    <mergeCell ref="AL36:AN36"/>
    <mergeCell ref="A37:B37"/>
    <mergeCell ref="S36:U36"/>
    <mergeCell ref="V36:X36"/>
    <mergeCell ref="Y36:AA36"/>
    <mergeCell ref="AC36:AE36"/>
    <mergeCell ref="AF36:AH36"/>
    <mergeCell ref="AI36:AK36"/>
    <mergeCell ref="A35:B35"/>
    <mergeCell ref="C36:E36"/>
    <mergeCell ref="F36:H36"/>
    <mergeCell ref="I36:K36"/>
    <mergeCell ref="L36:N36"/>
    <mergeCell ref="P36:R36"/>
    <mergeCell ref="V34:X34"/>
    <mergeCell ref="Y34:AA34"/>
    <mergeCell ref="AC34:AE34"/>
    <mergeCell ref="AF34:AH34"/>
    <mergeCell ref="AI34:AK34"/>
    <mergeCell ref="AL34:AN34"/>
    <mergeCell ref="C34:E34"/>
    <mergeCell ref="F34:H34"/>
    <mergeCell ref="I34:K34"/>
    <mergeCell ref="L34:N34"/>
    <mergeCell ref="P34:R34"/>
    <mergeCell ref="S34:U34"/>
    <mergeCell ref="AL32:AN32"/>
    <mergeCell ref="A33:B33"/>
    <mergeCell ref="S32:U32"/>
    <mergeCell ref="V32:X32"/>
    <mergeCell ref="Y32:AA32"/>
    <mergeCell ref="AC32:AE32"/>
    <mergeCell ref="AF32:AH32"/>
    <mergeCell ref="AI32:AK32"/>
    <mergeCell ref="A31:B31"/>
    <mergeCell ref="C32:E32"/>
    <mergeCell ref="F32:H32"/>
    <mergeCell ref="I32:K32"/>
    <mergeCell ref="L32:N32"/>
    <mergeCell ref="P32:R32"/>
    <mergeCell ref="V30:X30"/>
    <mergeCell ref="Y30:AA30"/>
    <mergeCell ref="AC30:AE30"/>
    <mergeCell ref="AF30:AH30"/>
    <mergeCell ref="AI30:AK30"/>
    <mergeCell ref="AL30:AN30"/>
    <mergeCell ref="C30:E30"/>
    <mergeCell ref="F30:H30"/>
    <mergeCell ref="I30:K30"/>
    <mergeCell ref="L30:N30"/>
    <mergeCell ref="P30:R30"/>
    <mergeCell ref="S30:U30"/>
    <mergeCell ref="AL28:AN28"/>
    <mergeCell ref="A29:B29"/>
    <mergeCell ref="S28:U28"/>
    <mergeCell ref="V28:X28"/>
    <mergeCell ref="Y28:AA28"/>
    <mergeCell ref="AC28:AE28"/>
    <mergeCell ref="AF28:AH28"/>
    <mergeCell ref="AI28:AK28"/>
    <mergeCell ref="A27:B27"/>
    <mergeCell ref="C28:E28"/>
    <mergeCell ref="F28:H28"/>
    <mergeCell ref="I28:K28"/>
    <mergeCell ref="L28:N28"/>
    <mergeCell ref="P28:R28"/>
    <mergeCell ref="V26:X26"/>
    <mergeCell ref="Y26:AA26"/>
    <mergeCell ref="AC26:AE26"/>
    <mergeCell ref="AF26:AH26"/>
    <mergeCell ref="AI26:AK26"/>
    <mergeCell ref="AL26:AN26"/>
    <mergeCell ref="C26:E26"/>
    <mergeCell ref="F26:H26"/>
    <mergeCell ref="I26:K26"/>
    <mergeCell ref="L26:N26"/>
    <mergeCell ref="P26:R26"/>
    <mergeCell ref="S26:U26"/>
    <mergeCell ref="AL24:AN24"/>
    <mergeCell ref="A25:B25"/>
    <mergeCell ref="S24:U24"/>
    <mergeCell ref="V24:X24"/>
    <mergeCell ref="Y24:AA24"/>
    <mergeCell ref="AC24:AE24"/>
    <mergeCell ref="AF24:AH24"/>
    <mergeCell ref="AI24:AK24"/>
    <mergeCell ref="A23:B23"/>
    <mergeCell ref="C24:E24"/>
    <mergeCell ref="F24:H24"/>
    <mergeCell ref="I24:K24"/>
    <mergeCell ref="L24:N24"/>
    <mergeCell ref="P24:R24"/>
    <mergeCell ref="V22:X22"/>
    <mergeCell ref="Y22:AA22"/>
    <mergeCell ref="AC22:AE22"/>
    <mergeCell ref="AF22:AH22"/>
    <mergeCell ref="AI22:AK22"/>
    <mergeCell ref="AL22:AN22"/>
    <mergeCell ref="C22:E22"/>
    <mergeCell ref="F22:H22"/>
    <mergeCell ref="I22:K22"/>
    <mergeCell ref="L22:N22"/>
    <mergeCell ref="P22:R22"/>
    <mergeCell ref="S22:U22"/>
    <mergeCell ref="AL20:AN20"/>
    <mergeCell ref="A21:B21"/>
    <mergeCell ref="S20:U20"/>
    <mergeCell ref="V20:X20"/>
    <mergeCell ref="Y20:AA20"/>
    <mergeCell ref="AC20:AE20"/>
    <mergeCell ref="AF20:AH20"/>
    <mergeCell ref="AI20:AK20"/>
    <mergeCell ref="A19:B19"/>
    <mergeCell ref="C20:E20"/>
    <mergeCell ref="F20:H20"/>
    <mergeCell ref="I20:K20"/>
    <mergeCell ref="L20:N20"/>
    <mergeCell ref="P20:R20"/>
    <mergeCell ref="V18:X18"/>
    <mergeCell ref="Y18:AA18"/>
    <mergeCell ref="AC18:AE18"/>
    <mergeCell ref="AF18:AH18"/>
    <mergeCell ref="AI18:AK18"/>
    <mergeCell ref="AL18:AN18"/>
    <mergeCell ref="C18:E18"/>
    <mergeCell ref="F18:H18"/>
    <mergeCell ref="I18:K18"/>
    <mergeCell ref="L18:N18"/>
    <mergeCell ref="P18:R18"/>
    <mergeCell ref="S18:U18"/>
    <mergeCell ref="AL16:AN16"/>
    <mergeCell ref="A17:B17"/>
    <mergeCell ref="S16:U16"/>
    <mergeCell ref="V16:X16"/>
    <mergeCell ref="Y16:AA16"/>
    <mergeCell ref="AC16:AE16"/>
    <mergeCell ref="AF16:AH16"/>
    <mergeCell ref="AI16:AK16"/>
    <mergeCell ref="A15:B15"/>
    <mergeCell ref="C16:E16"/>
    <mergeCell ref="F16:H16"/>
    <mergeCell ref="I16:K16"/>
    <mergeCell ref="L16:N16"/>
    <mergeCell ref="P16:R16"/>
    <mergeCell ref="V14:X14"/>
    <mergeCell ref="Y14:AA14"/>
    <mergeCell ref="AC14:AE14"/>
    <mergeCell ref="AF14:AH14"/>
    <mergeCell ref="AI14:AK14"/>
    <mergeCell ref="AL14:AN14"/>
    <mergeCell ref="C14:E14"/>
    <mergeCell ref="F14:H14"/>
    <mergeCell ref="I14:K14"/>
    <mergeCell ref="L14:N14"/>
    <mergeCell ref="P14:R14"/>
    <mergeCell ref="S14:U14"/>
    <mergeCell ref="AL12:AN12"/>
    <mergeCell ref="A13:B13"/>
    <mergeCell ref="S12:U12"/>
    <mergeCell ref="V12:X12"/>
    <mergeCell ref="Y12:AA12"/>
    <mergeCell ref="AC12:AE12"/>
    <mergeCell ref="AF12:AH12"/>
    <mergeCell ref="AI12:AK12"/>
    <mergeCell ref="A11:B11"/>
    <mergeCell ref="C12:E12"/>
    <mergeCell ref="F12:H12"/>
    <mergeCell ref="I12:K12"/>
    <mergeCell ref="L12:N12"/>
    <mergeCell ref="P12:R12"/>
    <mergeCell ref="V10:X10"/>
    <mergeCell ref="Y10:AA10"/>
    <mergeCell ref="AC10:AE10"/>
    <mergeCell ref="AF10:AH10"/>
    <mergeCell ref="AI10:AK10"/>
    <mergeCell ref="AL10:AN10"/>
    <mergeCell ref="C10:E10"/>
    <mergeCell ref="F10:H10"/>
    <mergeCell ref="I10:K10"/>
    <mergeCell ref="L10:N10"/>
    <mergeCell ref="P10:R10"/>
    <mergeCell ref="S10:U10"/>
    <mergeCell ref="AL8:AN8"/>
    <mergeCell ref="A9:B9"/>
    <mergeCell ref="S8:U8"/>
    <mergeCell ref="V8:X8"/>
    <mergeCell ref="Y8:AA8"/>
    <mergeCell ref="AC8:AE8"/>
    <mergeCell ref="AF8:AH8"/>
    <mergeCell ref="AI8:AK8"/>
    <mergeCell ref="A7:B7"/>
    <mergeCell ref="C8:E8"/>
    <mergeCell ref="F8:H8"/>
    <mergeCell ref="I8:K8"/>
    <mergeCell ref="L8:N8"/>
    <mergeCell ref="P8:R8"/>
    <mergeCell ref="V6:X6"/>
    <mergeCell ref="Y6:AA6"/>
    <mergeCell ref="AC6:AE6"/>
    <mergeCell ref="AF6:AH6"/>
    <mergeCell ref="AI6:AK6"/>
    <mergeCell ref="AL6:AN6"/>
    <mergeCell ref="C6:E6"/>
    <mergeCell ref="F6:H6"/>
    <mergeCell ref="I6:K6"/>
    <mergeCell ref="L6:N6"/>
    <mergeCell ref="P6:R6"/>
    <mergeCell ref="S6:U6"/>
    <mergeCell ref="AL4:AN4"/>
    <mergeCell ref="A5:B5"/>
    <mergeCell ref="S4:U4"/>
    <mergeCell ref="V4:X4"/>
    <mergeCell ref="Y4:AA4"/>
    <mergeCell ref="AC4:AE4"/>
    <mergeCell ref="AF4:AH4"/>
    <mergeCell ref="AI4:AK4"/>
    <mergeCell ref="A3:B3"/>
    <mergeCell ref="C4:E4"/>
    <mergeCell ref="F4:H4"/>
    <mergeCell ref="I4:K4"/>
    <mergeCell ref="L4:N4"/>
    <mergeCell ref="P4:R4"/>
    <mergeCell ref="V2:X2"/>
    <mergeCell ref="Y2:AA2"/>
    <mergeCell ref="AC2:AE2"/>
    <mergeCell ref="AF2:AH2"/>
    <mergeCell ref="AI2:AK2"/>
    <mergeCell ref="AL2:AN2"/>
    <mergeCell ref="C1:L1"/>
    <mergeCell ref="P1:Y1"/>
    <mergeCell ref="AC1:AL1"/>
    <mergeCell ref="C2:E2"/>
    <mergeCell ref="F2:H2"/>
    <mergeCell ref="I2:K2"/>
    <mergeCell ref="L2:N2"/>
    <mergeCell ref="P2:R2"/>
    <mergeCell ref="S2:U2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</mergeCells>
  <pageMargins left="0.2" right="0.2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X39"/>
  <sheetViews>
    <sheetView zoomScale="85" zoomScaleNormal="85" workbookViewId="0">
      <selection activeCell="C31" sqref="C31"/>
    </sheetView>
  </sheetViews>
  <sheetFormatPr defaultRowHeight="13.8" x14ac:dyDescent="0.25"/>
  <cols>
    <col min="1" max="1" width="7.08984375" customWidth="1"/>
    <col min="2" max="2" width="8.08984375" customWidth="1"/>
    <col min="3" max="6" width="13.1796875" customWidth="1"/>
    <col min="7" max="8" width="3.6328125" customWidth="1"/>
    <col min="9" max="9" width="6.453125" bestFit="1" customWidth="1"/>
    <col min="10" max="12" width="4.1796875" customWidth="1"/>
    <col min="13" max="13" width="4.90625" bestFit="1" customWidth="1"/>
    <col min="14" max="14" width="4.453125" bestFit="1" customWidth="1"/>
    <col min="15" max="18" width="4.1796875" customWidth="1"/>
    <col min="19" max="19" width="3.6328125" bestFit="1" customWidth="1"/>
    <col min="20" max="20" width="4.54296875" bestFit="1" customWidth="1"/>
    <col min="21" max="21" width="4.453125" bestFit="1" customWidth="1"/>
    <col min="22" max="22" width="4.1796875" bestFit="1" customWidth="1"/>
    <col min="23" max="23" width="3.1796875" bestFit="1" customWidth="1"/>
    <col min="24" max="24" width="5.1796875" bestFit="1" customWidth="1"/>
  </cols>
  <sheetData>
    <row r="2" spans="1:24" x14ac:dyDescent="0.25">
      <c r="A2" s="182" t="s">
        <v>15</v>
      </c>
      <c r="B2" s="4" t="s">
        <v>17</v>
      </c>
      <c r="C2" s="130"/>
      <c r="D2" s="20"/>
      <c r="E2" s="20"/>
      <c r="F2" s="20"/>
      <c r="G2" s="18"/>
      <c r="H2" s="18"/>
    </row>
    <row r="3" spans="1:24" x14ac:dyDescent="0.25">
      <c r="A3" s="182"/>
      <c r="B3" s="4" t="s">
        <v>18</v>
      </c>
      <c r="C3" s="21"/>
      <c r="D3" s="20"/>
      <c r="E3" s="20"/>
      <c r="F3" s="20"/>
      <c r="G3" s="18"/>
      <c r="H3" s="18"/>
    </row>
    <row r="4" spans="1:24" ht="13.95" x14ac:dyDescent="0.25">
      <c r="C4" s="17"/>
      <c r="D4" s="17"/>
      <c r="E4" s="35"/>
      <c r="F4" s="35"/>
      <c r="S4" s="35"/>
      <c r="T4" s="35"/>
      <c r="U4" s="35"/>
      <c r="V4" s="35"/>
      <c r="W4" s="35"/>
    </row>
    <row r="5" spans="1:24" ht="13.95" x14ac:dyDescent="0.25">
      <c r="C5" s="17"/>
      <c r="D5" s="17"/>
      <c r="E5" s="35"/>
      <c r="F5" s="35"/>
      <c r="J5" s="22"/>
      <c r="K5" s="22"/>
      <c r="L5" s="22"/>
      <c r="M5" s="22"/>
      <c r="N5" s="22"/>
      <c r="O5" s="22"/>
      <c r="P5" s="22"/>
      <c r="Q5" s="22"/>
      <c r="R5" s="22"/>
      <c r="S5" s="22"/>
      <c r="T5" s="17"/>
      <c r="U5" s="17"/>
      <c r="V5" s="22"/>
      <c r="W5" s="17"/>
      <c r="X5" s="22"/>
    </row>
    <row r="6" spans="1:24" ht="14.25" customHeight="1" x14ac:dyDescent="0.25">
      <c r="A6" s="183" t="s">
        <v>16</v>
      </c>
      <c r="B6" s="19" t="s">
        <v>17</v>
      </c>
      <c r="C6" s="21"/>
      <c r="D6" s="20"/>
      <c r="E6" s="20"/>
      <c r="F6" s="20"/>
      <c r="J6" t="s">
        <v>89</v>
      </c>
      <c r="K6" t="s">
        <v>19</v>
      </c>
      <c r="L6" t="s">
        <v>67</v>
      </c>
      <c r="M6" t="s">
        <v>1</v>
      </c>
      <c r="N6" t="s">
        <v>20</v>
      </c>
      <c r="O6" t="s">
        <v>29</v>
      </c>
      <c r="P6" t="s">
        <v>28</v>
      </c>
      <c r="Q6" s="35" t="s">
        <v>32</v>
      </c>
      <c r="R6" s="35" t="s">
        <v>41</v>
      </c>
      <c r="S6" t="s">
        <v>68</v>
      </c>
      <c r="T6" s="35" t="s">
        <v>93</v>
      </c>
      <c r="U6" t="s">
        <v>76</v>
      </c>
      <c r="W6" s="35"/>
    </row>
    <row r="7" spans="1:24" x14ac:dyDescent="0.25">
      <c r="A7" s="183"/>
      <c r="B7" s="19" t="s">
        <v>18</v>
      </c>
      <c r="C7" s="20"/>
      <c r="D7" s="20"/>
      <c r="E7" s="20"/>
      <c r="F7" s="20"/>
      <c r="I7" t="s">
        <v>89</v>
      </c>
      <c r="J7" s="35" t="s">
        <v>21</v>
      </c>
      <c r="K7" s="35">
        <f>J8</f>
        <v>1</v>
      </c>
      <c r="L7" s="35">
        <f>J9</f>
        <v>1</v>
      </c>
      <c r="M7" s="35">
        <f>J10</f>
        <v>0</v>
      </c>
      <c r="N7" s="35">
        <f>J11</f>
        <v>1</v>
      </c>
      <c r="O7" s="35">
        <f>J12</f>
        <v>0</v>
      </c>
      <c r="P7" s="35">
        <f>J13</f>
        <v>0</v>
      </c>
      <c r="Q7" s="35">
        <f>J14</f>
        <v>1</v>
      </c>
      <c r="R7" s="35">
        <f>J15</f>
        <v>0</v>
      </c>
      <c r="S7" s="35">
        <f>J16</f>
        <v>3</v>
      </c>
      <c r="T7" s="35">
        <f>J17</f>
        <v>1</v>
      </c>
      <c r="U7" s="35">
        <f>J18</f>
        <v>1</v>
      </c>
      <c r="V7" s="35">
        <f>J19</f>
        <v>0</v>
      </c>
      <c r="W7" s="35">
        <f>J20</f>
        <v>0</v>
      </c>
      <c r="X7" s="35">
        <f>J21</f>
        <v>0</v>
      </c>
    </row>
    <row r="8" spans="1:24" ht="13.95" x14ac:dyDescent="0.25">
      <c r="C8" s="35"/>
      <c r="D8" s="35"/>
      <c r="E8" s="35"/>
      <c r="F8" s="35"/>
      <c r="I8" t="s">
        <v>19</v>
      </c>
      <c r="J8" s="35">
        <v>1</v>
      </c>
      <c r="K8" s="35" t="s">
        <v>21</v>
      </c>
      <c r="L8" s="35">
        <f>K9</f>
        <v>3</v>
      </c>
      <c r="M8" s="35">
        <f>K10</f>
        <v>2</v>
      </c>
      <c r="N8" s="35">
        <f>K11</f>
        <v>2</v>
      </c>
      <c r="O8" s="35">
        <f>K12</f>
        <v>2</v>
      </c>
      <c r="P8" s="35">
        <f>K13</f>
        <v>1</v>
      </c>
      <c r="Q8" s="35">
        <f>K14</f>
        <v>3</v>
      </c>
      <c r="R8" s="35">
        <f>K15</f>
        <v>2</v>
      </c>
      <c r="S8" s="35">
        <f>K16</f>
        <v>2</v>
      </c>
      <c r="T8" s="35">
        <f>K17</f>
        <v>2</v>
      </c>
      <c r="U8" s="35">
        <f>K18</f>
        <v>1</v>
      </c>
      <c r="V8" s="35">
        <f>K19</f>
        <v>0</v>
      </c>
      <c r="W8" s="35">
        <f>K20</f>
        <v>0</v>
      </c>
      <c r="X8" s="35">
        <f>K21</f>
        <v>0</v>
      </c>
    </row>
    <row r="9" spans="1:24" ht="13.95" x14ac:dyDescent="0.25">
      <c r="C9" s="35"/>
      <c r="D9" s="35"/>
      <c r="E9" s="35"/>
      <c r="F9" s="35"/>
      <c r="I9" t="s">
        <v>67</v>
      </c>
      <c r="J9" s="35">
        <v>1</v>
      </c>
      <c r="K9" s="35">
        <v>3</v>
      </c>
      <c r="L9" s="35" t="s">
        <v>21</v>
      </c>
      <c r="M9" s="35">
        <f>L10</f>
        <v>4</v>
      </c>
      <c r="N9" s="35">
        <f>L11</f>
        <v>4</v>
      </c>
      <c r="O9" s="35">
        <f>L12</f>
        <v>2</v>
      </c>
      <c r="P9" s="35">
        <f>L13</f>
        <v>1</v>
      </c>
      <c r="Q9" s="35">
        <f>L14</f>
        <v>4</v>
      </c>
      <c r="R9" s="35">
        <f>L15</f>
        <v>3</v>
      </c>
      <c r="S9" s="35">
        <f>L16</f>
        <v>2</v>
      </c>
      <c r="T9" s="35">
        <f>L17</f>
        <v>3</v>
      </c>
      <c r="U9" s="35">
        <f>L18</f>
        <v>3</v>
      </c>
      <c r="V9" s="35">
        <f>L19</f>
        <v>0</v>
      </c>
      <c r="W9" s="35">
        <f>L20</f>
        <v>0</v>
      </c>
      <c r="X9" s="35">
        <f>L21</f>
        <v>0</v>
      </c>
    </row>
    <row r="10" spans="1:24" ht="14.25" customHeight="1" x14ac:dyDescent="0.25">
      <c r="A10" s="182" t="s">
        <v>27</v>
      </c>
      <c r="B10" s="19" t="s">
        <v>17</v>
      </c>
      <c r="C10" s="21"/>
      <c r="D10" s="127"/>
      <c r="E10" s="20"/>
      <c r="F10" s="20"/>
      <c r="I10" t="s">
        <v>1</v>
      </c>
      <c r="J10" s="35"/>
      <c r="K10" s="35">
        <v>2</v>
      </c>
      <c r="L10" s="35">
        <v>4</v>
      </c>
      <c r="M10" s="35" t="s">
        <v>21</v>
      </c>
      <c r="N10" s="35">
        <f>M11</f>
        <v>4</v>
      </c>
      <c r="O10" s="35">
        <f>M12</f>
        <v>3</v>
      </c>
      <c r="P10" s="35">
        <f>M13</f>
        <v>1</v>
      </c>
      <c r="Q10" s="35">
        <f>M14</f>
        <v>5</v>
      </c>
      <c r="R10" s="35">
        <f>M15</f>
        <v>4</v>
      </c>
      <c r="S10" s="35">
        <f>M16</f>
        <v>3</v>
      </c>
      <c r="T10" s="35">
        <f>M17</f>
        <v>3</v>
      </c>
      <c r="U10" s="35">
        <f>M18</f>
        <v>3</v>
      </c>
      <c r="V10" s="35">
        <f>M19</f>
        <v>0</v>
      </c>
      <c r="W10" s="35">
        <f>M20</f>
        <v>0</v>
      </c>
      <c r="X10" s="35">
        <f>M21</f>
        <v>0</v>
      </c>
    </row>
    <row r="11" spans="1:24" x14ac:dyDescent="0.25">
      <c r="A11" s="182"/>
      <c r="B11" s="19" t="s">
        <v>18</v>
      </c>
      <c r="C11" s="20"/>
      <c r="D11" s="20"/>
      <c r="E11" s="20"/>
      <c r="F11" s="20"/>
      <c r="I11" t="s">
        <v>20</v>
      </c>
      <c r="J11" s="35">
        <v>1</v>
      </c>
      <c r="K11" s="35">
        <v>2</v>
      </c>
      <c r="L11" s="35">
        <v>4</v>
      </c>
      <c r="M11" s="35">
        <v>4</v>
      </c>
      <c r="N11" s="35" t="s">
        <v>21</v>
      </c>
      <c r="O11" s="35">
        <f>N12</f>
        <v>1</v>
      </c>
      <c r="P11" s="35">
        <f>N13</f>
        <v>1</v>
      </c>
      <c r="Q11" s="35">
        <f>N14</f>
        <v>4</v>
      </c>
      <c r="R11" s="35">
        <f>N15</f>
        <v>3</v>
      </c>
      <c r="S11" s="35">
        <f>N16</f>
        <v>4</v>
      </c>
      <c r="T11" s="35">
        <f>N17</f>
        <v>3</v>
      </c>
      <c r="U11" s="35">
        <f>N18</f>
        <v>2</v>
      </c>
      <c r="V11" s="35">
        <f>N19</f>
        <v>0</v>
      </c>
      <c r="W11" s="35">
        <f>N20</f>
        <v>0</v>
      </c>
      <c r="X11" s="35">
        <f>N21</f>
        <v>0</v>
      </c>
    </row>
    <row r="12" spans="1:24" ht="13.95" x14ac:dyDescent="0.25">
      <c r="C12" s="35"/>
      <c r="D12" s="35"/>
      <c r="E12" s="35"/>
      <c r="F12" s="35"/>
      <c r="I12" t="s">
        <v>29</v>
      </c>
      <c r="J12" s="35"/>
      <c r="K12" s="35">
        <v>2</v>
      </c>
      <c r="L12" s="35">
        <v>2</v>
      </c>
      <c r="M12" s="35">
        <v>3</v>
      </c>
      <c r="N12" s="35">
        <v>1</v>
      </c>
      <c r="O12" s="35" t="s">
        <v>21</v>
      </c>
      <c r="P12" s="35">
        <f>O13</f>
        <v>3</v>
      </c>
      <c r="Q12" s="35">
        <f>O14</f>
        <v>3</v>
      </c>
      <c r="R12" s="35">
        <f>O15</f>
        <v>3</v>
      </c>
      <c r="S12" s="35">
        <f>O16</f>
        <v>2</v>
      </c>
      <c r="T12" s="35">
        <f>O17</f>
        <v>3</v>
      </c>
      <c r="U12" s="35">
        <f>O18</f>
        <v>2</v>
      </c>
      <c r="V12" s="35">
        <f>O19</f>
        <v>0</v>
      </c>
      <c r="W12" s="35">
        <f>O20</f>
        <v>0</v>
      </c>
      <c r="X12" s="35">
        <f>O21</f>
        <v>0</v>
      </c>
    </row>
    <row r="13" spans="1:24" x14ac:dyDescent="0.25">
      <c r="A13" s="182" t="s">
        <v>86</v>
      </c>
      <c r="B13" s="19" t="s">
        <v>17</v>
      </c>
      <c r="C13" s="127"/>
      <c r="D13" s="127"/>
      <c r="E13" s="127"/>
      <c r="F13" s="127"/>
      <c r="I13" t="s">
        <v>28</v>
      </c>
      <c r="J13" s="35"/>
      <c r="K13" s="35">
        <v>1</v>
      </c>
      <c r="L13" s="35">
        <v>1</v>
      </c>
      <c r="M13" s="35">
        <v>1</v>
      </c>
      <c r="N13" s="35">
        <v>1</v>
      </c>
      <c r="O13" s="35">
        <v>3</v>
      </c>
      <c r="P13" s="35" t="s">
        <v>21</v>
      </c>
      <c r="Q13" s="35">
        <f>P14</f>
        <v>0</v>
      </c>
      <c r="R13" s="35">
        <f>P15</f>
        <v>1</v>
      </c>
      <c r="S13" s="35">
        <f>P16</f>
        <v>3</v>
      </c>
      <c r="T13" s="35">
        <f>P17</f>
        <v>0</v>
      </c>
      <c r="U13" s="35">
        <f>P18</f>
        <v>0</v>
      </c>
      <c r="V13" s="35">
        <f>P19</f>
        <v>0</v>
      </c>
      <c r="W13" s="35">
        <f>P20</f>
        <v>0</v>
      </c>
      <c r="X13" s="35">
        <f>P21</f>
        <v>0</v>
      </c>
    </row>
    <row r="14" spans="1:24" ht="14.25" customHeight="1" x14ac:dyDescent="0.25">
      <c r="A14" s="182"/>
      <c r="B14" s="19" t="s">
        <v>18</v>
      </c>
      <c r="C14" s="20"/>
      <c r="D14" s="20"/>
      <c r="E14" s="20"/>
      <c r="F14" s="20"/>
      <c r="I14" s="33" t="s">
        <v>32</v>
      </c>
      <c r="J14" s="35">
        <v>1</v>
      </c>
      <c r="K14" s="35">
        <v>3</v>
      </c>
      <c r="L14" s="35">
        <v>4</v>
      </c>
      <c r="M14" s="35">
        <v>5</v>
      </c>
      <c r="N14" s="35">
        <v>4</v>
      </c>
      <c r="O14" s="35">
        <v>3</v>
      </c>
      <c r="P14" s="35"/>
      <c r="Q14" s="35" t="s">
        <v>21</v>
      </c>
      <c r="R14" s="35">
        <f>Q15</f>
        <v>4</v>
      </c>
      <c r="S14" s="35">
        <f>Q16</f>
        <v>3</v>
      </c>
      <c r="T14" s="35">
        <f>Q17</f>
        <v>2</v>
      </c>
      <c r="U14" s="35">
        <f>Q18</f>
        <v>3</v>
      </c>
      <c r="V14" s="35">
        <f>Q19</f>
        <v>0</v>
      </c>
      <c r="W14" s="35">
        <f>Q20</f>
        <v>0</v>
      </c>
      <c r="X14" s="35">
        <f>Q21</f>
        <v>0</v>
      </c>
    </row>
    <row r="15" spans="1:24" ht="13.95" x14ac:dyDescent="0.25">
      <c r="I15" t="s">
        <v>41</v>
      </c>
      <c r="J15" s="35"/>
      <c r="K15" s="35">
        <v>2</v>
      </c>
      <c r="L15" s="35">
        <v>3</v>
      </c>
      <c r="M15" s="35">
        <v>4</v>
      </c>
      <c r="N15" s="35">
        <v>3</v>
      </c>
      <c r="O15" s="35">
        <v>3</v>
      </c>
      <c r="P15" s="35">
        <v>1</v>
      </c>
      <c r="Q15" s="35">
        <v>4</v>
      </c>
      <c r="R15" s="35" t="s">
        <v>21</v>
      </c>
      <c r="S15" s="35">
        <f>R16</f>
        <v>5</v>
      </c>
      <c r="T15" s="35">
        <f>R17</f>
        <v>4</v>
      </c>
      <c r="U15" s="35">
        <f>R18</f>
        <v>4</v>
      </c>
      <c r="V15" s="35">
        <f>R19</f>
        <v>0</v>
      </c>
      <c r="W15" s="35">
        <f>R20</f>
        <v>0</v>
      </c>
      <c r="X15" s="35">
        <f>R21</f>
        <v>0</v>
      </c>
    </row>
    <row r="16" spans="1:24" ht="13.95" x14ac:dyDescent="0.25">
      <c r="I16" t="s">
        <v>68</v>
      </c>
      <c r="J16" s="35">
        <v>3</v>
      </c>
      <c r="K16" s="35">
        <v>2</v>
      </c>
      <c r="L16" s="35">
        <v>2</v>
      </c>
      <c r="M16" s="35">
        <v>3</v>
      </c>
      <c r="N16" s="35">
        <v>4</v>
      </c>
      <c r="O16" s="35">
        <v>2</v>
      </c>
      <c r="P16" s="35">
        <v>3</v>
      </c>
      <c r="Q16" s="35">
        <v>3</v>
      </c>
      <c r="R16" s="35">
        <v>5</v>
      </c>
      <c r="S16" s="35" t="s">
        <v>21</v>
      </c>
      <c r="T16" s="35">
        <f>S17</f>
        <v>4</v>
      </c>
      <c r="U16" s="35">
        <f>S18</f>
        <v>4</v>
      </c>
      <c r="V16" s="35">
        <f>S19</f>
        <v>0</v>
      </c>
      <c r="W16" s="35">
        <f>S20</f>
        <v>0</v>
      </c>
      <c r="X16" s="35">
        <f>S21</f>
        <v>0</v>
      </c>
    </row>
    <row r="17" spans="1:24" ht="13.95" x14ac:dyDescent="0.25">
      <c r="I17" t="s">
        <v>93</v>
      </c>
      <c r="J17" s="36">
        <v>1</v>
      </c>
      <c r="K17" s="36">
        <v>2</v>
      </c>
      <c r="L17" s="36">
        <v>3</v>
      </c>
      <c r="M17" s="36">
        <v>3</v>
      </c>
      <c r="N17" s="35">
        <v>3</v>
      </c>
      <c r="O17" s="35">
        <v>3</v>
      </c>
      <c r="P17" s="35"/>
      <c r="Q17" s="35">
        <v>2</v>
      </c>
      <c r="R17" s="35">
        <v>4</v>
      </c>
      <c r="S17" s="35">
        <v>4</v>
      </c>
      <c r="T17" s="35" t="s">
        <v>21</v>
      </c>
      <c r="U17" s="35">
        <f>T18</f>
        <v>2</v>
      </c>
      <c r="V17" s="35">
        <f>T19</f>
        <v>0</v>
      </c>
      <c r="W17" s="35">
        <f>T20</f>
        <v>0</v>
      </c>
      <c r="X17" s="35">
        <f>T21</f>
        <v>0</v>
      </c>
    </row>
    <row r="18" spans="1:24" ht="13.95" x14ac:dyDescent="0.25">
      <c r="C18" s="22"/>
      <c r="D18" s="22"/>
      <c r="E18" s="22"/>
      <c r="F18" s="22"/>
      <c r="I18" t="s">
        <v>76</v>
      </c>
      <c r="J18" s="35">
        <v>1</v>
      </c>
      <c r="K18" s="35">
        <v>1</v>
      </c>
      <c r="L18" s="35">
        <v>3</v>
      </c>
      <c r="M18" s="35">
        <v>3</v>
      </c>
      <c r="N18" s="35">
        <v>2</v>
      </c>
      <c r="O18" s="35">
        <v>2</v>
      </c>
      <c r="P18" s="35"/>
      <c r="Q18" s="35">
        <v>3</v>
      </c>
      <c r="R18" s="35">
        <v>4</v>
      </c>
      <c r="S18" s="35">
        <v>4</v>
      </c>
      <c r="T18" s="35">
        <v>2</v>
      </c>
      <c r="U18" s="35" t="s">
        <v>21</v>
      </c>
      <c r="V18" s="35">
        <f>U19</f>
        <v>0</v>
      </c>
      <c r="W18" s="35">
        <f>U20</f>
        <v>0</v>
      </c>
      <c r="X18" s="35">
        <f>U21</f>
        <v>0</v>
      </c>
    </row>
    <row r="19" spans="1:24" ht="13.95" x14ac:dyDescent="0.25">
      <c r="C19" s="153" t="s">
        <v>34</v>
      </c>
      <c r="D19" s="153" t="s">
        <v>0</v>
      </c>
      <c r="E19" s="21" t="s">
        <v>3</v>
      </c>
      <c r="F19" s="21" t="s">
        <v>2</v>
      </c>
      <c r="G19" s="22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 t="s">
        <v>21</v>
      </c>
      <c r="W19" s="35">
        <f>V20</f>
        <v>0</v>
      </c>
      <c r="X19" s="35">
        <f>V21</f>
        <v>0</v>
      </c>
    </row>
    <row r="20" spans="1:24" ht="13.95" x14ac:dyDescent="0.25">
      <c r="C20" s="17"/>
      <c r="D20" s="17"/>
      <c r="E20" s="17"/>
      <c r="F20" s="17"/>
      <c r="G20" s="22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 t="s">
        <v>21</v>
      </c>
      <c r="X20" s="35">
        <f>W21</f>
        <v>0</v>
      </c>
    </row>
    <row r="21" spans="1:24" ht="13.95" x14ac:dyDescent="0.25">
      <c r="C21" s="153" t="s">
        <v>33</v>
      </c>
      <c r="D21" s="153" t="s">
        <v>30</v>
      </c>
      <c r="E21" s="153" t="s">
        <v>46</v>
      </c>
      <c r="F21" s="153" t="s">
        <v>44</v>
      </c>
      <c r="G21" s="2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 t="s">
        <v>21</v>
      </c>
    </row>
    <row r="22" spans="1:24" ht="13.95" x14ac:dyDescent="0.25">
      <c r="C22" s="17"/>
      <c r="D22" s="17"/>
      <c r="E22" s="17"/>
      <c r="F22" s="17"/>
      <c r="G22" s="22"/>
      <c r="I22" t="s">
        <v>11</v>
      </c>
      <c r="J22" s="35">
        <f>SUM(J8:J21)</f>
        <v>9</v>
      </c>
      <c r="K22" s="35">
        <f>SUM(K7:K21)</f>
        <v>21</v>
      </c>
      <c r="L22" s="35">
        <f t="shared" ref="L22:X22" si="0">SUM(L7:L21)</f>
        <v>30</v>
      </c>
      <c r="M22" s="35">
        <f t="shared" si="0"/>
        <v>32</v>
      </c>
      <c r="N22" s="35">
        <f t="shared" si="0"/>
        <v>29</v>
      </c>
      <c r="O22" s="35">
        <f t="shared" si="0"/>
        <v>24</v>
      </c>
      <c r="P22" s="35">
        <f t="shared" si="0"/>
        <v>11</v>
      </c>
      <c r="Q22" s="35">
        <f t="shared" si="0"/>
        <v>32</v>
      </c>
      <c r="R22" s="35">
        <f t="shared" si="0"/>
        <v>33</v>
      </c>
      <c r="S22" s="35">
        <f t="shared" si="0"/>
        <v>35</v>
      </c>
      <c r="T22" s="35">
        <f t="shared" si="0"/>
        <v>27</v>
      </c>
      <c r="U22" s="35">
        <f t="shared" si="0"/>
        <v>25</v>
      </c>
      <c r="V22" s="35">
        <f t="shared" si="0"/>
        <v>0</v>
      </c>
      <c r="W22" s="35">
        <f t="shared" si="0"/>
        <v>0</v>
      </c>
      <c r="X22" s="35">
        <f t="shared" si="0"/>
        <v>0</v>
      </c>
    </row>
    <row r="23" spans="1:24" ht="13.95" x14ac:dyDescent="0.25">
      <c r="C23" s="153" t="s">
        <v>66</v>
      </c>
      <c r="D23" s="153" t="s">
        <v>40</v>
      </c>
      <c r="E23" s="153" t="s">
        <v>71</v>
      </c>
      <c r="F23" s="153" t="s">
        <v>79</v>
      </c>
      <c r="G23" s="22"/>
      <c r="I23" t="s">
        <v>80</v>
      </c>
      <c r="J23" s="17"/>
      <c r="K23" s="17"/>
      <c r="L23" s="17"/>
      <c r="M23" s="35"/>
      <c r="N23" s="17"/>
      <c r="O23" s="17"/>
      <c r="P23" s="35"/>
      <c r="Q23" s="17"/>
      <c r="R23" s="151"/>
      <c r="S23" s="151"/>
      <c r="T23" s="151"/>
      <c r="U23" s="17"/>
      <c r="V23" s="17"/>
      <c r="W23" s="17"/>
      <c r="X23" s="17"/>
    </row>
    <row r="24" spans="1:24" ht="13.95" x14ac:dyDescent="0.25">
      <c r="C24" s="15"/>
      <c r="D24" s="15"/>
      <c r="E24" s="15"/>
      <c r="F24" s="75"/>
      <c r="G24" s="22"/>
      <c r="I24" t="s">
        <v>82</v>
      </c>
      <c r="J24" s="35"/>
      <c r="K24" s="35"/>
      <c r="L24" s="35"/>
      <c r="M24" s="35"/>
      <c r="N24" s="35"/>
      <c r="O24" s="35"/>
      <c r="P24" s="35"/>
      <c r="Q24" s="35"/>
      <c r="R24" s="152"/>
      <c r="S24" s="152"/>
      <c r="T24" s="152"/>
      <c r="U24" s="35"/>
      <c r="V24" s="17"/>
      <c r="W24" s="17"/>
      <c r="X24" s="17"/>
    </row>
    <row r="25" spans="1:24" ht="13.95" x14ac:dyDescent="0.25">
      <c r="C25" s="130"/>
      <c r="D25" s="130"/>
      <c r="E25" s="139"/>
      <c r="F25" s="75"/>
      <c r="G25" s="22"/>
      <c r="I25" t="s">
        <v>81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13.95" x14ac:dyDescent="0.25">
      <c r="C26" s="129"/>
      <c r="D26" s="129"/>
      <c r="E26" s="15"/>
      <c r="F26" s="75"/>
      <c r="G26" s="22"/>
      <c r="I26" t="s">
        <v>100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13.95" x14ac:dyDescent="0.25">
      <c r="C27" s="17"/>
      <c r="D27" s="17"/>
      <c r="E27" s="17"/>
      <c r="F27" s="29"/>
      <c r="I27" t="s">
        <v>83</v>
      </c>
      <c r="J27" s="35"/>
      <c r="K27" s="35"/>
      <c r="L27" s="35"/>
      <c r="M27" s="147"/>
      <c r="N27" s="147"/>
      <c r="O27" s="147"/>
      <c r="P27" s="147"/>
      <c r="Q27" s="147"/>
      <c r="R27" s="147"/>
      <c r="S27" s="147"/>
      <c r="T27" s="147"/>
      <c r="U27" s="147"/>
      <c r="V27" s="35"/>
    </row>
    <row r="28" spans="1:24" ht="13.95" x14ac:dyDescent="0.25">
      <c r="C28" s="22" t="s">
        <v>94</v>
      </c>
      <c r="D28" s="22"/>
      <c r="E28" s="22"/>
      <c r="F28" s="22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spans="1:24" x14ac:dyDescent="0.25">
      <c r="A29" s="184"/>
      <c r="B29" s="119"/>
      <c r="C29" s="132"/>
      <c r="D29" s="29"/>
      <c r="E29" s="29"/>
      <c r="F29" s="29"/>
      <c r="H29" s="29"/>
      <c r="I29" s="29" t="s">
        <v>84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spans="1:24" x14ac:dyDescent="0.25">
      <c r="A30" s="184"/>
      <c r="B30" s="119"/>
      <c r="C30" s="29"/>
      <c r="D30" s="29"/>
      <c r="E30" s="29"/>
      <c r="F30" s="29"/>
      <c r="I30" t="s">
        <v>80</v>
      </c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spans="1:24" ht="13.95" x14ac:dyDescent="0.25">
      <c r="A31" s="1"/>
      <c r="B31" s="1"/>
      <c r="D31" s="1"/>
      <c r="E31" s="1"/>
      <c r="F31" s="1"/>
      <c r="I31" t="s">
        <v>82</v>
      </c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1:24" ht="13.95" x14ac:dyDescent="0.25">
      <c r="A32" s="1"/>
      <c r="B32" s="1"/>
      <c r="D32" s="1"/>
      <c r="E32" s="1"/>
      <c r="F32" s="1"/>
      <c r="I32" t="s">
        <v>81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1:24" ht="14.25" customHeight="1" x14ac:dyDescent="0.25">
      <c r="A33" s="184"/>
      <c r="B33" s="120"/>
      <c r="D33" s="120"/>
      <c r="E33" s="120"/>
      <c r="F33" s="120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4" x14ac:dyDescent="0.25">
      <c r="A34" s="184"/>
      <c r="B34" s="120"/>
      <c r="D34" s="120"/>
      <c r="E34" s="120"/>
      <c r="F34" s="120"/>
      <c r="I34" t="s">
        <v>85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4" ht="13.95" x14ac:dyDescent="0.25">
      <c r="I35" t="s">
        <v>80</v>
      </c>
      <c r="J35" s="36"/>
      <c r="K35" s="36"/>
      <c r="L35" s="36"/>
      <c r="M35" s="36"/>
      <c r="N35" s="36"/>
      <c r="O35" s="35"/>
      <c r="P35" s="35"/>
      <c r="Q35" s="35"/>
      <c r="R35" s="35"/>
      <c r="S35" s="36"/>
      <c r="T35" s="36"/>
      <c r="U35" s="35"/>
      <c r="V35" s="35"/>
      <c r="W35" s="36"/>
      <c r="X35" s="36"/>
    </row>
    <row r="36" spans="1:24" ht="13.95" x14ac:dyDescent="0.25">
      <c r="I36" t="s">
        <v>82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ht="13.95" x14ac:dyDescent="0.25">
      <c r="I37" t="s">
        <v>81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x14ac:dyDescent="0.25">
      <c r="J38" s="35"/>
      <c r="K38" s="35"/>
      <c r="L38" s="35"/>
      <c r="M38" s="35"/>
      <c r="N38" s="35"/>
      <c r="O38" s="35"/>
      <c r="P38" s="35"/>
      <c r="S38" s="35"/>
      <c r="T38" s="35"/>
      <c r="W38" s="35"/>
    </row>
    <row r="39" spans="1:24" x14ac:dyDescent="0.25"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</sheetData>
  <mergeCells count="6">
    <mergeCell ref="A2:A3"/>
    <mergeCell ref="A6:A7"/>
    <mergeCell ref="A29:A30"/>
    <mergeCell ref="A33:A34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Q46"/>
  <sheetViews>
    <sheetView workbookViewId="0">
      <selection activeCell="P12" sqref="P12"/>
    </sheetView>
  </sheetViews>
  <sheetFormatPr defaultColWidth="8.90625" defaultRowHeight="13.8" outlineLevelRow="1" x14ac:dyDescent="0.25"/>
  <cols>
    <col min="1" max="1" width="1.6328125" style="106" customWidth="1"/>
    <col min="2" max="2" width="12.08984375" style="1" bestFit="1" customWidth="1"/>
    <col min="3" max="3" width="6.08984375" style="1" customWidth="1"/>
    <col min="4" max="4" width="3.54296875" style="1" customWidth="1"/>
    <col min="5" max="5" width="3.90625" style="1" customWidth="1"/>
    <col min="6" max="6" width="3.54296875" style="1" customWidth="1"/>
    <col min="7" max="7" width="3.90625" style="1" customWidth="1"/>
    <col min="8" max="8" width="6.1796875" style="1" customWidth="1"/>
    <col min="9" max="9" width="2.81640625" style="1" customWidth="1"/>
    <col min="10" max="10" width="2" style="1" customWidth="1"/>
    <col min="11" max="11" width="12.08984375" style="1" bestFit="1" customWidth="1"/>
    <col min="12" max="12" width="6.453125" style="1" bestFit="1" customWidth="1"/>
    <col min="13" max="13" width="3.54296875" style="1" customWidth="1"/>
    <col min="14" max="14" width="4.1796875" style="1" bestFit="1" customWidth="1"/>
    <col min="15" max="15" width="3.54296875" style="1" customWidth="1"/>
    <col min="16" max="16" width="4.36328125" style="1" bestFit="1" customWidth="1"/>
    <col min="17" max="17" width="6.1796875" style="1" bestFit="1" customWidth="1"/>
    <col min="18" max="16384" width="8.90625" style="1"/>
  </cols>
  <sheetData>
    <row r="1" spans="1:17" s="5" customFormat="1" ht="14.25" customHeight="1" x14ac:dyDescent="0.25">
      <c r="A1" s="107"/>
      <c r="B1" s="37"/>
      <c r="D1" s="185" t="s">
        <v>50</v>
      </c>
      <c r="E1" s="185"/>
      <c r="F1" s="185" t="s">
        <v>50</v>
      </c>
      <c r="G1" s="185"/>
      <c r="H1" s="2" t="s">
        <v>11</v>
      </c>
      <c r="L1" s="2" t="s">
        <v>11</v>
      </c>
      <c r="M1" s="185" t="s">
        <v>50</v>
      </c>
      <c r="N1" s="185"/>
      <c r="O1" s="185" t="s">
        <v>50</v>
      </c>
      <c r="P1" s="185"/>
      <c r="Q1" s="2" t="s">
        <v>51</v>
      </c>
    </row>
    <row r="2" spans="1:17" ht="13.95" x14ac:dyDescent="0.25">
      <c r="B2" s="38" t="s">
        <v>49</v>
      </c>
      <c r="C2" s="1" t="s">
        <v>11</v>
      </c>
      <c r="D2" s="167">
        <v>1</v>
      </c>
      <c r="E2" s="167"/>
      <c r="F2" s="167">
        <v>2</v>
      </c>
      <c r="G2" s="167"/>
      <c r="M2" s="167">
        <v>3</v>
      </c>
      <c r="N2" s="167"/>
      <c r="O2" s="167">
        <v>4</v>
      </c>
      <c r="P2" s="167"/>
    </row>
    <row r="3" spans="1:17" ht="13.95" x14ac:dyDescent="0.25">
      <c r="A3" s="106">
        <v>1</v>
      </c>
      <c r="B3" s="40" t="s">
        <v>2</v>
      </c>
      <c r="C3" s="52">
        <v>173.5</v>
      </c>
      <c r="D3" s="48">
        <v>88</v>
      </c>
      <c r="E3" s="123">
        <f>E4+E5</f>
        <v>16</v>
      </c>
      <c r="F3" s="48">
        <v>88</v>
      </c>
      <c r="G3" s="123">
        <f>G4+G5</f>
        <v>21</v>
      </c>
      <c r="H3" s="52">
        <f>G3+E3+C3</f>
        <v>210.5</v>
      </c>
      <c r="J3" s="106">
        <v>1</v>
      </c>
      <c r="K3" s="40" t="s">
        <v>2</v>
      </c>
      <c r="L3" s="103">
        <v>210.5</v>
      </c>
      <c r="M3" s="48">
        <v>89</v>
      </c>
      <c r="N3" s="123">
        <f>N4+N5</f>
        <v>40</v>
      </c>
      <c r="O3" s="48">
        <v>90</v>
      </c>
      <c r="P3" s="123">
        <f>P4+P5</f>
        <v>37.5</v>
      </c>
      <c r="Q3" s="104">
        <f>P3+N3+L3</f>
        <v>288</v>
      </c>
    </row>
    <row r="4" spans="1:17" ht="13.95" outlineLevel="1" x14ac:dyDescent="0.25">
      <c r="B4" s="63" t="s">
        <v>31</v>
      </c>
      <c r="D4" s="48">
        <v>37</v>
      </c>
      <c r="E4" s="48">
        <v>10</v>
      </c>
      <c r="F4" s="48">
        <v>38</v>
      </c>
      <c r="G4" s="48">
        <v>13</v>
      </c>
      <c r="J4" s="106"/>
      <c r="K4" s="63" t="s">
        <v>31</v>
      </c>
      <c r="L4" s="36"/>
      <c r="M4" s="48">
        <v>36</v>
      </c>
      <c r="N4" s="48">
        <v>20</v>
      </c>
      <c r="O4" s="48">
        <v>35</v>
      </c>
      <c r="P4" s="48">
        <v>20</v>
      </c>
    </row>
    <row r="5" spans="1:17" ht="13.95" outlineLevel="1" x14ac:dyDescent="0.25">
      <c r="A5" s="47"/>
      <c r="B5" s="64" t="s">
        <v>5</v>
      </c>
      <c r="C5" s="30"/>
      <c r="D5" s="60">
        <v>-23</v>
      </c>
      <c r="E5" s="50">
        <v>6</v>
      </c>
      <c r="F5" s="60">
        <v>3</v>
      </c>
      <c r="G5" s="50">
        <v>8</v>
      </c>
      <c r="H5" s="30"/>
      <c r="J5" s="47"/>
      <c r="K5" s="64" t="s">
        <v>5</v>
      </c>
      <c r="L5" s="36"/>
      <c r="M5" s="60">
        <v>12</v>
      </c>
      <c r="N5" s="50">
        <v>20</v>
      </c>
      <c r="O5" s="60">
        <v>5</v>
      </c>
      <c r="P5" s="50">
        <v>17.5</v>
      </c>
    </row>
    <row r="6" spans="1:17" ht="13.95" x14ac:dyDescent="0.25">
      <c r="A6" s="106">
        <v>2</v>
      </c>
      <c r="B6" s="40" t="s">
        <v>46</v>
      </c>
      <c r="C6" s="52">
        <v>150</v>
      </c>
      <c r="D6" s="48">
        <v>78</v>
      </c>
      <c r="E6" s="123">
        <f>E7+E8</f>
        <v>32</v>
      </c>
      <c r="F6" s="48">
        <v>81</v>
      </c>
      <c r="G6" s="123">
        <f>G7+G8</f>
        <v>24</v>
      </c>
      <c r="H6" s="52">
        <f>G6+E6+C6</f>
        <v>206</v>
      </c>
      <c r="J6" s="106">
        <v>2</v>
      </c>
      <c r="K6" s="40" t="s">
        <v>46</v>
      </c>
      <c r="L6" s="103">
        <v>206</v>
      </c>
      <c r="M6" s="48">
        <v>83</v>
      </c>
      <c r="N6" s="123">
        <f>N7+N8</f>
        <v>25</v>
      </c>
      <c r="O6" s="48">
        <v>85</v>
      </c>
      <c r="P6" s="123">
        <f>P7+P8</f>
        <v>32.5</v>
      </c>
      <c r="Q6" s="104">
        <f>P6+N6+L6</f>
        <v>263.5</v>
      </c>
    </row>
    <row r="7" spans="1:17" ht="13.95" outlineLevel="1" collapsed="1" x14ac:dyDescent="0.25">
      <c r="B7" s="63" t="s">
        <v>31</v>
      </c>
      <c r="C7" s="30"/>
      <c r="D7" s="48">
        <v>40</v>
      </c>
      <c r="E7" s="122">
        <v>16</v>
      </c>
      <c r="F7" s="48">
        <v>37</v>
      </c>
      <c r="G7" s="48">
        <v>10</v>
      </c>
      <c r="H7" s="30"/>
      <c r="J7" s="106"/>
      <c r="K7" s="63" t="s">
        <v>31</v>
      </c>
      <c r="M7" s="48">
        <v>35</v>
      </c>
      <c r="N7" s="48">
        <v>15</v>
      </c>
      <c r="O7" s="48">
        <v>34</v>
      </c>
      <c r="P7" s="48">
        <v>15</v>
      </c>
    </row>
    <row r="8" spans="1:17" ht="13.95" outlineLevel="1" x14ac:dyDescent="0.25">
      <c r="A8" s="47"/>
      <c r="B8" s="64" t="s">
        <v>5</v>
      </c>
      <c r="C8" s="30"/>
      <c r="D8" s="60">
        <v>37</v>
      </c>
      <c r="E8" s="50">
        <v>16</v>
      </c>
      <c r="F8" s="60">
        <v>17</v>
      </c>
      <c r="G8" s="50">
        <v>14</v>
      </c>
      <c r="H8" s="30"/>
      <c r="J8" s="47"/>
      <c r="K8" s="64" t="s">
        <v>5</v>
      </c>
      <c r="M8" s="60">
        <v>-4</v>
      </c>
      <c r="N8" s="50">
        <v>10</v>
      </c>
      <c r="O8" s="60">
        <v>5</v>
      </c>
      <c r="P8" s="50">
        <v>17.5</v>
      </c>
    </row>
    <row r="9" spans="1:17" ht="13.95" x14ac:dyDescent="0.25">
      <c r="A9" s="106">
        <v>3</v>
      </c>
      <c r="B9" s="40" t="s">
        <v>34</v>
      </c>
      <c r="C9" s="52">
        <v>165</v>
      </c>
      <c r="D9" s="48">
        <v>82</v>
      </c>
      <c r="E9" s="123">
        <f>E10+E11</f>
        <v>12</v>
      </c>
      <c r="F9" s="48">
        <v>75</v>
      </c>
      <c r="G9" s="123">
        <f>G10+G11</f>
        <v>26</v>
      </c>
      <c r="H9" s="52">
        <f>G9+E9+C9</f>
        <v>203</v>
      </c>
      <c r="J9" s="106">
        <v>3</v>
      </c>
      <c r="K9" s="40" t="s">
        <v>34</v>
      </c>
      <c r="L9" s="103">
        <v>203</v>
      </c>
      <c r="M9" s="48">
        <v>80</v>
      </c>
      <c r="N9" s="124">
        <f>N10+N11</f>
        <v>22.5</v>
      </c>
      <c r="O9" s="48">
        <v>90</v>
      </c>
      <c r="P9" s="123">
        <f>P10+P11</f>
        <v>15</v>
      </c>
      <c r="Q9" s="104">
        <f>P9+N9+L9</f>
        <v>240.5</v>
      </c>
    </row>
    <row r="10" spans="1:17" ht="13.95" outlineLevel="1" x14ac:dyDescent="0.25">
      <c r="B10" s="63" t="s">
        <v>31</v>
      </c>
      <c r="C10" s="30"/>
      <c r="D10" s="48">
        <v>31</v>
      </c>
      <c r="E10" s="58">
        <v>2</v>
      </c>
      <c r="F10" s="48">
        <v>39</v>
      </c>
      <c r="G10" s="48">
        <v>16</v>
      </c>
      <c r="H10" s="30"/>
      <c r="J10" s="106"/>
      <c r="K10" s="63" t="s">
        <v>31</v>
      </c>
      <c r="L10" s="36"/>
      <c r="M10" s="48">
        <v>34</v>
      </c>
      <c r="N10" s="48">
        <v>7.5</v>
      </c>
      <c r="O10" s="48">
        <v>25</v>
      </c>
      <c r="P10" s="48">
        <v>5</v>
      </c>
    </row>
    <row r="11" spans="1:17" ht="13.95" outlineLevel="1" collapsed="1" x14ac:dyDescent="0.25">
      <c r="A11" s="47"/>
      <c r="B11" s="64" t="s">
        <v>5</v>
      </c>
      <c r="C11" s="30"/>
      <c r="D11" s="60">
        <v>15</v>
      </c>
      <c r="E11" s="50">
        <v>10</v>
      </c>
      <c r="F11" s="60">
        <v>10</v>
      </c>
      <c r="G11" s="50">
        <v>10</v>
      </c>
      <c r="H11" s="30"/>
      <c r="J11" s="47"/>
      <c r="K11" s="64" t="s">
        <v>5</v>
      </c>
      <c r="L11" s="36"/>
      <c r="M11" s="60">
        <v>2</v>
      </c>
      <c r="N11" s="50">
        <v>15</v>
      </c>
      <c r="O11" s="60">
        <v>-3</v>
      </c>
      <c r="P11" s="50">
        <v>10</v>
      </c>
    </row>
    <row r="12" spans="1:17" ht="13.95" x14ac:dyDescent="0.25">
      <c r="A12" s="106">
        <v>4</v>
      </c>
      <c r="B12" s="40" t="s">
        <v>30</v>
      </c>
      <c r="C12" s="52">
        <v>165</v>
      </c>
      <c r="D12" s="48">
        <v>81</v>
      </c>
      <c r="E12" s="123">
        <f>E13+E14</f>
        <v>26</v>
      </c>
      <c r="F12" s="48">
        <v>90</v>
      </c>
      <c r="G12" s="123">
        <f>G13+G14</f>
        <v>10</v>
      </c>
      <c r="H12" s="52">
        <f>G12+E12+C12</f>
        <v>201</v>
      </c>
      <c r="J12" s="106">
        <v>4</v>
      </c>
      <c r="K12" s="40" t="s">
        <v>30</v>
      </c>
      <c r="L12" s="103">
        <v>201</v>
      </c>
      <c r="M12" s="48">
        <v>85</v>
      </c>
      <c r="N12" s="124">
        <f>N13+N14</f>
        <v>12.5</v>
      </c>
      <c r="O12" s="48">
        <v>87</v>
      </c>
      <c r="P12" s="123">
        <f>P13+P14</f>
        <v>15</v>
      </c>
      <c r="Q12" s="104">
        <f>P12+N12+L12</f>
        <v>228.5</v>
      </c>
    </row>
    <row r="13" spans="1:17" ht="13.95" outlineLevel="1" x14ac:dyDescent="0.25">
      <c r="B13" s="63" t="s">
        <v>31</v>
      </c>
      <c r="D13" s="48">
        <v>39</v>
      </c>
      <c r="E13" s="48">
        <v>14</v>
      </c>
      <c r="F13" s="48">
        <v>30</v>
      </c>
      <c r="G13" s="48">
        <v>4</v>
      </c>
      <c r="K13" s="38" t="s">
        <v>31</v>
      </c>
      <c r="L13" s="36"/>
      <c r="M13" s="48">
        <v>34</v>
      </c>
      <c r="N13" s="48">
        <v>7.5</v>
      </c>
      <c r="O13" s="48">
        <v>32</v>
      </c>
      <c r="P13" s="48">
        <v>10</v>
      </c>
      <c r="Q13" s="105"/>
    </row>
    <row r="14" spans="1:17" ht="13.95" outlineLevel="1" x14ac:dyDescent="0.25">
      <c r="A14" s="47"/>
      <c r="B14" s="64" t="s">
        <v>5</v>
      </c>
      <c r="D14" s="60">
        <v>21</v>
      </c>
      <c r="E14" s="50">
        <v>12</v>
      </c>
      <c r="F14" s="60">
        <v>-10</v>
      </c>
      <c r="G14" s="50">
        <v>6</v>
      </c>
      <c r="J14" s="47"/>
      <c r="K14" s="42" t="s">
        <v>5</v>
      </c>
      <c r="L14" s="36"/>
      <c r="M14" s="62">
        <v>-10</v>
      </c>
      <c r="N14" s="48">
        <v>5</v>
      </c>
      <c r="O14" s="62">
        <v>-7</v>
      </c>
      <c r="P14" s="48">
        <v>5</v>
      </c>
    </row>
    <row r="15" spans="1:17" ht="13.95" x14ac:dyDescent="0.25">
      <c r="A15" s="106">
        <v>5</v>
      </c>
      <c r="B15" s="40" t="s">
        <v>3</v>
      </c>
      <c r="C15" s="52">
        <v>154</v>
      </c>
      <c r="D15" s="48">
        <v>79</v>
      </c>
      <c r="E15" s="123">
        <f>E16+E17</f>
        <v>19</v>
      </c>
      <c r="F15" s="48">
        <v>76</v>
      </c>
      <c r="G15" s="123">
        <f>G16+G17</f>
        <v>24</v>
      </c>
      <c r="H15" s="52">
        <f>G15+E15+C15</f>
        <v>197</v>
      </c>
      <c r="L15" s="30"/>
      <c r="M15" s="48"/>
      <c r="N15" s="58"/>
      <c r="O15" s="48"/>
      <c r="P15" s="58"/>
    </row>
    <row r="16" spans="1:17" ht="13.95" outlineLevel="1" x14ac:dyDescent="0.25">
      <c r="B16" s="63" t="s">
        <v>31</v>
      </c>
      <c r="D16" s="48">
        <v>32</v>
      </c>
      <c r="E16" s="48">
        <v>5</v>
      </c>
      <c r="F16" s="48">
        <v>35</v>
      </c>
      <c r="G16" s="48">
        <v>8</v>
      </c>
      <c r="M16" s="48"/>
      <c r="N16" s="48"/>
      <c r="O16" s="48"/>
      <c r="P16" s="48"/>
    </row>
    <row r="17" spans="1:16" ht="13.95" outlineLevel="1" x14ac:dyDescent="0.25">
      <c r="A17" s="47"/>
      <c r="B17" s="64" t="s">
        <v>5</v>
      </c>
      <c r="D17" s="60">
        <v>25</v>
      </c>
      <c r="E17" s="50">
        <v>14</v>
      </c>
      <c r="F17" s="60">
        <v>18</v>
      </c>
      <c r="G17" s="50">
        <v>16</v>
      </c>
      <c r="M17" s="62"/>
      <c r="N17" s="48"/>
      <c r="O17" s="62"/>
      <c r="P17" s="48"/>
    </row>
    <row r="18" spans="1:16" ht="13.95" x14ac:dyDescent="0.25">
      <c r="A18" s="106">
        <v>6</v>
      </c>
      <c r="B18" s="40" t="s">
        <v>66</v>
      </c>
      <c r="C18" s="52">
        <v>170</v>
      </c>
      <c r="D18" s="48">
        <v>83</v>
      </c>
      <c r="E18" s="123">
        <f>E19+E20</f>
        <v>7</v>
      </c>
      <c r="F18" s="48">
        <v>83</v>
      </c>
      <c r="G18" s="123">
        <f>G19+G20</f>
        <v>18</v>
      </c>
      <c r="H18" s="52">
        <f>G18+E18+C18</f>
        <v>195</v>
      </c>
      <c r="L18" s="30"/>
      <c r="M18" s="48"/>
      <c r="N18" s="58"/>
      <c r="O18" s="48"/>
      <c r="P18" s="58"/>
    </row>
    <row r="19" spans="1:16" ht="13.95" outlineLevel="1" collapsed="1" x14ac:dyDescent="0.25">
      <c r="B19" s="38" t="s">
        <v>31</v>
      </c>
      <c r="C19" s="30"/>
      <c r="D19" s="48">
        <v>32</v>
      </c>
      <c r="E19" s="48">
        <v>5</v>
      </c>
      <c r="F19" s="48">
        <v>33</v>
      </c>
      <c r="G19" s="48">
        <v>6</v>
      </c>
      <c r="M19" s="48"/>
      <c r="N19" s="48"/>
      <c r="O19" s="48"/>
      <c r="P19" s="48"/>
    </row>
    <row r="20" spans="1:16" ht="13.95" outlineLevel="1" x14ac:dyDescent="0.25">
      <c r="A20" s="47"/>
      <c r="B20" s="42" t="s">
        <v>5</v>
      </c>
      <c r="C20" s="30"/>
      <c r="D20" s="60">
        <v>-45</v>
      </c>
      <c r="E20" s="50">
        <v>2</v>
      </c>
      <c r="F20" s="60">
        <v>13</v>
      </c>
      <c r="G20" s="50">
        <v>12</v>
      </c>
      <c r="M20" s="62"/>
      <c r="N20" s="48"/>
      <c r="O20" s="62"/>
      <c r="P20" s="48"/>
    </row>
    <row r="21" spans="1:16" ht="13.95" x14ac:dyDescent="0.25">
      <c r="A21" s="106">
        <v>7</v>
      </c>
      <c r="B21" s="40" t="s">
        <v>79</v>
      </c>
      <c r="C21" s="52">
        <v>135.5</v>
      </c>
      <c r="D21" s="48">
        <v>94</v>
      </c>
      <c r="E21" s="123">
        <f>E22+E23</f>
        <v>16</v>
      </c>
      <c r="F21" s="48">
        <v>90</v>
      </c>
      <c r="G21" s="123">
        <f>G22+G23</f>
        <v>15</v>
      </c>
      <c r="H21" s="52">
        <f>G21+E21+C21</f>
        <v>166.5</v>
      </c>
      <c r="L21" s="30"/>
      <c r="M21" s="48"/>
      <c r="N21" s="58"/>
      <c r="O21" s="48"/>
      <c r="P21" s="58"/>
    </row>
    <row r="22" spans="1:16" ht="13.95" outlineLevel="1" x14ac:dyDescent="0.25">
      <c r="B22" s="63" t="s">
        <v>31</v>
      </c>
      <c r="C22" s="30"/>
      <c r="D22" s="48">
        <v>35</v>
      </c>
      <c r="E22" s="48">
        <v>8</v>
      </c>
      <c r="F22" s="48">
        <v>38</v>
      </c>
      <c r="G22" s="48">
        <v>13</v>
      </c>
      <c r="H22" s="30"/>
      <c r="M22" s="48"/>
      <c r="N22" s="48"/>
      <c r="O22" s="48"/>
      <c r="P22" s="48"/>
    </row>
    <row r="23" spans="1:16" ht="13.95" outlineLevel="1" collapsed="1" x14ac:dyDescent="0.25">
      <c r="A23" s="47"/>
      <c r="B23" s="64" t="s">
        <v>5</v>
      </c>
      <c r="C23" s="30"/>
      <c r="D23" s="60">
        <v>-1</v>
      </c>
      <c r="E23" s="50">
        <v>8</v>
      </c>
      <c r="F23" s="60">
        <v>-33</v>
      </c>
      <c r="G23" s="50">
        <v>2</v>
      </c>
      <c r="H23" s="30"/>
      <c r="M23" s="62"/>
      <c r="N23" s="48"/>
      <c r="O23" s="62"/>
      <c r="P23" s="48"/>
    </row>
    <row r="24" spans="1:16" ht="13.95" x14ac:dyDescent="0.25">
      <c r="A24" s="106">
        <v>8</v>
      </c>
      <c r="B24" s="66" t="s">
        <v>71</v>
      </c>
      <c r="C24" s="52">
        <v>123</v>
      </c>
      <c r="D24" s="48">
        <v>92</v>
      </c>
      <c r="E24" s="123">
        <f>E25+E26</f>
        <v>16</v>
      </c>
      <c r="F24" s="48">
        <v>106</v>
      </c>
      <c r="G24" s="123">
        <f>G25+G26</f>
        <v>6</v>
      </c>
      <c r="H24" s="52">
        <f>G24+E24+C24</f>
        <v>145</v>
      </c>
      <c r="L24" s="30"/>
      <c r="M24" s="48"/>
      <c r="N24" s="58"/>
      <c r="O24" s="48"/>
      <c r="P24" s="58"/>
    </row>
    <row r="25" spans="1:16" ht="13.95" outlineLevel="1" x14ac:dyDescent="0.25">
      <c r="B25" s="63" t="s">
        <v>31</v>
      </c>
      <c r="C25" s="30"/>
      <c r="D25" s="48">
        <v>38</v>
      </c>
      <c r="E25" s="48">
        <v>12</v>
      </c>
      <c r="F25" s="48">
        <v>23</v>
      </c>
      <c r="G25" s="48">
        <v>2</v>
      </c>
      <c r="H25" s="30"/>
      <c r="M25" s="48"/>
      <c r="N25" s="48"/>
      <c r="O25" s="48"/>
      <c r="P25" s="48"/>
    </row>
    <row r="26" spans="1:16" ht="13.95" outlineLevel="1" x14ac:dyDescent="0.25">
      <c r="A26" s="47"/>
      <c r="B26" s="64" t="s">
        <v>5</v>
      </c>
      <c r="C26" s="30"/>
      <c r="D26" s="60">
        <v>-27</v>
      </c>
      <c r="E26" s="50">
        <v>4</v>
      </c>
      <c r="F26" s="60">
        <v>-18</v>
      </c>
      <c r="G26" s="50">
        <v>4</v>
      </c>
      <c r="H26" s="30"/>
      <c r="M26" s="62"/>
      <c r="N26" s="48"/>
      <c r="O26" s="62"/>
      <c r="P26" s="48"/>
    </row>
    <row r="27" spans="1:16" ht="5.25" customHeight="1" x14ac:dyDescent="0.25">
      <c r="B27" s="6"/>
      <c r="D27" s="12"/>
      <c r="E27" s="12"/>
      <c r="F27" s="12"/>
      <c r="G27" s="12"/>
      <c r="M27" s="12"/>
      <c r="N27" s="12"/>
      <c r="O27" s="12"/>
      <c r="P27" s="12"/>
    </row>
    <row r="28" spans="1:16" ht="13.95" collapsed="1" x14ac:dyDescent="0.25">
      <c r="B28" t="s">
        <v>13</v>
      </c>
      <c r="E28" s="31">
        <f>AVERAGE(E3,E6,E9,E12,E15,E18,E21,E24)</f>
        <v>18</v>
      </c>
      <c r="G28" s="31">
        <f>AVERAGE(G3,G6,G9,G12,G15,G18,G21,G24)</f>
        <v>18</v>
      </c>
      <c r="N28" s="31"/>
      <c r="P28" s="31"/>
    </row>
    <row r="29" spans="1:16" ht="6" customHeight="1" x14ac:dyDescent="0.25">
      <c r="B29"/>
      <c r="D29" s="35"/>
    </row>
    <row r="30" spans="1:16" ht="13.95" x14ac:dyDescent="0.25">
      <c r="B30" t="s">
        <v>11</v>
      </c>
      <c r="D30" s="35"/>
      <c r="E30" s="32">
        <f>E24+E21+E18+E15+E12+E9+E6+E3</f>
        <v>144</v>
      </c>
      <c r="G30" s="32">
        <f>G24+G21+G18+G15+G12+G9+G6+G3</f>
        <v>144</v>
      </c>
      <c r="N30" s="32"/>
      <c r="P30" s="32"/>
    </row>
    <row r="31" spans="1:16" ht="13.95" x14ac:dyDescent="0.25">
      <c r="B31"/>
      <c r="D31" s="35"/>
    </row>
    <row r="46" spans="2:2" x14ac:dyDescent="0.25">
      <c r="B46" s="40"/>
    </row>
  </sheetData>
  <sortState ref="B3:H26">
    <sortCondition descending="1" ref="H3:H26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25" bottom="0.25" header="0.3" footer="0.3"/>
  <pageSetup pageOrder="overThenDown" orientation="landscape" horizontalDpi="360" verticalDpi="360" r:id="rId1"/>
  <headerFooter>
    <oddHeader xml:space="preserve">&amp;C&amp;20 2019 Wolf Cup Playoffs&amp;11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L24"/>
  <sheetViews>
    <sheetView tabSelected="1" workbookViewId="0">
      <selection activeCell="I25" sqref="I25"/>
    </sheetView>
  </sheetViews>
  <sheetFormatPr defaultRowHeight="13.8" x14ac:dyDescent="0.25"/>
  <cols>
    <col min="2" max="2" width="11" bestFit="1" customWidth="1"/>
    <col min="8" max="8" width="14.6328125" bestFit="1" customWidth="1"/>
    <col min="9" max="9" width="10" bestFit="1" customWidth="1"/>
  </cols>
  <sheetData>
    <row r="2" spans="1:12" x14ac:dyDescent="0.25">
      <c r="A2" t="s">
        <v>95</v>
      </c>
      <c r="K2" t="s">
        <v>143</v>
      </c>
      <c r="L2" s="69">
        <v>36</v>
      </c>
    </row>
    <row r="3" spans="1:12" x14ac:dyDescent="0.25">
      <c r="B3" s="40"/>
      <c r="C3" s="125"/>
      <c r="D3" s="125"/>
      <c r="E3" s="125"/>
      <c r="G3" t="s">
        <v>53</v>
      </c>
      <c r="I3" s="70">
        <f>C19</f>
        <v>1200</v>
      </c>
      <c r="K3" t="s">
        <v>144</v>
      </c>
      <c r="L3" s="69">
        <v>36</v>
      </c>
    </row>
    <row r="4" spans="1:12" x14ac:dyDescent="0.25">
      <c r="B4" s="126" t="s">
        <v>34</v>
      </c>
      <c r="C4" s="141">
        <v>100</v>
      </c>
      <c r="D4" s="125"/>
      <c r="E4" s="125"/>
      <c r="I4" s="69"/>
      <c r="K4" t="s">
        <v>145</v>
      </c>
      <c r="L4" s="69">
        <v>40</v>
      </c>
    </row>
    <row r="5" spans="1:12" x14ac:dyDescent="0.25">
      <c r="B5" s="126" t="s">
        <v>0</v>
      </c>
      <c r="C5" s="141">
        <v>100</v>
      </c>
      <c r="D5" s="125"/>
      <c r="E5" s="125"/>
      <c r="G5" t="s">
        <v>54</v>
      </c>
      <c r="I5" s="69"/>
      <c r="K5" t="s">
        <v>146</v>
      </c>
      <c r="L5" s="69">
        <v>36</v>
      </c>
    </row>
    <row r="6" spans="1:12" x14ac:dyDescent="0.25">
      <c r="B6" s="126" t="s">
        <v>3</v>
      </c>
      <c r="C6" s="141">
        <v>100</v>
      </c>
      <c r="D6" s="125"/>
      <c r="E6" s="125"/>
      <c r="H6" t="s">
        <v>55</v>
      </c>
      <c r="I6" s="69">
        <v>612</v>
      </c>
      <c r="K6" t="s">
        <v>147</v>
      </c>
      <c r="L6" s="69">
        <v>36</v>
      </c>
    </row>
    <row r="7" spans="1:12" x14ac:dyDescent="0.25">
      <c r="B7" s="126" t="s">
        <v>2</v>
      </c>
      <c r="C7" s="141">
        <v>100</v>
      </c>
      <c r="D7" s="125"/>
      <c r="E7" s="125"/>
      <c r="H7" t="s">
        <v>58</v>
      </c>
      <c r="I7" s="69">
        <v>50</v>
      </c>
      <c r="K7" t="s">
        <v>148</v>
      </c>
      <c r="L7" s="69">
        <v>36</v>
      </c>
    </row>
    <row r="8" spans="1:12" x14ac:dyDescent="0.25">
      <c r="B8" s="142" t="s">
        <v>33</v>
      </c>
      <c r="C8" s="141">
        <v>100</v>
      </c>
      <c r="D8" s="125"/>
      <c r="E8" s="125"/>
      <c r="H8" t="s">
        <v>59</v>
      </c>
      <c r="I8" s="69">
        <v>25</v>
      </c>
      <c r="K8" t="s">
        <v>149</v>
      </c>
      <c r="L8" s="69">
        <v>36</v>
      </c>
    </row>
    <row r="9" spans="1:12" x14ac:dyDescent="0.25">
      <c r="B9" s="126" t="s">
        <v>30</v>
      </c>
      <c r="C9" s="141">
        <v>100</v>
      </c>
      <c r="D9" s="125"/>
      <c r="E9" s="125"/>
      <c r="H9" t="s">
        <v>181</v>
      </c>
      <c r="I9" s="69">
        <v>17.829999999999998</v>
      </c>
      <c r="K9" t="s">
        <v>150</v>
      </c>
      <c r="L9" s="69">
        <v>36</v>
      </c>
    </row>
    <row r="10" spans="1:12" x14ac:dyDescent="0.25">
      <c r="B10" s="140" t="s">
        <v>46</v>
      </c>
      <c r="C10" s="141">
        <v>100</v>
      </c>
      <c r="D10" s="125"/>
      <c r="E10" s="125"/>
      <c r="H10" t="s">
        <v>56</v>
      </c>
      <c r="I10" s="69">
        <v>88.9</v>
      </c>
      <c r="K10" t="s">
        <v>151</v>
      </c>
      <c r="L10" s="69">
        <v>36</v>
      </c>
    </row>
    <row r="11" spans="1:12" x14ac:dyDescent="0.25">
      <c r="B11" s="126" t="s">
        <v>44</v>
      </c>
      <c r="C11" s="141">
        <v>100</v>
      </c>
      <c r="D11" s="125"/>
      <c r="E11" s="125"/>
      <c r="H11" t="s">
        <v>87</v>
      </c>
      <c r="I11" s="69">
        <v>15.9</v>
      </c>
      <c r="K11" t="s">
        <v>152</v>
      </c>
      <c r="L11" s="69">
        <v>36</v>
      </c>
    </row>
    <row r="12" spans="1:12" x14ac:dyDescent="0.2">
      <c r="B12" s="40"/>
      <c r="C12" s="125"/>
      <c r="D12" s="125"/>
      <c r="E12" s="125"/>
      <c r="H12" t="s">
        <v>182</v>
      </c>
      <c r="I12" s="69">
        <v>40.729999999999997</v>
      </c>
      <c r="J12" t="s">
        <v>57</v>
      </c>
      <c r="K12" t="s">
        <v>153</v>
      </c>
      <c r="L12" s="69">
        <v>36</v>
      </c>
    </row>
    <row r="13" spans="1:12" x14ac:dyDescent="0.25">
      <c r="B13" s="40"/>
      <c r="C13" s="125"/>
      <c r="D13" s="125"/>
      <c r="E13" s="125"/>
      <c r="H13" t="s">
        <v>122</v>
      </c>
      <c r="I13" s="69">
        <v>155.98999999999972</v>
      </c>
      <c r="K13" t="s">
        <v>154</v>
      </c>
      <c r="L13" s="69">
        <v>36</v>
      </c>
    </row>
    <row r="14" spans="1:12" x14ac:dyDescent="0.25">
      <c r="B14" s="126" t="s">
        <v>66</v>
      </c>
      <c r="C14" s="141">
        <v>100</v>
      </c>
      <c r="D14" s="125"/>
      <c r="E14" s="125"/>
      <c r="K14" t="s">
        <v>155</v>
      </c>
      <c r="L14" s="69">
        <v>32</v>
      </c>
    </row>
    <row r="15" spans="1:12" x14ac:dyDescent="0.25">
      <c r="B15" s="126" t="s">
        <v>40</v>
      </c>
      <c r="C15" s="141">
        <v>100</v>
      </c>
      <c r="D15" s="125"/>
      <c r="E15" s="125"/>
      <c r="H15" t="s">
        <v>60</v>
      </c>
      <c r="I15" s="69">
        <f>SUM(I6:I12)-I13</f>
        <v>694.37000000000035</v>
      </c>
      <c r="K15" t="s">
        <v>156</v>
      </c>
      <c r="L15" s="69">
        <v>36</v>
      </c>
    </row>
    <row r="16" spans="1:12" x14ac:dyDescent="0.25">
      <c r="B16" s="126" t="s">
        <v>71</v>
      </c>
      <c r="C16" s="141">
        <v>100</v>
      </c>
      <c r="D16" s="125"/>
      <c r="E16" s="125"/>
      <c r="I16" s="69"/>
      <c r="K16" t="s">
        <v>157</v>
      </c>
      <c r="L16" s="69">
        <v>36</v>
      </c>
    </row>
    <row r="17" spans="2:12" x14ac:dyDescent="0.25">
      <c r="B17" s="126" t="s">
        <v>79</v>
      </c>
      <c r="C17" s="141">
        <v>100</v>
      </c>
      <c r="D17" s="125"/>
      <c r="E17" s="125"/>
      <c r="G17" t="s">
        <v>61</v>
      </c>
      <c r="I17" s="69">
        <f>I3-I15</f>
        <v>505.62999999999965</v>
      </c>
      <c r="K17" t="s">
        <v>158</v>
      </c>
      <c r="L17" s="69">
        <v>36</v>
      </c>
    </row>
    <row r="18" spans="2:12" x14ac:dyDescent="0.25">
      <c r="B18" s="40"/>
      <c r="C18" s="68"/>
      <c r="D18" s="68"/>
      <c r="E18" s="68"/>
      <c r="K18" t="s">
        <v>159</v>
      </c>
      <c r="L18" s="69">
        <v>36</v>
      </c>
    </row>
    <row r="19" spans="2:12" x14ac:dyDescent="0.25">
      <c r="B19" s="40" t="s">
        <v>53</v>
      </c>
      <c r="C19" s="68">
        <f>SUM(C3:C17)</f>
        <v>1200</v>
      </c>
      <c r="D19" s="68"/>
      <c r="E19" s="68"/>
      <c r="G19" t="s">
        <v>183</v>
      </c>
      <c r="L19" s="69">
        <f>SUM(L2:L18)</f>
        <v>612</v>
      </c>
    </row>
    <row r="20" spans="2:12" x14ac:dyDescent="0.25">
      <c r="H20" t="s">
        <v>184</v>
      </c>
      <c r="I20" s="69">
        <v>256.60000000000002</v>
      </c>
    </row>
    <row r="21" spans="2:12" x14ac:dyDescent="0.25">
      <c r="H21" t="s">
        <v>164</v>
      </c>
      <c r="I21" s="69">
        <v>250.6</v>
      </c>
    </row>
    <row r="22" spans="2:12" x14ac:dyDescent="0.25">
      <c r="I22" s="69">
        <f>SUM(I20:I21)</f>
        <v>507.20000000000005</v>
      </c>
    </row>
    <row r="24" spans="2:12" x14ac:dyDescent="0.25">
      <c r="H24" t="s">
        <v>185</v>
      </c>
      <c r="I24" s="186">
        <f>I17-I22</f>
        <v>-1.5700000000003911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0"/>
  <sheetViews>
    <sheetView workbookViewId="0">
      <selection activeCell="C27" sqref="C27"/>
    </sheetView>
  </sheetViews>
  <sheetFormatPr defaultRowHeight="13.8" x14ac:dyDescent="0.25"/>
  <cols>
    <col min="2" max="2" width="17.90625" style="136" bestFit="1" customWidth="1"/>
    <col min="3" max="3" width="12.81640625" style="135" customWidth="1"/>
    <col min="4" max="7" width="5" style="35" bestFit="1" customWidth="1"/>
    <col min="9" max="9" width="11.6328125" bestFit="1" customWidth="1"/>
    <col min="12" max="12" width="17.90625" bestFit="1" customWidth="1"/>
  </cols>
  <sheetData>
    <row r="1" spans="2:12" ht="13.95" x14ac:dyDescent="0.25">
      <c r="D1" s="35">
        <v>2018</v>
      </c>
      <c r="E1" s="35">
        <v>2017</v>
      </c>
      <c r="F1" s="35">
        <v>2016</v>
      </c>
      <c r="G1" s="35">
        <v>2015</v>
      </c>
      <c r="H1" s="35" t="s">
        <v>11</v>
      </c>
    </row>
    <row r="3" spans="2:12" ht="13.95" x14ac:dyDescent="0.25">
      <c r="B3" s="22" t="s">
        <v>124</v>
      </c>
    </row>
    <row r="4" spans="2:12" ht="13.95" x14ac:dyDescent="0.25">
      <c r="B4" s="22" t="s">
        <v>91</v>
      </c>
      <c r="L4" s="22"/>
    </row>
    <row r="5" spans="2:12" ht="13.95" x14ac:dyDescent="0.25">
      <c r="B5" s="121" t="s">
        <v>62</v>
      </c>
      <c r="C5" s="121"/>
      <c r="D5" s="137"/>
      <c r="E5" s="59">
        <v>48.5</v>
      </c>
      <c r="F5" s="59">
        <v>11</v>
      </c>
      <c r="H5" s="35">
        <f t="shared" ref="H5:H18" si="0">SUM(D5:G5)</f>
        <v>59.5</v>
      </c>
      <c r="L5" s="22"/>
    </row>
    <row r="6" spans="2:12" ht="13.95" x14ac:dyDescent="0.25">
      <c r="B6" s="121" t="s">
        <v>99</v>
      </c>
      <c r="C6" s="121"/>
      <c r="D6" s="59">
        <v>41.5</v>
      </c>
      <c r="E6" s="137"/>
      <c r="F6" s="129"/>
      <c r="G6" s="52"/>
      <c r="H6" s="35">
        <f t="shared" si="0"/>
        <v>41.5</v>
      </c>
      <c r="L6" s="121"/>
    </row>
    <row r="7" spans="2:12" ht="13.95" x14ac:dyDescent="0.25">
      <c r="B7" s="121" t="s">
        <v>77</v>
      </c>
      <c r="C7" s="121"/>
      <c r="D7" s="137"/>
      <c r="E7" s="59">
        <v>31.5</v>
      </c>
      <c r="F7" s="59">
        <v>8.5</v>
      </c>
      <c r="H7" s="35">
        <f t="shared" si="0"/>
        <v>40</v>
      </c>
      <c r="L7" s="121"/>
    </row>
    <row r="8" spans="2:12" ht="13.95" x14ac:dyDescent="0.25">
      <c r="B8" s="121" t="s">
        <v>64</v>
      </c>
      <c r="C8" s="121"/>
      <c r="D8" s="137"/>
      <c r="E8" s="137"/>
      <c r="F8" s="59">
        <v>35.5</v>
      </c>
      <c r="G8" s="59"/>
      <c r="H8" s="35">
        <f t="shared" si="0"/>
        <v>35.5</v>
      </c>
      <c r="L8" s="22"/>
    </row>
    <row r="9" spans="2:12" ht="13.95" x14ac:dyDescent="0.25">
      <c r="B9" s="121" t="s">
        <v>24</v>
      </c>
      <c r="C9" s="121"/>
      <c r="D9" s="59">
        <v>25.5</v>
      </c>
      <c r="E9" s="59">
        <v>8</v>
      </c>
      <c r="F9" s="137"/>
      <c r="H9" s="35">
        <f t="shared" si="0"/>
        <v>33.5</v>
      </c>
      <c r="L9" s="121"/>
    </row>
    <row r="10" spans="2:12" ht="13.95" x14ac:dyDescent="0.25">
      <c r="B10" s="121" t="s">
        <v>103</v>
      </c>
      <c r="C10" s="121"/>
      <c r="D10" s="59">
        <v>29</v>
      </c>
      <c r="E10" s="137"/>
      <c r="F10" s="137"/>
      <c r="H10" s="35">
        <f t="shared" si="0"/>
        <v>29</v>
      </c>
      <c r="I10" s="6"/>
      <c r="J10" s="59"/>
      <c r="L10" s="121"/>
    </row>
    <row r="11" spans="2:12" ht="13.95" x14ac:dyDescent="0.25">
      <c r="B11" s="121" t="s">
        <v>92</v>
      </c>
      <c r="C11" s="121"/>
      <c r="D11" s="137"/>
      <c r="E11" s="59">
        <v>27.5</v>
      </c>
      <c r="F11" s="138"/>
      <c r="G11" s="59"/>
      <c r="H11" s="35">
        <f t="shared" si="0"/>
        <v>27.5</v>
      </c>
      <c r="L11" s="121"/>
    </row>
    <row r="12" spans="2:12" ht="13.95" x14ac:dyDescent="0.25">
      <c r="B12" s="121" t="s">
        <v>101</v>
      </c>
      <c r="C12" s="121"/>
      <c r="D12" s="59">
        <v>16</v>
      </c>
      <c r="E12" s="59">
        <v>6.5</v>
      </c>
      <c r="F12" s="137"/>
      <c r="H12" s="35">
        <f t="shared" si="0"/>
        <v>22.5</v>
      </c>
      <c r="L12" s="121"/>
    </row>
    <row r="13" spans="2:12" ht="13.95" x14ac:dyDescent="0.25">
      <c r="B13" s="121" t="s">
        <v>39</v>
      </c>
      <c r="C13" s="33"/>
      <c r="D13" s="137"/>
      <c r="E13" s="137"/>
      <c r="F13" s="137"/>
      <c r="G13" s="35">
        <v>17</v>
      </c>
      <c r="H13" s="35">
        <f t="shared" si="0"/>
        <v>17</v>
      </c>
      <c r="L13" s="121"/>
    </row>
    <row r="14" spans="2:12" ht="13.95" x14ac:dyDescent="0.25">
      <c r="B14" s="121" t="s">
        <v>70</v>
      </c>
      <c r="C14" s="33"/>
      <c r="D14" s="137"/>
      <c r="E14" s="59">
        <v>14.5</v>
      </c>
      <c r="F14" s="137"/>
      <c r="H14" s="35">
        <f t="shared" si="0"/>
        <v>14.5</v>
      </c>
      <c r="L14" s="121"/>
    </row>
    <row r="15" spans="2:12" ht="13.95" x14ac:dyDescent="0.25">
      <c r="B15" s="121" t="s">
        <v>69</v>
      </c>
      <c r="C15" s="121"/>
      <c r="D15" s="59">
        <v>5.5</v>
      </c>
      <c r="E15" s="137"/>
      <c r="F15" s="59">
        <v>7.5</v>
      </c>
      <c r="H15" s="35">
        <f t="shared" si="0"/>
        <v>13</v>
      </c>
      <c r="L15" s="121"/>
    </row>
    <row r="16" spans="2:12" ht="13.95" x14ac:dyDescent="0.25">
      <c r="B16" s="121" t="s">
        <v>65</v>
      </c>
      <c r="C16" s="121"/>
      <c r="D16" s="59">
        <v>9.5</v>
      </c>
      <c r="E16" s="137"/>
      <c r="F16" s="137"/>
      <c r="H16" s="35">
        <f t="shared" si="0"/>
        <v>9.5</v>
      </c>
      <c r="L16" s="136"/>
    </row>
    <row r="17" spans="2:12" ht="13.95" x14ac:dyDescent="0.25">
      <c r="B17" s="121" t="s">
        <v>97</v>
      </c>
      <c r="C17" s="33" t="s">
        <v>123</v>
      </c>
      <c r="D17" s="137"/>
      <c r="E17" s="59">
        <v>5</v>
      </c>
      <c r="F17" s="137"/>
      <c r="H17" s="35">
        <f t="shared" si="0"/>
        <v>5</v>
      </c>
      <c r="L17" s="121"/>
    </row>
    <row r="18" spans="2:12" ht="13.95" x14ac:dyDescent="0.25">
      <c r="B18" s="121" t="s">
        <v>45</v>
      </c>
      <c r="C18" s="121"/>
      <c r="D18" s="137"/>
      <c r="E18" s="59">
        <v>2</v>
      </c>
      <c r="F18" s="138"/>
      <c r="G18" s="59"/>
      <c r="H18" s="35">
        <f t="shared" si="0"/>
        <v>2</v>
      </c>
      <c r="L18" s="121"/>
    </row>
    <row r="19" spans="2:12" ht="13.95" x14ac:dyDescent="0.25">
      <c r="B19" s="121" t="s">
        <v>138</v>
      </c>
      <c r="C19" s="121"/>
      <c r="D19" s="137"/>
      <c r="E19" s="59"/>
      <c r="F19" s="138"/>
      <c r="G19" s="59"/>
      <c r="H19" s="35"/>
      <c r="L19" s="121"/>
    </row>
    <row r="20" spans="2:12" ht="13.95" x14ac:dyDescent="0.25">
      <c r="B20" s="22" t="s">
        <v>102</v>
      </c>
      <c r="C20" s="22"/>
      <c r="L20" s="121"/>
    </row>
    <row r="21" spans="2:12" ht="13.95" x14ac:dyDescent="0.25">
      <c r="B21" s="22" t="s">
        <v>96</v>
      </c>
      <c r="C21" s="22"/>
      <c r="L21" s="22"/>
    </row>
    <row r="22" spans="2:12" ht="13.95" x14ac:dyDescent="0.25">
      <c r="B22" s="136" t="s">
        <v>104</v>
      </c>
      <c r="C22" s="136"/>
      <c r="L22" s="136"/>
    </row>
    <row r="23" spans="2:12" ht="13.95" x14ac:dyDescent="0.25">
      <c r="B23" s="136" t="s">
        <v>126</v>
      </c>
      <c r="C23" s="136"/>
      <c r="L23" s="22"/>
    </row>
    <row r="24" spans="2:12" ht="13.95" x14ac:dyDescent="0.25">
      <c r="B24" s="136" t="s">
        <v>132</v>
      </c>
      <c r="C24" s="136"/>
      <c r="L24" s="136"/>
    </row>
    <row r="25" spans="2:12" ht="13.95" x14ac:dyDescent="0.25">
      <c r="B25" s="22" t="s">
        <v>25</v>
      </c>
    </row>
    <row r="26" spans="2:12" ht="13.95" x14ac:dyDescent="0.25">
      <c r="B26" s="22" t="s">
        <v>125</v>
      </c>
      <c r="L26" s="22"/>
    </row>
    <row r="27" spans="2:12" ht="13.95" x14ac:dyDescent="0.25">
      <c r="B27" s="22" t="s">
        <v>98</v>
      </c>
      <c r="C27" s="22"/>
      <c r="L27" s="22"/>
    </row>
    <row r="28" spans="2:12" ht="13.95" x14ac:dyDescent="0.25">
      <c r="B28" s="22" t="s">
        <v>36</v>
      </c>
      <c r="C28" s="22"/>
      <c r="L28" s="22"/>
    </row>
    <row r="29" spans="2:12" ht="13.95" x14ac:dyDescent="0.25">
      <c r="B29" s="22" t="s">
        <v>43</v>
      </c>
      <c r="C29" s="22"/>
    </row>
    <row r="30" spans="2:12" ht="13.95" x14ac:dyDescent="0.25">
      <c r="B30" s="22" t="s">
        <v>63</v>
      </c>
      <c r="C30" s="22"/>
      <c r="L30" s="22"/>
    </row>
    <row r="31" spans="2:12" ht="13.95" x14ac:dyDescent="0.25">
      <c r="B31" s="22" t="s">
        <v>90</v>
      </c>
      <c r="C31" s="22"/>
      <c r="L31" s="22"/>
    </row>
    <row r="32" spans="2:12" ht="14.25" x14ac:dyDescent="0.2">
      <c r="B32" s="22" t="s">
        <v>22</v>
      </c>
      <c r="C32" s="22"/>
      <c r="L32" s="22"/>
    </row>
    <row r="33" spans="2:12" x14ac:dyDescent="0.25">
      <c r="B33" s="22" t="s">
        <v>35</v>
      </c>
      <c r="C33" s="22"/>
      <c r="L33" s="22"/>
    </row>
    <row r="34" spans="2:12" x14ac:dyDescent="0.25">
      <c r="B34" s="22" t="s">
        <v>4</v>
      </c>
      <c r="C34" s="22"/>
      <c r="L34" s="22"/>
    </row>
    <row r="35" spans="2:12" x14ac:dyDescent="0.25">
      <c r="B35" s="22" t="s">
        <v>37</v>
      </c>
      <c r="C35" s="22"/>
    </row>
    <row r="36" spans="2:12" x14ac:dyDescent="0.25">
      <c r="B36" s="22" t="s">
        <v>38</v>
      </c>
      <c r="C36" s="22"/>
    </row>
    <row r="37" spans="2:12" x14ac:dyDescent="0.25">
      <c r="B37" s="22" t="s">
        <v>42</v>
      </c>
      <c r="C37" s="22"/>
    </row>
    <row r="38" spans="2:12" x14ac:dyDescent="0.25">
      <c r="B38" s="22" t="s">
        <v>47</v>
      </c>
      <c r="C38" s="22"/>
    </row>
    <row r="39" spans="2:12" x14ac:dyDescent="0.25">
      <c r="B39" s="22" t="s">
        <v>52</v>
      </c>
      <c r="C39" s="22"/>
    </row>
    <row r="40" spans="2:12" x14ac:dyDescent="0.25">
      <c r="B40" s="22" t="s">
        <v>78</v>
      </c>
      <c r="C40" s="22"/>
    </row>
  </sheetData>
  <sortState ref="B3:H16">
    <sortCondition descending="1" ref="H3:H16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Printable</vt:lpstr>
      <vt:lpstr>Standings</vt:lpstr>
      <vt:lpstr>Pairings</vt:lpstr>
      <vt:lpstr>Tee Sheet</vt:lpstr>
      <vt:lpstr>Playoffs</vt:lpstr>
      <vt:lpstr>Money</vt:lpstr>
      <vt:lpstr>Updated sub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Jason Moses</cp:lastModifiedBy>
  <cp:lastPrinted>2019-10-07T11:54:07Z</cp:lastPrinted>
  <dcterms:created xsi:type="dcterms:W3CDTF">2014-04-02T21:11:50Z</dcterms:created>
  <dcterms:modified xsi:type="dcterms:W3CDTF">2019-11-23T02:47:21Z</dcterms:modified>
</cp:coreProperties>
</file>