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son Moses\Documents\Personal\Sports\Wolf Cup\2020\"/>
    </mc:Choice>
  </mc:AlternateContent>
  <xr:revisionPtr revIDLastSave="0" documentId="13_ncr:1_{D2EAE482-8D62-419E-990E-9BAA9EE759E6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Printable" sheetId="6" r:id="rId1"/>
    <sheet name="Standings" sheetId="9" r:id="rId2"/>
    <sheet name="Pairings" sheetId="27" r:id="rId3"/>
    <sheet name="Tee Sheet" sheetId="4" r:id="rId4"/>
    <sheet name="Gin &amp; Juice" sheetId="32" r:id="rId5"/>
    <sheet name="Playoffs" sheetId="28" r:id="rId6"/>
    <sheet name="Money" sheetId="22" r:id="rId7"/>
    <sheet name="sub list" sheetId="31" r:id="rId8"/>
    <sheet name="Jaquint's handicap" sheetId="33" r:id="rId9"/>
  </sheets>
  <calcPr calcId="191029"/>
</workbook>
</file>

<file path=xl/calcChain.xml><?xml version="1.0" encoding="utf-8"?>
<calcChain xmlns="http://schemas.openxmlformats.org/spreadsheetml/2006/main">
  <c r="P9" i="28" l="1"/>
  <c r="P12" i="28"/>
  <c r="P6" i="28"/>
  <c r="P3" i="28"/>
  <c r="N3" i="28"/>
  <c r="N6" i="28"/>
  <c r="N12" i="28"/>
  <c r="N9" i="28"/>
  <c r="G3" i="28" l="1"/>
  <c r="G15" i="28"/>
  <c r="G9" i="28"/>
  <c r="G12" i="28"/>
  <c r="G6" i="28"/>
  <c r="G18" i="28"/>
  <c r="G21" i="28"/>
  <c r="G24" i="28"/>
  <c r="E15" i="28" l="1"/>
  <c r="E12" i="28"/>
  <c r="E3" i="28"/>
  <c r="E21" i="28"/>
  <c r="E24" i="28"/>
  <c r="E6" i="28"/>
  <c r="E9" i="28"/>
  <c r="E18" i="28"/>
  <c r="AL6" i="9" l="1"/>
  <c r="AL9" i="9"/>
  <c r="AL12" i="9"/>
  <c r="AL15" i="9"/>
  <c r="AL21" i="9"/>
  <c r="AL18" i="9"/>
  <c r="AL24" i="9"/>
  <c r="AL27" i="9"/>
  <c r="AL33" i="9"/>
  <c r="AL30" i="9"/>
  <c r="AL36" i="9"/>
  <c r="AL39" i="9"/>
  <c r="BR19" i="27"/>
  <c r="BP19" i="27"/>
  <c r="BK19" i="27"/>
  <c r="BJ19" i="27"/>
  <c r="BD19" i="27"/>
  <c r="BR17" i="27"/>
  <c r="BR16" i="27"/>
  <c r="BQ16" i="27"/>
  <c r="BQ19" i="27" s="1"/>
  <c r="BR15" i="27"/>
  <c r="BR14" i="27"/>
  <c r="BO14" i="27"/>
  <c r="BR13" i="27"/>
  <c r="BO13" i="27"/>
  <c r="BN13" i="27"/>
  <c r="BR12" i="27"/>
  <c r="BO12" i="27"/>
  <c r="BN12" i="27"/>
  <c r="BM12" i="27"/>
  <c r="BR11" i="27"/>
  <c r="BO11" i="27"/>
  <c r="BN11" i="27"/>
  <c r="BM11" i="27"/>
  <c r="BL11" i="27"/>
  <c r="BR10" i="27"/>
  <c r="BO10" i="27"/>
  <c r="BN10" i="27"/>
  <c r="BM10" i="27"/>
  <c r="BL10" i="27"/>
  <c r="BK10" i="27"/>
  <c r="BR9" i="27"/>
  <c r="BO9" i="27"/>
  <c r="BN9" i="27"/>
  <c r="BM9" i="27"/>
  <c r="BL9" i="27"/>
  <c r="BK9" i="27"/>
  <c r="BJ9" i="27"/>
  <c r="BR8" i="27"/>
  <c r="BO8" i="27"/>
  <c r="BN8" i="27"/>
  <c r="BM8" i="27"/>
  <c r="BL8" i="27"/>
  <c r="BK8" i="27"/>
  <c r="BJ8" i="27"/>
  <c r="BI8" i="27"/>
  <c r="BR7" i="27"/>
  <c r="BO7" i="27"/>
  <c r="BN7" i="27"/>
  <c r="BM7" i="27"/>
  <c r="BL7" i="27"/>
  <c r="BK7" i="27"/>
  <c r="BJ7" i="27"/>
  <c r="BI7" i="27"/>
  <c r="BH7" i="27"/>
  <c r="BR6" i="27"/>
  <c r="BO6" i="27"/>
  <c r="BN6" i="27"/>
  <c r="BM6" i="27"/>
  <c r="BL6" i="27"/>
  <c r="BK6" i="27"/>
  <c r="BJ6" i="27"/>
  <c r="BI6" i="27"/>
  <c r="BH6" i="27"/>
  <c r="BH19" i="27" s="1"/>
  <c r="BG6" i="27"/>
  <c r="BR5" i="27"/>
  <c r="BO5" i="27"/>
  <c r="BN5" i="27"/>
  <c r="BM5" i="27"/>
  <c r="BL5" i="27"/>
  <c r="BK5" i="27"/>
  <c r="BJ5" i="27"/>
  <c r="BI5" i="27"/>
  <c r="BH5" i="27"/>
  <c r="BG5" i="27"/>
  <c r="BF5" i="27"/>
  <c r="BR4" i="27"/>
  <c r="BO4" i="27"/>
  <c r="BO19" i="27" s="1"/>
  <c r="BN4" i="27"/>
  <c r="BN19" i="27" s="1"/>
  <c r="BM4" i="27"/>
  <c r="BM19" i="27" s="1"/>
  <c r="BL4" i="27"/>
  <c r="BL19" i="27" s="1"/>
  <c r="BK4" i="27"/>
  <c r="BJ4" i="27"/>
  <c r="BI4" i="27"/>
  <c r="BI19" i="27" s="1"/>
  <c r="BH4" i="27"/>
  <c r="BG4" i="27"/>
  <c r="BG19" i="27" s="1"/>
  <c r="BF4" i="27"/>
  <c r="BF19" i="27" s="1"/>
  <c r="BE4" i="27"/>
  <c r="BE19" i="27" s="1"/>
  <c r="AJ36" i="9" l="1"/>
  <c r="AJ30" i="9"/>
  <c r="AJ27" i="9"/>
  <c r="AJ18" i="9"/>
  <c r="AJ21" i="9"/>
  <c r="AJ15" i="9"/>
  <c r="AJ12" i="9"/>
  <c r="AJ69" i="9"/>
  <c r="J22" i="4"/>
  <c r="X20" i="4"/>
  <c r="X19" i="4"/>
  <c r="W19" i="4"/>
  <c r="X18" i="4"/>
  <c r="X17" i="4"/>
  <c r="U17" i="4"/>
  <c r="X16" i="4"/>
  <c r="U16" i="4"/>
  <c r="T16" i="4"/>
  <c r="X15" i="4"/>
  <c r="U15" i="4"/>
  <c r="T15" i="4"/>
  <c r="S15" i="4"/>
  <c r="X14" i="4"/>
  <c r="U14" i="4"/>
  <c r="T14" i="4"/>
  <c r="S14" i="4"/>
  <c r="R14" i="4"/>
  <c r="X13" i="4"/>
  <c r="U13" i="4"/>
  <c r="T13" i="4"/>
  <c r="S13" i="4"/>
  <c r="R13" i="4"/>
  <c r="Q13" i="4"/>
  <c r="X12" i="4"/>
  <c r="U12" i="4"/>
  <c r="T12" i="4"/>
  <c r="S12" i="4"/>
  <c r="R12" i="4"/>
  <c r="Q12" i="4"/>
  <c r="P12" i="4"/>
  <c r="X11" i="4"/>
  <c r="U11" i="4"/>
  <c r="T11" i="4"/>
  <c r="S11" i="4"/>
  <c r="R11" i="4"/>
  <c r="Q11" i="4"/>
  <c r="P11" i="4"/>
  <c r="O11" i="4"/>
  <c r="X10" i="4"/>
  <c r="U10" i="4"/>
  <c r="T10" i="4"/>
  <c r="S10" i="4"/>
  <c r="R10" i="4"/>
  <c r="Q10" i="4"/>
  <c r="Q22" i="4" s="1"/>
  <c r="P10" i="4"/>
  <c r="O10" i="4"/>
  <c r="N10" i="4"/>
  <c r="X9" i="4"/>
  <c r="U9" i="4"/>
  <c r="T9" i="4"/>
  <c r="S9" i="4"/>
  <c r="R9" i="4"/>
  <c r="Q9" i="4"/>
  <c r="P9" i="4"/>
  <c r="O9" i="4"/>
  <c r="N9" i="4"/>
  <c r="M9" i="4"/>
  <c r="X8" i="4"/>
  <c r="U8" i="4"/>
  <c r="T8" i="4"/>
  <c r="S8" i="4"/>
  <c r="R8" i="4"/>
  <c r="Q8" i="4"/>
  <c r="P8" i="4"/>
  <c r="O8" i="4"/>
  <c r="N8" i="4"/>
  <c r="M8" i="4"/>
  <c r="L8" i="4"/>
  <c r="X7" i="4"/>
  <c r="X22" i="4" s="1"/>
  <c r="U7" i="4"/>
  <c r="T7" i="4"/>
  <c r="S7" i="4"/>
  <c r="R7" i="4"/>
  <c r="Q7" i="4"/>
  <c r="P7" i="4"/>
  <c r="O7" i="4"/>
  <c r="O22" i="4" s="1"/>
  <c r="N7" i="4"/>
  <c r="N22" i="4" s="1"/>
  <c r="M7" i="4"/>
  <c r="M22" i="4" s="1"/>
  <c r="L7" i="4"/>
  <c r="L22" i="4" s="1"/>
  <c r="K7" i="4"/>
  <c r="K22" i="4" s="1"/>
  <c r="R22" i="4" l="1"/>
  <c r="U22" i="4"/>
  <c r="T22" i="4"/>
  <c r="P22" i="4"/>
  <c r="S22" i="4"/>
  <c r="V22" i="4"/>
  <c r="W22" i="4"/>
  <c r="AH36" i="9"/>
  <c r="AH27" i="9"/>
  <c r="AH24" i="9"/>
  <c r="AH21" i="9"/>
  <c r="AH15" i="9"/>
  <c r="AH12" i="9"/>
  <c r="AH6" i="9"/>
  <c r="AH60" i="9"/>
  <c r="AF9" i="9" l="1"/>
  <c r="AF21" i="9"/>
  <c r="AF24" i="9"/>
  <c r="AF33" i="9"/>
  <c r="AF27" i="9"/>
  <c r="AF66" i="9"/>
  <c r="AF60" i="9"/>
  <c r="AF39" i="9"/>
  <c r="AD12" i="9" l="1"/>
  <c r="AD69" i="9"/>
  <c r="AD63" i="9"/>
  <c r="AD9" i="9"/>
  <c r="AD18" i="9"/>
  <c r="AD15" i="9"/>
  <c r="AD27" i="9"/>
  <c r="AD33" i="9"/>
  <c r="AD36" i="9"/>
  <c r="AD30" i="9"/>
  <c r="AD60" i="9"/>
  <c r="AD21" i="9"/>
  <c r="AB6" i="9" l="1"/>
  <c r="AB36" i="9"/>
  <c r="AB30" i="9"/>
  <c r="AB15" i="9"/>
  <c r="AB18" i="9"/>
  <c r="AB12" i="9"/>
  <c r="AB9" i="9"/>
  <c r="AB21" i="9"/>
  <c r="Z39" i="9" l="1"/>
  <c r="Z30" i="9"/>
  <c r="Z33" i="9"/>
  <c r="Z9" i="9"/>
  <c r="Z24" i="9"/>
  <c r="Z6" i="9"/>
  <c r="Z18" i="9"/>
  <c r="Z12" i="9"/>
  <c r="Z21" i="9"/>
  <c r="Z75" i="9"/>
  <c r="Z81" i="9"/>
  <c r="Z69" i="9"/>
  <c r="X21" i="9" l="1"/>
  <c r="X18" i="9"/>
  <c r="X6" i="9"/>
  <c r="X12" i="9"/>
  <c r="X15" i="9"/>
  <c r="X27" i="9"/>
  <c r="X36" i="9"/>
  <c r="X30" i="9"/>
  <c r="X39" i="9"/>
  <c r="X75" i="9"/>
  <c r="X60" i="9"/>
  <c r="X72" i="9"/>
  <c r="V30" i="9" l="1"/>
  <c r="V36" i="9"/>
  <c r="V27" i="9"/>
  <c r="V33" i="9"/>
  <c r="V15" i="9"/>
  <c r="V6" i="9"/>
  <c r="V12" i="9"/>
  <c r="V21" i="9"/>
  <c r="V9" i="9"/>
  <c r="V18" i="9"/>
  <c r="V24" i="9"/>
  <c r="V72" i="9"/>
  <c r="G26" i="33" l="1"/>
  <c r="AN32" i="9" l="1"/>
  <c r="T24" i="9"/>
  <c r="T18" i="9"/>
  <c r="T21" i="9"/>
  <c r="T9" i="9"/>
  <c r="T33" i="9"/>
  <c r="T27" i="9"/>
  <c r="T36" i="9"/>
  <c r="T30" i="9"/>
  <c r="R36" i="9" l="1"/>
  <c r="R27" i="9"/>
  <c r="R9" i="9"/>
  <c r="R15" i="9"/>
  <c r="R21" i="9"/>
  <c r="R12" i="9"/>
  <c r="R18" i="9"/>
  <c r="R24" i="9"/>
  <c r="P7" i="33" l="1"/>
  <c r="P36" i="9" l="1"/>
  <c r="P30" i="9"/>
  <c r="P39" i="9"/>
  <c r="P27" i="9"/>
  <c r="P21" i="9"/>
  <c r="P9" i="9"/>
  <c r="P15" i="9"/>
  <c r="P33" i="9"/>
  <c r="P18" i="9"/>
  <c r="P24" i="9"/>
  <c r="P6" i="9"/>
  <c r="P60" i="9"/>
  <c r="N36" i="9" l="1"/>
  <c r="N39" i="9"/>
  <c r="N30" i="9"/>
  <c r="N27" i="9"/>
  <c r="N21" i="9"/>
  <c r="N9" i="9"/>
  <c r="N18" i="9"/>
  <c r="N33" i="9"/>
  <c r="N15" i="9"/>
  <c r="N6" i="9"/>
  <c r="N24" i="9"/>
  <c r="N12" i="9"/>
  <c r="L30" i="9" l="1"/>
  <c r="L39" i="9"/>
  <c r="L27" i="9"/>
  <c r="L9" i="9"/>
  <c r="L15" i="9"/>
  <c r="L21" i="9"/>
  <c r="L18" i="9"/>
  <c r="L33" i="9"/>
  <c r="L24" i="9"/>
  <c r="L12" i="9"/>
  <c r="L66" i="9"/>
  <c r="L63" i="9"/>
  <c r="J12" i="9" l="1"/>
  <c r="J6" i="9"/>
  <c r="J24" i="9"/>
  <c r="J33" i="9"/>
  <c r="J18" i="9"/>
  <c r="J15" i="9"/>
  <c r="J36" i="9"/>
  <c r="J27" i="9"/>
  <c r="J9" i="9"/>
  <c r="AM9" i="9" s="1"/>
  <c r="J78" i="9"/>
  <c r="J21" i="9"/>
  <c r="J39" i="9"/>
  <c r="H63" i="9" l="1"/>
  <c r="H66" i="9"/>
  <c r="H9" i="9"/>
  <c r="H39" i="9"/>
  <c r="H30" i="9"/>
  <c r="AM30" i="9" s="1"/>
  <c r="H36" i="9"/>
  <c r="AM36" i="9" s="1"/>
  <c r="H21" i="9"/>
  <c r="H33" i="9"/>
  <c r="H18" i="9"/>
  <c r="H12" i="9"/>
  <c r="H6" i="9"/>
  <c r="H24" i="9"/>
  <c r="AM39" i="9" l="1"/>
  <c r="F24" i="9" l="1"/>
  <c r="F15" i="9"/>
  <c r="F6" i="9"/>
  <c r="F12" i="9"/>
  <c r="F18" i="9"/>
  <c r="F21" i="9"/>
  <c r="F33" i="9"/>
  <c r="AM33" i="9" s="1"/>
  <c r="F36" i="9"/>
  <c r="AM48" i="9" l="1"/>
  <c r="AM45" i="9"/>
  <c r="AM42" i="9"/>
  <c r="D36" i="9" l="1"/>
  <c r="D24" i="9"/>
  <c r="AM24" i="9" s="1"/>
  <c r="D21" i="9"/>
  <c r="AM21" i="9" s="1"/>
  <c r="D12" i="9"/>
  <c r="AM12" i="9" s="1"/>
  <c r="D18" i="9"/>
  <c r="AM18" i="9" s="1"/>
  <c r="D30" i="9"/>
  <c r="D15" i="9"/>
  <c r="AM15" i="9" s="1"/>
  <c r="D33" i="9"/>
  <c r="D6" i="9"/>
  <c r="AM6" i="9" s="1"/>
  <c r="D27" i="9"/>
  <c r="AM27" i="9" s="1"/>
  <c r="D63" i="9"/>
  <c r="D66" i="9"/>
  <c r="C19" i="22" l="1"/>
  <c r="R15" i="32" l="1"/>
  <c r="M15" i="32"/>
  <c r="V14" i="32"/>
  <c r="V13" i="32"/>
  <c r="V12" i="32"/>
  <c r="V11" i="32"/>
  <c r="V10" i="32"/>
  <c r="V9" i="32"/>
  <c r="V8" i="32"/>
  <c r="T15" i="32"/>
  <c r="S15" i="32"/>
  <c r="Q15" i="32"/>
  <c r="P15" i="32"/>
  <c r="O15" i="32"/>
  <c r="N15" i="32"/>
  <c r="L15" i="32"/>
  <c r="K15" i="32"/>
  <c r="J15" i="32"/>
  <c r="I15" i="32"/>
  <c r="H15" i="32"/>
  <c r="G15" i="32"/>
  <c r="F15" i="32"/>
  <c r="E15" i="32"/>
  <c r="D15" i="32"/>
  <c r="C15" i="32"/>
  <c r="V15" i="32" l="1"/>
  <c r="L21" i="22"/>
  <c r="I6" i="22" s="1"/>
  <c r="I15" i="22" l="1"/>
  <c r="AL54" i="9" l="1"/>
  <c r="AL56" i="9" s="1"/>
  <c r="AL52" i="9"/>
  <c r="I24" i="31"/>
  <c r="I23" i="31"/>
  <c r="I22" i="31"/>
  <c r="I21" i="31"/>
  <c r="I20" i="31"/>
  <c r="I19" i="31"/>
  <c r="I18" i="31"/>
  <c r="I17" i="31"/>
  <c r="I16" i="31"/>
  <c r="I15" i="31"/>
  <c r="I14" i="31"/>
  <c r="I13" i="31"/>
  <c r="I12" i="31"/>
  <c r="I9" i="31"/>
  <c r="I11" i="31"/>
  <c r="I10" i="31"/>
  <c r="I7" i="31"/>
  <c r="I3" i="31"/>
  <c r="I8" i="31"/>
  <c r="I6" i="31"/>
  <c r="I5" i="31"/>
  <c r="I4" i="31"/>
  <c r="AM81" i="9" l="1"/>
  <c r="AM87" i="9" l="1"/>
  <c r="AM90" i="9"/>
  <c r="AM60" i="9" l="1"/>
  <c r="AM66" i="9"/>
  <c r="AM93" i="9" l="1"/>
  <c r="AM84" i="9" l="1"/>
  <c r="AM69" i="9"/>
  <c r="AN29" i="9" l="1"/>
  <c r="AM29" i="9"/>
  <c r="AN28" i="9"/>
  <c r="AM28" i="9"/>
  <c r="AN27" i="9"/>
  <c r="AN11" i="9"/>
  <c r="AM11" i="9"/>
  <c r="AN10" i="9"/>
  <c r="AM10" i="9"/>
  <c r="AN14" i="9"/>
  <c r="AM14" i="9"/>
  <c r="AN13" i="9"/>
  <c r="AM13" i="9"/>
  <c r="AN23" i="9"/>
  <c r="AM23" i="9"/>
  <c r="AN22" i="9"/>
  <c r="AM22" i="9"/>
  <c r="AN8" i="9"/>
  <c r="AM8" i="9"/>
  <c r="AN7" i="9"/>
  <c r="AM7" i="9"/>
  <c r="AN41" i="9"/>
  <c r="AM41" i="9"/>
  <c r="AN40" i="9"/>
  <c r="AM40" i="9"/>
  <c r="AN38" i="9"/>
  <c r="AM38" i="9"/>
  <c r="AN37" i="9"/>
  <c r="AM37" i="9"/>
  <c r="AN26" i="9"/>
  <c r="AM26" i="9"/>
  <c r="AN25" i="9"/>
  <c r="AM25" i="9"/>
  <c r="AM32" i="9"/>
  <c r="AN31" i="9"/>
  <c r="AM31" i="9"/>
  <c r="AN17" i="9"/>
  <c r="AM17" i="9"/>
  <c r="AN16" i="9"/>
  <c r="AM16" i="9"/>
  <c r="AN35" i="9"/>
  <c r="AM35" i="9"/>
  <c r="AN34" i="9"/>
  <c r="AM34" i="9"/>
  <c r="AM20" i="9"/>
  <c r="AN20" i="9"/>
  <c r="AM19" i="9"/>
  <c r="AN19" i="9"/>
  <c r="AM72" i="9" l="1"/>
  <c r="AM75" i="9"/>
  <c r="AM63" i="9" l="1"/>
  <c r="AM78" i="9"/>
  <c r="AN39" i="9" l="1"/>
  <c r="AN6" i="9"/>
  <c r="AN36" i="9"/>
  <c r="AN18" i="9" l="1"/>
  <c r="AN9" i="9"/>
  <c r="AN24" i="9"/>
  <c r="AN33" i="9"/>
  <c r="AN30" i="9"/>
  <c r="AN12" i="9"/>
  <c r="AN15" i="9"/>
  <c r="AN21" i="9"/>
  <c r="AM50" i="9" l="1"/>
  <c r="AM49" i="9"/>
  <c r="AM47" i="9"/>
  <c r="AM46" i="9"/>
  <c r="AM44" i="9"/>
  <c r="AM43" i="9"/>
  <c r="I3" i="22" l="1"/>
  <c r="G30" i="28"/>
  <c r="E30" i="28"/>
  <c r="G28" i="28"/>
  <c r="E28" i="28"/>
  <c r="H24" i="28"/>
  <c r="H6" i="28"/>
  <c r="H12" i="28"/>
  <c r="H18" i="28"/>
  <c r="Q9" i="28"/>
  <c r="H21" i="28"/>
  <c r="Q12" i="28"/>
  <c r="H3" i="28"/>
  <c r="Q6" i="28"/>
  <c r="H9" i="28"/>
  <c r="Q3" i="28"/>
  <c r="H15" i="28"/>
  <c r="AJ54" i="9"/>
  <c r="AJ56" i="9" s="1"/>
  <c r="AH54" i="9"/>
  <c r="AH56" i="9" s="1"/>
  <c r="AF54" i="9"/>
  <c r="AF56" i="9" s="1"/>
  <c r="AD54" i="9"/>
  <c r="AD56" i="9" s="1"/>
  <c r="AB54" i="9"/>
  <c r="AB56" i="9" s="1"/>
  <c r="Z54" i="9"/>
  <c r="Z56" i="9" s="1"/>
  <c r="X54" i="9"/>
  <c r="X56" i="9" s="1"/>
  <c r="V54" i="9"/>
  <c r="V56" i="9" s="1"/>
  <c r="T54" i="9"/>
  <c r="T56" i="9" s="1"/>
  <c r="R54" i="9"/>
  <c r="R56" i="9" s="1"/>
  <c r="P54" i="9"/>
  <c r="P56" i="9" s="1"/>
  <c r="N54" i="9"/>
  <c r="N56" i="9" s="1"/>
  <c r="L54" i="9"/>
  <c r="L56" i="9" s="1"/>
  <c r="J54" i="9"/>
  <c r="J56" i="9" s="1"/>
  <c r="H54" i="9"/>
  <c r="H56" i="9" s="1"/>
  <c r="F54" i="9"/>
  <c r="F56" i="9" s="1"/>
  <c r="D54" i="9"/>
  <c r="D56" i="9" s="1"/>
  <c r="AJ52" i="9"/>
  <c r="AH52" i="9"/>
  <c r="AF52" i="9"/>
  <c r="AD52" i="9"/>
  <c r="AB52" i="9"/>
  <c r="Z52" i="9"/>
  <c r="X52" i="9"/>
  <c r="V52" i="9"/>
  <c r="T52" i="9"/>
  <c r="R52" i="9"/>
  <c r="P52" i="9"/>
  <c r="N52" i="9"/>
  <c r="L52" i="9"/>
  <c r="J52" i="9"/>
  <c r="H52" i="9"/>
  <c r="F52" i="9"/>
  <c r="D52" i="9"/>
  <c r="I17" i="22" l="1"/>
  <c r="I21" i="22" s="1"/>
  <c r="AM52" i="9"/>
  <c r="AM54" i="9"/>
</calcChain>
</file>

<file path=xl/sharedStrings.xml><?xml version="1.0" encoding="utf-8"?>
<sst xmlns="http://schemas.openxmlformats.org/spreadsheetml/2006/main" count="702" uniqueCount="215">
  <si>
    <t>matt white</t>
  </si>
  <si>
    <t>BDM</t>
  </si>
  <si>
    <t>Chris McNeely</t>
  </si>
  <si>
    <t>Chris Preston</t>
  </si>
  <si>
    <t>Steve Flesher</t>
  </si>
  <si>
    <t>cash +/-</t>
  </si>
  <si>
    <t>Group A</t>
  </si>
  <si>
    <t>Group B</t>
  </si>
  <si>
    <t>Matt White</t>
  </si>
  <si>
    <t>Week</t>
  </si>
  <si>
    <t>Score/$/Points</t>
  </si>
  <si>
    <t>TOTAL</t>
  </si>
  <si>
    <t>WEEK</t>
  </si>
  <si>
    <t>AVERAGE</t>
  </si>
  <si>
    <t>Subs</t>
  </si>
  <si>
    <t>1:00 pm Group</t>
  </si>
  <si>
    <t>1:10 pm Group</t>
  </si>
  <si>
    <t xml:space="preserve">Name </t>
  </si>
  <si>
    <t>Handicap</t>
  </si>
  <si>
    <t>MW</t>
  </si>
  <si>
    <t>CP</t>
  </si>
  <si>
    <t>X</t>
  </si>
  <si>
    <t>Ben Hardman</t>
  </si>
  <si>
    <t>AVG</t>
  </si>
  <si>
    <t>Nick Mayo</t>
  </si>
  <si>
    <t>Sid Torlone</t>
  </si>
  <si>
    <t>Group C</t>
  </si>
  <si>
    <t>1:20 pm Group</t>
  </si>
  <si>
    <t>AD</t>
  </si>
  <si>
    <t>Bagger</t>
  </si>
  <si>
    <t>Josh Stoll</t>
  </si>
  <si>
    <t>Harvey Points</t>
  </si>
  <si>
    <t>JS</t>
  </si>
  <si>
    <t>Chris Keaton</t>
  </si>
  <si>
    <t>Moses</t>
  </si>
  <si>
    <t>Nathan Adkins</t>
  </si>
  <si>
    <t>Corky Hammers</t>
  </si>
  <si>
    <t>Don Ray</t>
  </si>
  <si>
    <t>Monte Ward</t>
  </si>
  <si>
    <t>Bryan Vance</t>
  </si>
  <si>
    <t>Ronnie Adkins</t>
  </si>
  <si>
    <t>CK</t>
  </si>
  <si>
    <t>Kurt Fleckenstein</t>
  </si>
  <si>
    <t>Robbie Simmons</t>
  </si>
  <si>
    <t>A. Dawson</t>
  </si>
  <si>
    <t>Reggie Opimo</t>
  </si>
  <si>
    <t>Jay Patterson</t>
  </si>
  <si>
    <t>Jim Freeman</t>
  </si>
  <si>
    <t>go aggressive on Subs early in the year and have 3 foursomes for the most part.  See if any of the subs become full timers</t>
  </si>
  <si>
    <t>PLAYOFFS</t>
  </si>
  <si>
    <t>Round</t>
  </si>
  <si>
    <t>FINAL</t>
  </si>
  <si>
    <t>Todd Williams</t>
  </si>
  <si>
    <t>Revenue</t>
  </si>
  <si>
    <t>Expenses</t>
  </si>
  <si>
    <t>Weekly Cash prize</t>
  </si>
  <si>
    <t>2nd place</t>
  </si>
  <si>
    <t>3rd place</t>
  </si>
  <si>
    <t>Total</t>
  </si>
  <si>
    <t>Remaining</t>
  </si>
  <si>
    <t>Brandon Cline</t>
  </si>
  <si>
    <t>Ian Wiley</t>
  </si>
  <si>
    <t>Adam Yeager</t>
  </si>
  <si>
    <t>Marc Hettlinger</t>
  </si>
  <si>
    <t>Jeff Madden</t>
  </si>
  <si>
    <t>JEFF</t>
  </si>
  <si>
    <t>JAY</t>
  </si>
  <si>
    <t>Allan Thacker</t>
  </si>
  <si>
    <t>David Sheils</t>
  </si>
  <si>
    <t>Group D</t>
  </si>
  <si>
    <t>Side Game</t>
  </si>
  <si>
    <t>Winners</t>
  </si>
  <si>
    <t>Joe McDonie</t>
  </si>
  <si>
    <t>Sean Wilson</t>
  </si>
  <si>
    <t>group 1</t>
  </si>
  <si>
    <t>group 3</t>
  </si>
  <si>
    <t>group 2</t>
  </si>
  <si>
    <t>pods</t>
  </si>
  <si>
    <t>top3</t>
  </si>
  <si>
    <t>plays</t>
  </si>
  <si>
    <t>1:30 pm Group</t>
  </si>
  <si>
    <t>plus embroidery</t>
  </si>
  <si>
    <t>Ronnie A.</t>
  </si>
  <si>
    <t>RA</t>
  </si>
  <si>
    <t>Mike Insco</t>
  </si>
  <si>
    <t>Joe White</t>
  </si>
  <si>
    <t>Mike Barbera</t>
  </si>
  <si>
    <t>SW</t>
  </si>
  <si>
    <t>SUBS:</t>
  </si>
  <si>
    <t>banquet</t>
  </si>
  <si>
    <t>Rick Ellison</t>
  </si>
  <si>
    <t>Mark Newfeld</t>
  </si>
  <si>
    <t>Tyler Gatrell</t>
  </si>
  <si>
    <t>Paul Jacobson</t>
  </si>
  <si>
    <t>group 4</t>
  </si>
  <si>
    <t>Chris Smith</t>
  </si>
  <si>
    <t>Brad "El Nino" Wright</t>
  </si>
  <si>
    <t>Scott Pierson</t>
  </si>
  <si>
    <t>Lee VanHorn</t>
  </si>
  <si>
    <t>(bad weather)</t>
  </si>
  <si>
    <t>Jeff Biederman</t>
  </si>
  <si>
    <t>Matt Jaquint</t>
  </si>
  <si>
    <t>Bobby Marshall</t>
  </si>
  <si>
    <t>Most Net Pars</t>
  </si>
  <si>
    <t>Most Holes Under Par</t>
  </si>
  <si>
    <t>Matt Boggs</t>
  </si>
  <si>
    <t>Jeffrey B.</t>
  </si>
  <si>
    <t>Kyle Cox</t>
  </si>
  <si>
    <t>Patrick Arnold</t>
  </si>
  <si>
    <t>Noah Mullens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</si>
  <si>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</si>
  <si>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</si>
  <si>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</si>
  <si>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</si>
  <si>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</si>
  <si>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</si>
  <si>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</si>
  <si>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</si>
  <si>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</si>
  <si>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</si>
  <si>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</si>
  <si>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</si>
  <si>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</si>
  <si>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</si>
  <si>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</si>
  <si>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</si>
  <si>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</si>
  <si>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Glen Yost</t>
  </si>
  <si>
    <t>Mike Bonner</t>
  </si>
  <si>
    <t>Clarence Lykins</t>
  </si>
  <si>
    <t>plaque &amp; trophy</t>
  </si>
  <si>
    <t>carryover from '19</t>
  </si>
  <si>
    <t>Apr 24th</t>
  </si>
  <si>
    <t>May 1st</t>
  </si>
  <si>
    <t>May 15th</t>
  </si>
  <si>
    <t>May 22nd</t>
  </si>
  <si>
    <t>May 29th</t>
  </si>
  <si>
    <t>June 5th</t>
  </si>
  <si>
    <t>June 19th</t>
  </si>
  <si>
    <t>July 10th</t>
  </si>
  <si>
    <t>July 31st</t>
  </si>
  <si>
    <t>Aug 21st</t>
  </si>
  <si>
    <t>Aug 28th</t>
  </si>
  <si>
    <t>Sept 4th</t>
  </si>
  <si>
    <t>Week 18</t>
  </si>
  <si>
    <t>Week 19</t>
  </si>
  <si>
    <t>Nathan Copley</t>
  </si>
  <si>
    <t>HOLE</t>
  </si>
  <si>
    <t>PAR</t>
  </si>
  <si>
    <t>Ronnie</t>
  </si>
  <si>
    <t>Madden</t>
  </si>
  <si>
    <t>Bags</t>
  </si>
  <si>
    <t>Keaton</t>
  </si>
  <si>
    <t>Josh</t>
  </si>
  <si>
    <t>Preston</t>
  </si>
  <si>
    <t>Kyle</t>
  </si>
  <si>
    <t>Closest to Pin</t>
  </si>
  <si>
    <t>Least Putts</t>
  </si>
  <si>
    <t>Skins</t>
  </si>
  <si>
    <t>Jay</t>
  </si>
  <si>
    <t>Sean</t>
  </si>
  <si>
    <t>Biederman</t>
  </si>
  <si>
    <t>Patterson</t>
  </si>
  <si>
    <t>Wilson</t>
  </si>
  <si>
    <t>Copley</t>
  </si>
  <si>
    <t>KYLE</t>
  </si>
  <si>
    <t>White</t>
  </si>
  <si>
    <t>TEES</t>
  </si>
  <si>
    <t>Orange</t>
  </si>
  <si>
    <t>Blue</t>
  </si>
  <si>
    <t>Black</t>
  </si>
  <si>
    <t>Jay patterson</t>
  </si>
  <si>
    <t>Andrew Dawson</t>
  </si>
  <si>
    <t>Chris keaton</t>
  </si>
  <si>
    <t>Dawson</t>
  </si>
  <si>
    <t>NC</t>
  </si>
  <si>
    <t>JB</t>
  </si>
  <si>
    <t>Jason Moses</t>
  </si>
  <si>
    <t>Chris Prestn</t>
  </si>
  <si>
    <t>Jay Patterso</t>
  </si>
  <si>
    <t>JS,AD</t>
  </si>
  <si>
    <t>JS, Mad,SW</t>
  </si>
  <si>
    <t>ADx3,SW,JS, CKx2,KC,MW Mad</t>
  </si>
  <si>
    <t>SW 10</t>
  </si>
  <si>
    <t>Allen Beasley</t>
  </si>
  <si>
    <t>andrew dawson</t>
  </si>
  <si>
    <t>sean wilson</t>
  </si>
  <si>
    <t>June 12th</t>
  </si>
  <si>
    <t>KCx2,JS JP</t>
  </si>
  <si>
    <t>Alan Beasley</t>
  </si>
  <si>
    <t>June 26th</t>
  </si>
  <si>
    <t>ADx2, JS, CMx2, SW</t>
  </si>
  <si>
    <t>Jaquint</t>
  </si>
  <si>
    <t>July 3rd</t>
  </si>
  <si>
    <t>Brian Morrison</t>
  </si>
  <si>
    <t>Matt jaquint</t>
  </si>
  <si>
    <t>July 17th</t>
  </si>
  <si>
    <t>Matt Whie</t>
  </si>
  <si>
    <r>
      <t xml:space="preserve">Moses, </t>
    </r>
    <r>
      <rPr>
        <sz val="8"/>
        <rFont val="Georgia"/>
        <family val="1"/>
        <scheme val="minor"/>
      </rPr>
      <t>Madden</t>
    </r>
  </si>
  <si>
    <t>Aug 7th</t>
  </si>
  <si>
    <t>Aug 14th</t>
  </si>
  <si>
    <t>Madden, Keaton</t>
  </si>
  <si>
    <t>Stoll</t>
  </si>
  <si>
    <t>Bonner</t>
  </si>
  <si>
    <t>Cox</t>
  </si>
  <si>
    <t>KC, JS, CP</t>
  </si>
  <si>
    <t>c</t>
  </si>
  <si>
    <t>6-RA, 7-CP, 12-SW, 15-JP</t>
  </si>
  <si>
    <t>Rounds</t>
  </si>
  <si>
    <t>golf bag</t>
  </si>
  <si>
    <t>yes</t>
  </si>
  <si>
    <t>jaquint</t>
  </si>
  <si>
    <t>maybe</t>
  </si>
  <si>
    <t>Dinner</t>
  </si>
  <si>
    <t>Remainder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</si>
</sst>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0.0"/>
  </numFmts>
  <fonts count="16" x14ac:knownFonts="1">
    <font>
      <sz val="11"/>
      <color theme="1"/>
      <name val="Georgia"/>
      <family val="2"/>
      <scheme val="minor"/>
    </font>
    <font>
      <sz val="8"/>
      <color theme="1"/>
      <name val="Georgia"/>
      <family val="2"/>
      <scheme val="minor"/>
    </font>
    <font>
      <sz val="10"/>
      <color theme="1"/>
      <name val="Georgia"/>
      <family val="2"/>
      <scheme val="minor"/>
    </font>
    <font>
      <b/>
      <sz val="10"/>
      <color theme="1"/>
      <name val="Georgia"/>
      <family val="2"/>
      <scheme val="minor"/>
    </font>
    <font>
      <sz val="9"/>
      <color theme="1"/>
      <name val="Georgia"/>
      <family val="2"/>
      <scheme val="minor"/>
    </font>
    <font>
      <sz val="11"/>
      <color theme="1"/>
      <name val="Georgia"/>
      <family val="1"/>
      <scheme val="minor"/>
    </font>
    <font>
      <sz val="10"/>
      <color theme="1"/>
      <name val="Georgia"/>
      <family val="1"/>
      <scheme val="minor"/>
    </font>
    <font>
      <sz val="11"/>
      <color theme="1"/>
      <name val="Georgia"/>
      <family val="2"/>
      <scheme val="minor"/>
    </font>
    <font>
      <sz val="11"/>
      <name val="Georgia"/>
      <family val="2"/>
      <scheme val="minor"/>
    </font>
    <font>
      <sz val="10"/>
      <name val="Georgia"/>
      <family val="2"/>
      <scheme val="minor"/>
    </font>
    <font>
      <sz val="12"/>
      <color theme="1"/>
      <name val="Georgia"/>
      <family val="2"/>
      <scheme val="minor"/>
    </font>
    <font>
      <b/>
      <sz val="11"/>
      <color theme="1"/>
      <name val="Georgia"/>
      <family val="1"/>
      <scheme val="minor"/>
    </font>
    <font>
      <b/>
      <sz val="9"/>
      <color theme="1"/>
      <name val="Georgia"/>
      <family val="1"/>
      <scheme val="minor"/>
    </font>
    <font>
      <i/>
      <sz val="11"/>
      <color theme="1"/>
      <name val="Georgia"/>
      <family val="1"/>
      <scheme val="minor"/>
    </font>
    <font>
      <sz val="8"/>
      <name val="Georgia"/>
      <family val="1"/>
      <scheme val="minor"/>
    </font>
    <font>
      <sz val="8"/>
      <name val="Georgi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0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Fill="1" applyBorder="1"/>
    <xf numFmtId="0" fontId="3" fillId="3" borderId="9" xfId="0" applyFont="1" applyFill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/>
    <xf numFmtId="0" fontId="4" fillId="0" borderId="0" xfId="0" applyFont="1" applyBorder="1"/>
    <xf numFmtId="0" fontId="4" fillId="0" borderId="0" xfId="0" applyFont="1" applyFill="1"/>
    <xf numFmtId="0" fontId="0" fillId="0" borderId="1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0" fontId="0" fillId="0" borderId="0" xfId="0" applyFill="1"/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 vertical="center"/>
    </xf>
    <xf numFmtId="165" fontId="0" fillId="0" borderId="0" xfId="0" applyNumberFormat="1" applyBorder="1"/>
    <xf numFmtId="165" fontId="0" fillId="0" borderId="0" xfId="0" applyNumberFormat="1" applyAlignment="1">
      <alignment horizontal="center"/>
    </xf>
    <xf numFmtId="1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right"/>
    </xf>
    <xf numFmtId="0" fontId="2" fillId="0" borderId="0" xfId="0" applyFont="1" applyBorder="1"/>
    <xf numFmtId="0" fontId="2" fillId="0" borderId="0" xfId="0" applyFont="1" applyFill="1" applyBorder="1"/>
    <xf numFmtId="165" fontId="2" fillId="0" borderId="0" xfId="0" applyNumberFormat="1" applyFont="1" applyBorder="1"/>
    <xf numFmtId="0" fontId="2" fillId="0" borderId="6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4" fillId="0" borderId="0" xfId="0" applyFont="1" applyFill="1" applyBorder="1"/>
    <xf numFmtId="165" fontId="4" fillId="0" borderId="0" xfId="0" applyNumberFormat="1" applyFont="1" applyBorder="1"/>
    <xf numFmtId="0" fontId="4" fillId="0" borderId="6" xfId="0" applyFont="1" applyFill="1" applyBorder="1"/>
    <xf numFmtId="0" fontId="1" fillId="0" borderId="0" xfId="0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165" fontId="0" fillId="0" borderId="0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3" xfId="0" applyNumberFormat="1" applyFill="1" applyBorder="1" applyAlignment="1">
      <alignment horizontal="center"/>
    </xf>
    <xf numFmtId="165" fontId="4" fillId="0" borderId="0" xfId="0" applyNumberFormat="1" applyFont="1" applyFill="1" applyBorder="1"/>
    <xf numFmtId="165" fontId="6" fillId="0" borderId="0" xfId="0" applyNumberFormat="1" applyFont="1" applyBorder="1" applyAlignment="1">
      <alignment horizontal="center"/>
    </xf>
    <xf numFmtId="164" fontId="4" fillId="0" borderId="6" xfId="0" applyNumberFormat="1" applyFont="1" applyFill="1" applyBorder="1"/>
    <xf numFmtId="165" fontId="4" fillId="0" borderId="6" xfId="0" applyNumberFormat="1" applyFont="1" applyFill="1" applyBorder="1"/>
    <xf numFmtId="164" fontId="4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0" fontId="2" fillId="0" borderId="6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6" fontId="0" fillId="0" borderId="0" xfId="0" applyNumberFormat="1"/>
    <xf numFmtId="44" fontId="0" fillId="0" borderId="0" xfId="1" applyFont="1"/>
    <xf numFmtId="6" fontId="0" fillId="0" borderId="0" xfId="1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6" fontId="4" fillId="0" borderId="2" xfId="0" applyNumberFormat="1" applyFont="1" applyBorder="1"/>
    <xf numFmtId="0" fontId="1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164" fontId="4" fillId="0" borderId="0" xfId="0" applyNumberFormat="1" applyFont="1" applyBorder="1"/>
    <xf numFmtId="0" fontId="2" fillId="4" borderId="18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4" fillId="0" borderId="2" xfId="0" applyFont="1" applyFill="1" applyBorder="1"/>
    <xf numFmtId="6" fontId="4" fillId="0" borderId="2" xfId="0" applyNumberFormat="1" applyFont="1" applyFill="1" applyBorder="1"/>
    <xf numFmtId="6" fontId="4" fillId="0" borderId="2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165" fontId="3" fillId="3" borderId="9" xfId="0" applyNumberFormat="1" applyFont="1" applyFill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 vertical="center"/>
    </xf>
    <xf numFmtId="164" fontId="6" fillId="3" borderId="13" xfId="0" applyNumberFormat="1" applyFont="1" applyFill="1" applyBorder="1" applyAlignment="1">
      <alignment horizontal="center" vertical="center"/>
    </xf>
    <xf numFmtId="165" fontId="3" fillId="3" borderId="14" xfId="0" applyNumberFormat="1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/>
    </xf>
    <xf numFmtId="165" fontId="3" fillId="3" borderId="10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4" fillId="0" borderId="6" xfId="0" applyFont="1" applyBorder="1"/>
    <xf numFmtId="165" fontId="0" fillId="0" borderId="11" xfId="0" applyNumberFormat="1" applyFill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11" fillId="0" borderId="0" xfId="0" applyNumberFormat="1" applyFont="1" applyBorder="1" applyAlignment="1">
      <alignment horizontal="center"/>
    </xf>
    <xf numFmtId="165" fontId="11" fillId="0" borderId="0" xfId="0" applyNumberFormat="1" applyFont="1" applyBorder="1"/>
    <xf numFmtId="0" fontId="1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/>
    <xf numFmtId="165" fontId="0" fillId="0" borderId="0" xfId="0" applyNumberFormat="1" applyFont="1" applyFill="1" applyBorder="1"/>
    <xf numFmtId="164" fontId="0" fillId="0" borderId="6" xfId="0" applyNumberFormat="1" applyFont="1" applyFill="1" applyBorder="1"/>
    <xf numFmtId="165" fontId="0" fillId="0" borderId="6" xfId="0" applyNumberFormat="1" applyFont="1" applyFill="1" applyBorder="1"/>
    <xf numFmtId="165" fontId="0" fillId="0" borderId="0" xfId="0" applyNumberFormat="1" applyFill="1" applyBorder="1" applyAlignment="1">
      <alignment horizontal="center"/>
    </xf>
    <xf numFmtId="6" fontId="4" fillId="0" borderId="0" xfId="0" applyNumberFormat="1" applyFont="1" applyBorder="1" applyAlignment="1">
      <alignment horizontal="right"/>
    </xf>
    <xf numFmtId="0" fontId="0" fillId="0" borderId="6" xfId="0" applyFill="1" applyBorder="1" applyAlignment="1">
      <alignment horizontal="right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1" fontId="4" fillId="0" borderId="0" xfId="0" applyNumberFormat="1" applyFont="1" applyFill="1" applyBorder="1"/>
    <xf numFmtId="1" fontId="12" fillId="0" borderId="0" xfId="0" applyNumberFormat="1" applyFont="1" applyFill="1" applyBorder="1"/>
    <xf numFmtId="165" fontId="12" fillId="0" borderId="0" xfId="0" applyNumberFormat="1" applyFont="1" applyFill="1" applyBorder="1"/>
    <xf numFmtId="6" fontId="0" fillId="0" borderId="0" xfId="0" applyNumberFormat="1" applyFill="1"/>
    <xf numFmtId="0" fontId="2" fillId="2" borderId="0" xfId="0" applyFont="1" applyFill="1" applyBorder="1"/>
    <xf numFmtId="0" fontId="0" fillId="0" borderId="2" xfId="0" applyBorder="1" applyAlignment="1">
      <alignment horizontal="center"/>
    </xf>
    <xf numFmtId="164" fontId="4" fillId="0" borderId="6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6" fontId="0" fillId="2" borderId="0" xfId="0" applyNumberFormat="1" applyFill="1"/>
    <xf numFmtId="165" fontId="4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Border="1" applyAlignment="1">
      <alignment horizontal="center"/>
    </xf>
    <xf numFmtId="1" fontId="1" fillId="0" borderId="0" xfId="0" applyNumberFormat="1" applyFont="1" applyBorder="1"/>
    <xf numFmtId="0" fontId="11" fillId="0" borderId="0" xfId="0" applyFont="1" applyAlignment="1">
      <alignment horizontal="center"/>
    </xf>
    <xf numFmtId="0" fontId="13" fillId="0" borderId="0" xfId="0" applyFont="1"/>
    <xf numFmtId="0" fontId="2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0" fillId="2" borderId="0" xfId="0" applyFill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Fill="1" applyBorder="1" applyAlignment="1">
      <alignment horizontal="center"/>
    </xf>
    <xf numFmtId="0" fontId="4" fillId="3" borderId="0" xfId="0" applyFont="1" applyFill="1"/>
    <xf numFmtId="0" fontId="5" fillId="0" borderId="0" xfId="0" applyFont="1" applyFill="1" applyBorder="1" applyAlignment="1">
      <alignment horizontal="left"/>
    </xf>
    <xf numFmtId="165" fontId="4" fillId="2" borderId="0" xfId="0" applyNumberFormat="1" applyFont="1" applyFill="1" applyBorder="1"/>
    <xf numFmtId="0" fontId="13" fillId="0" borderId="0" xfId="0" applyFont="1" applyFill="1" applyBorder="1" applyAlignment="1">
      <alignment horizontal="left"/>
    </xf>
    <xf numFmtId="0" fontId="1" fillId="0" borderId="0" xfId="0" applyFont="1" applyBorder="1" applyAlignment="1">
      <alignment wrapText="1"/>
    </xf>
    <xf numFmtId="165" fontId="1" fillId="0" borderId="0" xfId="0" applyNumberFormat="1" applyFont="1" applyBorder="1"/>
    <xf numFmtId="165" fontId="1" fillId="0" borderId="6" xfId="0" applyNumberFormat="1" applyFont="1" applyBorder="1"/>
    <xf numFmtId="164" fontId="1" fillId="0" borderId="6" xfId="0" applyNumberFormat="1" applyFont="1" applyFill="1" applyBorder="1"/>
    <xf numFmtId="0" fontId="1" fillId="0" borderId="0" xfId="0" applyFont="1" applyFill="1" applyBorder="1"/>
    <xf numFmtId="0" fontId="0" fillId="0" borderId="2" xfId="0" applyFill="1" applyBorder="1"/>
    <xf numFmtId="164" fontId="0" fillId="0" borderId="0" xfId="0" applyNumberFormat="1" applyBorder="1"/>
    <xf numFmtId="44" fontId="0" fillId="0" borderId="0" xfId="0" applyNumberFormat="1"/>
    <xf numFmtId="0" fontId="10" fillId="4" borderId="18" xfId="0" applyFont="1" applyFill="1" applyBorder="1" applyAlignment="1">
      <alignment horizontal="center" vertical="center" textRotation="255" wrapText="1"/>
    </xf>
    <xf numFmtId="0" fontId="10" fillId="4" borderId="18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14" fillId="3" borderId="15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1" fillId="0" borderId="0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vic">
  <a:themeElements>
    <a:clrScheme name="Civic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8CADAE"/>
      </a:accent3>
      <a:accent4>
        <a:srgbClr val="8C7B70"/>
      </a:accent4>
      <a:accent5>
        <a:srgbClr val="8FB08C"/>
      </a:accent5>
      <a:accent6>
        <a:srgbClr val="D19049"/>
      </a:accent6>
      <a:hlink>
        <a:srgbClr val="00A3D6"/>
      </a:hlink>
      <a:folHlink>
        <a:srgbClr val="694F07"/>
      </a:folHlink>
    </a:clrScheme>
    <a:fontScheme name="Civic">
      <a:majorFont>
        <a:latin typeface="Georgia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eorgia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Civic">
      <a:fillStyleLst>
        <a:solidFill>
          <a:schemeClr val="phClr"/>
        </a:solidFill>
        <a:solidFill>
          <a:schemeClr val="phClr">
            <a:tint val="45000"/>
          </a:schemeClr>
        </a:solidFill>
        <a:solidFill>
          <a:schemeClr val="phClr">
            <a:tint val="95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1429" cap="flat" cmpd="sng" algn="ctr">
          <a:solidFill>
            <a:schemeClr val="phClr"/>
          </a:solidFill>
          <a:prstDash val="sysDash"/>
        </a:ln>
        <a:ln w="200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contourW="9525" prstMaterial="matte">
            <a:bevelT w="0" h="0"/>
            <a:contourClr>
              <a:schemeClr val="phClr">
                <a:shade val="70000"/>
                <a:satMod val="105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soft" dir="b">
              <a:rot lat="0" lon="0" rev="0"/>
            </a:lightRig>
          </a:scene3d>
          <a:sp3d prstMaterial="dkEdge">
            <a:bevelT w="63500" h="63500" prst="cross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70000"/>
                <a:satMod val="115000"/>
              </a:schemeClr>
              <a:schemeClr val="phClr">
                <a:tint val="85000"/>
              </a:schemeClr>
            </a:duotone>
          </a:blip>
          <a:tile tx="0" ty="0" sx="85000" sy="85000" flip="none" algn="tl"/>
        </a:blipFill>
        <a:blipFill>
          <a:blip xmlns:r="http://schemas.openxmlformats.org/officeDocument/2006/relationships" r:embed="rId2">
            <a:duotone>
              <a:schemeClr val="phClr">
                <a:shade val="65000"/>
                <a:satMod val="115000"/>
              </a:schemeClr>
              <a:schemeClr val="phClr">
                <a:tint val="85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/>
    <pageSetUpPr fitToPage="1"/>
  </sheetPr>
  <dimension ref="A1:L49"/>
  <sheetViews>
    <sheetView workbookViewId="0">
      <selection activeCell="K40" sqref="A1:K40"/>
    </sheetView>
  </sheetViews>
  <sheetFormatPr defaultColWidth="8.88671875" defaultRowHeight="14.25" x14ac:dyDescent="0.2"/>
  <cols>
    <col min="1" max="1" width="2" style="1" bestFit="1" customWidth="1"/>
    <col min="2" max="2" width="11.88671875" style="1" bestFit="1" customWidth="1"/>
    <col min="3" max="3" width="4.21875" style="36" customWidth="1"/>
    <col min="4" max="4" width="4.6640625" style="1" bestFit="1" customWidth="1"/>
    <col min="5" max="5" width="4.33203125" style="1" customWidth="1"/>
    <col min="6" max="6" width="4.88671875" style="1" customWidth="1"/>
    <col min="7" max="7" width="4.33203125" style="1" customWidth="1"/>
    <col min="8" max="8" width="4.77734375" style="1" customWidth="1"/>
    <col min="9" max="9" width="5" style="1" bestFit="1" customWidth="1"/>
    <col min="10" max="10" width="6.5546875" style="1" bestFit="1" customWidth="1"/>
    <col min="11" max="11" width="4.5546875" style="1" customWidth="1"/>
    <col min="12" max="35" width="7.109375" style="1"/>
    <col min="36" max="16384" width="8.88671875" style="1"/>
  </cols>
  <sheetData>
    <row r="1" spans="1:12" s="5" customFormat="1" ht="30" customHeight="1" x14ac:dyDescent="0.2">
      <c r="B1" s="71"/>
      <c r="C1" s="163" t="s">
        <v>208</v>
      </c>
      <c r="D1" s="168">
        <v>16</v>
      </c>
      <c r="E1" s="169"/>
      <c r="F1" s="168">
        <v>17</v>
      </c>
      <c r="G1" s="169"/>
      <c r="H1" s="168">
        <v>18</v>
      </c>
      <c r="I1" s="169"/>
      <c r="J1" s="53"/>
      <c r="K1" s="87"/>
    </row>
    <row r="2" spans="1:12" ht="42.75" customHeight="1" thickBot="1" x14ac:dyDescent="0.25">
      <c r="B2" s="72" t="s">
        <v>12</v>
      </c>
      <c r="C2" s="163"/>
      <c r="D2" s="166" t="s">
        <v>141</v>
      </c>
      <c r="E2" s="167"/>
      <c r="F2" s="166" t="s">
        <v>142</v>
      </c>
      <c r="G2" s="167"/>
      <c r="H2" s="166" t="s">
        <v>143</v>
      </c>
      <c r="I2" s="167"/>
      <c r="J2" s="94" t="s">
        <v>11</v>
      </c>
      <c r="K2" s="54" t="s">
        <v>23</v>
      </c>
    </row>
    <row r="3" spans="1:12" ht="14.45" customHeight="1" thickTop="1" x14ac:dyDescent="0.2">
      <c r="B3" s="78" t="s">
        <v>70</v>
      </c>
      <c r="C3" s="164"/>
      <c r="D3" s="170" t="s">
        <v>104</v>
      </c>
      <c r="E3" s="171"/>
      <c r="F3" s="170" t="s">
        <v>156</v>
      </c>
      <c r="G3" s="171"/>
      <c r="H3" s="170" t="s">
        <v>157</v>
      </c>
      <c r="I3" s="171"/>
      <c r="J3" s="95"/>
      <c r="K3" s="76"/>
    </row>
    <row r="4" spans="1:12" ht="35.25" customHeight="1" thickBot="1" x14ac:dyDescent="0.25">
      <c r="B4" s="77" t="s">
        <v>71</v>
      </c>
      <c r="C4" s="165"/>
      <c r="D4" s="174" t="s">
        <v>107</v>
      </c>
      <c r="E4" s="175"/>
      <c r="F4" s="172" t="s">
        <v>205</v>
      </c>
      <c r="G4" s="173"/>
      <c r="H4" s="172" t="s">
        <v>29</v>
      </c>
      <c r="I4" s="173"/>
      <c r="J4" s="96"/>
      <c r="K4" s="76"/>
    </row>
    <row r="5" spans="1:12" ht="15.75" customHeight="1" thickTop="1" thickBot="1" x14ac:dyDescent="0.25">
      <c r="A5" s="1">
        <v>1</v>
      </c>
      <c r="B5" s="40" t="s">
        <v>82</v>
      </c>
      <c r="C5" s="80">
        <v>12</v>
      </c>
      <c r="D5" s="109">
        <v>76</v>
      </c>
      <c r="E5" s="110">
        <v>14</v>
      </c>
      <c r="F5" s="14"/>
      <c r="G5" s="55"/>
      <c r="H5" s="14">
        <v>76</v>
      </c>
      <c r="I5" s="55">
        <v>21.5</v>
      </c>
      <c r="J5" s="9">
        <v>181</v>
      </c>
      <c r="K5" s="88">
        <v>17.045454545454547</v>
      </c>
    </row>
    <row r="6" spans="1:12" ht="15.75" customHeight="1" thickTop="1" x14ac:dyDescent="0.2">
      <c r="B6" s="63" t="s">
        <v>31</v>
      </c>
      <c r="C6" s="81"/>
      <c r="D6" s="109">
        <v>34</v>
      </c>
      <c r="E6" s="110">
        <v>7</v>
      </c>
      <c r="F6" s="16"/>
      <c r="G6" s="113"/>
      <c r="H6" s="16">
        <v>37</v>
      </c>
      <c r="I6" s="113">
        <v>11.5</v>
      </c>
      <c r="J6" s="23">
        <v>34.727272727272727</v>
      </c>
      <c r="K6" s="89">
        <v>8.045454545454545</v>
      </c>
    </row>
    <row r="7" spans="1:12" ht="15.75" customHeight="1" thickBot="1" x14ac:dyDescent="0.25">
      <c r="B7" s="64" t="s">
        <v>5</v>
      </c>
      <c r="C7" s="82"/>
      <c r="D7" s="111">
        <v>6</v>
      </c>
      <c r="E7" s="112">
        <v>7</v>
      </c>
      <c r="F7" s="57"/>
      <c r="G7" s="98"/>
      <c r="H7" s="57">
        <v>22</v>
      </c>
      <c r="I7" s="98">
        <v>10</v>
      </c>
      <c r="J7" s="27">
        <v>155</v>
      </c>
      <c r="K7" s="90">
        <v>9</v>
      </c>
    </row>
    <row r="8" spans="1:12" ht="15" customHeight="1" thickBot="1" x14ac:dyDescent="0.25">
      <c r="A8" s="1">
        <v>2</v>
      </c>
      <c r="B8" s="40" t="s">
        <v>44</v>
      </c>
      <c r="C8" s="80">
        <v>13</v>
      </c>
      <c r="D8" s="109"/>
      <c r="E8" s="110"/>
      <c r="F8" s="14"/>
      <c r="G8" s="55"/>
      <c r="H8" s="14">
        <v>96</v>
      </c>
      <c r="I8" s="55">
        <v>19</v>
      </c>
      <c r="J8" s="25">
        <v>175.5</v>
      </c>
      <c r="K8" s="91">
        <v>15.958333333333334</v>
      </c>
      <c r="L8" s="8"/>
    </row>
    <row r="9" spans="1:12" ht="15" customHeight="1" thickTop="1" x14ac:dyDescent="0.2">
      <c r="B9" s="63" t="s">
        <v>31</v>
      </c>
      <c r="C9" s="81"/>
      <c r="D9" s="109"/>
      <c r="E9" s="110"/>
      <c r="F9" s="16"/>
      <c r="G9" s="113"/>
      <c r="H9" s="16">
        <v>31</v>
      </c>
      <c r="I9" s="113">
        <v>7</v>
      </c>
      <c r="J9" s="23">
        <v>35.75</v>
      </c>
      <c r="K9" s="89">
        <v>8.0416666666666661</v>
      </c>
    </row>
    <row r="10" spans="1:12" ht="15" customHeight="1" thickBot="1" x14ac:dyDescent="0.25">
      <c r="B10" s="64" t="s">
        <v>5</v>
      </c>
      <c r="C10" s="82"/>
      <c r="D10" s="111"/>
      <c r="E10" s="112"/>
      <c r="F10" s="57"/>
      <c r="G10" s="98"/>
      <c r="H10" s="57">
        <v>42</v>
      </c>
      <c r="I10" s="98">
        <v>12</v>
      </c>
      <c r="J10" s="24">
        <v>89</v>
      </c>
      <c r="K10" s="92">
        <v>7.916666666666667</v>
      </c>
    </row>
    <row r="11" spans="1:12" ht="15" customHeight="1" thickBot="1" x14ac:dyDescent="0.25">
      <c r="A11" s="1">
        <v>3</v>
      </c>
      <c r="B11" s="40" t="s">
        <v>3</v>
      </c>
      <c r="C11" s="80">
        <v>15</v>
      </c>
      <c r="D11" s="109">
        <v>71</v>
      </c>
      <c r="E11" s="110">
        <v>17.5</v>
      </c>
      <c r="F11" s="14">
        <v>76</v>
      </c>
      <c r="G11" s="55">
        <v>13</v>
      </c>
      <c r="H11" s="14">
        <v>76</v>
      </c>
      <c r="I11" s="55">
        <v>16.5</v>
      </c>
      <c r="J11" s="25">
        <v>169</v>
      </c>
      <c r="K11" s="91">
        <v>14.642857142857142</v>
      </c>
    </row>
    <row r="12" spans="1:12" ht="15" customHeight="1" thickTop="1" x14ac:dyDescent="0.2">
      <c r="B12" s="63" t="s">
        <v>31</v>
      </c>
      <c r="C12" s="81"/>
      <c r="D12" s="109">
        <v>37</v>
      </c>
      <c r="E12" s="110">
        <v>9.5</v>
      </c>
      <c r="F12" s="16">
        <v>36</v>
      </c>
      <c r="G12" s="113">
        <v>8</v>
      </c>
      <c r="H12" s="16">
        <v>33</v>
      </c>
      <c r="I12" s="113">
        <v>9.5</v>
      </c>
      <c r="J12" s="23">
        <v>35.214285714285715</v>
      </c>
      <c r="K12" s="89">
        <v>7.9642857142857144</v>
      </c>
    </row>
    <row r="13" spans="1:12" ht="15" customHeight="1" thickBot="1" x14ac:dyDescent="0.25">
      <c r="B13" s="64" t="s">
        <v>5</v>
      </c>
      <c r="C13" s="82"/>
      <c r="D13" s="111">
        <v>10</v>
      </c>
      <c r="E13" s="112">
        <v>8</v>
      </c>
      <c r="F13" s="57">
        <v>-7</v>
      </c>
      <c r="G13" s="98">
        <v>5</v>
      </c>
      <c r="H13" s="57">
        <v>-4</v>
      </c>
      <c r="I13" s="98">
        <v>7</v>
      </c>
      <c r="J13" s="27">
        <v>23</v>
      </c>
      <c r="K13" s="90">
        <v>6.6785714285714288</v>
      </c>
    </row>
    <row r="14" spans="1:12" ht="15" customHeight="1" thickBot="1" x14ac:dyDescent="0.25">
      <c r="A14" s="1">
        <v>4</v>
      </c>
      <c r="B14" s="150" t="s">
        <v>64</v>
      </c>
      <c r="C14" s="80">
        <v>14</v>
      </c>
      <c r="D14" s="109">
        <v>83</v>
      </c>
      <c r="E14" s="110">
        <v>9.5</v>
      </c>
      <c r="F14" s="14">
        <v>77</v>
      </c>
      <c r="G14" s="55">
        <v>13</v>
      </c>
      <c r="H14" s="14">
        <v>86</v>
      </c>
      <c r="I14" s="55">
        <v>4</v>
      </c>
      <c r="J14" s="25">
        <v>161.5</v>
      </c>
      <c r="K14" s="91">
        <v>14.26923076923077</v>
      </c>
    </row>
    <row r="15" spans="1:12" ht="15" customHeight="1" thickTop="1" x14ac:dyDescent="0.2">
      <c r="B15" s="63" t="s">
        <v>31</v>
      </c>
      <c r="C15" s="81"/>
      <c r="D15" s="109">
        <v>28</v>
      </c>
      <c r="E15" s="110">
        <v>3.5</v>
      </c>
      <c r="F15" s="14">
        <v>37</v>
      </c>
      <c r="G15" s="55">
        <v>9</v>
      </c>
      <c r="H15" s="14">
        <v>27</v>
      </c>
      <c r="I15" s="55">
        <v>3</v>
      </c>
      <c r="J15" s="23">
        <v>34.769230769230766</v>
      </c>
      <c r="K15" s="89">
        <v>7.6923076923076925</v>
      </c>
    </row>
    <row r="16" spans="1:12" ht="15" customHeight="1" thickBot="1" x14ac:dyDescent="0.25">
      <c r="B16" s="64" t="s">
        <v>5</v>
      </c>
      <c r="C16" s="82"/>
      <c r="D16" s="111">
        <v>4</v>
      </c>
      <c r="E16" s="112">
        <v>6</v>
      </c>
      <c r="F16" s="56">
        <v>-13</v>
      </c>
      <c r="G16" s="99">
        <v>4</v>
      </c>
      <c r="H16" s="56">
        <v>-60</v>
      </c>
      <c r="I16" s="99">
        <v>1</v>
      </c>
      <c r="J16" s="27">
        <v>19</v>
      </c>
      <c r="K16" s="90">
        <v>6.5769230769230766</v>
      </c>
    </row>
    <row r="17" spans="1:11" ht="15" customHeight="1" thickBot="1" x14ac:dyDescent="0.25">
      <c r="A17" s="1">
        <v>5</v>
      </c>
      <c r="B17" s="66" t="s">
        <v>30</v>
      </c>
      <c r="C17" s="80">
        <v>16</v>
      </c>
      <c r="D17" s="109"/>
      <c r="E17" s="110"/>
      <c r="F17" s="14">
        <v>82</v>
      </c>
      <c r="G17" s="55">
        <v>19</v>
      </c>
      <c r="H17" s="14">
        <v>88</v>
      </c>
      <c r="I17" s="55">
        <v>11.5</v>
      </c>
      <c r="J17" s="25">
        <v>157.5</v>
      </c>
      <c r="K17" s="91">
        <v>12.6</v>
      </c>
    </row>
    <row r="18" spans="1:11" ht="15" customHeight="1" thickTop="1" x14ac:dyDescent="0.2">
      <c r="B18" s="63" t="s">
        <v>31</v>
      </c>
      <c r="C18" s="81"/>
      <c r="D18" s="109"/>
      <c r="E18" s="110"/>
      <c r="F18" s="16">
        <v>39</v>
      </c>
      <c r="G18" s="113">
        <v>10</v>
      </c>
      <c r="H18" s="16">
        <v>32</v>
      </c>
      <c r="I18" s="113">
        <v>8</v>
      </c>
      <c r="J18" s="23">
        <v>33.266666666666666</v>
      </c>
      <c r="K18" s="89">
        <v>6.333333333333333</v>
      </c>
    </row>
    <row r="19" spans="1:11" ht="15" customHeight="1" thickBot="1" x14ac:dyDescent="0.25">
      <c r="B19" s="64" t="s">
        <v>5</v>
      </c>
      <c r="C19" s="82"/>
      <c r="D19" s="111"/>
      <c r="E19" s="112"/>
      <c r="F19" s="57">
        <v>19</v>
      </c>
      <c r="G19" s="98">
        <v>9</v>
      </c>
      <c r="H19" s="57">
        <v>-9</v>
      </c>
      <c r="I19" s="98">
        <v>3.5</v>
      </c>
      <c r="J19" s="27">
        <v>30</v>
      </c>
      <c r="K19" s="90">
        <v>6.2666666666666666</v>
      </c>
    </row>
    <row r="20" spans="1:11" ht="15" customHeight="1" thickBot="1" x14ac:dyDescent="0.25">
      <c r="A20" s="1">
        <v>6</v>
      </c>
      <c r="B20" s="66" t="s">
        <v>46</v>
      </c>
      <c r="C20" s="80">
        <v>18</v>
      </c>
      <c r="D20" s="109">
        <v>85</v>
      </c>
      <c r="E20" s="110">
        <v>7.5</v>
      </c>
      <c r="F20" s="14">
        <v>86</v>
      </c>
      <c r="G20" s="55">
        <v>10</v>
      </c>
      <c r="H20" s="14">
        <v>86</v>
      </c>
      <c r="I20" s="55">
        <v>9.5</v>
      </c>
      <c r="J20" s="26">
        <v>155.5</v>
      </c>
      <c r="K20" s="93">
        <v>11.705882352941176</v>
      </c>
    </row>
    <row r="21" spans="1:11" ht="15" customHeight="1" thickTop="1" x14ac:dyDescent="0.2">
      <c r="B21" s="63" t="s">
        <v>31</v>
      </c>
      <c r="C21" s="81"/>
      <c r="D21" s="109">
        <v>28</v>
      </c>
      <c r="E21" s="110">
        <v>3.5</v>
      </c>
      <c r="F21" s="14">
        <v>30</v>
      </c>
      <c r="G21" s="55">
        <v>3</v>
      </c>
      <c r="H21" s="14">
        <v>28</v>
      </c>
      <c r="I21" s="55">
        <v>4</v>
      </c>
      <c r="J21" s="23">
        <v>31.764705882352942</v>
      </c>
      <c r="K21" s="89">
        <v>5.7647058823529411</v>
      </c>
    </row>
    <row r="22" spans="1:11" ht="15" customHeight="1" thickBot="1" x14ac:dyDescent="0.25">
      <c r="B22" s="64" t="s">
        <v>5</v>
      </c>
      <c r="C22" s="82"/>
      <c r="D22" s="111">
        <v>-26</v>
      </c>
      <c r="E22" s="112">
        <v>4</v>
      </c>
      <c r="F22" s="56">
        <v>1</v>
      </c>
      <c r="G22" s="99">
        <v>7</v>
      </c>
      <c r="H22" s="56">
        <v>-5</v>
      </c>
      <c r="I22" s="99">
        <v>5.5</v>
      </c>
      <c r="J22" s="27">
        <v>-79</v>
      </c>
      <c r="K22" s="90">
        <v>5.9411764705882355</v>
      </c>
    </row>
    <row r="23" spans="1:11" ht="15" customHeight="1" thickBot="1" x14ac:dyDescent="0.25">
      <c r="A23" s="1">
        <v>7</v>
      </c>
      <c r="B23" s="40" t="s">
        <v>73</v>
      </c>
      <c r="C23" s="80">
        <v>14</v>
      </c>
      <c r="D23" s="109">
        <v>87</v>
      </c>
      <c r="E23" s="110">
        <v>14.5</v>
      </c>
      <c r="F23" s="14"/>
      <c r="G23" s="55"/>
      <c r="H23" s="14">
        <v>97</v>
      </c>
      <c r="I23" s="55">
        <v>14.5</v>
      </c>
      <c r="J23" s="26">
        <v>153.5</v>
      </c>
      <c r="K23" s="93">
        <v>12.923076923076923</v>
      </c>
    </row>
    <row r="24" spans="1:11" ht="15" customHeight="1" thickTop="1" x14ac:dyDescent="0.2">
      <c r="B24" s="63" t="s">
        <v>31</v>
      </c>
      <c r="C24" s="81"/>
      <c r="D24" s="109">
        <v>37</v>
      </c>
      <c r="E24" s="110">
        <v>9.5</v>
      </c>
      <c r="F24" s="14"/>
      <c r="G24" s="55"/>
      <c r="H24" s="14">
        <v>30</v>
      </c>
      <c r="I24" s="55">
        <v>5.5</v>
      </c>
      <c r="J24" s="23">
        <v>32.53846153846154</v>
      </c>
      <c r="K24" s="89">
        <v>5.7692307692307692</v>
      </c>
    </row>
    <row r="25" spans="1:11" ht="15" customHeight="1" thickBot="1" x14ac:dyDescent="0.25">
      <c r="B25" s="64" t="s">
        <v>5</v>
      </c>
      <c r="C25" s="82"/>
      <c r="D25" s="111">
        <v>0</v>
      </c>
      <c r="E25" s="112">
        <v>5</v>
      </c>
      <c r="F25" s="56"/>
      <c r="G25" s="99"/>
      <c r="H25" s="56">
        <v>19</v>
      </c>
      <c r="I25" s="99">
        <v>9</v>
      </c>
      <c r="J25" s="27">
        <v>56</v>
      </c>
      <c r="K25" s="90">
        <v>7.1538461538461542</v>
      </c>
    </row>
    <row r="26" spans="1:11" ht="15" customHeight="1" thickBot="1" x14ac:dyDescent="0.25">
      <c r="A26" s="1">
        <v>8</v>
      </c>
      <c r="B26" s="40" t="s">
        <v>107</v>
      </c>
      <c r="C26" s="80">
        <v>14</v>
      </c>
      <c r="D26" s="109">
        <v>79</v>
      </c>
      <c r="E26" s="110">
        <v>17</v>
      </c>
      <c r="F26" s="14">
        <v>82</v>
      </c>
      <c r="G26" s="55">
        <v>12.5</v>
      </c>
      <c r="H26" s="14">
        <v>85</v>
      </c>
      <c r="I26" s="55">
        <v>11</v>
      </c>
      <c r="J26" s="25">
        <v>149</v>
      </c>
      <c r="K26" s="91">
        <v>13.153846153846153</v>
      </c>
    </row>
    <row r="27" spans="1:11" ht="15" customHeight="1" thickTop="1" x14ac:dyDescent="0.2">
      <c r="B27" s="63" t="s">
        <v>31</v>
      </c>
      <c r="C27" s="81"/>
      <c r="D27" s="109">
        <v>35</v>
      </c>
      <c r="E27" s="110">
        <v>8</v>
      </c>
      <c r="F27" s="14">
        <v>35</v>
      </c>
      <c r="G27" s="55">
        <v>6.5</v>
      </c>
      <c r="H27" s="14">
        <v>30</v>
      </c>
      <c r="I27" s="55">
        <v>5.5</v>
      </c>
      <c r="J27" s="23">
        <v>34.153846153846153</v>
      </c>
      <c r="K27" s="89">
        <v>7.0384615384615383</v>
      </c>
    </row>
    <row r="28" spans="1:11" ht="15" customHeight="1" thickBot="1" x14ac:dyDescent="0.25">
      <c r="B28" s="64" t="s">
        <v>5</v>
      </c>
      <c r="C28" s="82"/>
      <c r="D28" s="111">
        <v>16</v>
      </c>
      <c r="E28" s="112">
        <v>9</v>
      </c>
      <c r="F28" s="56">
        <v>-3</v>
      </c>
      <c r="G28" s="99">
        <v>6</v>
      </c>
      <c r="H28" s="56">
        <v>-5</v>
      </c>
      <c r="I28" s="99">
        <v>5.5</v>
      </c>
      <c r="J28" s="27">
        <v>-37</v>
      </c>
      <c r="K28" s="90">
        <v>6.115384615384615</v>
      </c>
    </row>
    <row r="29" spans="1:11" ht="15" customHeight="1" thickBot="1" x14ac:dyDescent="0.25">
      <c r="B29" s="150" t="s">
        <v>34</v>
      </c>
      <c r="C29" s="80">
        <v>13</v>
      </c>
      <c r="D29" s="109"/>
      <c r="E29" s="110"/>
      <c r="F29" s="14">
        <v>80</v>
      </c>
      <c r="G29" s="55">
        <v>8</v>
      </c>
      <c r="H29" s="14">
        <v>75</v>
      </c>
      <c r="I29" s="55">
        <v>19.5</v>
      </c>
      <c r="J29" s="26">
        <v>147</v>
      </c>
      <c r="K29" s="93">
        <v>11.541666666666666</v>
      </c>
    </row>
    <row r="30" spans="1:11" ht="15" thickTop="1" x14ac:dyDescent="0.2">
      <c r="B30" s="63" t="s">
        <v>31</v>
      </c>
      <c r="C30" s="81"/>
      <c r="D30" s="109"/>
      <c r="E30" s="110"/>
      <c r="F30" s="14">
        <v>33</v>
      </c>
      <c r="G30" s="55">
        <v>5</v>
      </c>
      <c r="H30" s="14">
        <v>37</v>
      </c>
      <c r="I30" s="55">
        <v>11.5</v>
      </c>
      <c r="J30" s="23">
        <v>33.333333333333336</v>
      </c>
      <c r="K30" s="89">
        <v>5.875</v>
      </c>
    </row>
    <row r="31" spans="1:11" ht="15" thickBot="1" x14ac:dyDescent="0.25">
      <c r="B31" s="64" t="s">
        <v>5</v>
      </c>
      <c r="C31" s="82"/>
      <c r="D31" s="111"/>
      <c r="E31" s="112"/>
      <c r="F31" s="56">
        <v>-29</v>
      </c>
      <c r="G31" s="100">
        <v>3</v>
      </c>
      <c r="H31" s="56">
        <v>17</v>
      </c>
      <c r="I31" s="100">
        <v>8</v>
      </c>
      <c r="J31" s="27">
        <v>-109</v>
      </c>
      <c r="K31" s="90">
        <v>5.666666666666667</v>
      </c>
    </row>
    <row r="32" spans="1:11" ht="15" thickBot="1" x14ac:dyDescent="0.25">
      <c r="B32" s="65" t="s">
        <v>2</v>
      </c>
      <c r="C32" s="80">
        <v>13</v>
      </c>
      <c r="D32" s="109"/>
      <c r="E32" s="110"/>
      <c r="F32" s="14"/>
      <c r="G32" s="55"/>
      <c r="H32" s="14">
        <v>99</v>
      </c>
      <c r="I32" s="55">
        <v>3</v>
      </c>
      <c r="J32" s="25">
        <v>143.5</v>
      </c>
      <c r="K32" s="91">
        <v>13.041666666666666</v>
      </c>
    </row>
    <row r="33" spans="2:11" ht="15" thickTop="1" x14ac:dyDescent="0.2">
      <c r="B33" s="63" t="s">
        <v>31</v>
      </c>
      <c r="C33" s="81"/>
      <c r="D33" s="109"/>
      <c r="E33" s="110"/>
      <c r="F33" s="14"/>
      <c r="G33" s="55"/>
      <c r="H33" s="14">
        <v>24</v>
      </c>
      <c r="I33" s="55">
        <v>1</v>
      </c>
      <c r="J33" s="23">
        <v>33.916666666666664</v>
      </c>
      <c r="K33" s="89">
        <v>6.75</v>
      </c>
    </row>
    <row r="34" spans="2:11" ht="15" thickBot="1" x14ac:dyDescent="0.25">
      <c r="B34" s="115" t="s">
        <v>5</v>
      </c>
      <c r="C34" s="82"/>
      <c r="D34" s="111"/>
      <c r="E34" s="112"/>
      <c r="F34" s="56"/>
      <c r="G34" s="100"/>
      <c r="H34" s="56">
        <v>-31</v>
      </c>
      <c r="I34" s="100">
        <v>2</v>
      </c>
      <c r="J34" s="27">
        <v>-1</v>
      </c>
      <c r="K34" s="90">
        <v>6.291666666666667</v>
      </c>
    </row>
    <row r="35" spans="2:11" ht="15" thickBot="1" x14ac:dyDescent="0.25">
      <c r="B35" s="40" t="s">
        <v>33</v>
      </c>
      <c r="C35" s="80">
        <v>15</v>
      </c>
      <c r="D35" s="109">
        <v>95</v>
      </c>
      <c r="E35" s="110">
        <v>8</v>
      </c>
      <c r="F35" s="14">
        <v>101</v>
      </c>
      <c r="G35" s="55">
        <v>12</v>
      </c>
      <c r="H35" s="14">
        <v>98</v>
      </c>
      <c r="I35" s="55">
        <v>13</v>
      </c>
      <c r="J35" s="25">
        <v>123.5</v>
      </c>
      <c r="K35" s="91">
        <v>9.75</v>
      </c>
    </row>
    <row r="36" spans="2:11" ht="15" thickTop="1" x14ac:dyDescent="0.2">
      <c r="B36" s="63" t="s">
        <v>31</v>
      </c>
      <c r="C36" s="81"/>
      <c r="D36" s="109">
        <v>31</v>
      </c>
      <c r="E36" s="110">
        <v>5</v>
      </c>
      <c r="F36" s="14">
        <v>31</v>
      </c>
      <c r="G36" s="55">
        <v>4</v>
      </c>
      <c r="H36" s="14">
        <v>33</v>
      </c>
      <c r="I36" s="55">
        <v>9.5</v>
      </c>
      <c r="J36" s="23">
        <v>30.5</v>
      </c>
      <c r="K36" s="89">
        <v>4.4285714285714288</v>
      </c>
    </row>
    <row r="37" spans="2:11" ht="15" thickBot="1" x14ac:dyDescent="0.25">
      <c r="B37" s="64" t="s">
        <v>5</v>
      </c>
      <c r="C37" s="82"/>
      <c r="D37" s="111">
        <v>-34</v>
      </c>
      <c r="E37" s="112">
        <v>3</v>
      </c>
      <c r="F37" s="56">
        <v>11</v>
      </c>
      <c r="G37" s="100">
        <v>8</v>
      </c>
      <c r="H37" s="56">
        <v>-9</v>
      </c>
      <c r="I37" s="100">
        <v>3.5</v>
      </c>
      <c r="J37" s="27">
        <v>-100</v>
      </c>
      <c r="K37" s="90">
        <v>5.3214285714285712</v>
      </c>
    </row>
    <row r="38" spans="2:11" ht="15" thickBot="1" x14ac:dyDescent="0.25">
      <c r="B38" s="40" t="s">
        <v>8</v>
      </c>
      <c r="C38" s="80">
        <v>9</v>
      </c>
      <c r="D38" s="109"/>
      <c r="E38" s="110"/>
      <c r="F38" s="14"/>
      <c r="G38" s="55"/>
      <c r="H38" s="14">
        <v>92</v>
      </c>
      <c r="I38" s="55">
        <v>13</v>
      </c>
      <c r="J38" s="25">
        <v>91.5</v>
      </c>
      <c r="K38" s="91">
        <v>9.8125</v>
      </c>
    </row>
    <row r="39" spans="2:11" ht="15" thickTop="1" x14ac:dyDescent="0.2">
      <c r="B39" s="63" t="s">
        <v>31</v>
      </c>
      <c r="C39" s="81"/>
      <c r="D39" s="109"/>
      <c r="E39" s="110"/>
      <c r="F39" s="14"/>
      <c r="G39" s="55"/>
      <c r="H39" s="14">
        <v>26</v>
      </c>
      <c r="I39" s="55">
        <v>2</v>
      </c>
      <c r="J39" s="23">
        <v>31</v>
      </c>
      <c r="K39" s="89">
        <v>4.3125</v>
      </c>
    </row>
    <row r="40" spans="2:11" ht="15" thickBot="1" x14ac:dyDescent="0.25">
      <c r="B40" s="64" t="s">
        <v>5</v>
      </c>
      <c r="C40" s="82"/>
      <c r="D40" s="111"/>
      <c r="E40" s="112"/>
      <c r="F40" s="56"/>
      <c r="G40" s="100"/>
      <c r="H40" s="56">
        <v>23</v>
      </c>
      <c r="I40" s="100">
        <v>11</v>
      </c>
      <c r="J40" s="27">
        <v>-73</v>
      </c>
      <c r="K40" s="90">
        <v>5.5</v>
      </c>
    </row>
    <row r="41" spans="2:11" ht="15" thickBot="1" x14ac:dyDescent="0.25">
      <c r="B41" s="66"/>
      <c r="C41" s="80"/>
      <c r="D41" s="109"/>
      <c r="E41" s="110"/>
      <c r="F41" s="14"/>
      <c r="G41" s="55"/>
      <c r="H41" s="14"/>
      <c r="I41" s="55"/>
      <c r="J41" s="25"/>
      <c r="K41" s="91"/>
    </row>
    <row r="42" spans="2:11" ht="15" thickTop="1" x14ac:dyDescent="0.2">
      <c r="B42" s="63"/>
      <c r="C42" s="81"/>
      <c r="D42" s="109"/>
      <c r="E42" s="110"/>
      <c r="F42" s="14"/>
      <c r="G42" s="55"/>
      <c r="H42" s="14"/>
      <c r="I42" s="55"/>
      <c r="J42" s="23"/>
      <c r="K42" s="89"/>
    </row>
    <row r="43" spans="2:11" ht="15" thickBot="1" x14ac:dyDescent="0.25">
      <c r="B43" s="115"/>
      <c r="C43" s="82"/>
      <c r="D43" s="111"/>
      <c r="E43" s="112"/>
      <c r="F43" s="56"/>
      <c r="G43" s="100"/>
      <c r="H43" s="56"/>
      <c r="I43" s="100"/>
      <c r="J43" s="27"/>
      <c r="K43" s="90"/>
    </row>
    <row r="44" spans="2:11" ht="15" thickBot="1" x14ac:dyDescent="0.25">
      <c r="B44" s="65"/>
      <c r="C44" s="80"/>
      <c r="D44" s="109"/>
      <c r="E44" s="110"/>
      <c r="F44" s="14"/>
      <c r="G44" s="55"/>
      <c r="H44" s="14"/>
      <c r="I44" s="55"/>
      <c r="J44" s="25"/>
      <c r="K44" s="91"/>
    </row>
    <row r="45" spans="2:11" ht="15" thickTop="1" x14ac:dyDescent="0.2">
      <c r="B45" s="63"/>
      <c r="C45" s="81"/>
      <c r="D45" s="109"/>
      <c r="E45" s="110"/>
      <c r="F45" s="14"/>
      <c r="G45" s="55"/>
      <c r="H45" s="14"/>
      <c r="I45" s="55"/>
      <c r="J45" s="23"/>
      <c r="K45" s="89"/>
    </row>
    <row r="46" spans="2:11" ht="15" thickBot="1" x14ac:dyDescent="0.25">
      <c r="B46" s="64"/>
      <c r="C46" s="82"/>
      <c r="D46" s="111"/>
      <c r="E46" s="112"/>
      <c r="F46" s="56"/>
      <c r="G46" s="100"/>
      <c r="H46" s="56"/>
      <c r="I46" s="100"/>
      <c r="J46" s="27"/>
      <c r="K46" s="90"/>
    </row>
    <row r="47" spans="2:11" ht="15" thickBot="1" x14ac:dyDescent="0.25">
      <c r="B47" s="65"/>
      <c r="C47" s="80"/>
      <c r="D47" s="109"/>
      <c r="E47" s="110"/>
      <c r="F47" s="14"/>
      <c r="G47" s="55"/>
      <c r="H47" s="14"/>
      <c r="I47" s="55"/>
      <c r="J47" s="25"/>
      <c r="K47" s="25"/>
    </row>
    <row r="48" spans="2:11" ht="15" thickTop="1" x14ac:dyDescent="0.2">
      <c r="B48" s="63"/>
      <c r="C48" s="81"/>
      <c r="D48" s="109"/>
      <c r="E48" s="110"/>
      <c r="F48" s="14"/>
      <c r="G48" s="55"/>
      <c r="H48" s="14"/>
      <c r="I48" s="55"/>
      <c r="J48" s="23"/>
      <c r="K48" s="23"/>
    </row>
    <row r="49" spans="2:11" ht="15" thickBot="1" x14ac:dyDescent="0.25">
      <c r="B49" s="64"/>
      <c r="C49" s="82"/>
      <c r="D49" s="111"/>
      <c r="E49" s="112"/>
      <c r="F49" s="56"/>
      <c r="G49" s="100"/>
      <c r="H49" s="56"/>
      <c r="I49" s="100"/>
      <c r="J49" s="27"/>
      <c r="K49" s="90"/>
    </row>
  </sheetData>
  <dataConsolidate/>
  <mergeCells count="13">
    <mergeCell ref="C1:C4"/>
    <mergeCell ref="H2:I2"/>
    <mergeCell ref="H1:I1"/>
    <mergeCell ref="H3:I3"/>
    <mergeCell ref="H4:I4"/>
    <mergeCell ref="D3:E3"/>
    <mergeCell ref="F3:G3"/>
    <mergeCell ref="D4:E4"/>
    <mergeCell ref="F4:G4"/>
    <mergeCell ref="D1:E1"/>
    <mergeCell ref="F1:G1"/>
    <mergeCell ref="D2:E2"/>
    <mergeCell ref="F2:G2"/>
  </mergeCells>
  <pageMargins left="0.2" right="0.2" top="0.25" bottom="0.25" header="0.3" footer="0.3"/>
  <pageSetup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outlinePr summaryBelow="0"/>
  </sheetPr>
  <dimension ref="A1:AN95"/>
  <sheetViews>
    <sheetView zoomScale="90" zoomScaleNormal="90" workbookViewId="0">
      <selection activeCell="B35" sqref="B35"/>
    </sheetView>
  </sheetViews>
  <sheetFormatPr defaultColWidth="8.88671875" defaultRowHeight="14.25" outlineLevelRow="1" x14ac:dyDescent="0.2"/>
  <cols>
    <col min="1" max="1" width="2.21875" style="45" customWidth="1"/>
    <col min="2" max="2" width="10" style="1" customWidth="1"/>
    <col min="3" max="3" width="4" style="1" bestFit="1" customWidth="1"/>
    <col min="4" max="4" width="4.44140625" style="1" bestFit="1" customWidth="1"/>
    <col min="5" max="5" width="4" style="1" bestFit="1" customWidth="1"/>
    <col min="6" max="6" width="4" style="1" customWidth="1"/>
    <col min="7" max="7" width="4.21875" style="1" customWidth="1"/>
    <col min="8" max="8" width="4.44140625" style="1" bestFit="1" customWidth="1"/>
    <col min="9" max="9" width="4.21875" style="1" bestFit="1" customWidth="1"/>
    <col min="10" max="10" width="4.33203125" style="1" customWidth="1"/>
    <col min="11" max="11" width="4.109375" style="1" customWidth="1"/>
    <col min="12" max="12" width="4.21875" style="1" customWidth="1"/>
    <col min="13" max="13" width="4.21875" style="1" bestFit="1" customWidth="1"/>
    <col min="14" max="14" width="4.21875" style="1" customWidth="1"/>
    <col min="15" max="15" width="4.109375" style="1" customWidth="1"/>
    <col min="16" max="16" width="4.44140625" style="1" bestFit="1" customWidth="1"/>
    <col min="17" max="17" width="3.77734375" style="1" customWidth="1"/>
    <col min="18" max="18" width="4.21875" style="1" customWidth="1"/>
    <col min="19" max="19" width="3.44140625" style="1" customWidth="1"/>
    <col min="20" max="20" width="4" style="1" customWidth="1"/>
    <col min="21" max="21" width="3.44140625" style="1" customWidth="1"/>
    <col min="22" max="22" width="4.21875" style="1" customWidth="1"/>
    <col min="23" max="23" width="3.44140625" style="1" customWidth="1"/>
    <col min="24" max="24" width="4" style="1" customWidth="1"/>
    <col min="25" max="25" width="3.44140625" style="1" customWidth="1"/>
    <col min="26" max="26" width="4.109375" style="1" customWidth="1"/>
    <col min="27" max="27" width="3.44140625" style="1" customWidth="1"/>
    <col min="28" max="28" width="4.109375" style="1" customWidth="1"/>
    <col min="29" max="29" width="3.44140625" style="1" customWidth="1"/>
    <col min="30" max="30" width="4.33203125" style="1" customWidth="1"/>
    <col min="31" max="31" width="3.44140625" style="1" customWidth="1"/>
    <col min="32" max="32" width="4.21875" style="1" customWidth="1"/>
    <col min="33" max="33" width="3.44140625" style="1" customWidth="1"/>
    <col min="34" max="34" width="4.21875" style="1" customWidth="1"/>
    <col min="35" max="35" width="3.33203125" style="1" customWidth="1"/>
    <col min="36" max="38" width="4.21875" style="1" bestFit="1" customWidth="1"/>
    <col min="39" max="39" width="5.33203125" style="1" customWidth="1"/>
    <col min="40" max="40" width="3.33203125" style="44" customWidth="1"/>
    <col min="41" max="16384" width="8.88671875" style="1"/>
  </cols>
  <sheetData>
    <row r="1" spans="1:40" s="5" customFormat="1" ht="14.25" customHeight="1" x14ac:dyDescent="0.2">
      <c r="A1" s="46"/>
      <c r="B1" s="37"/>
      <c r="C1" s="178">
        <v>1</v>
      </c>
      <c r="D1" s="178"/>
      <c r="E1" s="178">
        <v>2</v>
      </c>
      <c r="F1" s="178"/>
      <c r="G1" s="178">
        <v>3</v>
      </c>
      <c r="H1" s="178"/>
      <c r="I1" s="178">
        <v>4</v>
      </c>
      <c r="J1" s="178"/>
      <c r="K1" s="178">
        <v>5</v>
      </c>
      <c r="L1" s="178"/>
      <c r="M1" s="178">
        <v>6</v>
      </c>
      <c r="N1" s="178"/>
      <c r="O1" s="178">
        <v>7</v>
      </c>
      <c r="P1" s="178"/>
      <c r="Q1" s="178">
        <v>8</v>
      </c>
      <c r="R1" s="178"/>
      <c r="S1" s="178">
        <v>9</v>
      </c>
      <c r="T1" s="178"/>
      <c r="U1" s="178">
        <v>10</v>
      </c>
      <c r="V1" s="178"/>
      <c r="W1" s="178">
        <v>11</v>
      </c>
      <c r="X1" s="178"/>
      <c r="Y1" s="178">
        <v>12</v>
      </c>
      <c r="Z1" s="178"/>
      <c r="AA1" s="178">
        <v>13</v>
      </c>
      <c r="AB1" s="178"/>
      <c r="AC1" s="178">
        <v>14</v>
      </c>
      <c r="AD1" s="178"/>
      <c r="AE1" s="178" t="s">
        <v>206</v>
      </c>
      <c r="AF1" s="178"/>
      <c r="AG1" s="178">
        <v>16</v>
      </c>
      <c r="AH1" s="178"/>
      <c r="AI1" s="178">
        <v>17</v>
      </c>
      <c r="AJ1" s="178"/>
      <c r="AK1" s="178">
        <v>18</v>
      </c>
      <c r="AL1" s="178"/>
      <c r="AM1" s="37"/>
      <c r="AN1" s="155"/>
    </row>
    <row r="2" spans="1:40" x14ac:dyDescent="0.2">
      <c r="B2" s="38" t="s">
        <v>12</v>
      </c>
      <c r="C2" s="179" t="s">
        <v>132</v>
      </c>
      <c r="D2" s="188"/>
      <c r="E2" s="179" t="s">
        <v>133</v>
      </c>
      <c r="F2" s="188"/>
      <c r="G2" s="179" t="s">
        <v>134</v>
      </c>
      <c r="H2" s="179"/>
      <c r="I2" s="179" t="s">
        <v>135</v>
      </c>
      <c r="J2" s="179"/>
      <c r="K2" s="179" t="s">
        <v>136</v>
      </c>
      <c r="L2" s="179"/>
      <c r="M2" s="179" t="s">
        <v>137</v>
      </c>
      <c r="N2" s="179"/>
      <c r="O2" s="179" t="s">
        <v>187</v>
      </c>
      <c r="P2" s="179"/>
      <c r="Q2" s="179" t="s">
        <v>138</v>
      </c>
      <c r="R2" s="179"/>
      <c r="S2" s="179" t="s">
        <v>190</v>
      </c>
      <c r="T2" s="179"/>
      <c r="U2" s="179" t="s">
        <v>193</v>
      </c>
      <c r="V2" s="179"/>
      <c r="W2" s="179" t="s">
        <v>139</v>
      </c>
      <c r="X2" s="179"/>
      <c r="Y2" s="179" t="s">
        <v>196</v>
      </c>
      <c r="Z2" s="179"/>
      <c r="AA2" s="179" t="s">
        <v>140</v>
      </c>
      <c r="AB2" s="179"/>
      <c r="AC2" s="179" t="s">
        <v>199</v>
      </c>
      <c r="AD2" s="179"/>
      <c r="AE2" s="179" t="s">
        <v>200</v>
      </c>
      <c r="AF2" s="179"/>
      <c r="AG2" s="179" t="s">
        <v>141</v>
      </c>
      <c r="AH2" s="179"/>
      <c r="AI2" s="179" t="s">
        <v>142</v>
      </c>
      <c r="AJ2" s="179"/>
      <c r="AK2" s="179" t="s">
        <v>143</v>
      </c>
      <c r="AL2" s="188"/>
      <c r="AM2" s="39" t="s">
        <v>11</v>
      </c>
      <c r="AN2" s="44" t="s">
        <v>23</v>
      </c>
    </row>
    <row r="3" spans="1:40" ht="23.25" customHeight="1" x14ac:dyDescent="0.2">
      <c r="B3" s="38"/>
      <c r="C3" s="180"/>
      <c r="D3" s="180"/>
      <c r="E3" s="180" t="s">
        <v>156</v>
      </c>
      <c r="F3" s="181"/>
      <c r="G3" s="180" t="s">
        <v>157</v>
      </c>
      <c r="H3" s="180"/>
      <c r="I3" s="180" t="s">
        <v>158</v>
      </c>
      <c r="J3" s="180"/>
      <c r="K3" s="180" t="s">
        <v>103</v>
      </c>
      <c r="L3" s="180"/>
      <c r="M3" s="184" t="s">
        <v>104</v>
      </c>
      <c r="N3" s="184"/>
      <c r="O3" s="180" t="s">
        <v>156</v>
      </c>
      <c r="P3" s="181"/>
      <c r="Q3" s="180" t="s">
        <v>157</v>
      </c>
      <c r="R3" s="180"/>
      <c r="S3" s="180" t="s">
        <v>158</v>
      </c>
      <c r="T3" s="180"/>
      <c r="U3" s="180" t="s">
        <v>103</v>
      </c>
      <c r="V3" s="180"/>
      <c r="W3" s="184" t="s">
        <v>104</v>
      </c>
      <c r="X3" s="184"/>
      <c r="Y3" s="180" t="s">
        <v>156</v>
      </c>
      <c r="Z3" s="181"/>
      <c r="AA3" s="180" t="s">
        <v>157</v>
      </c>
      <c r="AB3" s="180"/>
      <c r="AC3" s="180" t="s">
        <v>158</v>
      </c>
      <c r="AD3" s="180"/>
      <c r="AE3" s="180" t="s">
        <v>103</v>
      </c>
      <c r="AF3" s="180"/>
      <c r="AG3" s="184" t="s">
        <v>104</v>
      </c>
      <c r="AH3" s="184"/>
      <c r="AI3" s="180" t="s">
        <v>156</v>
      </c>
      <c r="AJ3" s="181"/>
      <c r="AK3" s="180" t="s">
        <v>157</v>
      </c>
      <c r="AL3" s="180"/>
      <c r="AM3" s="39"/>
    </row>
    <row r="4" spans="1:40" s="44" customFormat="1" ht="33" customHeight="1" x14ac:dyDescent="0.2">
      <c r="A4" s="45"/>
      <c r="B4" s="43"/>
      <c r="C4" s="180"/>
      <c r="D4" s="181"/>
      <c r="E4" s="185" t="s">
        <v>181</v>
      </c>
      <c r="F4" s="186"/>
      <c r="G4" s="185" t="s">
        <v>162</v>
      </c>
      <c r="H4" s="186"/>
      <c r="I4" s="185" t="s">
        <v>182</v>
      </c>
      <c r="J4" s="186"/>
      <c r="K4" s="185" t="s">
        <v>183</v>
      </c>
      <c r="L4" s="186"/>
      <c r="M4" s="185" t="s">
        <v>180</v>
      </c>
      <c r="N4" s="186"/>
      <c r="O4" s="184" t="s">
        <v>188</v>
      </c>
      <c r="P4" s="187"/>
      <c r="Q4" s="184" t="s">
        <v>162</v>
      </c>
      <c r="R4" s="187"/>
      <c r="S4" s="184" t="s">
        <v>191</v>
      </c>
      <c r="T4" s="187"/>
      <c r="U4" s="180" t="s">
        <v>154</v>
      </c>
      <c r="V4" s="180"/>
      <c r="W4" s="180" t="s">
        <v>198</v>
      </c>
      <c r="X4" s="181"/>
      <c r="Y4" s="182" t="s">
        <v>207</v>
      </c>
      <c r="Z4" s="183"/>
      <c r="AA4" s="180" t="s">
        <v>34</v>
      </c>
      <c r="AB4" s="181"/>
      <c r="AC4" s="180" t="s">
        <v>201</v>
      </c>
      <c r="AD4" s="181"/>
      <c r="AE4" s="176" t="s">
        <v>159</v>
      </c>
      <c r="AF4" s="177"/>
      <c r="AG4" s="176" t="s">
        <v>107</v>
      </c>
      <c r="AH4" s="177"/>
      <c r="AI4" s="180" t="s">
        <v>205</v>
      </c>
      <c r="AJ4" s="181"/>
      <c r="AK4" s="180" t="s">
        <v>29</v>
      </c>
      <c r="AL4" s="181"/>
    </row>
    <row r="5" spans="1:40" s="44" customFormat="1" ht="14.45" customHeight="1" x14ac:dyDescent="0.2">
      <c r="A5" s="148"/>
      <c r="B5" s="149" t="s">
        <v>167</v>
      </c>
      <c r="C5" s="180" t="s">
        <v>169</v>
      </c>
      <c r="D5" s="180"/>
      <c r="E5" s="180" t="s">
        <v>169</v>
      </c>
      <c r="F5" s="180"/>
      <c r="G5" s="180" t="s">
        <v>166</v>
      </c>
      <c r="H5" s="180"/>
      <c r="I5" s="180" t="s">
        <v>168</v>
      </c>
      <c r="J5" s="180"/>
      <c r="K5" s="180" t="s">
        <v>170</v>
      </c>
      <c r="L5" s="180"/>
      <c r="M5" s="180" t="s">
        <v>166</v>
      </c>
      <c r="N5" s="180"/>
      <c r="O5" s="180" t="s">
        <v>168</v>
      </c>
      <c r="P5" s="180"/>
      <c r="Q5" s="180" t="s">
        <v>170</v>
      </c>
      <c r="R5" s="180"/>
      <c r="S5" s="180" t="s">
        <v>169</v>
      </c>
      <c r="T5" s="180"/>
      <c r="U5" s="180" t="s">
        <v>166</v>
      </c>
      <c r="V5" s="180"/>
      <c r="W5" s="180" t="s">
        <v>170</v>
      </c>
      <c r="X5" s="180"/>
      <c r="Y5" s="180" t="s">
        <v>169</v>
      </c>
      <c r="Z5" s="180"/>
      <c r="AA5" s="180" t="s">
        <v>166</v>
      </c>
      <c r="AB5" s="180"/>
      <c r="AC5" s="180" t="s">
        <v>170</v>
      </c>
      <c r="AD5" s="180"/>
      <c r="AE5" s="180" t="s">
        <v>169</v>
      </c>
      <c r="AF5" s="180"/>
      <c r="AG5" s="180" t="s">
        <v>166</v>
      </c>
      <c r="AH5" s="180"/>
      <c r="AI5" s="180" t="s">
        <v>170</v>
      </c>
      <c r="AJ5" s="180"/>
      <c r="AK5" s="180" t="s">
        <v>169</v>
      </c>
      <c r="AL5" s="180"/>
    </row>
    <row r="6" spans="1:40" x14ac:dyDescent="0.2">
      <c r="A6" s="45">
        <v>1</v>
      </c>
      <c r="B6" s="150" t="s">
        <v>82</v>
      </c>
      <c r="C6" s="48">
        <v>86</v>
      </c>
      <c r="D6" s="153">
        <f>D7+D8</f>
        <v>17</v>
      </c>
      <c r="E6" s="48">
        <v>84</v>
      </c>
      <c r="F6" s="153">
        <f>F7+F8</f>
        <v>16</v>
      </c>
      <c r="G6" s="48">
        <v>80</v>
      </c>
      <c r="H6" s="153">
        <f>H7+H8</f>
        <v>19.5</v>
      </c>
      <c r="I6" s="48">
        <v>77</v>
      </c>
      <c r="J6" s="153">
        <f>J7+J8</f>
        <v>18.5</v>
      </c>
      <c r="K6" s="48"/>
      <c r="L6" s="58"/>
      <c r="M6" s="48">
        <v>72</v>
      </c>
      <c r="N6" s="153">
        <f>N7+N8</f>
        <v>19</v>
      </c>
      <c r="O6" s="48">
        <v>72</v>
      </c>
      <c r="P6" s="153">
        <f>P7+P8</f>
        <v>14</v>
      </c>
      <c r="Q6" s="48"/>
      <c r="R6" s="58"/>
      <c r="S6" s="48"/>
      <c r="T6" s="58"/>
      <c r="U6" s="159">
        <v>76</v>
      </c>
      <c r="V6" s="153">
        <f>V7+V8</f>
        <v>18</v>
      </c>
      <c r="W6" s="159">
        <v>81</v>
      </c>
      <c r="X6" s="58">
        <f>X7+X8</f>
        <v>14</v>
      </c>
      <c r="Y6" s="159">
        <v>78</v>
      </c>
      <c r="Z6" s="153">
        <f>Z7+Z8</f>
        <v>21</v>
      </c>
      <c r="AA6" s="159">
        <v>74</v>
      </c>
      <c r="AB6" s="153">
        <f>AB7+AB8</f>
        <v>16.5</v>
      </c>
      <c r="AC6" s="159"/>
      <c r="AD6" s="58"/>
      <c r="AE6" s="159"/>
      <c r="AF6" s="58"/>
      <c r="AG6" s="159">
        <v>76</v>
      </c>
      <c r="AH6" s="58">
        <f>AH7+AH8</f>
        <v>14</v>
      </c>
      <c r="AI6" s="48"/>
      <c r="AJ6" s="58"/>
      <c r="AK6" s="48">
        <v>76</v>
      </c>
      <c r="AL6" s="153">
        <f>AL7+AL8</f>
        <v>21.5</v>
      </c>
      <c r="AM6" s="52">
        <f>D6+F6+H6+J6+L6+N6+Z6+AD6+AF6+AB6+P6+R6+T6+V6+AJ6+AL6</f>
        <v>181</v>
      </c>
      <c r="AN6" s="156">
        <f t="shared" ref="AN6:AN41" si="0">AVERAGE(D6,F6,H6,J6,L6,N6,P6,R6,T6,V6,X6,Z6,AB6,AD6,AF6,AH6,AJ6)</f>
        <v>17.045454545454547</v>
      </c>
    </row>
    <row r="7" spans="1:40" outlineLevel="1" x14ac:dyDescent="0.2">
      <c r="B7" s="63" t="s">
        <v>31</v>
      </c>
      <c r="C7" s="48">
        <v>32</v>
      </c>
      <c r="D7" s="58">
        <v>7</v>
      </c>
      <c r="E7" s="48">
        <v>31</v>
      </c>
      <c r="F7" s="58">
        <v>6</v>
      </c>
      <c r="G7" s="48">
        <v>32</v>
      </c>
      <c r="H7" s="58">
        <v>10.5</v>
      </c>
      <c r="I7" s="48">
        <v>32</v>
      </c>
      <c r="J7" s="58">
        <v>6.5</v>
      </c>
      <c r="K7" s="48"/>
      <c r="L7" s="58"/>
      <c r="M7" s="48">
        <v>40</v>
      </c>
      <c r="N7" s="58">
        <v>11</v>
      </c>
      <c r="O7" s="48">
        <v>37</v>
      </c>
      <c r="P7" s="58">
        <v>9</v>
      </c>
      <c r="Q7" s="48"/>
      <c r="R7" s="58"/>
      <c r="S7" s="48"/>
      <c r="T7" s="58"/>
      <c r="U7" s="159">
        <v>37</v>
      </c>
      <c r="V7" s="58">
        <v>9</v>
      </c>
      <c r="W7" s="159">
        <v>34</v>
      </c>
      <c r="X7" s="58">
        <v>6</v>
      </c>
      <c r="Y7" s="159">
        <v>36</v>
      </c>
      <c r="Z7" s="58">
        <v>9</v>
      </c>
      <c r="AA7" s="159">
        <v>37</v>
      </c>
      <c r="AB7" s="58">
        <v>7.5</v>
      </c>
      <c r="AC7" s="159"/>
      <c r="AD7" s="58"/>
      <c r="AE7" s="159"/>
      <c r="AF7" s="58"/>
      <c r="AG7" s="159">
        <v>34</v>
      </c>
      <c r="AH7" s="58">
        <v>7</v>
      </c>
      <c r="AI7" s="48"/>
      <c r="AJ7" s="58"/>
      <c r="AK7" s="48">
        <v>37</v>
      </c>
      <c r="AL7" s="58">
        <v>11.5</v>
      </c>
      <c r="AM7" s="41">
        <f>AVERAGE(C7,E7,G7,I7,K7,M7,O7,Q7,S7,U7,W7,Y7,AA7,AC7,AE7,AG7,AI7)</f>
        <v>34.727272727272727</v>
      </c>
      <c r="AN7" s="156">
        <f t="shared" si="0"/>
        <v>8.045454545454545</v>
      </c>
    </row>
    <row r="8" spans="1:40" outlineLevel="1" x14ac:dyDescent="0.2">
      <c r="A8" s="47"/>
      <c r="B8" s="64" t="s">
        <v>5</v>
      </c>
      <c r="C8" s="60">
        <v>8</v>
      </c>
      <c r="D8" s="61">
        <v>10</v>
      </c>
      <c r="E8" s="60">
        <v>32</v>
      </c>
      <c r="F8" s="61">
        <v>10</v>
      </c>
      <c r="G8" s="60">
        <v>9</v>
      </c>
      <c r="H8" s="61">
        <v>9</v>
      </c>
      <c r="I8" s="60">
        <v>34</v>
      </c>
      <c r="J8" s="61">
        <v>12</v>
      </c>
      <c r="K8" s="60"/>
      <c r="L8" s="61"/>
      <c r="M8" s="60">
        <v>15</v>
      </c>
      <c r="N8" s="61">
        <v>8</v>
      </c>
      <c r="O8" s="60">
        <v>-7</v>
      </c>
      <c r="P8" s="61">
        <v>5</v>
      </c>
      <c r="Q8" s="60"/>
      <c r="R8" s="61"/>
      <c r="S8" s="60"/>
      <c r="T8" s="61"/>
      <c r="U8" s="158">
        <v>11</v>
      </c>
      <c r="V8" s="61">
        <v>9</v>
      </c>
      <c r="W8" s="158">
        <v>4</v>
      </c>
      <c r="X8" s="61">
        <v>8</v>
      </c>
      <c r="Y8" s="158">
        <v>20</v>
      </c>
      <c r="Z8" s="61">
        <v>12</v>
      </c>
      <c r="AA8" s="158">
        <v>23</v>
      </c>
      <c r="AB8" s="61">
        <v>9</v>
      </c>
      <c r="AC8" s="158"/>
      <c r="AD8" s="61"/>
      <c r="AE8" s="158"/>
      <c r="AF8" s="61"/>
      <c r="AG8" s="158">
        <v>6</v>
      </c>
      <c r="AH8" s="61">
        <v>7</v>
      </c>
      <c r="AI8" s="60"/>
      <c r="AJ8" s="61"/>
      <c r="AK8" s="60">
        <v>22</v>
      </c>
      <c r="AL8" s="61">
        <v>10</v>
      </c>
      <c r="AM8" s="125">
        <f>C8+E8+G8+I8+K8+M8+O8+Q8+S8+U8+W8+Y8+AA8+AC8+AE8+AG8+AI8</f>
        <v>155</v>
      </c>
      <c r="AN8" s="157">
        <f t="shared" si="0"/>
        <v>9</v>
      </c>
    </row>
    <row r="9" spans="1:40" x14ac:dyDescent="0.2">
      <c r="A9" s="45">
        <v>2</v>
      </c>
      <c r="B9" s="40" t="s">
        <v>44</v>
      </c>
      <c r="C9" s="48"/>
      <c r="D9" s="58"/>
      <c r="E9" s="48"/>
      <c r="F9" s="58"/>
      <c r="G9" s="48">
        <v>98</v>
      </c>
      <c r="H9" s="58">
        <f>H10+H11</f>
        <v>11</v>
      </c>
      <c r="I9" s="48">
        <v>85</v>
      </c>
      <c r="J9" s="153">
        <f>J10+J11</f>
        <v>19.5</v>
      </c>
      <c r="K9" s="48">
        <v>98</v>
      </c>
      <c r="L9" s="153">
        <f>L10+L11</f>
        <v>20.5</v>
      </c>
      <c r="M9" s="48">
        <v>91</v>
      </c>
      <c r="N9" s="153">
        <f>N10+N11</f>
        <v>17.5</v>
      </c>
      <c r="O9" s="48">
        <v>90</v>
      </c>
      <c r="P9" s="153">
        <f>P10+P11</f>
        <v>14.5</v>
      </c>
      <c r="Q9" s="48">
        <v>96</v>
      </c>
      <c r="R9" s="153">
        <f>R10+R11</f>
        <v>15.5</v>
      </c>
      <c r="S9" s="159">
        <v>86</v>
      </c>
      <c r="T9" s="153">
        <f>T10+T11</f>
        <v>17.5</v>
      </c>
      <c r="U9" s="159">
        <v>87</v>
      </c>
      <c r="V9" s="58">
        <f>V10+V11</f>
        <v>13</v>
      </c>
      <c r="W9" s="159"/>
      <c r="X9" s="58"/>
      <c r="Y9" s="159">
        <v>93</v>
      </c>
      <c r="Z9" s="153">
        <f>Z10+Z11</f>
        <v>18</v>
      </c>
      <c r="AA9" s="159">
        <v>88</v>
      </c>
      <c r="AB9" s="153">
        <f>AB10+AB11</f>
        <v>17.5</v>
      </c>
      <c r="AC9" s="159">
        <v>95</v>
      </c>
      <c r="AD9" s="153">
        <f>AD10+AD11</f>
        <v>16</v>
      </c>
      <c r="AE9" s="159">
        <v>91</v>
      </c>
      <c r="AF9" s="58">
        <f>AF10+AF11</f>
        <v>11</v>
      </c>
      <c r="AG9" s="159"/>
      <c r="AH9" s="58"/>
      <c r="AI9" s="48"/>
      <c r="AJ9" s="58"/>
      <c r="AK9" s="48">
        <v>96</v>
      </c>
      <c r="AL9" s="153">
        <f>AL10+AL11</f>
        <v>19</v>
      </c>
      <c r="AM9" s="52">
        <f>D9+F9+J9+L9+N9+X9+Z9+AD9+AB9+P9+R9+T9+AH9+AJ9+AL9</f>
        <v>175.5</v>
      </c>
      <c r="AN9" s="156">
        <f t="shared" si="0"/>
        <v>15.958333333333334</v>
      </c>
    </row>
    <row r="10" spans="1:40" outlineLevel="1" collapsed="1" x14ac:dyDescent="0.2">
      <c r="B10" s="63" t="s">
        <v>31</v>
      </c>
      <c r="C10" s="48"/>
      <c r="D10" s="58"/>
      <c r="E10" s="48"/>
      <c r="F10" s="58"/>
      <c r="G10" s="48">
        <v>30</v>
      </c>
      <c r="H10" s="58">
        <v>6</v>
      </c>
      <c r="I10" s="48">
        <v>39</v>
      </c>
      <c r="J10" s="58">
        <v>11.5</v>
      </c>
      <c r="K10" s="48">
        <v>33</v>
      </c>
      <c r="L10" s="58">
        <v>8.5</v>
      </c>
      <c r="M10" s="48">
        <v>35</v>
      </c>
      <c r="N10" s="58">
        <v>8.5</v>
      </c>
      <c r="O10" s="48">
        <v>33</v>
      </c>
      <c r="P10" s="58">
        <v>4.5</v>
      </c>
      <c r="Q10" s="48">
        <v>36</v>
      </c>
      <c r="R10" s="58">
        <v>7.5</v>
      </c>
      <c r="S10" s="159">
        <v>43</v>
      </c>
      <c r="T10" s="58">
        <v>10</v>
      </c>
      <c r="U10" s="159">
        <v>38</v>
      </c>
      <c r="V10" s="58">
        <v>11</v>
      </c>
      <c r="W10" s="159"/>
      <c r="X10" s="58"/>
      <c r="Y10" s="159">
        <v>35</v>
      </c>
      <c r="Z10" s="58">
        <v>7</v>
      </c>
      <c r="AA10" s="159">
        <v>37</v>
      </c>
      <c r="AB10" s="58">
        <v>7.5</v>
      </c>
      <c r="AC10" s="159">
        <v>34</v>
      </c>
      <c r="AD10" s="58">
        <v>6.5</v>
      </c>
      <c r="AE10" s="159">
        <v>36</v>
      </c>
      <c r="AF10" s="58">
        <v>8</v>
      </c>
      <c r="AG10" s="159"/>
      <c r="AH10" s="58"/>
      <c r="AI10" s="48"/>
      <c r="AJ10" s="58"/>
      <c r="AK10" s="48">
        <v>31</v>
      </c>
      <c r="AL10" s="58">
        <v>7</v>
      </c>
      <c r="AM10" s="41">
        <f>AVERAGE(C10,E10,G10,I10,K10,M10,O10,Q10,S10,U10,W10,Y10,AA10,AC10,AE10,AG10,AI10)</f>
        <v>35.75</v>
      </c>
      <c r="AN10" s="156">
        <f t="shared" si="0"/>
        <v>8.0416666666666661</v>
      </c>
    </row>
    <row r="11" spans="1:40" outlineLevel="1" x14ac:dyDescent="0.2">
      <c r="A11" s="47"/>
      <c r="B11" s="64" t="s">
        <v>5</v>
      </c>
      <c r="C11" s="60"/>
      <c r="D11" s="61"/>
      <c r="E11" s="60"/>
      <c r="F11" s="61"/>
      <c r="G11" s="60">
        <v>-7</v>
      </c>
      <c r="H11" s="61">
        <v>5</v>
      </c>
      <c r="I11" s="60">
        <v>4</v>
      </c>
      <c r="J11" s="61">
        <v>8</v>
      </c>
      <c r="K11" s="60">
        <v>30</v>
      </c>
      <c r="L11" s="61">
        <v>12</v>
      </c>
      <c r="M11" s="60">
        <v>16</v>
      </c>
      <c r="N11" s="61">
        <v>9</v>
      </c>
      <c r="O11" s="60">
        <v>25</v>
      </c>
      <c r="P11" s="61">
        <v>10</v>
      </c>
      <c r="Q11" s="60">
        <v>12</v>
      </c>
      <c r="R11" s="61">
        <v>8</v>
      </c>
      <c r="S11" s="158">
        <v>1</v>
      </c>
      <c r="T11" s="61">
        <v>7.5</v>
      </c>
      <c r="U11" s="158">
        <v>-19</v>
      </c>
      <c r="V11" s="61">
        <v>2</v>
      </c>
      <c r="W11" s="158"/>
      <c r="X11" s="61"/>
      <c r="Y11" s="158">
        <v>13</v>
      </c>
      <c r="Z11" s="61">
        <v>11</v>
      </c>
      <c r="AA11" s="158">
        <v>35</v>
      </c>
      <c r="AB11" s="61">
        <v>10</v>
      </c>
      <c r="AC11" s="158">
        <v>13</v>
      </c>
      <c r="AD11" s="61">
        <v>9.5</v>
      </c>
      <c r="AE11" s="158">
        <v>-34</v>
      </c>
      <c r="AF11" s="61">
        <v>3</v>
      </c>
      <c r="AG11" s="158"/>
      <c r="AH11" s="61"/>
      <c r="AI11" s="60"/>
      <c r="AJ11" s="61"/>
      <c r="AK11" s="60">
        <v>42</v>
      </c>
      <c r="AL11" s="61">
        <v>12</v>
      </c>
      <c r="AM11" s="125">
        <f>C11+E11+G11+I11+K11+M11+O11+Q11+S11+U11+W11+Y11+AA11+AC11+AE11+AG11+AI11</f>
        <v>89</v>
      </c>
      <c r="AN11" s="157">
        <f t="shared" si="0"/>
        <v>7.916666666666667</v>
      </c>
    </row>
    <row r="12" spans="1:40" x14ac:dyDescent="0.2">
      <c r="A12" s="45">
        <v>3</v>
      </c>
      <c r="B12" s="40" t="s">
        <v>3</v>
      </c>
      <c r="C12" s="48">
        <v>80</v>
      </c>
      <c r="D12" s="153">
        <f>D13+D14</f>
        <v>16</v>
      </c>
      <c r="E12" s="48">
        <v>78</v>
      </c>
      <c r="F12" s="153">
        <f>F13+F14</f>
        <v>16.5</v>
      </c>
      <c r="G12" s="48">
        <v>75</v>
      </c>
      <c r="H12" s="153">
        <f>H13+H14</f>
        <v>23</v>
      </c>
      <c r="I12" s="48">
        <v>77</v>
      </c>
      <c r="J12" s="58">
        <f>J13+J14</f>
        <v>13</v>
      </c>
      <c r="K12" s="48">
        <v>84</v>
      </c>
      <c r="L12" s="58">
        <f>L13+L14</f>
        <v>9</v>
      </c>
      <c r="M12" s="48">
        <v>73</v>
      </c>
      <c r="N12" s="153">
        <f>N13+N14</f>
        <v>14</v>
      </c>
      <c r="O12" s="48"/>
      <c r="P12" s="58"/>
      <c r="Q12" s="48">
        <v>81</v>
      </c>
      <c r="R12" s="153">
        <f>R13+R14</f>
        <v>15.5</v>
      </c>
      <c r="S12" s="159"/>
      <c r="T12" s="58"/>
      <c r="U12" s="159">
        <v>73</v>
      </c>
      <c r="V12" s="58">
        <f>V13+V14</f>
        <v>10</v>
      </c>
      <c r="W12" s="159">
        <v>75</v>
      </c>
      <c r="X12" s="153">
        <f>X13+X14</f>
        <v>21.5</v>
      </c>
      <c r="Y12" s="159">
        <v>78</v>
      </c>
      <c r="Z12" s="58">
        <f>Z13+Z14</f>
        <v>7.5</v>
      </c>
      <c r="AA12" s="159">
        <v>75</v>
      </c>
      <c r="AB12" s="153">
        <f>AB13+AB14</f>
        <v>13.5</v>
      </c>
      <c r="AC12" s="159">
        <v>75</v>
      </c>
      <c r="AD12" s="153">
        <f>AD13+AD14</f>
        <v>15</v>
      </c>
      <c r="AE12" s="159"/>
      <c r="AF12" s="58"/>
      <c r="AG12" s="159">
        <v>71</v>
      </c>
      <c r="AH12" s="153">
        <f>AH13+AH14</f>
        <v>17.5</v>
      </c>
      <c r="AI12" s="159">
        <v>76</v>
      </c>
      <c r="AJ12" s="58">
        <f>AJ13+AJ14</f>
        <v>13</v>
      </c>
      <c r="AK12" s="48">
        <v>76</v>
      </c>
      <c r="AL12" s="153">
        <f>AL13+AL14</f>
        <v>16.5</v>
      </c>
      <c r="AM12" s="52">
        <f>D12+F12+H12+N12+X12+AD12+AF12+AB12+P12+R12+T12+AH12+AL12</f>
        <v>169</v>
      </c>
      <c r="AN12" s="156">
        <f t="shared" si="0"/>
        <v>14.642857142857142</v>
      </c>
    </row>
    <row r="13" spans="1:40" outlineLevel="1" x14ac:dyDescent="0.2">
      <c r="B13" s="63" t="s">
        <v>31</v>
      </c>
      <c r="C13" s="48">
        <v>33</v>
      </c>
      <c r="D13" s="58">
        <v>9</v>
      </c>
      <c r="E13" s="48">
        <v>36</v>
      </c>
      <c r="F13" s="58">
        <v>10</v>
      </c>
      <c r="G13" s="48">
        <v>37</v>
      </c>
      <c r="H13" s="58">
        <v>12</v>
      </c>
      <c r="I13" s="48">
        <v>32</v>
      </c>
      <c r="J13" s="58">
        <v>6.5</v>
      </c>
      <c r="K13" s="48">
        <v>31</v>
      </c>
      <c r="L13" s="58">
        <v>4</v>
      </c>
      <c r="M13" s="48">
        <v>37</v>
      </c>
      <c r="N13" s="58">
        <v>10</v>
      </c>
      <c r="O13" s="48"/>
      <c r="P13" s="58"/>
      <c r="Q13" s="48">
        <v>34</v>
      </c>
      <c r="R13" s="58">
        <v>6</v>
      </c>
      <c r="S13" s="159"/>
      <c r="T13" s="58"/>
      <c r="U13" s="159">
        <v>37</v>
      </c>
      <c r="V13" s="58">
        <v>9</v>
      </c>
      <c r="W13" s="159">
        <v>39</v>
      </c>
      <c r="X13" s="58">
        <v>10</v>
      </c>
      <c r="Y13" s="159">
        <v>33</v>
      </c>
      <c r="Z13" s="58">
        <v>3.5</v>
      </c>
      <c r="AA13" s="159">
        <v>34</v>
      </c>
      <c r="AB13" s="58">
        <v>6</v>
      </c>
      <c r="AC13" s="159">
        <v>37</v>
      </c>
      <c r="AD13" s="58">
        <v>8</v>
      </c>
      <c r="AE13" s="159"/>
      <c r="AF13" s="58"/>
      <c r="AG13" s="159">
        <v>37</v>
      </c>
      <c r="AH13" s="58">
        <v>9.5</v>
      </c>
      <c r="AI13" s="159">
        <v>36</v>
      </c>
      <c r="AJ13" s="58">
        <v>8</v>
      </c>
      <c r="AK13" s="48">
        <v>33</v>
      </c>
      <c r="AL13" s="58">
        <v>9.5</v>
      </c>
      <c r="AM13" s="41">
        <f>AVERAGE(C13,E13,G13,I13,K13,M13,O13,Q13,S13,U13,W13,Y13,AA13,AC13,AE13,AG13,AI13)</f>
        <v>35.214285714285715</v>
      </c>
      <c r="AN13" s="156">
        <f t="shared" si="0"/>
        <v>7.9642857142857144</v>
      </c>
    </row>
    <row r="14" spans="1:40" outlineLevel="1" collapsed="1" x14ac:dyDescent="0.2">
      <c r="A14" s="47"/>
      <c r="B14" s="64" t="s">
        <v>5</v>
      </c>
      <c r="C14" s="60">
        <v>4</v>
      </c>
      <c r="D14" s="61">
        <v>7</v>
      </c>
      <c r="E14" s="60">
        <v>0</v>
      </c>
      <c r="F14" s="61">
        <v>6.5</v>
      </c>
      <c r="G14" s="60">
        <v>21</v>
      </c>
      <c r="H14" s="61">
        <v>11</v>
      </c>
      <c r="I14" s="60">
        <v>0</v>
      </c>
      <c r="J14" s="61">
        <v>6.5</v>
      </c>
      <c r="K14" s="60">
        <v>-6</v>
      </c>
      <c r="L14" s="61">
        <v>5</v>
      </c>
      <c r="M14" s="60">
        <v>-13</v>
      </c>
      <c r="N14" s="61">
        <v>4</v>
      </c>
      <c r="O14" s="60"/>
      <c r="P14" s="61"/>
      <c r="Q14" s="60">
        <v>14</v>
      </c>
      <c r="R14" s="61">
        <v>9.5</v>
      </c>
      <c r="S14" s="158"/>
      <c r="T14" s="61"/>
      <c r="U14" s="158">
        <v>-23</v>
      </c>
      <c r="V14" s="61">
        <v>1</v>
      </c>
      <c r="W14" s="158">
        <v>17</v>
      </c>
      <c r="X14" s="61">
        <v>11.5</v>
      </c>
      <c r="Y14" s="158">
        <v>-5</v>
      </c>
      <c r="Z14" s="61">
        <v>4</v>
      </c>
      <c r="AA14" s="158">
        <v>12</v>
      </c>
      <c r="AB14" s="61">
        <v>7.5</v>
      </c>
      <c r="AC14" s="158">
        <v>-1</v>
      </c>
      <c r="AD14" s="61">
        <v>7</v>
      </c>
      <c r="AE14" s="158"/>
      <c r="AF14" s="61"/>
      <c r="AG14" s="158">
        <v>10</v>
      </c>
      <c r="AH14" s="61">
        <v>8</v>
      </c>
      <c r="AI14" s="158">
        <v>-7</v>
      </c>
      <c r="AJ14" s="61">
        <v>5</v>
      </c>
      <c r="AK14" s="60">
        <v>-4</v>
      </c>
      <c r="AL14" s="61">
        <v>7</v>
      </c>
      <c r="AM14" s="125">
        <f>C14+E14+G14+I14+K14+M14+O14+Q14+S14+U14+W14+Y14+AA14+AC14+AE14+AG14+AI14</f>
        <v>23</v>
      </c>
      <c r="AN14" s="157">
        <f t="shared" si="0"/>
        <v>6.6785714285714288</v>
      </c>
    </row>
    <row r="15" spans="1:40" x14ac:dyDescent="0.2">
      <c r="A15" s="45">
        <v>4</v>
      </c>
      <c r="B15" s="66" t="s">
        <v>64</v>
      </c>
      <c r="C15" s="48">
        <v>81</v>
      </c>
      <c r="D15" s="153">
        <f>D16+D17</f>
        <v>22</v>
      </c>
      <c r="E15" s="48">
        <v>88</v>
      </c>
      <c r="F15" s="58">
        <f>F16+F17</f>
        <v>9</v>
      </c>
      <c r="G15" s="48"/>
      <c r="H15" s="58"/>
      <c r="I15" s="48">
        <v>81</v>
      </c>
      <c r="J15" s="58">
        <f>J16+J17</f>
        <v>9</v>
      </c>
      <c r="K15" s="48">
        <v>83</v>
      </c>
      <c r="L15" s="153">
        <f>L16+L17</f>
        <v>23</v>
      </c>
      <c r="M15" s="48">
        <v>88</v>
      </c>
      <c r="N15" s="58">
        <f>N16+N17</f>
        <v>6</v>
      </c>
      <c r="O15" s="48">
        <v>78</v>
      </c>
      <c r="P15" s="153">
        <f>P16+P17</f>
        <v>15.5</v>
      </c>
      <c r="Q15" s="48">
        <v>78</v>
      </c>
      <c r="R15" s="153">
        <f>R16+R17</f>
        <v>19.5</v>
      </c>
      <c r="S15" s="159"/>
      <c r="T15" s="58"/>
      <c r="U15" s="159">
        <v>78</v>
      </c>
      <c r="V15" s="153">
        <f>V16+V17</f>
        <v>9</v>
      </c>
      <c r="W15" s="159">
        <v>75</v>
      </c>
      <c r="X15" s="153">
        <f>X16+X17</f>
        <v>15</v>
      </c>
      <c r="Y15" s="159"/>
      <c r="Z15" s="58"/>
      <c r="AA15" s="159">
        <v>72</v>
      </c>
      <c r="AB15" s="153">
        <f>AB16+AB17</f>
        <v>15</v>
      </c>
      <c r="AC15" s="159">
        <v>76</v>
      </c>
      <c r="AD15" s="153">
        <f>AD16+AD17</f>
        <v>20</v>
      </c>
      <c r="AE15" s="159"/>
      <c r="AF15" s="58"/>
      <c r="AG15" s="159">
        <v>83</v>
      </c>
      <c r="AH15" s="153">
        <f>AH16+AH17</f>
        <v>9.5</v>
      </c>
      <c r="AI15" s="159">
        <v>77</v>
      </c>
      <c r="AJ15" s="153">
        <f>AJ16+AJ17</f>
        <v>13</v>
      </c>
      <c r="AK15" s="48">
        <v>86</v>
      </c>
      <c r="AL15" s="58">
        <f>AL16+AL17</f>
        <v>4</v>
      </c>
      <c r="AM15" s="52">
        <f>D15+H15+L15+X15+Z15+AD15+AF15+AB15+P15+R15+T15+V15+AH15+AJ15</f>
        <v>161.5</v>
      </c>
      <c r="AN15" s="156">
        <f t="shared" si="0"/>
        <v>14.26923076923077</v>
      </c>
    </row>
    <row r="16" spans="1:40" outlineLevel="1" x14ac:dyDescent="0.2">
      <c r="B16" s="63" t="s">
        <v>31</v>
      </c>
      <c r="C16" s="48">
        <v>34</v>
      </c>
      <c r="D16" s="58">
        <v>10</v>
      </c>
      <c r="E16" s="48">
        <v>27</v>
      </c>
      <c r="F16" s="58">
        <v>4</v>
      </c>
      <c r="G16" s="48"/>
      <c r="H16" s="58"/>
      <c r="I16" s="48">
        <v>30</v>
      </c>
      <c r="J16" s="58">
        <v>4</v>
      </c>
      <c r="K16" s="48">
        <v>37</v>
      </c>
      <c r="L16" s="58">
        <v>12</v>
      </c>
      <c r="M16" s="48">
        <v>28</v>
      </c>
      <c r="N16" s="58">
        <v>3</v>
      </c>
      <c r="O16" s="48">
        <v>35</v>
      </c>
      <c r="P16" s="58">
        <v>8</v>
      </c>
      <c r="Q16" s="48">
        <v>41</v>
      </c>
      <c r="R16" s="58">
        <v>10</v>
      </c>
      <c r="S16" s="159"/>
      <c r="T16" s="58"/>
      <c r="U16" s="159">
        <v>35</v>
      </c>
      <c r="V16" s="58">
        <v>5</v>
      </c>
      <c r="W16" s="159">
        <v>42</v>
      </c>
      <c r="X16" s="58">
        <v>12</v>
      </c>
      <c r="Y16" s="159"/>
      <c r="Z16" s="58"/>
      <c r="AA16" s="159">
        <v>39</v>
      </c>
      <c r="AB16" s="58">
        <v>9</v>
      </c>
      <c r="AC16" s="159">
        <v>39</v>
      </c>
      <c r="AD16" s="58">
        <v>10.5</v>
      </c>
      <c r="AE16" s="159"/>
      <c r="AF16" s="58"/>
      <c r="AG16" s="159">
        <v>28</v>
      </c>
      <c r="AH16" s="58">
        <v>3.5</v>
      </c>
      <c r="AI16" s="159">
        <v>37</v>
      </c>
      <c r="AJ16" s="58">
        <v>9</v>
      </c>
      <c r="AK16" s="48">
        <v>27</v>
      </c>
      <c r="AL16" s="58">
        <v>3</v>
      </c>
      <c r="AM16" s="41">
        <f>AVERAGE(C16,E16,G16,I16,K16,M16,O16,Q16,S16,U16,W16,Y16,AA16,AC16,AE16,AG16,AI16)</f>
        <v>34.769230769230766</v>
      </c>
      <c r="AN16" s="156">
        <f t="shared" si="0"/>
        <v>7.6923076923076925</v>
      </c>
    </row>
    <row r="17" spans="1:40" outlineLevel="1" x14ac:dyDescent="0.2">
      <c r="A17" s="47"/>
      <c r="B17" s="64" t="s">
        <v>5</v>
      </c>
      <c r="C17" s="60">
        <v>26</v>
      </c>
      <c r="D17" s="61">
        <v>12</v>
      </c>
      <c r="E17" s="60">
        <v>-8</v>
      </c>
      <c r="F17" s="61">
        <v>5</v>
      </c>
      <c r="G17" s="60"/>
      <c r="H17" s="61"/>
      <c r="I17" s="60">
        <v>-2</v>
      </c>
      <c r="J17" s="61">
        <v>5</v>
      </c>
      <c r="K17" s="60">
        <v>18</v>
      </c>
      <c r="L17" s="61">
        <v>11</v>
      </c>
      <c r="M17" s="60">
        <v>-32</v>
      </c>
      <c r="N17" s="61">
        <v>3</v>
      </c>
      <c r="O17" s="60">
        <v>8</v>
      </c>
      <c r="P17" s="61">
        <v>7.5</v>
      </c>
      <c r="Q17" s="60">
        <v>14</v>
      </c>
      <c r="R17" s="61">
        <v>9.5</v>
      </c>
      <c r="S17" s="158"/>
      <c r="T17" s="61"/>
      <c r="U17" s="158">
        <v>-3</v>
      </c>
      <c r="V17" s="61">
        <v>4</v>
      </c>
      <c r="W17" s="158">
        <v>-8</v>
      </c>
      <c r="X17" s="61">
        <v>3</v>
      </c>
      <c r="Y17" s="158"/>
      <c r="Z17" s="61"/>
      <c r="AA17" s="158">
        <v>2</v>
      </c>
      <c r="AB17" s="61">
        <v>6</v>
      </c>
      <c r="AC17" s="158">
        <v>13</v>
      </c>
      <c r="AD17" s="61">
        <v>9.5</v>
      </c>
      <c r="AE17" s="158"/>
      <c r="AF17" s="61"/>
      <c r="AG17" s="158">
        <v>4</v>
      </c>
      <c r="AH17" s="61">
        <v>6</v>
      </c>
      <c r="AI17" s="158">
        <v>-13</v>
      </c>
      <c r="AJ17" s="61">
        <v>4</v>
      </c>
      <c r="AK17" s="60">
        <v>-60</v>
      </c>
      <c r="AL17" s="61">
        <v>1</v>
      </c>
      <c r="AM17" s="125">
        <f>C17+E17+G17+I17+K17+M17+O17+Q17+S17+U17+W17+Y17+AA17+AC17+AE17+AG17+AI17</f>
        <v>19</v>
      </c>
      <c r="AN17" s="157">
        <f t="shared" si="0"/>
        <v>6.5769230769230766</v>
      </c>
    </row>
    <row r="18" spans="1:40" x14ac:dyDescent="0.2">
      <c r="A18" s="45">
        <v>5</v>
      </c>
      <c r="B18" s="40" t="s">
        <v>30</v>
      </c>
      <c r="C18" s="48">
        <v>91</v>
      </c>
      <c r="D18" s="153">
        <f>D19+D20</f>
        <v>14</v>
      </c>
      <c r="E18" s="48">
        <v>90</v>
      </c>
      <c r="F18" s="153">
        <f>F19+F20</f>
        <v>16</v>
      </c>
      <c r="G18" s="48">
        <v>95</v>
      </c>
      <c r="H18" s="58">
        <f>H19+H20</f>
        <v>3</v>
      </c>
      <c r="I18" s="48">
        <v>82</v>
      </c>
      <c r="J18" s="153">
        <f>J19+J20</f>
        <v>19</v>
      </c>
      <c r="K18" s="48">
        <v>93</v>
      </c>
      <c r="L18" s="153">
        <f>L19+L20</f>
        <v>10</v>
      </c>
      <c r="M18" s="48">
        <v>79</v>
      </c>
      <c r="N18" s="153">
        <f>N19+N20</f>
        <v>24</v>
      </c>
      <c r="O18" s="48">
        <v>82</v>
      </c>
      <c r="P18" s="58">
        <f>P19+P20</f>
        <v>9.5</v>
      </c>
      <c r="Q18" s="48">
        <v>94</v>
      </c>
      <c r="R18" s="153">
        <f>R19+R20</f>
        <v>10.5</v>
      </c>
      <c r="S18" s="159">
        <v>84</v>
      </c>
      <c r="T18" s="153">
        <f>T19+T20</f>
        <v>17.5</v>
      </c>
      <c r="U18" s="159">
        <v>83</v>
      </c>
      <c r="V18" s="58">
        <f>V19+V20</f>
        <v>7.5</v>
      </c>
      <c r="W18" s="159">
        <v>91</v>
      </c>
      <c r="X18" s="58">
        <f>X19+X20</f>
        <v>8</v>
      </c>
      <c r="Y18" s="159">
        <v>79</v>
      </c>
      <c r="Z18" s="153">
        <f>Z19+Z20</f>
        <v>16</v>
      </c>
      <c r="AA18" s="159">
        <v>82</v>
      </c>
      <c r="AB18" s="58">
        <f>AB19+AB20</f>
        <v>9.5</v>
      </c>
      <c r="AC18" s="159">
        <v>88</v>
      </c>
      <c r="AD18" s="58">
        <f>AD19+AD20</f>
        <v>5.5</v>
      </c>
      <c r="AE18" s="159"/>
      <c r="AF18" s="58"/>
      <c r="AG18" s="159"/>
      <c r="AH18" s="58"/>
      <c r="AI18" s="159">
        <v>82</v>
      </c>
      <c r="AJ18" s="153">
        <f>AJ19+AJ20</f>
        <v>19</v>
      </c>
      <c r="AK18" s="48">
        <v>88</v>
      </c>
      <c r="AL18" s="153">
        <f>AL19+AL20</f>
        <v>11.5</v>
      </c>
      <c r="AM18" s="52">
        <f>D18+F18+J18+L18+N18+Z18+AF18+R18+T18+AH18+AJ18+AL18</f>
        <v>157.5</v>
      </c>
      <c r="AN18" s="156">
        <f t="shared" si="0"/>
        <v>12.6</v>
      </c>
    </row>
    <row r="19" spans="1:40" outlineLevel="1" x14ac:dyDescent="0.2">
      <c r="B19" s="63" t="s">
        <v>31</v>
      </c>
      <c r="C19" s="48">
        <v>32</v>
      </c>
      <c r="D19" s="58">
        <v>7</v>
      </c>
      <c r="E19" s="48">
        <v>34</v>
      </c>
      <c r="F19" s="58">
        <v>8</v>
      </c>
      <c r="G19" s="48">
        <v>27</v>
      </c>
      <c r="H19" s="58">
        <v>2</v>
      </c>
      <c r="I19" s="48">
        <v>36</v>
      </c>
      <c r="J19" s="58">
        <v>9.5</v>
      </c>
      <c r="K19" s="48">
        <v>32</v>
      </c>
      <c r="L19" s="58">
        <v>6.5</v>
      </c>
      <c r="M19" s="48">
        <v>41</v>
      </c>
      <c r="N19" s="58">
        <v>12</v>
      </c>
      <c r="O19" s="48">
        <v>34</v>
      </c>
      <c r="P19" s="58">
        <v>6.5</v>
      </c>
      <c r="Q19" s="48">
        <v>29</v>
      </c>
      <c r="R19" s="58">
        <v>4</v>
      </c>
      <c r="S19" s="159">
        <v>36</v>
      </c>
      <c r="T19" s="58">
        <v>7.5</v>
      </c>
      <c r="U19" s="159">
        <v>32</v>
      </c>
      <c r="V19" s="58">
        <v>2</v>
      </c>
      <c r="W19" s="159">
        <v>28</v>
      </c>
      <c r="X19" s="58">
        <v>2</v>
      </c>
      <c r="Y19" s="159">
        <v>38</v>
      </c>
      <c r="Z19" s="58">
        <v>12</v>
      </c>
      <c r="AA19" s="159">
        <v>31</v>
      </c>
      <c r="AB19" s="58">
        <v>4.5</v>
      </c>
      <c r="AC19" s="159">
        <v>30</v>
      </c>
      <c r="AD19" s="58">
        <v>1.5</v>
      </c>
      <c r="AE19" s="159"/>
      <c r="AF19" s="58"/>
      <c r="AG19" s="159"/>
      <c r="AH19" s="58"/>
      <c r="AI19" s="159">
        <v>39</v>
      </c>
      <c r="AJ19" s="58">
        <v>10</v>
      </c>
      <c r="AK19" s="48">
        <v>32</v>
      </c>
      <c r="AL19" s="58">
        <v>8</v>
      </c>
      <c r="AM19" s="41">
        <f>AVERAGE(C19,E19,G19,I19,K19,M19,O19,Q19,S19,U19,W19,Y19,AA19,AC19,AE19,AG19,AI19)</f>
        <v>33.266666666666666</v>
      </c>
      <c r="AN19" s="156">
        <f t="shared" si="0"/>
        <v>6.333333333333333</v>
      </c>
    </row>
    <row r="20" spans="1:40" outlineLevel="1" x14ac:dyDescent="0.2">
      <c r="A20" s="47"/>
      <c r="B20" s="64" t="s">
        <v>5</v>
      </c>
      <c r="C20" s="60">
        <v>4</v>
      </c>
      <c r="D20" s="61">
        <v>7</v>
      </c>
      <c r="E20" s="60">
        <v>8</v>
      </c>
      <c r="F20" s="61">
        <v>8</v>
      </c>
      <c r="G20" s="60">
        <v>-38</v>
      </c>
      <c r="H20" s="61">
        <v>1</v>
      </c>
      <c r="I20" s="60">
        <v>24</v>
      </c>
      <c r="J20" s="61">
        <v>9.5</v>
      </c>
      <c r="K20" s="60">
        <v>-10</v>
      </c>
      <c r="L20" s="61">
        <v>3.5</v>
      </c>
      <c r="M20" s="60">
        <v>47</v>
      </c>
      <c r="N20" s="61">
        <v>12</v>
      </c>
      <c r="O20" s="60">
        <v>-16</v>
      </c>
      <c r="P20" s="61">
        <v>3</v>
      </c>
      <c r="Q20" s="60">
        <v>2</v>
      </c>
      <c r="R20" s="61">
        <v>6.5</v>
      </c>
      <c r="S20" s="158">
        <v>25</v>
      </c>
      <c r="T20" s="61">
        <v>10</v>
      </c>
      <c r="U20" s="158">
        <v>-1</v>
      </c>
      <c r="V20" s="61">
        <v>5.5</v>
      </c>
      <c r="W20" s="158">
        <v>-3</v>
      </c>
      <c r="X20" s="61">
        <v>6</v>
      </c>
      <c r="Y20" s="158">
        <v>-5</v>
      </c>
      <c r="Z20" s="61">
        <v>4</v>
      </c>
      <c r="AA20" s="158">
        <v>-19</v>
      </c>
      <c r="AB20" s="61">
        <v>5</v>
      </c>
      <c r="AC20" s="158">
        <v>-7</v>
      </c>
      <c r="AD20" s="61">
        <v>4</v>
      </c>
      <c r="AE20" s="158"/>
      <c r="AF20" s="61"/>
      <c r="AG20" s="158"/>
      <c r="AH20" s="61"/>
      <c r="AI20" s="158">
        <v>19</v>
      </c>
      <c r="AJ20" s="61">
        <v>9</v>
      </c>
      <c r="AK20" s="60">
        <v>-9</v>
      </c>
      <c r="AL20" s="61">
        <v>3.5</v>
      </c>
      <c r="AM20" s="125">
        <f>C20+E20+G20+I20+K20+M20+O20+Q20+S20+U20+W20+Y20+AA20+AC20+AE20+AG20+AI20</f>
        <v>30</v>
      </c>
      <c r="AN20" s="157">
        <f t="shared" si="0"/>
        <v>6.2666666666666666</v>
      </c>
    </row>
    <row r="21" spans="1:40" x14ac:dyDescent="0.2">
      <c r="A21" s="45">
        <v>6</v>
      </c>
      <c r="B21" s="66" t="s">
        <v>46</v>
      </c>
      <c r="C21" s="48">
        <v>85</v>
      </c>
      <c r="D21" s="153">
        <f>D22+D23</f>
        <v>10</v>
      </c>
      <c r="E21" s="48">
        <v>88</v>
      </c>
      <c r="F21" s="58">
        <f>F22+F23</f>
        <v>9</v>
      </c>
      <c r="G21" s="48">
        <v>81</v>
      </c>
      <c r="H21" s="153">
        <f>H22+H23</f>
        <v>20.5</v>
      </c>
      <c r="I21" s="48">
        <v>85</v>
      </c>
      <c r="J21" s="58">
        <f>J22+J23</f>
        <v>3</v>
      </c>
      <c r="K21" s="48">
        <v>95</v>
      </c>
      <c r="L21" s="58">
        <f>L22+L23</f>
        <v>4.5</v>
      </c>
      <c r="M21" s="48">
        <v>79</v>
      </c>
      <c r="N21" s="153">
        <f>N22+N23</f>
        <v>19.5</v>
      </c>
      <c r="O21" s="48">
        <v>72</v>
      </c>
      <c r="P21" s="153">
        <f>P22+P23</f>
        <v>20</v>
      </c>
      <c r="Q21" s="48">
        <v>83</v>
      </c>
      <c r="R21" s="153">
        <f>R22+R23</f>
        <v>14</v>
      </c>
      <c r="S21" s="159">
        <v>84</v>
      </c>
      <c r="T21" s="153">
        <f>T22+T23</f>
        <v>12.5</v>
      </c>
      <c r="U21" s="159">
        <v>70</v>
      </c>
      <c r="V21" s="153">
        <f>V22+V23</f>
        <v>22</v>
      </c>
      <c r="W21" s="159">
        <v>82</v>
      </c>
      <c r="X21" s="153">
        <f>X22+X23</f>
        <v>10</v>
      </c>
      <c r="Y21" s="159">
        <v>78</v>
      </c>
      <c r="Z21" s="153">
        <f>Z22+Z23</f>
        <v>16.5</v>
      </c>
      <c r="AA21" s="159">
        <v>87</v>
      </c>
      <c r="AB21" s="58">
        <f>AB22+AB23</f>
        <v>7</v>
      </c>
      <c r="AC21" s="159">
        <v>86</v>
      </c>
      <c r="AD21" s="58">
        <f>AD22+AD23</f>
        <v>2.5</v>
      </c>
      <c r="AE21" s="159">
        <v>83</v>
      </c>
      <c r="AF21" s="153">
        <f>AF22+AF23</f>
        <v>10.5</v>
      </c>
      <c r="AG21" s="159">
        <v>85</v>
      </c>
      <c r="AH21" s="58">
        <f>AH22+AH23</f>
        <v>7.5</v>
      </c>
      <c r="AI21" s="159">
        <v>86</v>
      </c>
      <c r="AJ21" s="58">
        <f>AJ22+AJ23</f>
        <v>10</v>
      </c>
      <c r="AK21" s="48">
        <v>86</v>
      </c>
      <c r="AL21" s="58">
        <f>AL22+AL23</f>
        <v>9.5</v>
      </c>
      <c r="AM21" s="52">
        <f>D21+H21+N21+X21+Z21+AF21+P21+R21+T21+V21</f>
        <v>155.5</v>
      </c>
      <c r="AN21" s="156">
        <f t="shared" si="0"/>
        <v>11.705882352941176</v>
      </c>
    </row>
    <row r="22" spans="1:40" outlineLevel="1" collapsed="1" x14ac:dyDescent="0.2">
      <c r="B22" s="63" t="s">
        <v>31</v>
      </c>
      <c r="C22" s="48">
        <v>32</v>
      </c>
      <c r="D22" s="58">
        <v>7</v>
      </c>
      <c r="E22" s="48">
        <v>28</v>
      </c>
      <c r="F22" s="58">
        <v>5</v>
      </c>
      <c r="G22" s="48">
        <v>32</v>
      </c>
      <c r="H22" s="58">
        <v>10.5</v>
      </c>
      <c r="I22" s="48">
        <v>26</v>
      </c>
      <c r="J22" s="58">
        <v>1</v>
      </c>
      <c r="K22" s="48">
        <v>24</v>
      </c>
      <c r="L22" s="58">
        <v>1</v>
      </c>
      <c r="M22" s="48">
        <v>35</v>
      </c>
      <c r="N22" s="58">
        <v>8.5</v>
      </c>
      <c r="O22" s="48">
        <v>39</v>
      </c>
      <c r="P22" s="58">
        <v>11</v>
      </c>
      <c r="Q22" s="48">
        <v>36</v>
      </c>
      <c r="R22" s="58">
        <v>7.5</v>
      </c>
      <c r="S22" s="159">
        <v>32</v>
      </c>
      <c r="T22" s="58">
        <v>5</v>
      </c>
      <c r="U22" s="159">
        <v>43</v>
      </c>
      <c r="V22" s="58">
        <v>12</v>
      </c>
      <c r="W22" s="159">
        <v>34</v>
      </c>
      <c r="X22" s="58">
        <v>6</v>
      </c>
      <c r="Y22" s="159">
        <v>36</v>
      </c>
      <c r="Z22" s="58">
        <v>9</v>
      </c>
      <c r="AA22" s="159">
        <v>24</v>
      </c>
      <c r="AB22" s="58">
        <v>3</v>
      </c>
      <c r="AC22" s="159">
        <v>30</v>
      </c>
      <c r="AD22" s="58">
        <v>1.5</v>
      </c>
      <c r="AE22" s="159">
        <v>31</v>
      </c>
      <c r="AF22" s="58">
        <v>3.5</v>
      </c>
      <c r="AG22" s="159">
        <v>28</v>
      </c>
      <c r="AH22" s="58">
        <v>3.5</v>
      </c>
      <c r="AI22" s="159">
        <v>30</v>
      </c>
      <c r="AJ22" s="58">
        <v>3</v>
      </c>
      <c r="AK22" s="48">
        <v>28</v>
      </c>
      <c r="AL22" s="58">
        <v>4</v>
      </c>
      <c r="AM22" s="41">
        <f>AVERAGE(C22,E22,G22,I22,K22,M22,O22,Q22,S22,U22,W22,Y22,AA22,AC22,AE22,AG22,AI22)</f>
        <v>31.764705882352942</v>
      </c>
      <c r="AN22" s="156">
        <f t="shared" si="0"/>
        <v>5.7647058823529411</v>
      </c>
    </row>
    <row r="23" spans="1:40" outlineLevel="1" x14ac:dyDescent="0.2">
      <c r="A23" s="47"/>
      <c r="B23" s="64" t="s">
        <v>5</v>
      </c>
      <c r="C23" s="60">
        <v>-8</v>
      </c>
      <c r="D23" s="61">
        <v>3</v>
      </c>
      <c r="E23" s="60">
        <v>-24</v>
      </c>
      <c r="F23" s="61">
        <v>4</v>
      </c>
      <c r="G23" s="60">
        <v>13</v>
      </c>
      <c r="H23" s="61">
        <v>10</v>
      </c>
      <c r="I23" s="60">
        <v>-46</v>
      </c>
      <c r="J23" s="61">
        <v>2</v>
      </c>
      <c r="K23" s="60">
        <v>-10</v>
      </c>
      <c r="L23" s="61">
        <v>3.5</v>
      </c>
      <c r="M23" s="60">
        <v>34</v>
      </c>
      <c r="N23" s="61">
        <v>11</v>
      </c>
      <c r="O23" s="60">
        <v>22</v>
      </c>
      <c r="P23" s="61">
        <v>9</v>
      </c>
      <c r="Q23" s="60">
        <v>2</v>
      </c>
      <c r="R23" s="61">
        <v>6.5</v>
      </c>
      <c r="S23" s="158">
        <v>1</v>
      </c>
      <c r="T23" s="61">
        <v>7.5</v>
      </c>
      <c r="U23" s="158">
        <v>13</v>
      </c>
      <c r="V23" s="61">
        <v>10</v>
      </c>
      <c r="W23" s="158">
        <v>-7</v>
      </c>
      <c r="X23" s="61">
        <v>4</v>
      </c>
      <c r="Y23" s="158">
        <v>1</v>
      </c>
      <c r="Z23" s="61">
        <v>7.5</v>
      </c>
      <c r="AA23" s="158">
        <v>-26</v>
      </c>
      <c r="AB23" s="61">
        <v>4</v>
      </c>
      <c r="AC23" s="158">
        <v>-27</v>
      </c>
      <c r="AD23" s="61">
        <v>1</v>
      </c>
      <c r="AE23" s="158">
        <v>8</v>
      </c>
      <c r="AF23" s="61">
        <v>7</v>
      </c>
      <c r="AG23" s="158">
        <v>-26</v>
      </c>
      <c r="AH23" s="61">
        <v>4</v>
      </c>
      <c r="AI23" s="158">
        <v>1</v>
      </c>
      <c r="AJ23" s="61">
        <v>7</v>
      </c>
      <c r="AK23" s="60">
        <v>-5</v>
      </c>
      <c r="AL23" s="61">
        <v>5.5</v>
      </c>
      <c r="AM23" s="125">
        <f>C23+E23+G23+I23+K23+M23+O23+Q23+S23+U23+W23+Y23+AA23+AC23+AE23+AG23+AI23</f>
        <v>-79</v>
      </c>
      <c r="AN23" s="157">
        <f t="shared" si="0"/>
        <v>5.9411764705882355</v>
      </c>
    </row>
    <row r="24" spans="1:40" x14ac:dyDescent="0.2">
      <c r="A24" s="45">
        <v>7</v>
      </c>
      <c r="B24" s="40" t="s">
        <v>73</v>
      </c>
      <c r="C24" s="48">
        <v>93</v>
      </c>
      <c r="D24" s="153">
        <f>D25+D26</f>
        <v>23</v>
      </c>
      <c r="E24" s="48">
        <v>93</v>
      </c>
      <c r="F24" s="153">
        <f>F25+F26</f>
        <v>18</v>
      </c>
      <c r="G24" s="48">
        <v>104</v>
      </c>
      <c r="H24" s="58">
        <f>H25+H26</f>
        <v>3</v>
      </c>
      <c r="I24" s="48">
        <v>88</v>
      </c>
      <c r="J24" s="153">
        <f>J25+J26</f>
        <v>17.5</v>
      </c>
      <c r="K24" s="48">
        <v>99</v>
      </c>
      <c r="L24" s="153">
        <f>L25+L26</f>
        <v>14</v>
      </c>
      <c r="M24" s="48">
        <v>92</v>
      </c>
      <c r="N24" s="58">
        <f>N25+N26</f>
        <v>10.5</v>
      </c>
      <c r="O24" s="48">
        <v>91</v>
      </c>
      <c r="P24" s="153">
        <f>P25+P26</f>
        <v>15</v>
      </c>
      <c r="Q24" s="48">
        <v>93</v>
      </c>
      <c r="R24" s="153">
        <f>R25+R26</f>
        <v>12.5</v>
      </c>
      <c r="S24" s="159">
        <v>99</v>
      </c>
      <c r="T24" s="153">
        <f>T25+T26</f>
        <v>13</v>
      </c>
      <c r="U24" s="159">
        <v>94</v>
      </c>
      <c r="V24" s="58">
        <f>V25+V26</f>
        <v>8</v>
      </c>
      <c r="W24" s="159"/>
      <c r="X24" s="58"/>
      <c r="Y24" s="159">
        <v>93</v>
      </c>
      <c r="Z24" s="153">
        <f>Z25+Z26</f>
        <v>11.5</v>
      </c>
      <c r="AA24" s="159"/>
      <c r="AB24" s="58"/>
      <c r="AC24" s="159"/>
      <c r="AD24" s="58"/>
      <c r="AE24" s="159">
        <v>97</v>
      </c>
      <c r="AF24" s="58">
        <f>AF25+AF26</f>
        <v>7.5</v>
      </c>
      <c r="AG24" s="159">
        <v>87</v>
      </c>
      <c r="AH24" s="153">
        <f>AH25+AH26</f>
        <v>14.5</v>
      </c>
      <c r="AI24" s="159"/>
      <c r="AJ24" s="58"/>
      <c r="AK24" s="48">
        <v>97</v>
      </c>
      <c r="AL24" s="153">
        <f>AL25+AL26</f>
        <v>14.5</v>
      </c>
      <c r="AM24" s="52">
        <f>D24+F24+J24+L24+X24+Z24+AD24+AB24+P24+R24+T24+AH24+AJ24+AL24</f>
        <v>153.5</v>
      </c>
      <c r="AN24" s="156">
        <f t="shared" si="0"/>
        <v>12.923076923076923</v>
      </c>
    </row>
    <row r="25" spans="1:40" outlineLevel="1" x14ac:dyDescent="0.2">
      <c r="B25" s="63" t="s">
        <v>31</v>
      </c>
      <c r="C25" s="48">
        <v>37</v>
      </c>
      <c r="D25" s="58">
        <v>12</v>
      </c>
      <c r="E25" s="48">
        <v>35</v>
      </c>
      <c r="F25" s="58">
        <v>9</v>
      </c>
      <c r="G25" s="48">
        <v>21</v>
      </c>
      <c r="H25" s="58">
        <v>1</v>
      </c>
      <c r="I25" s="48">
        <v>34</v>
      </c>
      <c r="J25" s="58">
        <v>8</v>
      </c>
      <c r="K25" s="48">
        <v>31</v>
      </c>
      <c r="L25" s="58">
        <v>4</v>
      </c>
      <c r="M25" s="48">
        <v>33</v>
      </c>
      <c r="N25" s="58">
        <v>5.5</v>
      </c>
      <c r="O25" s="48">
        <v>31</v>
      </c>
      <c r="P25" s="58">
        <v>3</v>
      </c>
      <c r="Q25" s="48">
        <v>37</v>
      </c>
      <c r="R25" s="58">
        <v>9</v>
      </c>
      <c r="S25" s="159">
        <v>31</v>
      </c>
      <c r="T25" s="58">
        <v>4</v>
      </c>
      <c r="U25" s="159">
        <v>31</v>
      </c>
      <c r="V25" s="58">
        <v>1</v>
      </c>
      <c r="W25" s="159"/>
      <c r="X25" s="58"/>
      <c r="Y25" s="159">
        <v>34</v>
      </c>
      <c r="Z25" s="58">
        <v>5.5</v>
      </c>
      <c r="AA25" s="159"/>
      <c r="AB25" s="58"/>
      <c r="AC25" s="159"/>
      <c r="AD25" s="58"/>
      <c r="AE25" s="159">
        <v>31</v>
      </c>
      <c r="AF25" s="58">
        <v>3.5</v>
      </c>
      <c r="AG25" s="159">
        <v>37</v>
      </c>
      <c r="AH25" s="58">
        <v>9.5</v>
      </c>
      <c r="AI25" s="159"/>
      <c r="AJ25" s="58"/>
      <c r="AK25" s="48">
        <v>30</v>
      </c>
      <c r="AL25" s="58">
        <v>5.5</v>
      </c>
      <c r="AM25" s="41">
        <f>AVERAGE(C25,E25,G25,I25,K25,M25,O25,Q25,S25,U25,W25,Y25,AA25,AC25,AE25,AG25,AI25)</f>
        <v>32.53846153846154</v>
      </c>
      <c r="AN25" s="156">
        <f t="shared" si="0"/>
        <v>5.7692307692307692</v>
      </c>
    </row>
    <row r="26" spans="1:40" outlineLevel="1" collapsed="1" x14ac:dyDescent="0.2">
      <c r="A26" s="47"/>
      <c r="B26" s="64" t="s">
        <v>5</v>
      </c>
      <c r="C26" s="60">
        <v>10</v>
      </c>
      <c r="D26" s="61">
        <v>11</v>
      </c>
      <c r="E26" s="60">
        <v>26</v>
      </c>
      <c r="F26" s="61">
        <v>9</v>
      </c>
      <c r="G26" s="60">
        <v>-17</v>
      </c>
      <c r="H26" s="61">
        <v>2</v>
      </c>
      <c r="I26" s="60">
        <v>24</v>
      </c>
      <c r="J26" s="61">
        <v>9.5</v>
      </c>
      <c r="K26" s="60">
        <v>11</v>
      </c>
      <c r="L26" s="61">
        <v>10</v>
      </c>
      <c r="M26" s="60">
        <v>4</v>
      </c>
      <c r="N26" s="61">
        <v>5</v>
      </c>
      <c r="O26" s="60">
        <v>31</v>
      </c>
      <c r="P26" s="61">
        <v>12</v>
      </c>
      <c r="Q26" s="60">
        <v>-16</v>
      </c>
      <c r="R26" s="61">
        <v>3.5</v>
      </c>
      <c r="S26" s="158">
        <v>13</v>
      </c>
      <c r="T26" s="61">
        <v>9</v>
      </c>
      <c r="U26" s="158">
        <v>3</v>
      </c>
      <c r="V26" s="61">
        <v>7</v>
      </c>
      <c r="W26" s="158"/>
      <c r="X26" s="61"/>
      <c r="Y26" s="158">
        <v>-2</v>
      </c>
      <c r="Z26" s="61">
        <v>6</v>
      </c>
      <c r="AA26" s="158"/>
      <c r="AB26" s="61"/>
      <c r="AC26" s="158"/>
      <c r="AD26" s="61"/>
      <c r="AE26" s="158">
        <v>-31</v>
      </c>
      <c r="AF26" s="61">
        <v>4</v>
      </c>
      <c r="AG26" s="158">
        <v>0</v>
      </c>
      <c r="AH26" s="61">
        <v>5</v>
      </c>
      <c r="AI26" s="158"/>
      <c r="AJ26" s="61"/>
      <c r="AK26" s="60">
        <v>19</v>
      </c>
      <c r="AL26" s="61">
        <v>9</v>
      </c>
      <c r="AM26" s="125">
        <f>C26+E26+G26+I26+K26+M26+O26+Q26+S26+U26+W26+Y26+AA26+AC26+AE26+AG26+AI26</f>
        <v>56</v>
      </c>
      <c r="AN26" s="157">
        <f t="shared" si="0"/>
        <v>7.1538461538461542</v>
      </c>
    </row>
    <row r="27" spans="1:40" x14ac:dyDescent="0.2">
      <c r="A27" s="45">
        <v>8</v>
      </c>
      <c r="B27" s="150" t="s">
        <v>107</v>
      </c>
      <c r="C27" s="48">
        <v>82</v>
      </c>
      <c r="D27" s="153">
        <f>D28+D29</f>
        <v>16</v>
      </c>
      <c r="E27" s="48"/>
      <c r="F27" s="58"/>
      <c r="G27" s="48"/>
      <c r="H27" s="58"/>
      <c r="I27" s="48">
        <v>77</v>
      </c>
      <c r="J27" s="153">
        <f>J28+J29</f>
        <v>13</v>
      </c>
      <c r="K27" s="48">
        <v>85</v>
      </c>
      <c r="L27" s="153">
        <f>L28+L29</f>
        <v>12</v>
      </c>
      <c r="M27" s="48">
        <v>84</v>
      </c>
      <c r="N27" s="58">
        <f>N28+N29</f>
        <v>6</v>
      </c>
      <c r="O27" s="48">
        <v>78</v>
      </c>
      <c r="P27" s="153">
        <f>P28+P29</f>
        <v>17.5</v>
      </c>
      <c r="Q27" s="48">
        <v>87</v>
      </c>
      <c r="R27" s="58">
        <f>R28+R29</f>
        <v>10</v>
      </c>
      <c r="S27" s="159">
        <v>90</v>
      </c>
      <c r="T27" s="58">
        <f>T28+T29</f>
        <v>7</v>
      </c>
      <c r="U27" s="159">
        <v>80</v>
      </c>
      <c r="V27" s="153">
        <f>V28+V29</f>
        <v>20</v>
      </c>
      <c r="W27" s="159">
        <v>86</v>
      </c>
      <c r="X27" s="153">
        <f>X28+X29</f>
        <v>15</v>
      </c>
      <c r="Y27" s="159"/>
      <c r="Z27" s="58"/>
      <c r="AA27" s="159"/>
      <c r="AB27" s="58"/>
      <c r="AC27" s="159">
        <v>86</v>
      </c>
      <c r="AD27" s="58">
        <f>AD28+AD29</f>
        <v>10</v>
      </c>
      <c r="AE27" s="159">
        <v>80</v>
      </c>
      <c r="AF27" s="153">
        <f>AF28+AF29</f>
        <v>15</v>
      </c>
      <c r="AG27" s="159">
        <v>79</v>
      </c>
      <c r="AH27" s="153">
        <f>AH28+AH29</f>
        <v>17</v>
      </c>
      <c r="AI27" s="159">
        <v>82</v>
      </c>
      <c r="AJ27" s="153">
        <f>AJ28+AJ29</f>
        <v>12.5</v>
      </c>
      <c r="AK27" s="48">
        <v>85</v>
      </c>
      <c r="AL27" s="153">
        <f>AL28+AL29</f>
        <v>11</v>
      </c>
      <c r="AM27" s="52">
        <f>D27+F27+H27+J27+L27+X27+Z27+AF27+AB27+P27+V27+AH27+AJ27+AL27</f>
        <v>149</v>
      </c>
      <c r="AN27" s="156">
        <f t="shared" si="0"/>
        <v>13.153846153846153</v>
      </c>
    </row>
    <row r="28" spans="1:40" outlineLevel="1" x14ac:dyDescent="0.2">
      <c r="B28" s="63" t="s">
        <v>31</v>
      </c>
      <c r="C28" s="48">
        <v>36</v>
      </c>
      <c r="D28" s="58">
        <v>11</v>
      </c>
      <c r="E28" s="48"/>
      <c r="F28" s="58"/>
      <c r="G28" s="48"/>
      <c r="H28" s="58"/>
      <c r="I28" s="48">
        <v>36</v>
      </c>
      <c r="J28" s="58">
        <v>9.5</v>
      </c>
      <c r="K28" s="48">
        <v>34</v>
      </c>
      <c r="L28" s="58">
        <v>10</v>
      </c>
      <c r="M28" s="48">
        <v>31</v>
      </c>
      <c r="N28" s="58">
        <v>4</v>
      </c>
      <c r="O28" s="48">
        <v>34</v>
      </c>
      <c r="P28" s="58">
        <v>6.5</v>
      </c>
      <c r="Q28" s="48">
        <v>33</v>
      </c>
      <c r="R28" s="58">
        <v>5</v>
      </c>
      <c r="S28" s="159">
        <v>29</v>
      </c>
      <c r="T28" s="58">
        <v>3</v>
      </c>
      <c r="U28" s="159">
        <v>37</v>
      </c>
      <c r="V28" s="58">
        <v>9</v>
      </c>
      <c r="W28" s="159">
        <v>34</v>
      </c>
      <c r="X28" s="58">
        <v>6</v>
      </c>
      <c r="Y28" s="159"/>
      <c r="Z28" s="58"/>
      <c r="AA28" s="159"/>
      <c r="AB28" s="58"/>
      <c r="AC28" s="159">
        <v>33</v>
      </c>
      <c r="AD28" s="58">
        <v>4</v>
      </c>
      <c r="AE28" s="159">
        <v>37</v>
      </c>
      <c r="AF28" s="58">
        <v>9</v>
      </c>
      <c r="AG28" s="159">
        <v>35</v>
      </c>
      <c r="AH28" s="58">
        <v>8</v>
      </c>
      <c r="AI28" s="159">
        <v>35</v>
      </c>
      <c r="AJ28" s="58">
        <v>6.5</v>
      </c>
      <c r="AK28" s="48">
        <v>30</v>
      </c>
      <c r="AL28" s="58">
        <v>5.5</v>
      </c>
      <c r="AM28" s="41">
        <f>AVERAGE(C28,E28,G28,I28,K28,M28,O28,Q28,S28,U28,W28,Y28,AA28,AC28,AE28,AG28,AI28)</f>
        <v>34.153846153846153</v>
      </c>
      <c r="AN28" s="156">
        <f t="shared" si="0"/>
        <v>7.0384615384615383</v>
      </c>
    </row>
    <row r="29" spans="1:40" outlineLevel="1" x14ac:dyDescent="0.2">
      <c r="A29" s="47"/>
      <c r="B29" s="64" t="s">
        <v>5</v>
      </c>
      <c r="C29" s="60">
        <v>-4</v>
      </c>
      <c r="D29" s="61">
        <v>5</v>
      </c>
      <c r="E29" s="60"/>
      <c r="F29" s="61"/>
      <c r="G29" s="60"/>
      <c r="H29" s="61"/>
      <c r="I29" s="60">
        <v>-4</v>
      </c>
      <c r="J29" s="61">
        <v>3.5</v>
      </c>
      <c r="K29" s="60">
        <v>-19</v>
      </c>
      <c r="L29" s="61">
        <v>2</v>
      </c>
      <c r="M29" s="60">
        <v>-49</v>
      </c>
      <c r="N29" s="61">
        <v>2</v>
      </c>
      <c r="O29" s="60">
        <v>28</v>
      </c>
      <c r="P29" s="61">
        <v>11</v>
      </c>
      <c r="Q29" s="60">
        <v>-12</v>
      </c>
      <c r="R29" s="61">
        <v>5</v>
      </c>
      <c r="S29" s="158">
        <v>-13</v>
      </c>
      <c r="T29" s="61">
        <v>4</v>
      </c>
      <c r="U29" s="158">
        <v>15</v>
      </c>
      <c r="V29" s="61">
        <v>11</v>
      </c>
      <c r="W29" s="158">
        <v>9</v>
      </c>
      <c r="X29" s="61">
        <v>9</v>
      </c>
      <c r="Y29" s="158"/>
      <c r="Z29" s="61"/>
      <c r="AA29" s="158"/>
      <c r="AB29" s="61"/>
      <c r="AC29" s="158">
        <v>-2</v>
      </c>
      <c r="AD29" s="61">
        <v>6</v>
      </c>
      <c r="AE29" s="158">
        <v>1</v>
      </c>
      <c r="AF29" s="61">
        <v>6</v>
      </c>
      <c r="AG29" s="158">
        <v>16</v>
      </c>
      <c r="AH29" s="61">
        <v>9</v>
      </c>
      <c r="AI29" s="158">
        <v>-3</v>
      </c>
      <c r="AJ29" s="61">
        <v>6</v>
      </c>
      <c r="AK29" s="60">
        <v>-5</v>
      </c>
      <c r="AL29" s="61">
        <v>5.5</v>
      </c>
      <c r="AM29" s="125">
        <f>C29+E29+G29+I29+K29+M29+O29+Q29+S29+U29+W29+Y29+AA29+AC29+AE29+AG29+AI29</f>
        <v>-37</v>
      </c>
      <c r="AN29" s="157">
        <f t="shared" si="0"/>
        <v>6.115384615384615</v>
      </c>
    </row>
    <row r="30" spans="1:40" x14ac:dyDescent="0.2">
      <c r="A30" s="45">
        <v>9</v>
      </c>
      <c r="B30" s="40" t="s">
        <v>34</v>
      </c>
      <c r="C30" s="48">
        <v>87</v>
      </c>
      <c r="D30" s="58">
        <f>D31+D32</f>
        <v>3</v>
      </c>
      <c r="E30" s="48"/>
      <c r="F30" s="58"/>
      <c r="G30" s="48">
        <v>82</v>
      </c>
      <c r="H30" s="153">
        <f>H31+H32</f>
        <v>10.5</v>
      </c>
      <c r="I30" s="48"/>
      <c r="J30" s="58"/>
      <c r="K30" s="48">
        <v>80</v>
      </c>
      <c r="L30" s="153">
        <f>L31+L32</f>
        <v>20</v>
      </c>
      <c r="M30" s="48">
        <v>87</v>
      </c>
      <c r="N30" s="58">
        <f>N31+N32</f>
        <v>2</v>
      </c>
      <c r="O30" s="48">
        <v>80</v>
      </c>
      <c r="P30" s="58">
        <f>P31+P32</f>
        <v>6</v>
      </c>
      <c r="Q30" s="48"/>
      <c r="R30" s="58"/>
      <c r="S30" s="159">
        <v>76</v>
      </c>
      <c r="T30" s="153">
        <f>T31+T32</f>
        <v>12</v>
      </c>
      <c r="U30" s="159">
        <v>77</v>
      </c>
      <c r="V30" s="153">
        <f>V31+V32</f>
        <v>15.5</v>
      </c>
      <c r="W30" s="159">
        <v>77</v>
      </c>
      <c r="X30" s="153">
        <f>X31+X32</f>
        <v>16</v>
      </c>
      <c r="Y30" s="159">
        <v>76</v>
      </c>
      <c r="Z30" s="153">
        <f>Z31+Z32</f>
        <v>21</v>
      </c>
      <c r="AA30" s="159">
        <v>69</v>
      </c>
      <c r="AB30" s="153">
        <f>AB31+AB32</f>
        <v>17.5</v>
      </c>
      <c r="AC30" s="159">
        <v>81</v>
      </c>
      <c r="AD30" s="153">
        <f>AD31+AD32</f>
        <v>7</v>
      </c>
      <c r="AE30" s="159"/>
      <c r="AF30" s="58"/>
      <c r="AG30" s="159"/>
      <c r="AH30" s="58"/>
      <c r="AI30" s="159">
        <v>80</v>
      </c>
      <c r="AJ30" s="153">
        <f>AJ31+AJ32</f>
        <v>8</v>
      </c>
      <c r="AK30" s="48">
        <v>75</v>
      </c>
      <c r="AL30" s="153">
        <f>AL31+AL32</f>
        <v>19.5</v>
      </c>
      <c r="AM30" s="52">
        <f>F30+H30+J30+L30+X30+Z30+AD30+AF30+AB30+R30+T30+V30+AH30+AJ30+AL30</f>
        <v>147</v>
      </c>
      <c r="AN30" s="156">
        <f t="shared" si="0"/>
        <v>11.541666666666666</v>
      </c>
    </row>
    <row r="31" spans="1:40" outlineLevel="1" x14ac:dyDescent="0.2">
      <c r="B31" s="63" t="s">
        <v>31</v>
      </c>
      <c r="C31" s="48">
        <v>26</v>
      </c>
      <c r="D31" s="58">
        <v>2</v>
      </c>
      <c r="E31" s="48"/>
      <c r="F31" s="58"/>
      <c r="G31" s="48">
        <v>28</v>
      </c>
      <c r="H31" s="58">
        <v>3</v>
      </c>
      <c r="I31" s="48"/>
      <c r="J31" s="58"/>
      <c r="K31" s="48">
        <v>36</v>
      </c>
      <c r="L31" s="58">
        <v>11</v>
      </c>
      <c r="M31" s="48">
        <v>24</v>
      </c>
      <c r="N31" s="58">
        <v>1</v>
      </c>
      <c r="O31" s="48">
        <v>30</v>
      </c>
      <c r="P31" s="58">
        <v>2</v>
      </c>
      <c r="Q31" s="48"/>
      <c r="R31" s="58"/>
      <c r="S31" s="159">
        <v>39</v>
      </c>
      <c r="T31" s="58">
        <v>9</v>
      </c>
      <c r="U31" s="159">
        <v>34</v>
      </c>
      <c r="V31" s="58">
        <v>3.5</v>
      </c>
      <c r="W31" s="159">
        <v>38</v>
      </c>
      <c r="X31" s="58">
        <v>9</v>
      </c>
      <c r="Y31" s="159">
        <v>37</v>
      </c>
      <c r="Z31" s="58">
        <v>11</v>
      </c>
      <c r="AA31" s="159">
        <v>42</v>
      </c>
      <c r="AB31" s="58">
        <v>10</v>
      </c>
      <c r="AC31" s="159">
        <v>33</v>
      </c>
      <c r="AD31" s="58">
        <v>4</v>
      </c>
      <c r="AE31" s="159"/>
      <c r="AF31" s="58"/>
      <c r="AG31" s="159"/>
      <c r="AH31" s="58"/>
      <c r="AI31" s="159">
        <v>33</v>
      </c>
      <c r="AJ31" s="58">
        <v>5</v>
      </c>
      <c r="AK31" s="48">
        <v>37</v>
      </c>
      <c r="AL31" s="58">
        <v>11.5</v>
      </c>
      <c r="AM31" s="41">
        <f>AVERAGE(C31,E31,G31,I31,K31,M31,O31,Q31,S31,U31,W31,Y31,AA31,AC31,AE31,AG31,AI31)</f>
        <v>33.333333333333336</v>
      </c>
      <c r="AN31" s="156">
        <f t="shared" si="0"/>
        <v>5.875</v>
      </c>
    </row>
    <row r="32" spans="1:40" outlineLevel="1" x14ac:dyDescent="0.2">
      <c r="A32" s="47"/>
      <c r="B32" s="64" t="s">
        <v>5</v>
      </c>
      <c r="C32" s="60">
        <v>-34</v>
      </c>
      <c r="D32" s="61">
        <v>1</v>
      </c>
      <c r="E32" s="60"/>
      <c r="F32" s="61"/>
      <c r="G32" s="60">
        <v>8</v>
      </c>
      <c r="H32" s="61">
        <v>7.5</v>
      </c>
      <c r="I32" s="60"/>
      <c r="J32" s="61"/>
      <c r="K32" s="60">
        <v>10</v>
      </c>
      <c r="L32" s="61">
        <v>9</v>
      </c>
      <c r="M32" s="60">
        <v>-54</v>
      </c>
      <c r="N32" s="61">
        <v>1</v>
      </c>
      <c r="O32" s="60">
        <v>-10</v>
      </c>
      <c r="P32" s="61">
        <v>4</v>
      </c>
      <c r="Q32" s="60"/>
      <c r="R32" s="61"/>
      <c r="S32" s="158">
        <v>-21</v>
      </c>
      <c r="T32" s="61">
        <v>3</v>
      </c>
      <c r="U32" s="158">
        <v>17</v>
      </c>
      <c r="V32" s="61">
        <v>12</v>
      </c>
      <c r="W32" s="158">
        <v>1</v>
      </c>
      <c r="X32" s="61">
        <v>7</v>
      </c>
      <c r="Y32" s="158">
        <v>9</v>
      </c>
      <c r="Z32" s="61">
        <v>10</v>
      </c>
      <c r="AA32" s="158">
        <v>12</v>
      </c>
      <c r="AB32" s="61">
        <v>7.5</v>
      </c>
      <c r="AC32" s="158">
        <v>-18</v>
      </c>
      <c r="AD32" s="61">
        <v>3</v>
      </c>
      <c r="AE32" s="158"/>
      <c r="AF32" s="61"/>
      <c r="AG32" s="158"/>
      <c r="AH32" s="61"/>
      <c r="AI32" s="158">
        <v>-29</v>
      </c>
      <c r="AJ32" s="61">
        <v>3</v>
      </c>
      <c r="AK32" s="60">
        <v>17</v>
      </c>
      <c r="AL32" s="61">
        <v>8</v>
      </c>
      <c r="AM32" s="125">
        <f>C32+E32+G32+I32+K32+M32+O32+Q32+S32+U32+W32+Y32+AA32+AC32+AE32+AG32+AI32</f>
        <v>-109</v>
      </c>
      <c r="AN32" s="157">
        <f t="shared" si="0"/>
        <v>5.666666666666667</v>
      </c>
    </row>
    <row r="33" spans="1:40" x14ac:dyDescent="0.2">
      <c r="A33" s="108">
        <v>10</v>
      </c>
      <c r="B33" s="40" t="s">
        <v>2</v>
      </c>
      <c r="C33" s="48">
        <v>96</v>
      </c>
      <c r="D33" s="58">
        <f>D34+D35</f>
        <v>7</v>
      </c>
      <c r="E33" s="48">
        <v>95</v>
      </c>
      <c r="F33" s="153">
        <f>F34+F35</f>
        <v>13.5</v>
      </c>
      <c r="G33" s="48">
        <v>93</v>
      </c>
      <c r="H33" s="153">
        <f>H34+H35</f>
        <v>20.5</v>
      </c>
      <c r="I33" s="48">
        <v>87</v>
      </c>
      <c r="J33" s="153">
        <f>J34+J35</f>
        <v>11.5</v>
      </c>
      <c r="K33" s="48">
        <v>96</v>
      </c>
      <c r="L33" s="153">
        <f>L34+L35</f>
        <v>10</v>
      </c>
      <c r="M33" s="48">
        <v>87</v>
      </c>
      <c r="N33" s="153">
        <f>N34+N35</f>
        <v>13.5</v>
      </c>
      <c r="O33" s="48">
        <v>80</v>
      </c>
      <c r="P33" s="153">
        <f>P34+P35</f>
        <v>13</v>
      </c>
      <c r="Q33" s="48"/>
      <c r="R33" s="58"/>
      <c r="S33" s="159">
        <v>90</v>
      </c>
      <c r="T33" s="153">
        <f>T34+T35</f>
        <v>11</v>
      </c>
      <c r="U33" s="159">
        <v>86</v>
      </c>
      <c r="V33" s="153">
        <f>V34+V35</f>
        <v>12</v>
      </c>
      <c r="W33" s="159"/>
      <c r="X33" s="58"/>
      <c r="Y33" s="159">
        <v>92</v>
      </c>
      <c r="Z33" s="58">
        <f>Z34+Z35</f>
        <v>6</v>
      </c>
      <c r="AA33" s="159"/>
      <c r="AB33" s="58"/>
      <c r="AC33" s="159">
        <v>87</v>
      </c>
      <c r="AD33" s="153">
        <f>AD34+AD35</f>
        <v>20</v>
      </c>
      <c r="AE33" s="159">
        <v>85</v>
      </c>
      <c r="AF33" s="153">
        <f>AF34+AF35</f>
        <v>18.5</v>
      </c>
      <c r="AG33" s="159"/>
      <c r="AH33" s="58"/>
      <c r="AI33" s="159"/>
      <c r="AJ33" s="58"/>
      <c r="AK33" s="48">
        <v>99</v>
      </c>
      <c r="AL33" s="58">
        <f>AL34+AL35</f>
        <v>3</v>
      </c>
      <c r="AM33" s="52">
        <f>F33+H33+J33+L33+N33+X33+AD33+AF33+AB33+P33+R33+T33+V33+AH33+AJ33</f>
        <v>143.5</v>
      </c>
      <c r="AN33" s="156">
        <f t="shared" si="0"/>
        <v>13.041666666666666</v>
      </c>
    </row>
    <row r="34" spans="1:40" outlineLevel="1" x14ac:dyDescent="0.2">
      <c r="B34" s="63" t="s">
        <v>31</v>
      </c>
      <c r="C34" s="48">
        <v>29</v>
      </c>
      <c r="D34" s="58">
        <v>4</v>
      </c>
      <c r="E34" s="48">
        <v>32</v>
      </c>
      <c r="F34" s="58">
        <v>7</v>
      </c>
      <c r="G34" s="48">
        <v>31</v>
      </c>
      <c r="H34" s="58">
        <v>8.5</v>
      </c>
      <c r="I34" s="48">
        <v>31</v>
      </c>
      <c r="J34" s="58">
        <v>5</v>
      </c>
      <c r="K34" s="48">
        <v>31</v>
      </c>
      <c r="L34" s="58">
        <v>4</v>
      </c>
      <c r="M34" s="48">
        <v>34</v>
      </c>
      <c r="N34" s="58">
        <v>7</v>
      </c>
      <c r="O34" s="48">
        <v>40</v>
      </c>
      <c r="P34" s="58">
        <v>12</v>
      </c>
      <c r="Q34" s="48"/>
      <c r="R34" s="58"/>
      <c r="S34" s="159">
        <v>35</v>
      </c>
      <c r="T34" s="58">
        <v>6</v>
      </c>
      <c r="U34" s="159">
        <v>36</v>
      </c>
      <c r="V34" s="58">
        <v>6.5</v>
      </c>
      <c r="W34" s="159"/>
      <c r="X34" s="58"/>
      <c r="Y34" s="159">
        <v>32</v>
      </c>
      <c r="Z34" s="58">
        <v>2</v>
      </c>
      <c r="AA34" s="159"/>
      <c r="AB34" s="58"/>
      <c r="AC34" s="159">
        <v>38</v>
      </c>
      <c r="AD34" s="58">
        <v>9</v>
      </c>
      <c r="AE34" s="159">
        <v>38</v>
      </c>
      <c r="AF34" s="58">
        <v>10</v>
      </c>
      <c r="AG34" s="159"/>
      <c r="AH34" s="58"/>
      <c r="AI34" s="159"/>
      <c r="AJ34" s="58"/>
      <c r="AK34" s="48">
        <v>24</v>
      </c>
      <c r="AL34" s="58">
        <v>1</v>
      </c>
      <c r="AM34" s="41">
        <f>AVERAGE(C34,E34,G34,I34,K34,M34,O34,Q34,S34,U34,W34,Y34,AA34,AC34,AE34,AG34,AI34)</f>
        <v>33.916666666666664</v>
      </c>
      <c r="AN34" s="156">
        <f t="shared" si="0"/>
        <v>6.75</v>
      </c>
    </row>
    <row r="35" spans="1:40" outlineLevel="1" x14ac:dyDescent="0.2">
      <c r="A35" s="47"/>
      <c r="B35" s="64" t="s">
        <v>5</v>
      </c>
      <c r="C35" s="60">
        <v>-8</v>
      </c>
      <c r="D35" s="61">
        <v>3</v>
      </c>
      <c r="E35" s="60">
        <v>0</v>
      </c>
      <c r="F35" s="61">
        <v>6.5</v>
      </c>
      <c r="G35" s="60">
        <v>22</v>
      </c>
      <c r="H35" s="61">
        <v>12</v>
      </c>
      <c r="I35" s="60">
        <v>0</v>
      </c>
      <c r="J35" s="61">
        <v>6.5</v>
      </c>
      <c r="K35" s="60">
        <v>1</v>
      </c>
      <c r="L35" s="61">
        <v>6</v>
      </c>
      <c r="M35" s="60">
        <v>6</v>
      </c>
      <c r="N35" s="61">
        <v>6.5</v>
      </c>
      <c r="O35" s="60">
        <v>-49</v>
      </c>
      <c r="P35" s="61">
        <v>1</v>
      </c>
      <c r="Q35" s="60"/>
      <c r="R35" s="61"/>
      <c r="S35" s="158">
        <v>-5</v>
      </c>
      <c r="T35" s="61">
        <v>5</v>
      </c>
      <c r="U35" s="158">
        <v>-1</v>
      </c>
      <c r="V35" s="61">
        <v>5.5</v>
      </c>
      <c r="W35" s="158"/>
      <c r="X35" s="61"/>
      <c r="Y35" s="158">
        <v>-5</v>
      </c>
      <c r="Z35" s="61">
        <v>4</v>
      </c>
      <c r="AA35" s="158"/>
      <c r="AB35" s="61"/>
      <c r="AC35" s="158">
        <v>23</v>
      </c>
      <c r="AD35" s="61">
        <v>11</v>
      </c>
      <c r="AE35" s="158">
        <v>15</v>
      </c>
      <c r="AF35" s="61">
        <v>8.5</v>
      </c>
      <c r="AG35" s="158"/>
      <c r="AH35" s="61"/>
      <c r="AI35" s="158"/>
      <c r="AJ35" s="61"/>
      <c r="AK35" s="60">
        <v>-31</v>
      </c>
      <c r="AL35" s="61">
        <v>2</v>
      </c>
      <c r="AM35" s="125">
        <f>C35+E35+G35+I35+K35+M35+O35+Q35+S35+U35+W35+Y35+AA35+AC35+AE35+AG35+AI35</f>
        <v>-1</v>
      </c>
      <c r="AN35" s="157">
        <f t="shared" si="0"/>
        <v>6.291666666666667</v>
      </c>
    </row>
    <row r="36" spans="1:40" x14ac:dyDescent="0.2">
      <c r="A36" s="45">
        <v>11</v>
      </c>
      <c r="B36" s="65" t="s">
        <v>33</v>
      </c>
      <c r="C36" s="48">
        <v>105</v>
      </c>
      <c r="D36" s="58">
        <f>D37+D38</f>
        <v>4</v>
      </c>
      <c r="E36" s="48">
        <v>109</v>
      </c>
      <c r="F36" s="58">
        <f>F37+F38</f>
        <v>6</v>
      </c>
      <c r="G36" s="48">
        <v>98</v>
      </c>
      <c r="H36" s="153">
        <f>H37+H38</f>
        <v>7.5</v>
      </c>
      <c r="I36" s="48">
        <v>96</v>
      </c>
      <c r="J36" s="58">
        <f>J37+J38</f>
        <v>5.5</v>
      </c>
      <c r="K36" s="48"/>
      <c r="L36" s="58"/>
      <c r="M36" s="48">
        <v>100</v>
      </c>
      <c r="N36" s="153">
        <f>N37+N38</f>
        <v>12</v>
      </c>
      <c r="O36" s="48">
        <v>86</v>
      </c>
      <c r="P36" s="153">
        <f>P37+P38</f>
        <v>16</v>
      </c>
      <c r="Q36" s="48">
        <v>105</v>
      </c>
      <c r="R36" s="58">
        <f>R37+R38</f>
        <v>6.5</v>
      </c>
      <c r="S36" s="159">
        <v>95</v>
      </c>
      <c r="T36" s="153">
        <f>T37+T38</f>
        <v>13.5</v>
      </c>
      <c r="U36" s="159">
        <v>93</v>
      </c>
      <c r="V36" s="153">
        <f>V37+V38</f>
        <v>11.5</v>
      </c>
      <c r="W36" s="159">
        <v>104</v>
      </c>
      <c r="X36" s="58">
        <f>X37+X38</f>
        <v>4</v>
      </c>
      <c r="Y36" s="159"/>
      <c r="Z36" s="58"/>
      <c r="AA36" s="159">
        <v>96</v>
      </c>
      <c r="AB36" s="153">
        <f>AB37+AB38</f>
        <v>7.5</v>
      </c>
      <c r="AC36" s="159">
        <v>93</v>
      </c>
      <c r="AD36" s="153">
        <f>AD37+AD38</f>
        <v>22.5</v>
      </c>
      <c r="AE36" s="159"/>
      <c r="AF36" s="58"/>
      <c r="AG36" s="159">
        <v>95</v>
      </c>
      <c r="AH36" s="153">
        <f>AH37+AH38</f>
        <v>8</v>
      </c>
      <c r="AI36" s="159">
        <v>101</v>
      </c>
      <c r="AJ36" s="153">
        <f>AJ37+AJ38</f>
        <v>12</v>
      </c>
      <c r="AK36" s="48">
        <v>98</v>
      </c>
      <c r="AL36" s="153">
        <f>AL37+AL38</f>
        <v>13</v>
      </c>
      <c r="AM36" s="52">
        <f>H36+L36+N36+Z36+AD36+AF36+AB36+P36+T36+V36+AH36+AJ36+AL36</f>
        <v>123.5</v>
      </c>
      <c r="AN36" s="156">
        <f t="shared" si="0"/>
        <v>9.75</v>
      </c>
    </row>
    <row r="37" spans="1:40" outlineLevel="1" x14ac:dyDescent="0.2">
      <c r="B37" s="63" t="s">
        <v>31</v>
      </c>
      <c r="C37" s="48">
        <v>25</v>
      </c>
      <c r="D37" s="58">
        <v>1</v>
      </c>
      <c r="E37" s="48">
        <v>22</v>
      </c>
      <c r="F37" s="58">
        <v>3</v>
      </c>
      <c r="G37" s="48">
        <v>29</v>
      </c>
      <c r="H37" s="58">
        <v>4</v>
      </c>
      <c r="I37" s="48">
        <v>28</v>
      </c>
      <c r="J37" s="58">
        <v>2</v>
      </c>
      <c r="K37" s="48"/>
      <c r="L37" s="58"/>
      <c r="M37" s="48">
        <v>27</v>
      </c>
      <c r="N37" s="58">
        <v>2</v>
      </c>
      <c r="O37" s="48">
        <v>38</v>
      </c>
      <c r="P37" s="58">
        <v>10</v>
      </c>
      <c r="Q37" s="48">
        <v>28</v>
      </c>
      <c r="R37" s="58">
        <v>3</v>
      </c>
      <c r="S37" s="159">
        <v>36</v>
      </c>
      <c r="T37" s="58">
        <v>7.5</v>
      </c>
      <c r="U37" s="159">
        <v>34</v>
      </c>
      <c r="V37" s="58">
        <v>3.5</v>
      </c>
      <c r="W37" s="159">
        <v>28</v>
      </c>
      <c r="X37" s="58">
        <v>2</v>
      </c>
      <c r="Y37" s="159"/>
      <c r="Z37" s="58"/>
      <c r="AA37" s="159">
        <v>31</v>
      </c>
      <c r="AB37" s="58">
        <v>4.5</v>
      </c>
      <c r="AC37" s="159">
        <v>39</v>
      </c>
      <c r="AD37" s="58">
        <v>10.5</v>
      </c>
      <c r="AE37" s="159"/>
      <c r="AF37" s="58"/>
      <c r="AG37" s="159">
        <v>31</v>
      </c>
      <c r="AH37" s="58">
        <v>5</v>
      </c>
      <c r="AI37" s="159">
        <v>31</v>
      </c>
      <c r="AJ37" s="58">
        <v>4</v>
      </c>
      <c r="AK37" s="48">
        <v>33</v>
      </c>
      <c r="AL37" s="58">
        <v>9.5</v>
      </c>
      <c r="AM37" s="41">
        <f>AVERAGE(C37,E37,G37,I37,K37,M37,O37,Q37,S37,U37,W37,Y37,AA37,AC37,AE37,AG37,AI37)</f>
        <v>30.5</v>
      </c>
      <c r="AN37" s="156">
        <f t="shared" si="0"/>
        <v>4.4285714285714288</v>
      </c>
    </row>
    <row r="38" spans="1:40" outlineLevel="1" x14ac:dyDescent="0.2">
      <c r="A38" s="47"/>
      <c r="B38" s="64" t="s">
        <v>5</v>
      </c>
      <c r="C38" s="60">
        <v>-8</v>
      </c>
      <c r="D38" s="61">
        <v>3</v>
      </c>
      <c r="E38" s="60">
        <v>-34</v>
      </c>
      <c r="F38" s="61">
        <v>3</v>
      </c>
      <c r="G38" s="60">
        <v>-13</v>
      </c>
      <c r="H38" s="61">
        <v>3.5</v>
      </c>
      <c r="I38" s="60">
        <v>-4</v>
      </c>
      <c r="J38" s="61">
        <v>3.5</v>
      </c>
      <c r="K38" s="60"/>
      <c r="L38" s="61"/>
      <c r="M38" s="60">
        <v>20</v>
      </c>
      <c r="N38" s="61">
        <v>10</v>
      </c>
      <c r="O38" s="60">
        <v>0</v>
      </c>
      <c r="P38" s="61">
        <v>6</v>
      </c>
      <c r="Q38" s="60">
        <v>-16</v>
      </c>
      <c r="R38" s="61">
        <v>3.5</v>
      </c>
      <c r="S38" s="158">
        <v>-1</v>
      </c>
      <c r="T38" s="61">
        <v>6</v>
      </c>
      <c r="U38" s="158">
        <v>5</v>
      </c>
      <c r="V38" s="61">
        <v>8</v>
      </c>
      <c r="W38" s="158">
        <v>-11</v>
      </c>
      <c r="X38" s="61">
        <v>2</v>
      </c>
      <c r="Y38" s="158"/>
      <c r="Z38" s="61"/>
      <c r="AA38" s="158">
        <v>-39</v>
      </c>
      <c r="AB38" s="61">
        <v>3</v>
      </c>
      <c r="AC38" s="158">
        <v>24</v>
      </c>
      <c r="AD38" s="61">
        <v>12</v>
      </c>
      <c r="AE38" s="158"/>
      <c r="AF38" s="61"/>
      <c r="AG38" s="158">
        <v>-34</v>
      </c>
      <c r="AH38" s="61">
        <v>3</v>
      </c>
      <c r="AI38" s="158">
        <v>11</v>
      </c>
      <c r="AJ38" s="61">
        <v>8</v>
      </c>
      <c r="AK38" s="60">
        <v>-9</v>
      </c>
      <c r="AL38" s="61">
        <v>3.5</v>
      </c>
      <c r="AM38" s="125">
        <f>C38+E38+G38+I38+K38+M38+O38+Q38+S38+U38+W38+Y38+AA38+AC38+AE38+AG38+AI38</f>
        <v>-100</v>
      </c>
      <c r="AN38" s="157">
        <f t="shared" si="0"/>
        <v>5.3214285714285712</v>
      </c>
    </row>
    <row r="39" spans="1:40" x14ac:dyDescent="0.2">
      <c r="A39" s="45">
        <v>12</v>
      </c>
      <c r="B39" s="40" t="s">
        <v>8</v>
      </c>
      <c r="C39" s="48"/>
      <c r="D39" s="58"/>
      <c r="E39" s="48"/>
      <c r="F39" s="58"/>
      <c r="G39" s="48">
        <v>85</v>
      </c>
      <c r="H39" s="58">
        <f>H40+H41</f>
        <v>13.5</v>
      </c>
      <c r="I39" s="48">
        <v>84</v>
      </c>
      <c r="J39" s="58">
        <f>J40+J41</f>
        <v>4</v>
      </c>
      <c r="K39" s="48">
        <v>91</v>
      </c>
      <c r="L39" s="58">
        <f>L40+L41</f>
        <v>9</v>
      </c>
      <c r="M39" s="48">
        <v>82</v>
      </c>
      <c r="N39" s="58">
        <f>N40+N41</f>
        <v>12</v>
      </c>
      <c r="O39" s="48">
        <v>80</v>
      </c>
      <c r="P39" s="58">
        <f>P40+P41</f>
        <v>6.5</v>
      </c>
      <c r="Q39" s="48"/>
      <c r="R39" s="58"/>
      <c r="S39" s="48"/>
      <c r="T39" s="58"/>
      <c r="U39" s="48"/>
      <c r="V39" s="58"/>
      <c r="W39" s="159">
        <v>90</v>
      </c>
      <c r="X39" s="58">
        <f>X40+X41</f>
        <v>5</v>
      </c>
      <c r="Y39" s="159">
        <v>85</v>
      </c>
      <c r="Z39" s="58">
        <f>Z40+Z41</f>
        <v>12.5</v>
      </c>
      <c r="AA39" s="48"/>
      <c r="AB39" s="58"/>
      <c r="AC39" s="48"/>
      <c r="AD39" s="58"/>
      <c r="AE39" s="159">
        <v>84</v>
      </c>
      <c r="AF39" s="58">
        <f>AF40+AF41</f>
        <v>16</v>
      </c>
      <c r="AG39" s="48"/>
      <c r="AH39" s="58"/>
      <c r="AI39" s="48"/>
      <c r="AJ39" s="58"/>
      <c r="AK39" s="48">
        <v>92</v>
      </c>
      <c r="AL39" s="58">
        <f>AL40+AL41</f>
        <v>13</v>
      </c>
      <c r="AM39" s="52">
        <f>D39+F39+H39+J39+L39+N39+X39+Z39+AD39+AF39+AB39+P39+R39+T39+V39+AH39+AJ39+AL39</f>
        <v>91.5</v>
      </c>
      <c r="AN39" s="156">
        <f t="shared" si="0"/>
        <v>9.8125</v>
      </c>
    </row>
    <row r="40" spans="1:40" outlineLevel="1" x14ac:dyDescent="0.2">
      <c r="B40" s="63" t="s">
        <v>31</v>
      </c>
      <c r="C40" s="48"/>
      <c r="D40" s="58"/>
      <c r="E40" s="48"/>
      <c r="F40" s="58"/>
      <c r="G40" s="48">
        <v>30</v>
      </c>
      <c r="H40" s="58">
        <v>6</v>
      </c>
      <c r="I40" s="48">
        <v>29</v>
      </c>
      <c r="J40" s="58">
        <v>3</v>
      </c>
      <c r="K40" s="48">
        <v>28</v>
      </c>
      <c r="L40" s="58">
        <v>2</v>
      </c>
      <c r="M40" s="48">
        <v>33</v>
      </c>
      <c r="N40" s="58">
        <v>5.5</v>
      </c>
      <c r="O40" s="48">
        <v>33</v>
      </c>
      <c r="P40" s="58">
        <v>4.5</v>
      </c>
      <c r="Q40" s="48"/>
      <c r="R40" s="58"/>
      <c r="S40" s="48"/>
      <c r="T40" s="58"/>
      <c r="U40" s="48"/>
      <c r="V40" s="58"/>
      <c r="W40" s="159">
        <v>29</v>
      </c>
      <c r="X40" s="58">
        <v>4</v>
      </c>
      <c r="Y40" s="159">
        <v>33</v>
      </c>
      <c r="Z40" s="58">
        <v>3.5</v>
      </c>
      <c r="AA40" s="48"/>
      <c r="AB40" s="58"/>
      <c r="AC40" s="48"/>
      <c r="AD40" s="58"/>
      <c r="AE40" s="159">
        <v>33</v>
      </c>
      <c r="AF40" s="58">
        <v>6</v>
      </c>
      <c r="AG40" s="48"/>
      <c r="AH40" s="58"/>
      <c r="AI40" s="48"/>
      <c r="AJ40" s="58"/>
      <c r="AK40" s="48">
        <v>26</v>
      </c>
      <c r="AL40" s="58">
        <v>2</v>
      </c>
      <c r="AM40" s="41">
        <f>AVERAGE(C40,E40,G40,I40,K40,M40,O40,Q40,S40,U40,W40,Y40,AA40,AC40,AE40,AG40,AI40)</f>
        <v>31</v>
      </c>
      <c r="AN40" s="156">
        <f t="shared" si="0"/>
        <v>4.3125</v>
      </c>
    </row>
    <row r="41" spans="1:40" outlineLevel="1" x14ac:dyDescent="0.2">
      <c r="A41" s="47"/>
      <c r="B41" s="64" t="s">
        <v>5</v>
      </c>
      <c r="C41" s="60"/>
      <c r="D41" s="61"/>
      <c r="E41" s="60"/>
      <c r="F41" s="61"/>
      <c r="G41" s="60">
        <v>8</v>
      </c>
      <c r="H41" s="61">
        <v>7.5</v>
      </c>
      <c r="I41" s="60">
        <v>-58</v>
      </c>
      <c r="J41" s="61">
        <v>1</v>
      </c>
      <c r="K41" s="60">
        <v>6</v>
      </c>
      <c r="L41" s="61">
        <v>7</v>
      </c>
      <c r="M41" s="60">
        <v>6</v>
      </c>
      <c r="N41" s="61">
        <v>6.5</v>
      </c>
      <c r="O41" s="60">
        <v>-40</v>
      </c>
      <c r="P41" s="61">
        <v>2</v>
      </c>
      <c r="Q41" s="60"/>
      <c r="R41" s="61"/>
      <c r="S41" s="60"/>
      <c r="T41" s="61"/>
      <c r="U41" s="60"/>
      <c r="V41" s="61"/>
      <c r="W41" s="158">
        <v>-25</v>
      </c>
      <c r="X41" s="61">
        <v>1</v>
      </c>
      <c r="Y41" s="158">
        <v>4</v>
      </c>
      <c r="Z41" s="61">
        <v>9</v>
      </c>
      <c r="AA41" s="60"/>
      <c r="AB41" s="61"/>
      <c r="AC41" s="60"/>
      <c r="AD41" s="61"/>
      <c r="AE41" s="158">
        <v>26</v>
      </c>
      <c r="AF41" s="61">
        <v>10</v>
      </c>
      <c r="AG41" s="60"/>
      <c r="AH41" s="61"/>
      <c r="AI41" s="60"/>
      <c r="AJ41" s="61"/>
      <c r="AK41" s="60">
        <v>23</v>
      </c>
      <c r="AL41" s="61">
        <v>11</v>
      </c>
      <c r="AM41" s="125">
        <f>C41+E41+G41+I41+K41+M41+O41+Q41+S41+U41+W41+Y41+AA41+AC41+AE41+AG41+AI41</f>
        <v>-73</v>
      </c>
      <c r="AN41" s="157">
        <f t="shared" si="0"/>
        <v>5.5</v>
      </c>
    </row>
    <row r="42" spans="1:40" x14ac:dyDescent="0.2">
      <c r="A42" s="74">
        <v>13</v>
      </c>
      <c r="B42" s="66"/>
      <c r="C42" s="48"/>
      <c r="D42" s="58"/>
      <c r="E42" s="48"/>
      <c r="F42" s="58"/>
      <c r="G42" s="48"/>
      <c r="H42" s="58"/>
      <c r="I42" s="48"/>
      <c r="J42" s="58"/>
      <c r="K42" s="48"/>
      <c r="L42" s="58"/>
      <c r="M42" s="48"/>
      <c r="N42" s="58"/>
      <c r="O42" s="48"/>
      <c r="P42" s="58"/>
      <c r="Q42" s="48"/>
      <c r="R42" s="58"/>
      <c r="S42" s="48"/>
      <c r="T42" s="58"/>
      <c r="U42" s="48"/>
      <c r="V42" s="58"/>
      <c r="W42" s="48"/>
      <c r="X42" s="58"/>
      <c r="Y42" s="48"/>
      <c r="Z42" s="58"/>
      <c r="AA42" s="48"/>
      <c r="AB42" s="58"/>
      <c r="AC42" s="48"/>
      <c r="AD42" s="58"/>
      <c r="AE42" s="48"/>
      <c r="AF42" s="58"/>
      <c r="AG42" s="48"/>
      <c r="AH42" s="58"/>
      <c r="AI42" s="48"/>
      <c r="AJ42" s="58"/>
      <c r="AK42" s="48"/>
      <c r="AL42" s="58"/>
      <c r="AM42" s="52" t="e">
        <f>D42+F42+H42+J42+L42+N42+X42+Z42+AD42+AF42+AB42+P42+R42+T42+V42+AH42+AJ42+AL42+#REF!</f>
        <v>#REF!</v>
      </c>
      <c r="AN42" s="156"/>
    </row>
    <row r="43" spans="1:40" outlineLevel="1" x14ac:dyDescent="0.2">
      <c r="A43" s="74"/>
      <c r="B43" s="63" t="s">
        <v>31</v>
      </c>
      <c r="C43" s="48"/>
      <c r="D43" s="58"/>
      <c r="E43" s="48"/>
      <c r="F43" s="58"/>
      <c r="G43" s="48"/>
      <c r="H43" s="58"/>
      <c r="I43" s="48"/>
      <c r="J43" s="58"/>
      <c r="K43" s="48"/>
      <c r="L43" s="58"/>
      <c r="M43" s="48"/>
      <c r="N43" s="58"/>
      <c r="O43" s="48"/>
      <c r="P43" s="58"/>
      <c r="Q43" s="48"/>
      <c r="R43" s="58"/>
      <c r="S43" s="48"/>
      <c r="T43" s="58"/>
      <c r="U43" s="48"/>
      <c r="V43" s="58"/>
      <c r="W43" s="48"/>
      <c r="X43" s="58"/>
      <c r="Y43" s="48"/>
      <c r="Z43" s="58"/>
      <c r="AA43" s="48"/>
      <c r="AB43" s="58"/>
      <c r="AC43" s="48"/>
      <c r="AD43" s="58"/>
      <c r="AE43" s="48"/>
      <c r="AF43" s="58"/>
      <c r="AG43" s="48"/>
      <c r="AH43" s="58"/>
      <c r="AI43" s="48"/>
      <c r="AJ43" s="58"/>
      <c r="AK43" s="48"/>
      <c r="AL43" s="58"/>
      <c r="AM43" s="59">
        <f>D43+F43+H43+J43+L43+N43+P43+R43+T43+V43+X43+Z43+AB43+AD43+AF43+AH43+AJ43</f>
        <v>0</v>
      </c>
      <c r="AN43" s="156"/>
    </row>
    <row r="44" spans="1:40" outlineLevel="1" x14ac:dyDescent="0.2">
      <c r="A44" s="47"/>
      <c r="B44" s="115" t="s">
        <v>5</v>
      </c>
      <c r="C44" s="60"/>
      <c r="D44" s="61"/>
      <c r="E44" s="60"/>
      <c r="F44" s="61"/>
      <c r="G44" s="60"/>
      <c r="H44" s="61"/>
      <c r="I44" s="60"/>
      <c r="J44" s="61"/>
      <c r="K44" s="60"/>
      <c r="L44" s="61"/>
      <c r="M44" s="60"/>
      <c r="N44" s="61"/>
      <c r="O44" s="60"/>
      <c r="P44" s="61"/>
      <c r="Q44" s="60"/>
      <c r="R44" s="61"/>
      <c r="S44" s="60"/>
      <c r="T44" s="61"/>
      <c r="U44" s="60"/>
      <c r="V44" s="61"/>
      <c r="W44" s="60"/>
      <c r="X44" s="61"/>
      <c r="Y44" s="60"/>
      <c r="Z44" s="61"/>
      <c r="AA44" s="60"/>
      <c r="AB44" s="61"/>
      <c r="AC44" s="60"/>
      <c r="AD44" s="61"/>
      <c r="AE44" s="60"/>
      <c r="AF44" s="61"/>
      <c r="AG44" s="60"/>
      <c r="AH44" s="61"/>
      <c r="AI44" s="60"/>
      <c r="AJ44" s="61"/>
      <c r="AK44" s="60"/>
      <c r="AL44" s="61"/>
      <c r="AM44" s="125">
        <f>D44+F44+H44+J44+L44+N44+P44+R44+T44+V44+X44+Z44+AB44+AD44+AF44+AH44+AJ44</f>
        <v>0</v>
      </c>
      <c r="AN44" s="158"/>
    </row>
    <row r="45" spans="1:40" x14ac:dyDescent="0.2">
      <c r="A45" s="86">
        <v>14</v>
      </c>
      <c r="B45" s="40"/>
      <c r="C45" s="48"/>
      <c r="D45" s="58"/>
      <c r="E45" s="48"/>
      <c r="F45" s="58"/>
      <c r="G45" s="48"/>
      <c r="H45" s="58"/>
      <c r="I45" s="48"/>
      <c r="J45" s="58"/>
      <c r="K45" s="48"/>
      <c r="L45" s="58"/>
      <c r="M45" s="48"/>
      <c r="N45" s="58"/>
      <c r="O45" s="48"/>
      <c r="P45" s="58"/>
      <c r="Q45" s="48"/>
      <c r="R45" s="58"/>
      <c r="S45" s="48"/>
      <c r="T45" s="58"/>
      <c r="U45" s="48"/>
      <c r="V45" s="58"/>
      <c r="W45" s="48"/>
      <c r="X45" s="58"/>
      <c r="Y45" s="48"/>
      <c r="Z45" s="58"/>
      <c r="AA45" s="48"/>
      <c r="AB45" s="58"/>
      <c r="AC45" s="48"/>
      <c r="AD45" s="58"/>
      <c r="AE45" s="48"/>
      <c r="AF45" s="58"/>
      <c r="AG45" s="48"/>
      <c r="AH45" s="58"/>
      <c r="AI45" s="48"/>
      <c r="AJ45" s="58"/>
      <c r="AK45" s="48"/>
      <c r="AL45" s="58"/>
      <c r="AM45" s="52" t="e">
        <f>D45+F45+H45+J45+L45+N45+X45+Z45+AD45+AF45+AB45+P45+R45+T45+V45+AH45+AJ45+AL45+#REF!</f>
        <v>#REF!</v>
      </c>
      <c r="AN45" s="156"/>
    </row>
    <row r="46" spans="1:40" outlineLevel="1" x14ac:dyDescent="0.2">
      <c r="A46" s="86"/>
      <c r="B46" s="63" t="s">
        <v>31</v>
      </c>
      <c r="C46" s="48"/>
      <c r="D46" s="58"/>
      <c r="E46" s="48"/>
      <c r="F46" s="58"/>
      <c r="G46" s="48"/>
      <c r="H46" s="58"/>
      <c r="I46" s="48"/>
      <c r="J46" s="58"/>
      <c r="K46" s="48"/>
      <c r="L46" s="58"/>
      <c r="M46" s="48"/>
      <c r="N46" s="58"/>
      <c r="O46" s="48"/>
      <c r="P46" s="58"/>
      <c r="Q46" s="48"/>
      <c r="R46" s="58"/>
      <c r="S46" s="48"/>
      <c r="T46" s="58"/>
      <c r="U46" s="48"/>
      <c r="V46" s="58"/>
      <c r="W46" s="48"/>
      <c r="X46" s="58"/>
      <c r="Y46" s="48"/>
      <c r="Z46" s="58"/>
      <c r="AA46" s="48"/>
      <c r="AB46" s="58"/>
      <c r="AC46" s="48"/>
      <c r="AD46" s="58"/>
      <c r="AE46" s="48"/>
      <c r="AF46" s="58"/>
      <c r="AG46" s="48"/>
      <c r="AH46" s="58"/>
      <c r="AI46" s="48"/>
      <c r="AJ46" s="58"/>
      <c r="AK46" s="48"/>
      <c r="AL46" s="58"/>
      <c r="AM46" s="59">
        <f>D46+F46+H46+J46+L46+N46+P46+R46+T46+V46+X46+Z46+AB46+AD46+AF46+AH46+AJ46</f>
        <v>0</v>
      </c>
      <c r="AN46" s="156"/>
    </row>
    <row r="47" spans="1:40" outlineLevel="1" x14ac:dyDescent="0.2">
      <c r="A47" s="47"/>
      <c r="B47" s="64" t="s">
        <v>5</v>
      </c>
      <c r="C47" s="60"/>
      <c r="D47" s="61"/>
      <c r="E47" s="60"/>
      <c r="F47" s="61"/>
      <c r="G47" s="60"/>
      <c r="H47" s="61"/>
      <c r="I47" s="60"/>
      <c r="J47" s="61"/>
      <c r="K47" s="60"/>
      <c r="L47" s="61"/>
      <c r="M47" s="60"/>
      <c r="N47" s="61"/>
      <c r="O47" s="60"/>
      <c r="P47" s="61"/>
      <c r="Q47" s="60"/>
      <c r="R47" s="61"/>
      <c r="S47" s="60"/>
      <c r="T47" s="61"/>
      <c r="U47" s="60"/>
      <c r="V47" s="61"/>
      <c r="W47" s="60"/>
      <c r="X47" s="61"/>
      <c r="Y47" s="60"/>
      <c r="Z47" s="61"/>
      <c r="AA47" s="60"/>
      <c r="AB47" s="61"/>
      <c r="AC47" s="60"/>
      <c r="AD47" s="61"/>
      <c r="AE47" s="60"/>
      <c r="AF47" s="61"/>
      <c r="AG47" s="60"/>
      <c r="AH47" s="61"/>
      <c r="AI47" s="60"/>
      <c r="AJ47" s="61"/>
      <c r="AK47" s="60"/>
      <c r="AL47" s="61"/>
      <c r="AM47" s="125">
        <f>D47+F47+H47+J47+L47+N47+P47+R47+T47+V47+X47+Z47+AB47+AD47+AF47+AH47+AJ47</f>
        <v>0</v>
      </c>
      <c r="AN47" s="158"/>
    </row>
    <row r="48" spans="1:40" x14ac:dyDescent="0.2">
      <c r="A48" s="45">
        <v>15</v>
      </c>
      <c r="B48" s="40"/>
      <c r="C48" s="48"/>
      <c r="D48" s="58"/>
      <c r="E48" s="48"/>
      <c r="F48" s="58"/>
      <c r="G48" s="48"/>
      <c r="H48" s="58"/>
      <c r="I48" s="48"/>
      <c r="J48" s="58"/>
      <c r="K48" s="48"/>
      <c r="L48" s="58"/>
      <c r="M48" s="48"/>
      <c r="N48" s="58"/>
      <c r="O48" s="48"/>
      <c r="P48" s="58"/>
      <c r="Q48" s="48"/>
      <c r="R48" s="58"/>
      <c r="S48" s="48"/>
      <c r="T48" s="58"/>
      <c r="U48" s="48"/>
      <c r="V48" s="58"/>
      <c r="W48" s="48"/>
      <c r="X48" s="58"/>
      <c r="Y48" s="48"/>
      <c r="Z48" s="58"/>
      <c r="AA48" s="48"/>
      <c r="AB48" s="58"/>
      <c r="AC48" s="48"/>
      <c r="AD48" s="58"/>
      <c r="AE48" s="48"/>
      <c r="AF48" s="58"/>
      <c r="AG48" s="48"/>
      <c r="AH48" s="58"/>
      <c r="AI48" s="48"/>
      <c r="AJ48" s="58"/>
      <c r="AK48" s="48"/>
      <c r="AL48" s="58"/>
      <c r="AM48" s="52" t="e">
        <f>D48+F48+H48+J48+L48+N48+X48+Z48+AD48+AF48+AB48+P48+R48+T48+V48+AH48+AJ48+AL48+#REF!</f>
        <v>#REF!</v>
      </c>
      <c r="AN48" s="156"/>
    </row>
    <row r="49" spans="1:40" outlineLevel="1" x14ac:dyDescent="0.2">
      <c r="B49" s="63" t="s">
        <v>31</v>
      </c>
      <c r="C49" s="48"/>
      <c r="D49" s="58"/>
      <c r="E49" s="48"/>
      <c r="F49" s="58"/>
      <c r="G49" s="48"/>
      <c r="H49" s="58"/>
      <c r="I49" s="48"/>
      <c r="J49" s="58"/>
      <c r="K49" s="48"/>
      <c r="L49" s="58"/>
      <c r="M49" s="48"/>
      <c r="N49" s="58"/>
      <c r="O49" s="48"/>
      <c r="P49" s="58"/>
      <c r="Q49" s="48"/>
      <c r="R49" s="58"/>
      <c r="S49" s="48"/>
      <c r="T49" s="58"/>
      <c r="U49" s="48"/>
      <c r="V49" s="58"/>
      <c r="W49" s="48"/>
      <c r="X49" s="58"/>
      <c r="Y49" s="48"/>
      <c r="Z49" s="58"/>
      <c r="AA49" s="48"/>
      <c r="AB49" s="58"/>
      <c r="AC49" s="48"/>
      <c r="AD49" s="58"/>
      <c r="AE49" s="48"/>
      <c r="AF49" s="58"/>
      <c r="AG49" s="48"/>
      <c r="AH49" s="58"/>
      <c r="AI49" s="48"/>
      <c r="AJ49" s="58"/>
      <c r="AK49" s="48"/>
      <c r="AL49" s="58"/>
      <c r="AM49" s="59">
        <f>D49+F49+H49+J49+L49+N49+P49+R49+T49+V49+X49+Z49+AB49+AD49+AF49+AH49+AJ49</f>
        <v>0</v>
      </c>
      <c r="AN49" s="156"/>
    </row>
    <row r="50" spans="1:40" outlineLevel="1" x14ac:dyDescent="0.2">
      <c r="A50" s="47"/>
      <c r="B50" s="64" t="s">
        <v>5</v>
      </c>
      <c r="C50" s="60"/>
      <c r="D50" s="61"/>
      <c r="E50" s="60"/>
      <c r="F50" s="61"/>
      <c r="G50" s="60"/>
      <c r="H50" s="61"/>
      <c r="I50" s="60"/>
      <c r="J50" s="61"/>
      <c r="K50" s="60"/>
      <c r="L50" s="61"/>
      <c r="M50" s="60"/>
      <c r="N50" s="61"/>
      <c r="O50" s="60"/>
      <c r="P50" s="61"/>
      <c r="Q50" s="60"/>
      <c r="R50" s="61"/>
      <c r="S50" s="60"/>
      <c r="T50" s="61"/>
      <c r="U50" s="60"/>
      <c r="V50" s="61"/>
      <c r="W50" s="60"/>
      <c r="X50" s="61"/>
      <c r="Y50" s="60"/>
      <c r="Z50" s="61"/>
      <c r="AA50" s="60"/>
      <c r="AB50" s="61"/>
      <c r="AC50" s="60"/>
      <c r="AD50" s="61"/>
      <c r="AE50" s="60"/>
      <c r="AF50" s="61"/>
      <c r="AG50" s="60"/>
      <c r="AH50" s="61"/>
      <c r="AI50" s="60"/>
      <c r="AJ50" s="61"/>
      <c r="AK50" s="60"/>
      <c r="AL50" s="61"/>
      <c r="AM50" s="125">
        <f>D50+F50+H50+J50+L50+N50+P50+R50+T50+V50+X50+Z50+AB50+AD50+AF50+AH50+AJ50</f>
        <v>0</v>
      </c>
      <c r="AN50" s="158"/>
    </row>
    <row r="51" spans="1:40" ht="5.25" customHeight="1" x14ac:dyDescent="0.2">
      <c r="B51" s="67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AM51" s="36"/>
    </row>
    <row r="52" spans="1:40" collapsed="1" x14ac:dyDescent="0.2">
      <c r="B52" s="22" t="s">
        <v>13</v>
      </c>
      <c r="D52" s="138">
        <f>AVERAGE(D6,D9,D12,D15,D18,D21,D24,D27,D30,D33,D36,D39,D42,D45,D48)</f>
        <v>13.2</v>
      </c>
      <c r="E52" s="12"/>
      <c r="F52" s="138">
        <f>AVERAGE(F6,F9,F12,F15,F18,F21,F24,F27,F30,F33,F36,F39,F42,F45,F48)</f>
        <v>13</v>
      </c>
      <c r="G52" s="12"/>
      <c r="H52" s="138">
        <f>AVERAGE(H6,H9,H12,H15,H18,H21,H24,H27,H30,H33,H36,H39,H42,H45,H48)</f>
        <v>13.2</v>
      </c>
      <c r="I52" s="12"/>
      <c r="J52" s="138">
        <f>AVERAGE(J6,J9,J12,J15,J18,J21,J24,J27,J30,J33,J36,J39,J42,J45,J48)</f>
        <v>12.136363636363637</v>
      </c>
      <c r="K52" s="12"/>
      <c r="L52" s="138">
        <f>AVERAGE(L6,L9,L12,L15,L18,L21,L24,L27,L30,L33,L36,L39,L42,L45,L48)</f>
        <v>13.2</v>
      </c>
      <c r="M52" s="12"/>
      <c r="N52" s="138">
        <f>AVERAGE(N6,N9,N12,N15,N18,N21,N24,N27,N30,N33,N36,N39,N42,N45,N48)</f>
        <v>13</v>
      </c>
      <c r="O52" s="12"/>
      <c r="P52" s="138">
        <f>AVERAGE(P6,P9,P12,P15,P18,P21,P24,P27,P30,P33,P36,P39,P42,P45,P48)</f>
        <v>13.409090909090908</v>
      </c>
      <c r="Q52" s="12"/>
      <c r="R52" s="138">
        <f>AVERAGE(R6,R9,R12,R15,R18,R21,R24,R27,R30,R33,R36,R39,R42,R45,R48)</f>
        <v>13</v>
      </c>
      <c r="S52" s="12"/>
      <c r="T52" s="138">
        <f>AVERAGE(T6,T9,T12,T15,T18,T21,T24,T27,T30,T33,T36,T39,T42,T45,T48)</f>
        <v>13</v>
      </c>
      <c r="U52" s="12"/>
      <c r="V52" s="138">
        <f>AVERAGE(V6,V9,V12,V15,V18,V21,V24,V27,V30,V33,V36,V39,V42,V45,V48)</f>
        <v>13.318181818181818</v>
      </c>
      <c r="W52" s="12"/>
      <c r="X52" s="138">
        <f>AVERAGE(X6,X9,X12,X15,X18,X21,X24,X27,X30,X33,X36,X39,X42,X45,X48)</f>
        <v>12.055555555555555</v>
      </c>
      <c r="Y52" s="12"/>
      <c r="Z52" s="138">
        <f>AVERAGE(Z6,Z9,Z12,Z15,Z18,Z21,Z24,Z27,Z30,Z33,Z36,Z39,Z42,Z45,Z48)</f>
        <v>14.444444444444445</v>
      </c>
      <c r="AA52" s="12"/>
      <c r="AB52" s="138">
        <f>AVERAGE(AB6,AB9,AB12,AB15,AB18,AB21,AB24,AB27,AB30,AB33,AB36,AB39,AB42,AB45,AB48)</f>
        <v>13</v>
      </c>
      <c r="AC52" s="12"/>
      <c r="AD52" s="138">
        <f>AVERAGE(AD6,AD9,AD12,AD15,AD18,AD21,AD24,AD27,AD30,AD33,AD36,AD39,AD42,AD45,AD48)</f>
        <v>13.166666666666666</v>
      </c>
      <c r="AE52" s="12"/>
      <c r="AF52" s="138">
        <f>AVERAGE(AF6,AF9,AF12,AF15,AF18,AF21,AF24,AF27,AF30,AF33,AF36,AF39,AF42,AF45,AF48)</f>
        <v>13.083333333333334</v>
      </c>
      <c r="AG52" s="12"/>
      <c r="AH52" s="138">
        <f>AVERAGE(AH6,AH9,AH12,AH15,AH18,AH21,AH24,AH27,AH30,AH33,AH36,AH39,AH42,AH45,AH48)</f>
        <v>12.571428571428571</v>
      </c>
      <c r="AI52" s="12"/>
      <c r="AJ52" s="138">
        <f>AVERAGE(AJ6,AJ9,AJ12,AJ15,AJ18,AJ21,AJ24,AJ27,AJ30,AJ33,AJ36,AJ39,AJ42,AJ45,AJ48)</f>
        <v>12.5</v>
      </c>
      <c r="AK52" s="12"/>
      <c r="AL52" s="138">
        <f>AVERAGE(AL6,AL9,AL12,AL15,AL18,AL21,AL24,AL27,AL30,AL33,AL36,AL39,AL42,AL45,AL48)</f>
        <v>13</v>
      </c>
      <c r="AM52" s="31" t="e">
        <f>AVERAGE(AM6,AM9,AM12,AM15,AM18,AM21,AM24,AM27,AM30,AM33,AM36,AM39,AM42,AM45,AM48)</f>
        <v>#REF!</v>
      </c>
    </row>
    <row r="53" spans="1:40" ht="6" customHeight="1" x14ac:dyDescent="0.2">
      <c r="B53" s="22"/>
      <c r="C53" s="7"/>
    </row>
    <row r="54" spans="1:40" x14ac:dyDescent="0.2">
      <c r="B54" t="s">
        <v>11</v>
      </c>
      <c r="C54" s="7"/>
      <c r="D54" s="32">
        <f>D30+D27+D24+D21+D18+D15+D12+D9+D6+D33+D36+D39+D42+D45+D48</f>
        <v>132</v>
      </c>
      <c r="F54" s="32">
        <f>F30+F27+F24+F21+F18+F15+F12+F9+F6+F33+F36+F39+F42+F45+F48</f>
        <v>104</v>
      </c>
      <c r="H54" s="32">
        <f>H30+H27+H24+H21+H18+H15+H12+H9+H6+H33+H36+H39+H42+H45+H48</f>
        <v>132</v>
      </c>
      <c r="J54" s="32">
        <f>J30+J27+J24+J21+J18+J15+J12+J9+J6+J33+J36+J39+J42+J45+J48</f>
        <v>133.5</v>
      </c>
      <c r="L54" s="32">
        <f>L30+L27+L24+L21+L18+L15+L12+L9+L6+L33+L36+L39+L42+L45+L48</f>
        <v>132</v>
      </c>
      <c r="N54" s="32">
        <f>N30+N27+N24+N21+N18+N15+N12+N9+N6+N33+N36+N39+N42+N45+N48</f>
        <v>156</v>
      </c>
      <c r="P54" s="32">
        <f>P30+P27+P24+P21+P18+P15+P12+P9+P6+P33+P36+P39+P42+P45+P48</f>
        <v>147.5</v>
      </c>
      <c r="R54" s="32">
        <f>R30+R27+R24+R21+R18+R15+R12+R9+R6+R33+R36+R39+R42+R45+R48</f>
        <v>104</v>
      </c>
      <c r="T54" s="32">
        <f>T30+T27+T24+T21+T18+T15+T12+T9+T6+T33+T36+T39+T42+T45+T48</f>
        <v>104</v>
      </c>
      <c r="V54" s="32">
        <f>V30+V27+V24+V21+V18+V15+V12+V9+V6+V33+V36+V39+V42+V45+V48</f>
        <v>146.5</v>
      </c>
      <c r="X54" s="32">
        <f>X30+X27+X24+X21+X18+X15+X12+X9+X6+X33+X36+X39+X42+X45+X48</f>
        <v>108.5</v>
      </c>
      <c r="Z54" s="32">
        <f>Z30+Z27+Z24+Z21+Z18+Z15+Z12+Z9+Z6+Z33+Z36+Z39+Z42+Z45+Z48</f>
        <v>130</v>
      </c>
      <c r="AB54" s="32">
        <f>AB30+AB27+AB24+AB21+AB18+AB15+AB12+AB9+AB6+AB33+AB36+AB39+AB42+AB45+AB48</f>
        <v>104</v>
      </c>
      <c r="AD54" s="32">
        <f>AD30+AD27+AD24+AD21+AD18+AD15+AD12+AD9+AD6+AD33+AD36+AD39+AD42+AD45+AD48</f>
        <v>118.5</v>
      </c>
      <c r="AF54" s="32">
        <f>AF30+AF27+AF24+AF21+AF18+AF15+AF12+AF9+AF6+AF33+AF36+AF39+AF42+AF45+AF48</f>
        <v>78.5</v>
      </c>
      <c r="AH54" s="32">
        <f>AH30+AH27+AH24+AH21+AH18+AH15+AH12+AH9+AH6+AH33+AH36+AH39+AH42+AH45+AH48</f>
        <v>88</v>
      </c>
      <c r="AJ54" s="32">
        <f>AJ30+AJ27+AJ24+AJ21+AJ18+AJ15+AJ12+AJ9+AJ6+AJ33+AJ36+AJ39+AJ42+AJ45+AJ48</f>
        <v>87.5</v>
      </c>
      <c r="AL54" s="32">
        <f>AL30+AL27+AL24+AL21+AL18+AL15+AL12+AL9+AL6+AL33+AL36+AL39+AL42+AL45+AL48</f>
        <v>156</v>
      </c>
      <c r="AM54" s="32" t="e">
        <f>AM30+AM27+AM24+AM21+AM18+AM15+AM12+AM9+AM6+AM33+AM36+AM39+AM42+AM45+AM48</f>
        <v>#REF!</v>
      </c>
    </row>
    <row r="55" spans="1:40" ht="9.75" customHeight="1" x14ac:dyDescent="0.2">
      <c r="B55"/>
      <c r="C55" s="7"/>
    </row>
    <row r="56" spans="1:40" x14ac:dyDescent="0.2">
      <c r="A56" s="141"/>
      <c r="B56"/>
      <c r="C56" s="35"/>
      <c r="D56" s="142">
        <f>D60+D63+D66+D69+D72+D75+D78+D81+D84+D87+D90+D93+D54</f>
        <v>156</v>
      </c>
      <c r="F56" s="142">
        <f>F60+F63+F66+F69+F72+F75+F78+F81+F84+F87+F90+F93+F54</f>
        <v>104</v>
      </c>
      <c r="H56" s="142">
        <f>H60+H63+H66+H69+H72+H75+H78+H81+H84+H87+H90+H93+H54</f>
        <v>156</v>
      </c>
      <c r="J56" s="142">
        <f>J60+J63+J66+J69+J72+J75+J78+J81+J84+J87+J90+J93+J54</f>
        <v>156</v>
      </c>
      <c r="L56" s="142">
        <f>L60+L63+L66+L69+L72+L75+L78+L81+L84+L87+L90+L93+L54</f>
        <v>156</v>
      </c>
      <c r="N56" s="142">
        <f>N60+N63+N66+N69+N72+N75+N78+N81+N84+N87+N90+N93+N54</f>
        <v>156</v>
      </c>
      <c r="P56" s="142">
        <f>P60+P63+P66+P69+P72+P75+P78+P81+P84+P87+P90+P93+P54</f>
        <v>156</v>
      </c>
      <c r="R56" s="142">
        <f>R60+R63+R66+R69+R72+R75+R78+R81+R84+R87+R90+R93+R54</f>
        <v>104</v>
      </c>
      <c r="T56" s="142">
        <f>T60+T63+T66+T69+T72+T75+T78+T81+T84+T87+T90+T93+T54</f>
        <v>104</v>
      </c>
      <c r="V56" s="142">
        <f>V60+V63+V66+V69+V72+V75+V78+V81+V84+V87+V90+V93+V54</f>
        <v>156</v>
      </c>
      <c r="X56" s="142">
        <f>X60+X63+X66+X69+X72+X75+X78+X81+X84+X87+X90+X93+X54</f>
        <v>156</v>
      </c>
      <c r="Z56" s="142">
        <f>Z60+Z63+Z66+Z69+Z72+Z75+Z78+Z81+Z84+Z87+Z90+Z93+Z54</f>
        <v>156</v>
      </c>
      <c r="AB56" s="142">
        <f>AB60+AB63+AB66+AB69+AB72+AB75+AB78+AB81+AB84+AB87+AB90+AB93+AB54</f>
        <v>104</v>
      </c>
      <c r="AD56" s="142">
        <f>AD60+AD63+AD66+AD69+AD72+AD75+AD78+AD81+AD84+AD87+AD90+AD93+AD54</f>
        <v>156</v>
      </c>
      <c r="AF56" s="142">
        <f>AF60+AF63+AF66+AF69+AF72+AF75+AF78+AF81+AF84+AF87+AF90+AF93+AF54</f>
        <v>104</v>
      </c>
      <c r="AH56" s="142">
        <f>AH60+AH63+AH66+AH69+AH72+AH75+AH78+AH81+AH84+AH87+AH90+AH93+AH54</f>
        <v>104</v>
      </c>
      <c r="AJ56" s="142">
        <f>AJ60+AJ63+AJ66+AJ69+AJ72+AJ75+AJ78+AJ81+AJ84+AJ87+AJ90+AJ93+AJ54</f>
        <v>104</v>
      </c>
      <c r="AL56" s="142">
        <f>AL60+AL63+AL66+AL69+AL72+AL75+AL78+AL81+AL84+AL87+AL90+AL93+AL54</f>
        <v>156</v>
      </c>
    </row>
    <row r="57" spans="1:40" ht="9.75" customHeight="1" x14ac:dyDescent="0.2">
      <c r="A57" s="141"/>
      <c r="B57"/>
      <c r="C57" s="35"/>
    </row>
    <row r="58" spans="1:40" x14ac:dyDescent="0.2">
      <c r="B58" s="3" t="s">
        <v>14</v>
      </c>
      <c r="C58" s="7"/>
    </row>
    <row r="59" spans="1:40" ht="6" customHeight="1" x14ac:dyDescent="0.2">
      <c r="C59" s="34"/>
    </row>
    <row r="60" spans="1:40" x14ac:dyDescent="0.2">
      <c r="B60" s="118" t="s">
        <v>189</v>
      </c>
      <c r="C60" s="12"/>
      <c r="D60" s="58"/>
      <c r="E60" s="12"/>
      <c r="F60" s="12"/>
      <c r="G60" s="12"/>
      <c r="H60" s="58"/>
      <c r="I60" s="12"/>
      <c r="J60" s="12"/>
      <c r="K60" s="12"/>
      <c r="L60" s="12"/>
      <c r="N60" s="12"/>
      <c r="O60" s="12">
        <v>97</v>
      </c>
      <c r="P60" s="58">
        <f>P61+P62</f>
        <v>8.5</v>
      </c>
      <c r="Q60" s="12"/>
      <c r="R60" s="58"/>
      <c r="S60" s="12"/>
      <c r="T60" s="58"/>
      <c r="U60" s="12"/>
      <c r="V60" s="12"/>
      <c r="W60" s="12">
        <v>88</v>
      </c>
      <c r="X60" s="58">
        <f>X61+X62</f>
        <v>16</v>
      </c>
      <c r="AA60" s="12"/>
      <c r="AB60" s="58"/>
      <c r="AC60" s="12">
        <v>88</v>
      </c>
      <c r="AD60" s="58">
        <f>AD61+AD62</f>
        <v>14</v>
      </c>
      <c r="AE60" s="12">
        <v>92</v>
      </c>
      <c r="AF60" s="58">
        <f>AF61+AF62</f>
        <v>12</v>
      </c>
      <c r="AG60" s="12">
        <v>91</v>
      </c>
      <c r="AH60" s="58">
        <f>AH61+AH62</f>
        <v>16</v>
      </c>
      <c r="AI60" s="12"/>
      <c r="AJ60" s="12"/>
      <c r="AK60" s="12"/>
      <c r="AL60" s="12"/>
      <c r="AM60" s="52">
        <f>D60+F60+H60+J60+L60+N60+X60+Z60+AD60+AF60+AB60+P60+R60+T60+V60+AH60+AJ60</f>
        <v>66.5</v>
      </c>
    </row>
    <row r="61" spans="1:40" outlineLevel="1" x14ac:dyDescent="0.2">
      <c r="B61" s="63" t="s">
        <v>31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N61" s="12"/>
      <c r="O61" s="12">
        <v>23</v>
      </c>
      <c r="P61" s="12">
        <v>1</v>
      </c>
      <c r="Q61" s="12"/>
      <c r="R61" s="12"/>
      <c r="S61" s="12"/>
      <c r="T61" s="12"/>
      <c r="U61" s="12"/>
      <c r="V61" s="12"/>
      <c r="W61" s="12">
        <v>40</v>
      </c>
      <c r="X61" s="48">
        <v>11</v>
      </c>
      <c r="AA61" s="12"/>
      <c r="AB61" s="12"/>
      <c r="AC61" s="12">
        <v>40</v>
      </c>
      <c r="AD61" s="12">
        <v>12</v>
      </c>
      <c r="AE61" s="12">
        <v>34</v>
      </c>
      <c r="AF61" s="12">
        <v>7</v>
      </c>
      <c r="AG61" s="12">
        <v>32</v>
      </c>
      <c r="AH61" s="12">
        <v>6</v>
      </c>
      <c r="AI61" s="12"/>
      <c r="AJ61" s="12"/>
      <c r="AK61" s="12"/>
      <c r="AL61" s="12"/>
      <c r="AM61" s="59"/>
    </row>
    <row r="62" spans="1:40" outlineLevel="1" x14ac:dyDescent="0.2">
      <c r="B62" s="67" t="s">
        <v>5</v>
      </c>
      <c r="C62" s="62"/>
      <c r="D62" s="12"/>
      <c r="E62" s="12"/>
      <c r="F62" s="12"/>
      <c r="G62" s="62"/>
      <c r="H62" s="12"/>
      <c r="I62" s="12"/>
      <c r="J62" s="12"/>
      <c r="K62" s="12"/>
      <c r="L62" s="12"/>
      <c r="N62" s="12"/>
      <c r="O62" s="79">
        <v>8</v>
      </c>
      <c r="P62" s="12">
        <v>7.5</v>
      </c>
      <c r="Q62" s="62"/>
      <c r="R62" s="12"/>
      <c r="S62" s="48"/>
      <c r="T62" s="48"/>
      <c r="U62" s="12"/>
      <c r="V62" s="12"/>
      <c r="W62" s="79">
        <v>-5</v>
      </c>
      <c r="X62" s="48">
        <v>5</v>
      </c>
      <c r="AA62" s="79"/>
      <c r="AB62" s="12"/>
      <c r="AC62" s="12">
        <v>-25</v>
      </c>
      <c r="AD62" s="12">
        <v>2</v>
      </c>
      <c r="AE62" s="79">
        <v>0</v>
      </c>
      <c r="AF62" s="12">
        <v>5</v>
      </c>
      <c r="AG62" s="79">
        <v>24</v>
      </c>
      <c r="AH62" s="12">
        <v>10</v>
      </c>
      <c r="AI62" s="79"/>
      <c r="AJ62" s="12"/>
      <c r="AK62" s="79"/>
      <c r="AL62" s="12"/>
      <c r="AM62" s="59"/>
    </row>
    <row r="63" spans="1:40" x14ac:dyDescent="0.2">
      <c r="B63" s="8" t="s">
        <v>106</v>
      </c>
      <c r="C63" s="12">
        <v>104</v>
      </c>
      <c r="D63" s="58">
        <f>D64+D65</f>
        <v>10</v>
      </c>
      <c r="E63" s="12"/>
      <c r="F63" s="58"/>
      <c r="G63" s="12">
        <v>98</v>
      </c>
      <c r="H63" s="58">
        <f>H64+H65</f>
        <v>12</v>
      </c>
      <c r="I63" s="12"/>
      <c r="J63" s="12"/>
      <c r="K63" s="12">
        <v>98</v>
      </c>
      <c r="L63" s="58">
        <f>L64+L65</f>
        <v>16.5</v>
      </c>
      <c r="M63" s="12"/>
      <c r="N63" s="12"/>
      <c r="O63" s="12"/>
      <c r="P63" s="12"/>
      <c r="Q63" s="12"/>
      <c r="R63" s="12"/>
      <c r="S63" s="12"/>
      <c r="T63" s="12"/>
      <c r="U63" s="12"/>
      <c r="V63" s="58"/>
      <c r="W63" s="12"/>
      <c r="X63" s="12"/>
      <c r="Y63" s="12"/>
      <c r="Z63" s="12"/>
      <c r="AA63" s="12"/>
      <c r="AB63" s="12"/>
      <c r="AC63" s="12">
        <v>93</v>
      </c>
      <c r="AD63" s="58">
        <f>AD64+AD65</f>
        <v>9</v>
      </c>
      <c r="AE63" s="12"/>
      <c r="AF63" s="12"/>
      <c r="AG63" s="12"/>
      <c r="AH63" s="12"/>
      <c r="AI63" s="12"/>
      <c r="AJ63" s="12"/>
      <c r="AK63" s="12"/>
      <c r="AL63" s="12"/>
      <c r="AM63" s="52">
        <f>D63+F63+H63+J63+L63+N63+X63+Z63+AD63+AF63+AB63+P63+R63+T63+V63+AH63+AJ63</f>
        <v>47.5</v>
      </c>
    </row>
    <row r="64" spans="1:40" outlineLevel="1" x14ac:dyDescent="0.2">
      <c r="B64" s="63" t="s">
        <v>31</v>
      </c>
      <c r="C64" s="12">
        <v>27</v>
      </c>
      <c r="D64" s="12">
        <v>3</v>
      </c>
      <c r="E64" s="12"/>
      <c r="F64" s="12"/>
      <c r="G64" s="12">
        <v>30</v>
      </c>
      <c r="H64" s="12">
        <v>6</v>
      </c>
      <c r="I64" s="12"/>
      <c r="J64" s="12"/>
      <c r="K64" s="12">
        <v>33</v>
      </c>
      <c r="L64" s="12">
        <v>8.5</v>
      </c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>
        <v>33</v>
      </c>
      <c r="AD64" s="12">
        <v>4</v>
      </c>
      <c r="AE64" s="12"/>
      <c r="AF64" s="12"/>
      <c r="AG64" s="12"/>
      <c r="AH64" s="12"/>
      <c r="AI64" s="12"/>
      <c r="AJ64" s="12"/>
      <c r="AK64" s="12"/>
      <c r="AL64" s="12"/>
      <c r="AM64" s="59"/>
    </row>
    <row r="65" spans="2:39" outlineLevel="1" x14ac:dyDescent="0.2">
      <c r="B65" s="67" t="s">
        <v>5</v>
      </c>
      <c r="C65" s="12">
        <v>4</v>
      </c>
      <c r="D65" s="12">
        <v>7</v>
      </c>
      <c r="E65" s="12"/>
      <c r="F65" s="12"/>
      <c r="G65" s="62">
        <v>7</v>
      </c>
      <c r="H65" s="12">
        <v>6</v>
      </c>
      <c r="I65" s="12"/>
      <c r="J65" s="12"/>
      <c r="K65" s="62">
        <v>7</v>
      </c>
      <c r="L65" s="12">
        <v>8</v>
      </c>
      <c r="M65" s="12"/>
      <c r="N65" s="12"/>
      <c r="O65" s="12"/>
      <c r="P65" s="12"/>
      <c r="Q65" s="12"/>
      <c r="R65" s="12"/>
      <c r="S65" s="12"/>
      <c r="T65" s="12"/>
      <c r="U65" s="79"/>
      <c r="V65" s="12"/>
      <c r="W65" s="12"/>
      <c r="X65" s="12"/>
      <c r="Y65" s="12"/>
      <c r="Z65" s="12"/>
      <c r="AA65" s="12"/>
      <c r="AB65" s="12"/>
      <c r="AC65" s="12">
        <v>-4</v>
      </c>
      <c r="AD65" s="12">
        <v>5</v>
      </c>
      <c r="AE65" s="12"/>
      <c r="AF65" s="12"/>
      <c r="AG65" s="12"/>
      <c r="AH65" s="12"/>
      <c r="AI65" s="12"/>
      <c r="AJ65" s="12"/>
      <c r="AK65" s="12"/>
      <c r="AL65" s="12"/>
      <c r="AM65" s="59"/>
    </row>
    <row r="66" spans="2:39" x14ac:dyDescent="0.2">
      <c r="B66" s="118" t="s">
        <v>146</v>
      </c>
      <c r="C66" s="12">
        <v>86</v>
      </c>
      <c r="D66" s="58">
        <f>D67+D68</f>
        <v>14</v>
      </c>
      <c r="E66" s="12"/>
      <c r="F66" s="12"/>
      <c r="G66" s="12">
        <v>84</v>
      </c>
      <c r="H66" s="58">
        <f>H67+H68</f>
        <v>12</v>
      </c>
      <c r="I66" s="12"/>
      <c r="J66" s="12"/>
      <c r="K66" s="12">
        <v>87</v>
      </c>
      <c r="L66" s="58">
        <f>L67+L68</f>
        <v>7.5</v>
      </c>
      <c r="M66" s="12"/>
      <c r="N66" s="12"/>
      <c r="O66" s="12"/>
      <c r="P66" s="12"/>
      <c r="Q66" s="12"/>
      <c r="R66" s="58"/>
      <c r="S66" s="12"/>
      <c r="T66" s="58"/>
      <c r="U66" s="12"/>
      <c r="V66" s="12"/>
      <c r="W66" s="12"/>
      <c r="X66" s="12"/>
      <c r="Y66" s="12"/>
      <c r="Z66" s="12"/>
      <c r="AA66" s="12"/>
      <c r="AB66" s="58"/>
      <c r="AC66" s="12"/>
      <c r="AD66" s="58"/>
      <c r="AE66" s="12">
        <v>85</v>
      </c>
      <c r="AF66" s="58">
        <f>AF67+AF68</f>
        <v>13.5</v>
      </c>
      <c r="AG66" s="12"/>
      <c r="AH66" s="12"/>
      <c r="AI66" s="12"/>
      <c r="AJ66" s="12"/>
      <c r="AK66" s="12"/>
      <c r="AL66" s="12"/>
      <c r="AM66" s="52">
        <f>D66+F66+H66+J66+L66+N66+X66+Z66+AD66+AF66+AB66+P66+R66+T66+V66+AH66+AJ66</f>
        <v>47</v>
      </c>
    </row>
    <row r="67" spans="2:39" outlineLevel="1" x14ac:dyDescent="0.2">
      <c r="B67" s="63" t="s">
        <v>31</v>
      </c>
      <c r="C67" s="12">
        <v>30</v>
      </c>
      <c r="D67" s="12">
        <v>5</v>
      </c>
      <c r="E67" s="12"/>
      <c r="F67" s="12"/>
      <c r="G67" s="12">
        <v>31</v>
      </c>
      <c r="H67" s="12">
        <v>8.5</v>
      </c>
      <c r="I67" s="12"/>
      <c r="J67" s="12"/>
      <c r="K67" s="12">
        <v>32</v>
      </c>
      <c r="L67" s="12">
        <v>6.5</v>
      </c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>
        <v>32</v>
      </c>
      <c r="AF67" s="12">
        <v>5</v>
      </c>
      <c r="AG67" s="12"/>
      <c r="AH67" s="12"/>
      <c r="AI67" s="12"/>
      <c r="AJ67" s="12"/>
      <c r="AK67" s="12"/>
      <c r="AL67" s="12"/>
      <c r="AM67" s="59"/>
    </row>
    <row r="68" spans="2:39" outlineLevel="1" x14ac:dyDescent="0.2">
      <c r="B68" s="67" t="s">
        <v>5</v>
      </c>
      <c r="C68" s="62">
        <v>6</v>
      </c>
      <c r="D68" s="12">
        <v>9</v>
      </c>
      <c r="E68" s="12"/>
      <c r="F68" s="12"/>
      <c r="G68" s="62">
        <v>-13</v>
      </c>
      <c r="H68" s="12">
        <v>3.5</v>
      </c>
      <c r="I68" s="12"/>
      <c r="J68" s="12"/>
      <c r="K68" s="62">
        <v>-38</v>
      </c>
      <c r="L68" s="12">
        <v>1</v>
      </c>
      <c r="M68" s="12"/>
      <c r="N68" s="12"/>
      <c r="O68" s="12"/>
      <c r="P68" s="12"/>
      <c r="Q68" s="62"/>
      <c r="R68" s="12"/>
      <c r="S68" s="48"/>
      <c r="T68" s="48"/>
      <c r="U68" s="12"/>
      <c r="V68" s="12"/>
      <c r="W68" s="12"/>
      <c r="X68" s="12"/>
      <c r="Y68" s="79"/>
      <c r="Z68" s="12"/>
      <c r="AA68" s="79"/>
      <c r="AB68" s="12"/>
      <c r="AC68" s="79"/>
      <c r="AD68" s="12"/>
      <c r="AE68" s="79">
        <v>15</v>
      </c>
      <c r="AF68" s="12">
        <v>8.5</v>
      </c>
      <c r="AG68" s="79"/>
      <c r="AH68" s="12"/>
      <c r="AI68" s="79"/>
      <c r="AJ68" s="12"/>
      <c r="AK68" s="79"/>
      <c r="AL68" s="12"/>
      <c r="AM68" s="59"/>
    </row>
    <row r="69" spans="2:39" x14ac:dyDescent="0.2">
      <c r="B69" s="67" t="s">
        <v>128</v>
      </c>
      <c r="C69" s="12"/>
      <c r="D69" s="12"/>
      <c r="E69" s="12"/>
      <c r="F69" s="58"/>
      <c r="G69" s="48"/>
      <c r="H69" s="58"/>
      <c r="I69" s="12"/>
      <c r="J69" s="12"/>
      <c r="K69" s="12"/>
      <c r="L69" s="12"/>
      <c r="M69" s="12"/>
      <c r="N69" s="58"/>
      <c r="O69" s="12"/>
      <c r="P69" s="58"/>
      <c r="Q69" s="12"/>
      <c r="R69" s="12"/>
      <c r="S69" s="12"/>
      <c r="T69" s="12"/>
      <c r="U69" s="12"/>
      <c r="V69" s="12"/>
      <c r="W69" s="12"/>
      <c r="X69" s="12"/>
      <c r="Y69" s="12">
        <v>97</v>
      </c>
      <c r="Z69" s="58">
        <f>Z70+Z71</f>
        <v>2</v>
      </c>
      <c r="AA69" s="12"/>
      <c r="AB69" s="58"/>
      <c r="AC69" s="12">
        <v>90</v>
      </c>
      <c r="AD69" s="58">
        <f>AD70+AD71</f>
        <v>14.5</v>
      </c>
      <c r="AE69" s="12"/>
      <c r="AF69" s="58"/>
      <c r="AG69" s="12"/>
      <c r="AH69" s="12"/>
      <c r="AI69" s="12">
        <v>88</v>
      </c>
      <c r="AJ69" s="58">
        <f>AJ70+AJ71</f>
        <v>16.5</v>
      </c>
      <c r="AK69" s="12"/>
      <c r="AL69" s="12"/>
      <c r="AM69" s="52">
        <f>D69+F69+H69+J69+L69+N69+X69+Z69+AD69+AF69+AB69+P69+R69+T69+V69+AH69+AJ69</f>
        <v>33</v>
      </c>
    </row>
    <row r="70" spans="2:39" outlineLevel="1" x14ac:dyDescent="0.2">
      <c r="B70" s="63" t="s">
        <v>31</v>
      </c>
      <c r="C70" s="12"/>
      <c r="D70" s="12"/>
      <c r="E70" s="12"/>
      <c r="F70" s="12"/>
      <c r="G70" s="48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>
        <v>23</v>
      </c>
      <c r="Z70" s="12">
        <v>1</v>
      </c>
      <c r="AA70" s="12"/>
      <c r="AB70" s="12"/>
      <c r="AC70" s="12">
        <v>34</v>
      </c>
      <c r="AD70" s="12">
        <v>6.5</v>
      </c>
      <c r="AE70" s="12"/>
      <c r="AF70" s="12"/>
      <c r="AG70" s="12"/>
      <c r="AH70" s="12"/>
      <c r="AI70" s="12">
        <v>35</v>
      </c>
      <c r="AJ70" s="12">
        <v>6.5</v>
      </c>
      <c r="AK70" s="12"/>
      <c r="AL70" s="12"/>
      <c r="AM70" s="59"/>
    </row>
    <row r="71" spans="2:39" outlineLevel="1" x14ac:dyDescent="0.2">
      <c r="B71" s="67" t="s">
        <v>5</v>
      </c>
      <c r="C71" s="12"/>
      <c r="D71" s="12"/>
      <c r="E71" s="62"/>
      <c r="F71" s="58"/>
      <c r="G71" s="79"/>
      <c r="H71" s="12"/>
      <c r="I71" s="79"/>
      <c r="J71" s="12"/>
      <c r="K71" s="12"/>
      <c r="L71" s="12"/>
      <c r="M71" s="62"/>
      <c r="N71" s="12"/>
      <c r="O71" s="79"/>
      <c r="P71" s="12"/>
      <c r="Q71" s="12"/>
      <c r="R71" s="12"/>
      <c r="S71" s="12"/>
      <c r="T71" s="12"/>
      <c r="U71" s="12"/>
      <c r="V71" s="12"/>
      <c r="W71" s="12"/>
      <c r="X71" s="12"/>
      <c r="Y71" s="12">
        <v>-22</v>
      </c>
      <c r="Z71" s="12">
        <v>1</v>
      </c>
      <c r="AA71" s="79"/>
      <c r="AB71" s="12"/>
      <c r="AC71" s="12">
        <v>11</v>
      </c>
      <c r="AD71" s="12">
        <v>8</v>
      </c>
      <c r="AE71" s="79"/>
      <c r="AF71" s="12"/>
      <c r="AG71" s="12"/>
      <c r="AH71" s="12"/>
      <c r="AI71" s="12">
        <v>21</v>
      </c>
      <c r="AJ71" s="12">
        <v>10</v>
      </c>
      <c r="AK71" s="12"/>
      <c r="AL71" s="12"/>
      <c r="AM71" s="59"/>
    </row>
    <row r="72" spans="2:39" x14ac:dyDescent="0.2">
      <c r="B72" s="152" t="s">
        <v>101</v>
      </c>
      <c r="C72" s="12"/>
      <c r="D72" s="58"/>
      <c r="E72" s="12"/>
      <c r="F72" s="12"/>
      <c r="G72" s="12"/>
      <c r="H72" s="58"/>
      <c r="I72" s="12"/>
      <c r="J72" s="12"/>
      <c r="K72" s="12"/>
      <c r="L72" s="12"/>
      <c r="M72" s="12"/>
      <c r="N72" s="12"/>
      <c r="O72" s="12"/>
      <c r="P72" s="12"/>
      <c r="Q72" s="12"/>
      <c r="R72" s="58"/>
      <c r="S72" s="12"/>
      <c r="T72" s="58"/>
      <c r="U72" s="12">
        <v>86</v>
      </c>
      <c r="V72" s="58">
        <f>V73+V74</f>
        <v>9.5</v>
      </c>
      <c r="W72" s="1">
        <v>90</v>
      </c>
      <c r="X72" s="58">
        <f>X73+X74</f>
        <v>18</v>
      </c>
      <c r="Z72" s="58"/>
      <c r="AA72" s="12"/>
      <c r="AB72" s="58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52">
        <f>D72+F72+H72+J72+L72+N72+X72+Z72+AD72+AF72+AB72+P72+R72+T72+V72+AH72+AJ72</f>
        <v>27.5</v>
      </c>
    </row>
    <row r="73" spans="2:39" outlineLevel="1" x14ac:dyDescent="0.2">
      <c r="B73" s="63" t="s">
        <v>31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>
        <v>36</v>
      </c>
      <c r="V73" s="12">
        <v>6.5</v>
      </c>
      <c r="W73" s="1">
        <v>36</v>
      </c>
      <c r="X73" s="48">
        <v>8</v>
      </c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59"/>
    </row>
    <row r="74" spans="2:39" outlineLevel="1" x14ac:dyDescent="0.2">
      <c r="B74" s="67" t="s">
        <v>5</v>
      </c>
      <c r="C74" s="62"/>
      <c r="D74" s="12"/>
      <c r="E74" s="12"/>
      <c r="F74" s="12"/>
      <c r="G74" s="62"/>
      <c r="H74" s="12"/>
      <c r="I74" s="12"/>
      <c r="J74" s="12"/>
      <c r="K74" s="12"/>
      <c r="L74" s="12"/>
      <c r="M74" s="12"/>
      <c r="N74" s="12"/>
      <c r="O74" s="12"/>
      <c r="P74" s="12"/>
      <c r="Q74" s="62"/>
      <c r="R74" s="12"/>
      <c r="S74" s="48"/>
      <c r="T74" s="48"/>
      <c r="U74" s="12">
        <v>-17</v>
      </c>
      <c r="V74" s="12">
        <v>3</v>
      </c>
      <c r="W74" s="12">
        <v>11</v>
      </c>
      <c r="X74" s="12">
        <v>10</v>
      </c>
      <c r="Y74" s="79"/>
      <c r="AA74" s="79"/>
      <c r="AB74" s="12"/>
      <c r="AC74" s="12"/>
      <c r="AD74" s="12"/>
      <c r="AE74" s="79"/>
      <c r="AF74" s="12"/>
      <c r="AG74" s="79"/>
      <c r="AH74" s="12"/>
      <c r="AI74" s="79"/>
      <c r="AJ74" s="12"/>
      <c r="AK74" s="79"/>
      <c r="AL74" s="12"/>
      <c r="AM74" s="59"/>
    </row>
    <row r="75" spans="2:39" x14ac:dyDescent="0.2">
      <c r="B75" s="118" t="s">
        <v>194</v>
      </c>
      <c r="C75" s="12"/>
      <c r="D75" s="12"/>
      <c r="E75" s="12"/>
      <c r="F75" s="58"/>
      <c r="G75" s="12"/>
      <c r="H75" s="58"/>
      <c r="I75" s="12"/>
      <c r="J75" s="12"/>
      <c r="K75" s="12"/>
      <c r="L75" s="12"/>
      <c r="M75" s="12"/>
      <c r="N75" s="12"/>
      <c r="O75" s="12"/>
      <c r="P75" s="58"/>
      <c r="Q75" s="12"/>
      <c r="R75" s="58"/>
      <c r="S75" s="12"/>
      <c r="T75" s="49"/>
      <c r="U75" s="12"/>
      <c r="V75" s="12"/>
      <c r="W75" s="12">
        <v>80</v>
      </c>
      <c r="X75" s="58">
        <f>X76+X77</f>
        <v>13.5</v>
      </c>
      <c r="Y75" s="12">
        <v>70</v>
      </c>
      <c r="Z75" s="58">
        <f>Z76+Z77</f>
        <v>11</v>
      </c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52">
        <f>D75+F75+H75+J75+L75+N75+X75+Z75+AD75+AF75+AB75+P75+R75+T75+V75+AH75+AJ75</f>
        <v>24.5</v>
      </c>
    </row>
    <row r="76" spans="2:39" outlineLevel="1" x14ac:dyDescent="0.2">
      <c r="B76" s="63" t="s">
        <v>31</v>
      </c>
      <c r="C76" s="12"/>
      <c r="D76" s="12"/>
      <c r="E76" s="12"/>
      <c r="F76" s="49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>
        <v>28</v>
      </c>
      <c r="X76" s="12">
        <v>2</v>
      </c>
      <c r="Y76" s="12">
        <v>36</v>
      </c>
      <c r="Z76" s="12">
        <v>9</v>
      </c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59"/>
    </row>
    <row r="77" spans="2:39" outlineLevel="1" x14ac:dyDescent="0.2">
      <c r="B77" s="67" t="s">
        <v>5</v>
      </c>
      <c r="C77" s="12"/>
      <c r="D77" s="12"/>
      <c r="E77" s="62"/>
      <c r="F77" s="12"/>
      <c r="G77" s="79"/>
      <c r="H77" s="12"/>
      <c r="I77" s="12"/>
      <c r="J77" s="12"/>
      <c r="K77" s="12"/>
      <c r="L77" s="12"/>
      <c r="M77" s="12"/>
      <c r="N77" s="12"/>
      <c r="O77" s="79"/>
      <c r="P77" s="12"/>
      <c r="Q77" s="79"/>
      <c r="R77" s="12"/>
      <c r="S77" s="79"/>
      <c r="T77" s="48"/>
      <c r="U77" s="12"/>
      <c r="V77" s="12"/>
      <c r="W77" s="12">
        <v>17</v>
      </c>
      <c r="X77" s="12">
        <v>11.5</v>
      </c>
      <c r="Y77" s="12">
        <v>-9</v>
      </c>
      <c r="Z77" s="12">
        <v>2</v>
      </c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59"/>
    </row>
    <row r="78" spans="2:39" x14ac:dyDescent="0.2">
      <c r="B78" s="118" t="s">
        <v>90</v>
      </c>
      <c r="C78" s="12"/>
      <c r="D78" s="12"/>
      <c r="E78" s="12"/>
      <c r="F78" s="58"/>
      <c r="G78" s="12"/>
      <c r="H78" s="58"/>
      <c r="I78" s="12">
        <v>66</v>
      </c>
      <c r="J78" s="58">
        <f>J79+J80</f>
        <v>22.5</v>
      </c>
      <c r="K78" s="12"/>
      <c r="L78" s="58"/>
      <c r="M78" s="12"/>
      <c r="N78" s="12"/>
      <c r="O78" s="12"/>
      <c r="P78" s="12"/>
      <c r="Q78" s="12"/>
      <c r="R78" s="58"/>
      <c r="S78" s="12"/>
      <c r="T78" s="12"/>
      <c r="U78" s="12"/>
      <c r="V78" s="58"/>
      <c r="W78" s="12"/>
      <c r="X78" s="12"/>
      <c r="Y78" s="12"/>
      <c r="Z78" s="58"/>
      <c r="AA78" s="12"/>
      <c r="AB78" s="12"/>
      <c r="AC78" s="12"/>
      <c r="AD78" s="58"/>
      <c r="AE78" s="12"/>
      <c r="AF78" s="58"/>
      <c r="AG78" s="12"/>
      <c r="AH78" s="12"/>
      <c r="AI78" s="12"/>
      <c r="AJ78" s="58"/>
      <c r="AK78" s="12"/>
      <c r="AL78" s="58"/>
      <c r="AM78" s="52">
        <f>D78+F78+H78+J78+L78+N78+X78+Z78+AD78+AF78+AB78+P78+R78+T78+V78+AH78+AJ78</f>
        <v>22.5</v>
      </c>
    </row>
    <row r="79" spans="2:39" outlineLevel="1" x14ac:dyDescent="0.2">
      <c r="B79" s="63" t="s">
        <v>31</v>
      </c>
      <c r="C79" s="12"/>
      <c r="D79" s="12"/>
      <c r="E79" s="12"/>
      <c r="F79" s="12"/>
      <c r="G79" s="12"/>
      <c r="H79" s="12"/>
      <c r="I79" s="12">
        <v>39</v>
      </c>
      <c r="J79" s="12">
        <v>11.5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59"/>
    </row>
    <row r="80" spans="2:39" outlineLevel="1" x14ac:dyDescent="0.2">
      <c r="B80" s="67" t="s">
        <v>5</v>
      </c>
      <c r="C80" s="12"/>
      <c r="D80" s="12"/>
      <c r="E80" s="12"/>
      <c r="F80" s="12"/>
      <c r="G80" s="79"/>
      <c r="H80" s="12"/>
      <c r="I80" s="79">
        <v>28</v>
      </c>
      <c r="J80" s="12">
        <v>11</v>
      </c>
      <c r="K80" s="79"/>
      <c r="L80" s="12"/>
      <c r="M80" s="12"/>
      <c r="N80" s="12"/>
      <c r="O80" s="12"/>
      <c r="P80" s="12"/>
      <c r="Q80" s="79"/>
      <c r="R80" s="12"/>
      <c r="S80" s="12"/>
      <c r="T80" s="12"/>
      <c r="U80" s="79"/>
      <c r="V80" s="12"/>
      <c r="W80" s="79"/>
      <c r="X80" s="12"/>
      <c r="Y80" s="79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59"/>
    </row>
    <row r="81" spans="1:39" x14ac:dyDescent="0.2">
      <c r="A81" s="51"/>
      <c r="B81" s="154" t="s">
        <v>93</v>
      </c>
      <c r="C81" s="12"/>
      <c r="D81" s="58"/>
      <c r="E81" s="12"/>
      <c r="F81" s="12"/>
      <c r="G81" s="12"/>
      <c r="H81" s="58"/>
      <c r="I81" s="12"/>
      <c r="J81" s="12"/>
      <c r="K81" s="12"/>
      <c r="L81" s="12"/>
      <c r="M81" s="12"/>
      <c r="N81" s="12"/>
      <c r="O81" s="12"/>
      <c r="P81" s="12"/>
      <c r="Q81" s="12"/>
      <c r="R81" s="58"/>
      <c r="S81" s="12"/>
      <c r="T81" s="12"/>
      <c r="U81" s="12"/>
      <c r="V81" s="12"/>
      <c r="W81" s="12"/>
      <c r="X81" s="58"/>
      <c r="Y81" s="12">
        <v>85</v>
      </c>
      <c r="Z81" s="58">
        <f>Z82+Z83</f>
        <v>13</v>
      </c>
      <c r="AA81" s="12"/>
      <c r="AB81" s="58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52">
        <f>D81+F81+H81+J81+L81+N81+X81+Z81+AD81+AF81+AB81+P81+R81+T81+V81+AH81+AJ81</f>
        <v>13</v>
      </c>
    </row>
    <row r="82" spans="1:39" outlineLevel="1" x14ac:dyDescent="0.2">
      <c r="A82" s="51"/>
      <c r="B82" s="63" t="s">
        <v>31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>
        <v>34</v>
      </c>
      <c r="Z82" s="12">
        <v>5.5</v>
      </c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59"/>
    </row>
    <row r="83" spans="1:39" outlineLevel="1" x14ac:dyDescent="0.2">
      <c r="A83" s="51"/>
      <c r="B83" s="67" t="s">
        <v>5</v>
      </c>
      <c r="C83" s="62"/>
      <c r="D83" s="12"/>
      <c r="E83" s="12"/>
      <c r="F83" s="12"/>
      <c r="G83" s="62"/>
      <c r="H83" s="12"/>
      <c r="I83" s="12"/>
      <c r="J83" s="12"/>
      <c r="K83" s="12"/>
      <c r="L83" s="12"/>
      <c r="M83" s="12"/>
      <c r="N83" s="12"/>
      <c r="O83" s="12"/>
      <c r="P83" s="12"/>
      <c r="Q83" s="62"/>
      <c r="R83" s="12"/>
      <c r="S83" s="48"/>
      <c r="T83" s="48"/>
      <c r="U83" s="12"/>
      <c r="V83" s="12"/>
      <c r="W83" s="12"/>
      <c r="X83" s="12"/>
      <c r="Y83" s="79">
        <v>1</v>
      </c>
      <c r="Z83" s="12">
        <v>7.5</v>
      </c>
      <c r="AA83" s="79"/>
      <c r="AB83" s="12"/>
      <c r="AC83" s="12"/>
      <c r="AD83" s="12"/>
      <c r="AE83" s="79"/>
      <c r="AF83" s="12"/>
      <c r="AG83" s="79"/>
      <c r="AH83" s="12"/>
      <c r="AI83" s="79"/>
      <c r="AJ83" s="12"/>
      <c r="AK83" s="79"/>
      <c r="AL83" s="12"/>
      <c r="AM83" s="59"/>
    </row>
    <row r="84" spans="1:39" x14ac:dyDescent="0.2">
      <c r="A84" s="128"/>
      <c r="B84" s="67"/>
      <c r="C84" s="12"/>
      <c r="D84" s="12"/>
      <c r="E84" s="12"/>
      <c r="F84" s="58"/>
      <c r="G84" s="12"/>
      <c r="H84" s="12"/>
      <c r="I84" s="12"/>
      <c r="J84" s="12"/>
      <c r="K84" s="12"/>
      <c r="L84" s="12"/>
      <c r="M84" s="12"/>
      <c r="N84" s="12"/>
      <c r="O84" s="12"/>
      <c r="P84" s="58"/>
      <c r="Q84" s="12"/>
      <c r="R84" s="12"/>
      <c r="S84" s="12"/>
      <c r="T84" s="12"/>
      <c r="U84" s="12"/>
      <c r="V84" s="58"/>
      <c r="W84" s="12"/>
      <c r="X84" s="49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52">
        <f>D84+F84+H84+J84+L84+N84+X84+Z84+AD84+AF84+AB84+P84+R84+T84+V84+AH84+AJ84</f>
        <v>0</v>
      </c>
    </row>
    <row r="85" spans="1:39" outlineLevel="1" x14ac:dyDescent="0.2">
      <c r="A85" s="128"/>
      <c r="B85" s="63" t="s">
        <v>31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59"/>
    </row>
    <row r="86" spans="1:39" outlineLevel="1" x14ac:dyDescent="0.2">
      <c r="A86" s="128"/>
      <c r="B86" s="67" t="s">
        <v>5</v>
      </c>
      <c r="C86" s="12"/>
      <c r="D86" s="12"/>
      <c r="E86" s="6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79"/>
      <c r="V86" s="12"/>
      <c r="W86" s="79"/>
      <c r="X86" s="12"/>
      <c r="Y86" s="12"/>
      <c r="Z86" s="12"/>
      <c r="AA86" s="12"/>
      <c r="AB86" s="12"/>
      <c r="AC86" s="12"/>
      <c r="AD86" s="12"/>
      <c r="AE86" s="79"/>
      <c r="AF86" s="12"/>
      <c r="AG86" s="79"/>
      <c r="AH86" s="12"/>
      <c r="AI86" s="79"/>
      <c r="AJ86" s="12"/>
      <c r="AK86" s="79"/>
      <c r="AL86" s="12"/>
      <c r="AM86" s="59"/>
    </row>
    <row r="87" spans="1:39" x14ac:dyDescent="0.2">
      <c r="A87" s="128"/>
      <c r="B87" s="118"/>
      <c r="C87" s="12"/>
      <c r="D87" s="58"/>
      <c r="E87" s="12"/>
      <c r="F87" s="12"/>
      <c r="G87" s="12"/>
      <c r="H87" s="58"/>
      <c r="I87" s="12"/>
      <c r="J87" s="12"/>
      <c r="K87" s="12"/>
      <c r="L87" s="12"/>
      <c r="M87" s="12"/>
      <c r="N87" s="12"/>
      <c r="O87" s="12"/>
      <c r="P87" s="12"/>
      <c r="Q87" s="12"/>
      <c r="R87" s="58"/>
      <c r="S87" s="12"/>
      <c r="T87" s="12"/>
      <c r="U87" s="12"/>
      <c r="V87" s="12"/>
      <c r="W87" s="12"/>
      <c r="X87" s="58"/>
      <c r="Y87" s="12"/>
      <c r="Z87" s="12"/>
      <c r="AA87" s="12"/>
      <c r="AB87" s="58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52">
        <f>D87+F87+H87+J87+L87+N87+X87+Z87+AD87+AF87+AB87+P87+R87+T87+V87+AH87+AJ87</f>
        <v>0</v>
      </c>
    </row>
    <row r="88" spans="1:39" outlineLevel="1" x14ac:dyDescent="0.2">
      <c r="A88" s="128"/>
      <c r="B88" s="63" t="s">
        <v>31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59"/>
    </row>
    <row r="89" spans="1:39" outlineLevel="1" x14ac:dyDescent="0.2">
      <c r="A89" s="128"/>
      <c r="B89" s="67" t="s">
        <v>5</v>
      </c>
      <c r="C89" s="62"/>
      <c r="D89" s="12"/>
      <c r="E89" s="12"/>
      <c r="F89" s="12"/>
      <c r="G89" s="62"/>
      <c r="H89" s="12"/>
      <c r="I89" s="12"/>
      <c r="J89" s="12"/>
      <c r="K89" s="12"/>
      <c r="L89" s="12"/>
      <c r="M89" s="12"/>
      <c r="N89" s="12"/>
      <c r="O89" s="12"/>
      <c r="P89" s="12"/>
      <c r="Q89" s="62"/>
      <c r="R89" s="12"/>
      <c r="S89" s="48"/>
      <c r="T89" s="48"/>
      <c r="U89" s="12"/>
      <c r="V89" s="12"/>
      <c r="W89" s="12"/>
      <c r="X89" s="12"/>
      <c r="Y89" s="79"/>
      <c r="Z89" s="12"/>
      <c r="AA89" s="79"/>
      <c r="AB89" s="12"/>
      <c r="AC89" s="12"/>
      <c r="AD89" s="12"/>
      <c r="AE89" s="79"/>
      <c r="AF89" s="12"/>
      <c r="AG89" s="79"/>
      <c r="AH89" s="12"/>
      <c r="AI89" s="79"/>
      <c r="AJ89" s="12"/>
      <c r="AK89" s="79"/>
      <c r="AL89" s="12"/>
      <c r="AM89" s="59"/>
    </row>
    <row r="90" spans="1:39" x14ac:dyDescent="0.2">
      <c r="A90" s="130"/>
      <c r="B90" s="66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58"/>
      <c r="U90" s="12"/>
      <c r="V90" s="58"/>
      <c r="W90" s="12"/>
      <c r="X90" s="58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52">
        <f>D90+F90+H90+J90+L90+N90+X90+Z90+AD90+AF90+AB90+P90+R90+T90+V90+AH90+AJ90</f>
        <v>0</v>
      </c>
    </row>
    <row r="91" spans="1:39" outlineLevel="1" x14ac:dyDescent="0.2">
      <c r="A91" s="130"/>
      <c r="B91" s="63" t="s">
        <v>31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59"/>
    </row>
    <row r="92" spans="1:39" outlineLevel="1" x14ac:dyDescent="0.2">
      <c r="A92" s="130"/>
      <c r="B92" s="67" t="s">
        <v>5</v>
      </c>
      <c r="C92" s="12"/>
      <c r="D92" s="12"/>
      <c r="E92" s="6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79"/>
      <c r="T92" s="12"/>
      <c r="U92" s="1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59"/>
    </row>
    <row r="93" spans="1:39" x14ac:dyDescent="0.2">
      <c r="A93" s="139"/>
      <c r="B93" s="67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58"/>
      <c r="S93" s="12"/>
      <c r="T93" s="12"/>
      <c r="U93" s="12"/>
      <c r="V93" s="58"/>
      <c r="W93" s="12"/>
      <c r="X93" s="12"/>
      <c r="Y93" s="12"/>
      <c r="Z93" s="12"/>
      <c r="AA93" s="12"/>
      <c r="AB93" s="12"/>
      <c r="AC93" s="12"/>
      <c r="AD93" s="58"/>
      <c r="AE93" s="12"/>
      <c r="AF93" s="12"/>
      <c r="AG93" s="12"/>
      <c r="AH93" s="12"/>
      <c r="AI93" s="12"/>
      <c r="AJ93" s="12"/>
      <c r="AK93" s="12"/>
      <c r="AL93" s="12"/>
      <c r="AM93" s="52">
        <f>D93+F93+H93+J93+L93+N93+X93+Z93+AD93+AF93+AB93+P93+R93+T93+V93+AH93+AJ93</f>
        <v>0</v>
      </c>
    </row>
    <row r="94" spans="1:39" outlineLevel="1" x14ac:dyDescent="0.2">
      <c r="A94" s="139"/>
      <c r="B94" s="63" t="s">
        <v>31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59"/>
    </row>
    <row r="95" spans="1:39" outlineLevel="1" x14ac:dyDescent="0.2">
      <c r="A95" s="139"/>
      <c r="B95" s="67" t="s">
        <v>5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48"/>
      <c r="R95" s="48"/>
      <c r="S95" s="12"/>
      <c r="T95" s="12"/>
      <c r="U95" s="79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59"/>
    </row>
  </sheetData>
  <sortState xmlns:xlrd2="http://schemas.microsoft.com/office/spreadsheetml/2017/richdata2" ref="B6:AN41">
    <sortCondition descending="1" ref="AM6:AM41"/>
  </sortState>
  <dataConsolidate/>
  <mergeCells count="90">
    <mergeCell ref="AK5:AL5"/>
    <mergeCell ref="AA5:AB5"/>
    <mergeCell ref="AC5:AD5"/>
    <mergeCell ref="AE5:AF5"/>
    <mergeCell ref="AG5:AH5"/>
    <mergeCell ref="AI5:AJ5"/>
    <mergeCell ref="AK1:AL1"/>
    <mergeCell ref="AK2:AL2"/>
    <mergeCell ref="AK3:AL3"/>
    <mergeCell ref="AK4:AL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3:AB3"/>
    <mergeCell ref="AC3:AD3"/>
    <mergeCell ref="AE3:AF3"/>
    <mergeCell ref="M3:N3"/>
    <mergeCell ref="O3:P3"/>
    <mergeCell ref="Q3:R3"/>
    <mergeCell ref="S3:T3"/>
    <mergeCell ref="W3:X3"/>
    <mergeCell ref="U3:V3"/>
    <mergeCell ref="U2:V2"/>
    <mergeCell ref="S2:T2"/>
    <mergeCell ref="M1:N1"/>
    <mergeCell ref="O1:P1"/>
    <mergeCell ref="Q1:R1"/>
    <mergeCell ref="S1:T1"/>
    <mergeCell ref="U1:V1"/>
    <mergeCell ref="Q2:R2"/>
    <mergeCell ref="I2:J2"/>
    <mergeCell ref="O2:P2"/>
    <mergeCell ref="M2:N2"/>
    <mergeCell ref="C2:D2"/>
    <mergeCell ref="E2:F2"/>
    <mergeCell ref="K2:L2"/>
    <mergeCell ref="G2:H2"/>
    <mergeCell ref="C1:D1"/>
    <mergeCell ref="E1:F1"/>
    <mergeCell ref="G1:H1"/>
    <mergeCell ref="I1:J1"/>
    <mergeCell ref="K1:L1"/>
    <mergeCell ref="E3:F3"/>
    <mergeCell ref="I4:J4"/>
    <mergeCell ref="K4:L4"/>
    <mergeCell ref="C4:D4"/>
    <mergeCell ref="E4:F4"/>
    <mergeCell ref="G4:H4"/>
    <mergeCell ref="G3:H3"/>
    <mergeCell ref="I3:J3"/>
    <mergeCell ref="K3:L3"/>
    <mergeCell ref="C3:D3"/>
    <mergeCell ref="M4:N4"/>
    <mergeCell ref="O4:P4"/>
    <mergeCell ref="Q4:R4"/>
    <mergeCell ref="S4:T4"/>
    <mergeCell ref="U4:V4"/>
    <mergeCell ref="AG1:AH1"/>
    <mergeCell ref="AG2:AH2"/>
    <mergeCell ref="AG4:AH4"/>
    <mergeCell ref="AI1:AJ1"/>
    <mergeCell ref="AI2:AJ2"/>
    <mergeCell ref="AI4:AJ4"/>
    <mergeCell ref="AG3:AH3"/>
    <mergeCell ref="AI3:AJ3"/>
    <mergeCell ref="AE4:AF4"/>
    <mergeCell ref="AE1:AF1"/>
    <mergeCell ref="AE2:AF2"/>
    <mergeCell ref="W4:X4"/>
    <mergeCell ref="Y4:Z4"/>
    <mergeCell ref="AA4:AB4"/>
    <mergeCell ref="AC4:AD4"/>
    <mergeCell ref="AC1:AD1"/>
    <mergeCell ref="AC2:AD2"/>
    <mergeCell ref="AA2:AB2"/>
    <mergeCell ref="Y2:Z2"/>
    <mergeCell ref="W2:X2"/>
    <mergeCell ref="W1:X1"/>
    <mergeCell ref="Y1:Z1"/>
    <mergeCell ref="AA1:AB1"/>
    <mergeCell ref="Y3:Z3"/>
  </mergeCells>
  <pageMargins left="0.3" right="0.2" top="0.25" bottom="0.25" header="0.3" footer="0.3"/>
  <pageSetup pageOrder="overThenDown" orientation="portrait" verticalDpi="300" r:id="rId1"/>
  <colBreaks count="1" manualBreakCount="1"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R42"/>
  <sheetViews>
    <sheetView zoomScale="90" zoomScaleNormal="90" workbookViewId="0">
      <selection activeCell="AM37" sqref="AM37"/>
    </sheetView>
  </sheetViews>
  <sheetFormatPr defaultRowHeight="14.25" x14ac:dyDescent="0.2"/>
  <cols>
    <col min="1" max="1" width="11.88671875" customWidth="1"/>
    <col min="2" max="2" width="5.21875" customWidth="1"/>
    <col min="3" max="3" width="3.77734375" style="10" customWidth="1"/>
    <col min="4" max="4" width="4.33203125" style="10" bestFit="1" customWidth="1"/>
    <col min="5" max="5" width="2.5546875" style="10" bestFit="1" customWidth="1"/>
    <col min="6" max="6" width="3.77734375" style="10" customWidth="1"/>
    <col min="7" max="7" width="4.44140625" style="10" bestFit="1" customWidth="1"/>
    <col min="8" max="9" width="3.77734375" style="10" customWidth="1"/>
    <col min="10" max="10" width="4.33203125" style="10" bestFit="1" customWidth="1"/>
    <col min="11" max="12" width="3.77734375" style="10" customWidth="1"/>
    <col min="13" max="13" width="4.44140625" style="10" bestFit="1" customWidth="1"/>
    <col min="14" max="16" width="3.77734375" style="10" customWidth="1"/>
    <col min="17" max="17" width="4.33203125" style="10" bestFit="1" customWidth="1"/>
    <col min="18" max="19" width="3.77734375" style="10" customWidth="1"/>
    <col min="20" max="20" width="4.44140625" style="10" bestFit="1" customWidth="1"/>
    <col min="21" max="21" width="4.33203125" style="10" bestFit="1" customWidth="1"/>
    <col min="22" max="22" width="3.77734375" style="10" customWidth="1"/>
    <col min="23" max="23" width="4.44140625" style="10" bestFit="1" customWidth="1"/>
    <col min="24" max="24" width="4.33203125" style="10" bestFit="1" customWidth="1"/>
    <col min="25" max="25" width="3.77734375" style="10" customWidth="1"/>
    <col min="26" max="26" width="4.44140625" style="10" bestFit="1" customWidth="1"/>
    <col min="27" max="27" width="4.33203125" style="10" bestFit="1" customWidth="1"/>
    <col min="28" max="28" width="2.5546875" customWidth="1"/>
    <col min="29" max="29" width="3.77734375" style="10" customWidth="1"/>
    <col min="30" max="30" width="4.44140625" style="10" bestFit="1" customWidth="1"/>
    <col min="31" max="32" width="3.77734375" style="10" customWidth="1"/>
    <col min="33" max="34" width="4.33203125" style="10" bestFit="1" customWidth="1"/>
    <col min="35" max="35" width="3.77734375" style="10" customWidth="1"/>
    <col min="36" max="37" width="4.33203125" style="10" bestFit="1" customWidth="1"/>
    <col min="38" max="38" width="3.77734375" style="10" customWidth="1"/>
    <col min="39" max="40" width="4.33203125" style="10" bestFit="1" customWidth="1"/>
    <col min="41" max="41" width="4.33203125" style="10" customWidth="1"/>
    <col min="42" max="42" width="3.77734375" style="10" customWidth="1"/>
    <col min="43" max="43" width="4.44140625" style="10" bestFit="1" customWidth="1"/>
    <col min="44" max="45" width="3.77734375" style="10" customWidth="1"/>
    <col min="46" max="47" width="4.33203125" style="10" bestFit="1" customWidth="1"/>
    <col min="48" max="48" width="3.77734375" style="10" customWidth="1"/>
    <col min="49" max="50" width="4.33203125" style="10" bestFit="1" customWidth="1"/>
    <col min="51" max="51" width="3.77734375" style="10" customWidth="1"/>
    <col min="52" max="53" width="4.33203125" style="10" bestFit="1" customWidth="1"/>
    <col min="54" max="54" width="4.33203125" style="10" customWidth="1"/>
    <col min="55" max="55" width="6.44140625" bestFit="1" customWidth="1"/>
    <col min="56" max="56" width="3.33203125" bestFit="1" customWidth="1"/>
    <col min="57" max="57" width="4.21875" bestFit="1" customWidth="1"/>
    <col min="58" max="58" width="5" bestFit="1" customWidth="1"/>
    <col min="59" max="59" width="4.88671875" bestFit="1" customWidth="1"/>
    <col min="60" max="60" width="3.109375" bestFit="1" customWidth="1"/>
    <col min="61" max="61" width="6.21875" bestFit="1" customWidth="1"/>
    <col min="62" max="62" width="3.33203125" bestFit="1" customWidth="1"/>
    <col min="63" max="63" width="2.77734375" bestFit="1" customWidth="1"/>
    <col min="64" max="64" width="3.21875" bestFit="1" customWidth="1"/>
    <col min="65" max="65" width="4.21875" bestFit="1" customWidth="1"/>
    <col min="66" max="66" width="3.5546875" style="35" bestFit="1" customWidth="1"/>
    <col min="67" max="67" width="5.21875" bestFit="1" customWidth="1"/>
    <col min="68" max="68" width="3.77734375" customWidth="1"/>
    <col min="69" max="69" width="3" style="35" bestFit="1" customWidth="1"/>
    <col min="70" max="70" width="5.21875" bestFit="1" customWidth="1"/>
  </cols>
  <sheetData>
    <row r="1" spans="1:70" x14ac:dyDescent="0.2">
      <c r="B1" t="s">
        <v>9</v>
      </c>
      <c r="C1" s="195" t="s">
        <v>6</v>
      </c>
      <c r="D1" s="195"/>
      <c r="E1" s="195"/>
      <c r="F1" s="195"/>
      <c r="G1" s="195"/>
      <c r="H1" s="195"/>
      <c r="I1" s="195"/>
      <c r="J1" s="195"/>
      <c r="K1" s="195"/>
      <c r="L1" s="195"/>
      <c r="M1" s="107"/>
      <c r="N1" s="107"/>
      <c r="O1" s="13"/>
      <c r="P1" s="195" t="s">
        <v>7</v>
      </c>
      <c r="Q1" s="195"/>
      <c r="R1" s="195"/>
      <c r="S1" s="195"/>
      <c r="T1" s="195"/>
      <c r="U1" s="195"/>
      <c r="V1" s="195"/>
      <c r="W1" s="195"/>
      <c r="X1" s="195"/>
      <c r="Y1" s="195"/>
      <c r="Z1" s="13"/>
      <c r="AA1" s="13"/>
      <c r="AB1" s="22"/>
      <c r="AC1" s="195" t="s">
        <v>26</v>
      </c>
      <c r="AD1" s="195"/>
      <c r="AE1" s="195"/>
      <c r="AF1" s="195"/>
      <c r="AG1" s="195"/>
      <c r="AH1" s="195"/>
      <c r="AI1" s="195"/>
      <c r="AJ1" s="195"/>
      <c r="AK1" s="195"/>
      <c r="AL1" s="195"/>
      <c r="AM1" s="13"/>
      <c r="AN1" s="13"/>
      <c r="AO1" s="13"/>
      <c r="AP1" s="195" t="s">
        <v>69</v>
      </c>
      <c r="AQ1" s="195"/>
      <c r="AR1" s="195"/>
      <c r="AS1" s="195"/>
      <c r="AT1" s="195"/>
      <c r="AU1" s="195"/>
      <c r="AV1" s="195"/>
      <c r="AW1" s="195"/>
      <c r="AX1" s="195"/>
      <c r="AY1" s="195"/>
      <c r="AZ1" s="13"/>
      <c r="BA1" s="13"/>
    </row>
    <row r="2" spans="1:70" ht="12" customHeight="1" x14ac:dyDescent="0.2">
      <c r="A2" s="2"/>
      <c r="B2" s="36">
        <v>1</v>
      </c>
      <c r="C2" s="192" t="s">
        <v>161</v>
      </c>
      <c r="D2" s="193"/>
      <c r="E2" s="194"/>
      <c r="F2" s="192" t="s">
        <v>150</v>
      </c>
      <c r="G2" s="193"/>
      <c r="H2" s="194"/>
      <c r="I2" s="192" t="s">
        <v>154</v>
      </c>
      <c r="J2" s="193"/>
      <c r="K2" s="194"/>
      <c r="L2" s="192" t="s">
        <v>34</v>
      </c>
      <c r="M2" s="193"/>
      <c r="N2" s="194"/>
      <c r="O2" s="13"/>
      <c r="P2" s="199" t="s">
        <v>153</v>
      </c>
      <c r="Q2" s="200"/>
      <c r="R2" s="201"/>
      <c r="S2" s="192" t="s">
        <v>149</v>
      </c>
      <c r="T2" s="193"/>
      <c r="U2" s="194"/>
      <c r="V2" s="196" t="s">
        <v>162</v>
      </c>
      <c r="W2" s="197"/>
      <c r="X2" s="198"/>
      <c r="Y2" s="192" t="s">
        <v>155</v>
      </c>
      <c r="Z2" s="193"/>
      <c r="AA2" s="194"/>
      <c r="AB2" s="22"/>
      <c r="AC2" s="192" t="s">
        <v>29</v>
      </c>
      <c r="AD2" s="193"/>
      <c r="AE2" s="194"/>
      <c r="AF2" s="192" t="s">
        <v>152</v>
      </c>
      <c r="AG2" s="193"/>
      <c r="AH2" s="194"/>
      <c r="AI2" s="192" t="s">
        <v>163</v>
      </c>
      <c r="AJ2" s="193"/>
      <c r="AK2" s="194"/>
      <c r="AL2" s="192" t="s">
        <v>164</v>
      </c>
      <c r="AM2" s="193"/>
      <c r="AN2" s="194"/>
      <c r="AO2" s="28"/>
      <c r="AP2" s="192"/>
      <c r="AQ2" s="193"/>
      <c r="AR2" s="194"/>
      <c r="AS2" s="192"/>
      <c r="AT2" s="193"/>
      <c r="AU2" s="194"/>
      <c r="AV2" s="192"/>
      <c r="AW2" s="193"/>
      <c r="AX2" s="194"/>
      <c r="AY2" s="192"/>
      <c r="AZ2" s="193"/>
      <c r="BA2" s="194"/>
      <c r="BB2" s="106"/>
    </row>
    <row r="3" spans="1:70" ht="12" customHeight="1" x14ac:dyDescent="0.2">
      <c r="A3" s="202" t="s">
        <v>10</v>
      </c>
      <c r="B3" s="204"/>
      <c r="C3" s="83"/>
      <c r="D3" s="84"/>
      <c r="E3" s="83"/>
      <c r="F3" s="83"/>
      <c r="G3" s="84"/>
      <c r="H3" s="83"/>
      <c r="I3" s="83"/>
      <c r="J3" s="84"/>
      <c r="K3" s="83"/>
      <c r="L3" s="83"/>
      <c r="M3" s="84"/>
      <c r="N3" s="83"/>
      <c r="O3" s="13"/>
      <c r="P3" s="83"/>
      <c r="Q3" s="84"/>
      <c r="R3" s="83"/>
      <c r="S3" s="83"/>
      <c r="T3" s="84"/>
      <c r="U3" s="83"/>
      <c r="V3" s="83"/>
      <c r="W3" s="84"/>
      <c r="X3" s="83"/>
      <c r="Y3" s="83"/>
      <c r="Z3" s="84"/>
      <c r="AA3" s="83"/>
      <c r="AB3" s="22"/>
      <c r="AC3" s="83"/>
      <c r="AD3" s="84"/>
      <c r="AE3" s="83"/>
      <c r="AF3" s="83"/>
      <c r="AG3" s="84"/>
      <c r="AH3" s="83"/>
      <c r="AI3" s="83"/>
      <c r="AJ3" s="84"/>
      <c r="AK3" s="83"/>
      <c r="AL3" s="83"/>
      <c r="AM3" s="84"/>
      <c r="AN3" s="83"/>
      <c r="AO3" s="48"/>
      <c r="AP3" s="83"/>
      <c r="AQ3" s="84"/>
      <c r="AR3" s="83"/>
      <c r="AS3" s="83"/>
      <c r="AT3" s="84"/>
      <c r="AU3" s="83"/>
      <c r="AV3" s="83"/>
      <c r="AW3" s="84"/>
      <c r="AX3" s="83"/>
      <c r="AY3" s="83"/>
      <c r="AZ3" s="84"/>
      <c r="BA3" s="83"/>
      <c r="BB3" s="12"/>
      <c r="BD3" t="s">
        <v>83</v>
      </c>
      <c r="BE3" t="s">
        <v>19</v>
      </c>
      <c r="BF3" t="s">
        <v>65</v>
      </c>
      <c r="BG3" t="s">
        <v>1</v>
      </c>
      <c r="BH3" t="s">
        <v>20</v>
      </c>
      <c r="BI3" t="s">
        <v>29</v>
      </c>
      <c r="BJ3" t="s">
        <v>28</v>
      </c>
      <c r="BK3" s="35" t="s">
        <v>32</v>
      </c>
      <c r="BL3" s="35" t="s">
        <v>41</v>
      </c>
      <c r="BM3" t="s">
        <v>66</v>
      </c>
      <c r="BN3" s="35" t="s">
        <v>87</v>
      </c>
      <c r="BO3" t="s">
        <v>165</v>
      </c>
      <c r="BP3" s="35" t="s">
        <v>175</v>
      </c>
      <c r="BQ3" s="35" t="s">
        <v>176</v>
      </c>
    </row>
    <row r="4" spans="1:70" ht="12" customHeight="1" x14ac:dyDescent="0.2">
      <c r="A4" s="2"/>
      <c r="B4" s="36">
        <v>2</v>
      </c>
      <c r="C4" s="192" t="s">
        <v>149</v>
      </c>
      <c r="D4" s="193"/>
      <c r="E4" s="194"/>
      <c r="F4" s="196" t="s">
        <v>159</v>
      </c>
      <c r="G4" s="197"/>
      <c r="H4" s="198"/>
      <c r="I4" s="192" t="s">
        <v>29</v>
      </c>
      <c r="J4" s="193"/>
      <c r="K4" s="194"/>
      <c r="L4" s="192" t="s">
        <v>150</v>
      </c>
      <c r="M4" s="193"/>
      <c r="N4" s="194"/>
      <c r="O4" s="13"/>
      <c r="P4" s="192" t="s">
        <v>160</v>
      </c>
      <c r="Q4" s="193"/>
      <c r="R4" s="194"/>
      <c r="S4" s="192" t="s">
        <v>152</v>
      </c>
      <c r="T4" s="193"/>
      <c r="U4" s="194"/>
      <c r="V4" s="192" t="s">
        <v>154</v>
      </c>
      <c r="W4" s="193"/>
      <c r="X4" s="194"/>
      <c r="Y4" s="199" t="s">
        <v>153</v>
      </c>
      <c r="Z4" s="200"/>
      <c r="AA4" s="201"/>
      <c r="AB4" s="22"/>
      <c r="AC4" s="192"/>
      <c r="AD4" s="193"/>
      <c r="AE4" s="194"/>
      <c r="AF4" s="192"/>
      <c r="AG4" s="193"/>
      <c r="AH4" s="194"/>
      <c r="AI4" s="192"/>
      <c r="AJ4" s="193"/>
      <c r="AK4" s="194"/>
      <c r="AL4" s="192"/>
      <c r="AM4" s="193"/>
      <c r="AN4" s="194"/>
      <c r="AO4" s="28"/>
      <c r="AP4" s="192"/>
      <c r="AQ4" s="193"/>
      <c r="AR4" s="194"/>
      <c r="AS4" s="192"/>
      <c r="AT4" s="193"/>
      <c r="AU4" s="194"/>
      <c r="AV4" s="192"/>
      <c r="AW4" s="193"/>
      <c r="AX4" s="194"/>
      <c r="AY4" s="192"/>
      <c r="AZ4" s="193"/>
      <c r="BA4" s="194"/>
      <c r="BB4" s="106"/>
      <c r="BC4" t="s">
        <v>83</v>
      </c>
      <c r="BD4" s="35" t="s">
        <v>21</v>
      </c>
      <c r="BE4" s="35">
        <f>BD5</f>
        <v>2</v>
      </c>
      <c r="BF4" s="35">
        <f>BD6</f>
        <v>4</v>
      </c>
      <c r="BG4" s="35">
        <f>BD7</f>
        <v>0</v>
      </c>
      <c r="BH4" s="35">
        <f>BD8</f>
        <v>4</v>
      </c>
      <c r="BI4" s="35">
        <f>BD9</f>
        <v>3</v>
      </c>
      <c r="BJ4" s="35">
        <f>BD10</f>
        <v>3</v>
      </c>
      <c r="BK4" s="35">
        <f>BD11</f>
        <v>3</v>
      </c>
      <c r="BL4" s="35">
        <f>BD12</f>
        <v>2</v>
      </c>
      <c r="BM4" s="35">
        <f>BD13</f>
        <v>4</v>
      </c>
      <c r="BN4" s="35">
        <f>BD14</f>
        <v>3</v>
      </c>
      <c r="BO4" s="35">
        <f>BD15</f>
        <v>4</v>
      </c>
      <c r="BP4" s="35"/>
      <c r="BR4" s="35">
        <f>BD18</f>
        <v>0</v>
      </c>
    </row>
    <row r="5" spans="1:70" ht="12" customHeight="1" x14ac:dyDescent="0.2">
      <c r="A5" s="202" t="s">
        <v>10</v>
      </c>
      <c r="B5" s="203"/>
      <c r="C5" s="83">
        <v>84</v>
      </c>
      <c r="D5" s="84">
        <v>32</v>
      </c>
      <c r="E5" s="83">
        <v>31</v>
      </c>
      <c r="F5" s="83">
        <v>88</v>
      </c>
      <c r="G5" s="84">
        <v>-24</v>
      </c>
      <c r="H5" s="83">
        <v>28</v>
      </c>
      <c r="I5" s="83">
        <v>95</v>
      </c>
      <c r="J5" s="84">
        <v>0</v>
      </c>
      <c r="K5" s="83">
        <v>32</v>
      </c>
      <c r="L5" s="83">
        <v>88</v>
      </c>
      <c r="M5" s="84">
        <v>-8</v>
      </c>
      <c r="N5" s="83">
        <v>27</v>
      </c>
      <c r="O5" s="13"/>
      <c r="P5" s="83">
        <v>93</v>
      </c>
      <c r="Q5" s="84">
        <v>26</v>
      </c>
      <c r="R5" s="83">
        <v>35</v>
      </c>
      <c r="S5" s="83">
        <v>109</v>
      </c>
      <c r="T5" s="84">
        <v>-34</v>
      </c>
      <c r="U5" s="83">
        <v>22</v>
      </c>
      <c r="V5" s="83">
        <v>78</v>
      </c>
      <c r="W5" s="84">
        <v>0</v>
      </c>
      <c r="X5" s="83">
        <v>36</v>
      </c>
      <c r="Y5" s="83">
        <v>90</v>
      </c>
      <c r="Z5" s="84">
        <v>8</v>
      </c>
      <c r="AA5" s="83">
        <v>34</v>
      </c>
      <c r="AB5" s="22"/>
      <c r="AC5" s="83"/>
      <c r="AD5" s="84"/>
      <c r="AE5" s="83"/>
      <c r="AF5" s="83"/>
      <c r="AG5" s="84"/>
      <c r="AH5" s="83"/>
      <c r="AI5" s="83"/>
      <c r="AJ5" s="84"/>
      <c r="AK5" s="83"/>
      <c r="AL5" s="83"/>
      <c r="AM5" s="84"/>
      <c r="AN5" s="83"/>
      <c r="AO5" s="48"/>
      <c r="AP5" s="83"/>
      <c r="AQ5" s="84"/>
      <c r="AR5" s="83"/>
      <c r="AS5" s="83"/>
      <c r="AT5" s="84"/>
      <c r="AU5" s="83"/>
      <c r="AV5" s="83"/>
      <c r="AW5" s="84"/>
      <c r="AX5" s="83"/>
      <c r="AY5" s="83"/>
      <c r="AZ5" s="84"/>
      <c r="BA5" s="83"/>
      <c r="BB5" s="12"/>
      <c r="BC5" t="s">
        <v>19</v>
      </c>
      <c r="BD5" s="35">
        <v>2</v>
      </c>
      <c r="BE5" s="35" t="s">
        <v>21</v>
      </c>
      <c r="BF5" s="35">
        <f>BE6</f>
        <v>1</v>
      </c>
      <c r="BG5" s="35">
        <f>BE7</f>
        <v>3</v>
      </c>
      <c r="BH5" s="35">
        <f>BE8</f>
        <v>2</v>
      </c>
      <c r="BI5" s="35">
        <f>BE9</f>
        <v>2</v>
      </c>
      <c r="BJ5" s="35">
        <f>BE10</f>
        <v>1</v>
      </c>
      <c r="BK5" s="35">
        <f>BE11</f>
        <v>3</v>
      </c>
      <c r="BL5" s="35">
        <f>BE12</f>
        <v>3</v>
      </c>
      <c r="BM5" s="35">
        <f>BE13</f>
        <v>4</v>
      </c>
      <c r="BN5" s="35">
        <f>BE14</f>
        <v>1</v>
      </c>
      <c r="BO5" s="35">
        <f>BE15</f>
        <v>1</v>
      </c>
      <c r="BP5" s="35"/>
      <c r="BR5" s="35">
        <f>BE18</f>
        <v>0</v>
      </c>
    </row>
    <row r="6" spans="1:70" ht="12" customHeight="1" x14ac:dyDescent="0.2">
      <c r="A6" s="2"/>
      <c r="B6" s="36">
        <v>3</v>
      </c>
      <c r="C6" s="192" t="s">
        <v>3</v>
      </c>
      <c r="D6" s="193"/>
      <c r="E6" s="194"/>
      <c r="F6" s="192" t="s">
        <v>146</v>
      </c>
      <c r="G6" s="193"/>
      <c r="H6" s="194"/>
      <c r="I6" s="192" t="s">
        <v>73</v>
      </c>
      <c r="J6" s="193"/>
      <c r="K6" s="194"/>
      <c r="L6" s="192" t="s">
        <v>40</v>
      </c>
      <c r="M6" s="193"/>
      <c r="N6" s="194"/>
      <c r="O6" s="13"/>
      <c r="P6" s="192" t="s">
        <v>29</v>
      </c>
      <c r="Q6" s="193"/>
      <c r="R6" s="194"/>
      <c r="S6" s="192" t="s">
        <v>34</v>
      </c>
      <c r="T6" s="193"/>
      <c r="U6" s="194"/>
      <c r="V6" s="199" t="s">
        <v>153</v>
      </c>
      <c r="W6" s="200"/>
      <c r="X6" s="201"/>
      <c r="Y6" s="192" t="s">
        <v>8</v>
      </c>
      <c r="Z6" s="193"/>
      <c r="AA6" s="194"/>
      <c r="AB6" s="22"/>
      <c r="AC6" s="196" t="s">
        <v>171</v>
      </c>
      <c r="AD6" s="197"/>
      <c r="AE6" s="198"/>
      <c r="AF6" s="192" t="s">
        <v>172</v>
      </c>
      <c r="AG6" s="193"/>
      <c r="AH6" s="194"/>
      <c r="AI6" s="192" t="s">
        <v>100</v>
      </c>
      <c r="AJ6" s="193"/>
      <c r="AK6" s="194"/>
      <c r="AL6" s="192" t="s">
        <v>173</v>
      </c>
      <c r="AM6" s="193"/>
      <c r="AN6" s="194"/>
      <c r="AO6" s="28"/>
      <c r="AP6" s="192"/>
      <c r="AQ6" s="193"/>
      <c r="AR6" s="194"/>
      <c r="AS6" s="192"/>
      <c r="AT6" s="193"/>
      <c r="AU6" s="194"/>
      <c r="AV6" s="192"/>
      <c r="AW6" s="193"/>
      <c r="AX6" s="194"/>
      <c r="AY6" s="192"/>
      <c r="AZ6" s="193"/>
      <c r="BA6" s="194"/>
      <c r="BB6" s="106"/>
      <c r="BC6" t="s">
        <v>65</v>
      </c>
      <c r="BD6" s="35">
        <v>4</v>
      </c>
      <c r="BE6" s="35">
        <v>1</v>
      </c>
      <c r="BF6" s="35" t="s">
        <v>21</v>
      </c>
      <c r="BG6" s="35">
        <f>BF7</f>
        <v>3</v>
      </c>
      <c r="BH6" s="35">
        <f>BF8</f>
        <v>6</v>
      </c>
      <c r="BI6" s="35">
        <f>BF9</f>
        <v>2</v>
      </c>
      <c r="BJ6" s="35">
        <f>BF10</f>
        <v>3</v>
      </c>
      <c r="BK6" s="35">
        <f>BF11</f>
        <v>4</v>
      </c>
      <c r="BL6" s="35">
        <f>BF12</f>
        <v>3</v>
      </c>
      <c r="BM6" s="35">
        <f>BF13</f>
        <v>5</v>
      </c>
      <c r="BN6" s="35">
        <f>BF14</f>
        <v>2</v>
      </c>
      <c r="BO6" s="35">
        <f>BF15</f>
        <v>3</v>
      </c>
      <c r="BP6" s="35"/>
      <c r="BR6" s="35">
        <f>BF18</f>
        <v>0</v>
      </c>
    </row>
    <row r="7" spans="1:70" ht="12" customHeight="1" x14ac:dyDescent="0.2">
      <c r="A7" s="202" t="s">
        <v>10</v>
      </c>
      <c r="B7" s="203"/>
      <c r="C7" s="83">
        <v>75</v>
      </c>
      <c r="D7" s="84">
        <v>21</v>
      </c>
      <c r="E7" s="83">
        <v>37</v>
      </c>
      <c r="F7" s="83">
        <v>84</v>
      </c>
      <c r="G7" s="84">
        <v>-13</v>
      </c>
      <c r="H7" s="83">
        <v>31</v>
      </c>
      <c r="I7" s="83">
        <v>104</v>
      </c>
      <c r="J7" s="84">
        <v>-17</v>
      </c>
      <c r="K7" s="83">
        <v>21</v>
      </c>
      <c r="L7" s="83">
        <v>80</v>
      </c>
      <c r="M7" s="84">
        <v>9</v>
      </c>
      <c r="N7" s="83">
        <v>32</v>
      </c>
      <c r="O7" s="13"/>
      <c r="P7" s="83">
        <v>93</v>
      </c>
      <c r="Q7" s="84">
        <v>22</v>
      </c>
      <c r="R7" s="83">
        <v>31</v>
      </c>
      <c r="S7" s="83">
        <v>82</v>
      </c>
      <c r="T7" s="84">
        <v>8</v>
      </c>
      <c r="U7" s="83">
        <v>28</v>
      </c>
      <c r="V7" s="83">
        <v>95</v>
      </c>
      <c r="W7" s="84">
        <v>-38</v>
      </c>
      <c r="X7" s="83">
        <v>27</v>
      </c>
      <c r="Y7" s="83">
        <v>85</v>
      </c>
      <c r="Z7" s="84">
        <v>8</v>
      </c>
      <c r="AA7" s="83">
        <v>30</v>
      </c>
      <c r="AB7" s="22"/>
      <c r="AC7" s="83">
        <v>81</v>
      </c>
      <c r="AD7" s="84">
        <v>13</v>
      </c>
      <c r="AE7" s="83">
        <v>32</v>
      </c>
      <c r="AF7" s="83">
        <v>98</v>
      </c>
      <c r="AG7" s="84">
        <v>-7</v>
      </c>
      <c r="AH7" s="83">
        <v>30</v>
      </c>
      <c r="AI7" s="83">
        <v>98</v>
      </c>
      <c r="AJ7" s="84">
        <v>7</v>
      </c>
      <c r="AK7" s="83">
        <v>30</v>
      </c>
      <c r="AL7" s="83">
        <v>98</v>
      </c>
      <c r="AM7" s="84">
        <v>-13</v>
      </c>
      <c r="AN7" s="83">
        <v>29</v>
      </c>
      <c r="AO7" s="48"/>
      <c r="AP7" s="83"/>
      <c r="AQ7" s="84"/>
      <c r="AR7" s="83"/>
      <c r="AS7" s="83"/>
      <c r="AT7" s="84"/>
      <c r="AU7" s="83"/>
      <c r="AV7" s="83"/>
      <c r="AW7" s="84"/>
      <c r="AX7" s="83"/>
      <c r="AY7" s="83"/>
      <c r="AZ7" s="84"/>
      <c r="BA7" s="83"/>
      <c r="BB7" s="12"/>
      <c r="BC7" t="s">
        <v>1</v>
      </c>
      <c r="BD7" s="35"/>
      <c r="BE7" s="35">
        <v>3</v>
      </c>
      <c r="BF7" s="35">
        <v>3</v>
      </c>
      <c r="BG7" s="35" t="s">
        <v>21</v>
      </c>
      <c r="BH7" s="35">
        <f>BG8</f>
        <v>3</v>
      </c>
      <c r="BI7" s="35">
        <f>BG9</f>
        <v>4</v>
      </c>
      <c r="BJ7" s="35">
        <f>BG10</f>
        <v>2</v>
      </c>
      <c r="BK7" s="35">
        <f>BG11</f>
        <v>3</v>
      </c>
      <c r="BL7" s="35">
        <f>BG12</f>
        <v>3</v>
      </c>
      <c r="BM7" s="35">
        <f>BG13</f>
        <v>5</v>
      </c>
      <c r="BN7" s="35">
        <f>BG14</f>
        <v>3</v>
      </c>
      <c r="BO7" s="35">
        <f>BG15</f>
        <v>4</v>
      </c>
      <c r="BP7" s="35"/>
      <c r="BR7" s="35">
        <f>BG18</f>
        <v>0</v>
      </c>
    </row>
    <row r="8" spans="1:70" ht="12" customHeight="1" x14ac:dyDescent="0.2">
      <c r="A8" s="2"/>
      <c r="B8" s="36">
        <v>4</v>
      </c>
      <c r="C8" s="192" t="s">
        <v>73</v>
      </c>
      <c r="D8" s="193"/>
      <c r="E8" s="194"/>
      <c r="F8" s="196" t="s">
        <v>46</v>
      </c>
      <c r="G8" s="197"/>
      <c r="H8" s="198"/>
      <c r="I8" s="192" t="s">
        <v>64</v>
      </c>
      <c r="J8" s="193"/>
      <c r="K8" s="194"/>
      <c r="L8" s="199" t="s">
        <v>30</v>
      </c>
      <c r="M8" s="200"/>
      <c r="N8" s="201"/>
      <c r="O8" s="13"/>
      <c r="P8" s="192" t="s">
        <v>40</v>
      </c>
      <c r="Q8" s="193"/>
      <c r="R8" s="194"/>
      <c r="S8" s="192" t="s">
        <v>8</v>
      </c>
      <c r="T8" s="193"/>
      <c r="U8" s="194"/>
      <c r="V8" s="192" t="s">
        <v>90</v>
      </c>
      <c r="W8" s="193"/>
      <c r="X8" s="194"/>
      <c r="Y8" s="192" t="s">
        <v>33</v>
      </c>
      <c r="Z8" s="193"/>
      <c r="AA8" s="194"/>
      <c r="AB8" s="22"/>
      <c r="AC8" s="192" t="s">
        <v>174</v>
      </c>
      <c r="AD8" s="193"/>
      <c r="AE8" s="194"/>
      <c r="AF8" s="192" t="s">
        <v>154</v>
      </c>
      <c r="AG8" s="193"/>
      <c r="AH8" s="194"/>
      <c r="AI8" s="192" t="s">
        <v>107</v>
      </c>
      <c r="AJ8" s="193"/>
      <c r="AK8" s="194"/>
      <c r="AL8" s="192" t="s">
        <v>29</v>
      </c>
      <c r="AM8" s="193"/>
      <c r="AN8" s="194"/>
      <c r="AO8" s="28"/>
      <c r="AP8" s="192"/>
      <c r="AQ8" s="193"/>
      <c r="AR8" s="194"/>
      <c r="AS8" s="192"/>
      <c r="AT8" s="193"/>
      <c r="AU8" s="194"/>
      <c r="AV8" s="192"/>
      <c r="AW8" s="193"/>
      <c r="AX8" s="194"/>
      <c r="AY8" s="192"/>
      <c r="AZ8" s="193"/>
      <c r="BA8" s="194"/>
      <c r="BB8" s="106"/>
      <c r="BC8" t="s">
        <v>20</v>
      </c>
      <c r="BD8" s="35">
        <v>4</v>
      </c>
      <c r="BE8" s="35">
        <v>2</v>
      </c>
      <c r="BF8" s="35">
        <v>6</v>
      </c>
      <c r="BG8" s="35">
        <v>3</v>
      </c>
      <c r="BH8" s="35" t="s">
        <v>21</v>
      </c>
      <c r="BI8" s="35">
        <f>BH9</f>
        <v>2</v>
      </c>
      <c r="BJ8" s="35">
        <f>BH10</f>
        <v>4</v>
      </c>
      <c r="BK8" s="35">
        <f>BH11</f>
        <v>4</v>
      </c>
      <c r="BL8" s="35">
        <f>BH12</f>
        <v>3</v>
      </c>
      <c r="BM8" s="35">
        <f>BH13</f>
        <v>5</v>
      </c>
      <c r="BN8" s="35">
        <f>BH14</f>
        <v>3</v>
      </c>
      <c r="BO8" s="35">
        <f>BH15</f>
        <v>3</v>
      </c>
      <c r="BP8" s="35"/>
      <c r="BR8" s="35">
        <f>BH18</f>
        <v>0</v>
      </c>
    </row>
    <row r="9" spans="1:70" ht="12" customHeight="1" x14ac:dyDescent="0.2">
      <c r="A9" s="202" t="s">
        <v>10</v>
      </c>
      <c r="B9" s="203"/>
      <c r="C9" s="83">
        <v>88</v>
      </c>
      <c r="D9" s="84">
        <v>24</v>
      </c>
      <c r="E9" s="83">
        <v>33</v>
      </c>
      <c r="F9" s="83">
        <v>85</v>
      </c>
      <c r="G9" s="84">
        <v>-46</v>
      </c>
      <c r="H9" s="83">
        <v>25</v>
      </c>
      <c r="I9" s="83">
        <v>81</v>
      </c>
      <c r="J9" s="84">
        <v>-2</v>
      </c>
      <c r="K9" s="83">
        <v>31</v>
      </c>
      <c r="L9" s="83">
        <v>82</v>
      </c>
      <c r="M9" s="84">
        <v>24</v>
      </c>
      <c r="N9" s="83">
        <v>36</v>
      </c>
      <c r="O9" s="13"/>
      <c r="P9" s="83">
        <v>77</v>
      </c>
      <c r="Q9" s="84">
        <v>34</v>
      </c>
      <c r="R9" s="83">
        <v>32</v>
      </c>
      <c r="S9" s="83">
        <v>84</v>
      </c>
      <c r="T9" s="84">
        <v>-48</v>
      </c>
      <c r="U9" s="83">
        <v>28</v>
      </c>
      <c r="V9" s="83">
        <v>66</v>
      </c>
      <c r="W9" s="84">
        <v>25</v>
      </c>
      <c r="X9" s="83">
        <v>39</v>
      </c>
      <c r="Y9" s="83">
        <v>96</v>
      </c>
      <c r="Z9" s="84"/>
      <c r="AA9" s="83">
        <v>28</v>
      </c>
      <c r="AB9" s="22"/>
      <c r="AC9" s="83">
        <v>85</v>
      </c>
      <c r="AD9" s="84">
        <v>4</v>
      </c>
      <c r="AE9" s="83">
        <v>38</v>
      </c>
      <c r="AF9" s="83">
        <v>77</v>
      </c>
      <c r="AG9" s="84">
        <v>0</v>
      </c>
      <c r="AH9" s="83">
        <v>32</v>
      </c>
      <c r="AI9" s="83">
        <v>77</v>
      </c>
      <c r="AJ9" s="84">
        <v>-4</v>
      </c>
      <c r="AK9" s="83">
        <v>36</v>
      </c>
      <c r="AL9" s="83">
        <v>87</v>
      </c>
      <c r="AM9" s="84">
        <v>0</v>
      </c>
      <c r="AN9" s="83">
        <v>31</v>
      </c>
      <c r="AO9" s="48"/>
      <c r="AP9" s="83"/>
      <c r="AQ9" s="84"/>
      <c r="AR9" s="83"/>
      <c r="AS9" s="83"/>
      <c r="AT9" s="84"/>
      <c r="AU9" s="83"/>
      <c r="AV9" s="83"/>
      <c r="AW9" s="84"/>
      <c r="AX9" s="83"/>
      <c r="AY9" s="83"/>
      <c r="AZ9" s="84"/>
      <c r="BA9" s="83"/>
      <c r="BB9" s="12"/>
      <c r="BC9" t="s">
        <v>29</v>
      </c>
      <c r="BD9" s="35">
        <v>3</v>
      </c>
      <c r="BE9" s="35">
        <v>2</v>
      </c>
      <c r="BF9" s="35">
        <v>2</v>
      </c>
      <c r="BG9" s="35">
        <v>4</v>
      </c>
      <c r="BH9" s="35">
        <v>2</v>
      </c>
      <c r="BI9" s="35" t="s">
        <v>21</v>
      </c>
      <c r="BJ9" s="35">
        <f>BI10</f>
        <v>3</v>
      </c>
      <c r="BK9" s="35">
        <f>BI11</f>
        <v>4</v>
      </c>
      <c r="BL9" s="35">
        <f>BI12</f>
        <v>2</v>
      </c>
      <c r="BM9" s="35">
        <f>BI13</f>
        <v>3</v>
      </c>
      <c r="BN9" s="35">
        <f>BI14</f>
        <v>5</v>
      </c>
      <c r="BO9" s="35">
        <f>BI15</f>
        <v>4</v>
      </c>
      <c r="BP9" s="35"/>
      <c r="BR9" s="35">
        <f>BI18</f>
        <v>0</v>
      </c>
    </row>
    <row r="10" spans="1:70" ht="12" customHeight="1" x14ac:dyDescent="0.2">
      <c r="A10" s="2"/>
      <c r="B10" s="36">
        <v>5</v>
      </c>
      <c r="C10" s="192" t="s">
        <v>73</v>
      </c>
      <c r="D10" s="193"/>
      <c r="E10" s="194"/>
      <c r="F10" s="192" t="s">
        <v>107</v>
      </c>
      <c r="G10" s="193"/>
      <c r="H10" s="194"/>
      <c r="I10" s="192" t="s">
        <v>100</v>
      </c>
      <c r="J10" s="193"/>
      <c r="K10" s="194"/>
      <c r="L10" s="192" t="s">
        <v>2</v>
      </c>
      <c r="M10" s="193"/>
      <c r="N10" s="194"/>
      <c r="O10" s="13"/>
      <c r="P10" s="196" t="s">
        <v>46</v>
      </c>
      <c r="Q10" s="197"/>
      <c r="R10" s="198"/>
      <c r="S10" s="192" t="s">
        <v>177</v>
      </c>
      <c r="T10" s="193"/>
      <c r="U10" s="194"/>
      <c r="V10" s="192" t="s">
        <v>178</v>
      </c>
      <c r="W10" s="193"/>
      <c r="X10" s="194"/>
      <c r="Y10" s="192" t="s">
        <v>8</v>
      </c>
      <c r="Z10" s="193"/>
      <c r="AA10" s="194"/>
      <c r="AB10" s="22"/>
      <c r="AC10" s="192" t="s">
        <v>146</v>
      </c>
      <c r="AD10" s="193"/>
      <c r="AE10" s="194"/>
      <c r="AF10" s="192" t="s">
        <v>64</v>
      </c>
      <c r="AG10" s="193"/>
      <c r="AH10" s="194"/>
      <c r="AI10" s="192" t="s">
        <v>172</v>
      </c>
      <c r="AJ10" s="193"/>
      <c r="AK10" s="194"/>
      <c r="AL10" s="199" t="s">
        <v>30</v>
      </c>
      <c r="AM10" s="200"/>
      <c r="AN10" s="201"/>
      <c r="AO10" s="28"/>
      <c r="AP10" s="192"/>
      <c r="AQ10" s="193"/>
      <c r="AR10" s="194"/>
      <c r="AS10" s="192"/>
      <c r="AT10" s="193"/>
      <c r="AU10" s="194"/>
      <c r="AV10" s="192"/>
      <c r="AW10" s="193"/>
      <c r="AX10" s="194"/>
      <c r="AY10" s="192"/>
      <c r="AZ10" s="193"/>
      <c r="BA10" s="194"/>
      <c r="BB10" s="28"/>
      <c r="BC10" t="s">
        <v>28</v>
      </c>
      <c r="BD10" s="35">
        <v>3</v>
      </c>
      <c r="BE10" s="35">
        <v>1</v>
      </c>
      <c r="BF10" s="35">
        <v>3</v>
      </c>
      <c r="BG10" s="35">
        <v>2</v>
      </c>
      <c r="BH10" s="35">
        <v>4</v>
      </c>
      <c r="BI10" s="35">
        <v>3</v>
      </c>
      <c r="BJ10" s="35" t="s">
        <v>21</v>
      </c>
      <c r="BK10" s="35">
        <f>BJ11</f>
        <v>4</v>
      </c>
      <c r="BL10" s="35">
        <f>BJ12</f>
        <v>3</v>
      </c>
      <c r="BM10" s="35">
        <f>BJ13</f>
        <v>5</v>
      </c>
      <c r="BN10" s="35">
        <f>BJ14</f>
        <v>3</v>
      </c>
      <c r="BO10" s="35">
        <f>BJ15</f>
        <v>2</v>
      </c>
      <c r="BP10" s="35"/>
      <c r="BR10" s="35">
        <f>BJ18</f>
        <v>0</v>
      </c>
    </row>
    <row r="11" spans="1:70" ht="12" customHeight="1" x14ac:dyDescent="0.2">
      <c r="A11" s="202" t="s">
        <v>10</v>
      </c>
      <c r="B11" s="203"/>
      <c r="C11" s="83">
        <v>99</v>
      </c>
      <c r="D11" s="84">
        <v>11</v>
      </c>
      <c r="E11" s="83">
        <v>31</v>
      </c>
      <c r="F11" s="83">
        <v>85</v>
      </c>
      <c r="G11" s="84">
        <v>-19</v>
      </c>
      <c r="H11" s="83">
        <v>34</v>
      </c>
      <c r="I11" s="83">
        <v>98</v>
      </c>
      <c r="J11" s="84">
        <v>7</v>
      </c>
      <c r="K11" s="83">
        <v>33</v>
      </c>
      <c r="L11" s="83">
        <v>96</v>
      </c>
      <c r="M11" s="84">
        <v>1</v>
      </c>
      <c r="N11" s="83">
        <v>31</v>
      </c>
      <c r="O11" s="13"/>
      <c r="P11" s="83">
        <v>95</v>
      </c>
      <c r="Q11" s="84">
        <v>-10</v>
      </c>
      <c r="R11" s="83">
        <v>24</v>
      </c>
      <c r="S11" s="83">
        <v>80</v>
      </c>
      <c r="T11" s="84">
        <v>10</v>
      </c>
      <c r="U11" s="83">
        <v>36</v>
      </c>
      <c r="V11" s="83">
        <v>84</v>
      </c>
      <c r="W11" s="85">
        <v>-6</v>
      </c>
      <c r="X11" s="83">
        <v>31</v>
      </c>
      <c r="Y11" s="83">
        <v>91</v>
      </c>
      <c r="Z11" s="84">
        <v>6</v>
      </c>
      <c r="AA11" s="83">
        <v>28</v>
      </c>
      <c r="AB11" s="22"/>
      <c r="AC11" s="83">
        <v>87</v>
      </c>
      <c r="AD11" s="84">
        <v>-38</v>
      </c>
      <c r="AE11" s="83">
        <v>32</v>
      </c>
      <c r="AF11" s="83">
        <v>83</v>
      </c>
      <c r="AG11" s="84">
        <v>18</v>
      </c>
      <c r="AH11" s="83">
        <v>37</v>
      </c>
      <c r="AI11" s="83">
        <v>98</v>
      </c>
      <c r="AJ11" s="84">
        <v>30</v>
      </c>
      <c r="AK11" s="83">
        <v>33</v>
      </c>
      <c r="AL11" s="83">
        <v>93</v>
      </c>
      <c r="AM11" s="84">
        <v>-10</v>
      </c>
      <c r="AN11" s="83">
        <v>32</v>
      </c>
      <c r="AO11" s="48"/>
      <c r="AP11" s="83"/>
      <c r="AQ11" s="84"/>
      <c r="AR11" s="83"/>
      <c r="AS11" s="83"/>
      <c r="AT11" s="84"/>
      <c r="AU11" s="83"/>
      <c r="AV11" s="83"/>
      <c r="AW11" s="84"/>
      <c r="AX11" s="83"/>
      <c r="AY11" s="83"/>
      <c r="AZ11" s="84"/>
      <c r="BA11" s="83"/>
      <c r="BB11" s="12"/>
      <c r="BC11" s="33" t="s">
        <v>32</v>
      </c>
      <c r="BD11" s="35">
        <v>3</v>
      </c>
      <c r="BE11" s="35">
        <v>3</v>
      </c>
      <c r="BF11" s="35">
        <v>4</v>
      </c>
      <c r="BG11" s="35">
        <v>3</v>
      </c>
      <c r="BH11" s="35">
        <v>4</v>
      </c>
      <c r="BI11" s="35">
        <v>4</v>
      </c>
      <c r="BJ11" s="35">
        <v>4</v>
      </c>
      <c r="BK11" s="35" t="s">
        <v>21</v>
      </c>
      <c r="BL11" s="35">
        <f>BK12</f>
        <v>5</v>
      </c>
      <c r="BM11" s="35">
        <f>BK13</f>
        <v>6</v>
      </c>
      <c r="BN11" s="35">
        <f>BK14</f>
        <v>3</v>
      </c>
      <c r="BO11" s="35">
        <f>BK15</f>
        <v>3</v>
      </c>
      <c r="BP11" s="35"/>
      <c r="BR11" s="35">
        <f>BK18</f>
        <v>0</v>
      </c>
    </row>
    <row r="12" spans="1:70" ht="12" customHeight="1" x14ac:dyDescent="0.2">
      <c r="A12" s="2"/>
      <c r="B12" s="36">
        <v>6</v>
      </c>
      <c r="C12" s="192" t="s">
        <v>64</v>
      </c>
      <c r="D12" s="193"/>
      <c r="E12" s="194"/>
      <c r="F12" s="192" t="s">
        <v>2</v>
      </c>
      <c r="G12" s="193"/>
      <c r="H12" s="194"/>
      <c r="I12" s="192" t="s">
        <v>33</v>
      </c>
      <c r="J12" s="193"/>
      <c r="K12" s="194"/>
      <c r="L12" s="192" t="s">
        <v>8</v>
      </c>
      <c r="M12" s="193"/>
      <c r="N12" s="194"/>
      <c r="O12" s="13"/>
      <c r="P12" s="192" t="s">
        <v>73</v>
      </c>
      <c r="Q12" s="193"/>
      <c r="R12" s="194"/>
      <c r="S12" s="196" t="s">
        <v>179</v>
      </c>
      <c r="T12" s="197"/>
      <c r="U12" s="198"/>
      <c r="V12" s="192" t="s">
        <v>172</v>
      </c>
      <c r="W12" s="193"/>
      <c r="X12" s="194"/>
      <c r="Y12" s="192" t="s">
        <v>177</v>
      </c>
      <c r="Z12" s="193"/>
      <c r="AA12" s="194"/>
      <c r="AB12" s="22"/>
      <c r="AC12" s="192" t="s">
        <v>107</v>
      </c>
      <c r="AD12" s="193"/>
      <c r="AE12" s="194"/>
      <c r="AF12" s="199" t="s">
        <v>30</v>
      </c>
      <c r="AG12" s="200"/>
      <c r="AH12" s="201"/>
      <c r="AI12" s="192" t="s">
        <v>40</v>
      </c>
      <c r="AJ12" s="193"/>
      <c r="AK12" s="194"/>
      <c r="AL12" s="192" t="s">
        <v>3</v>
      </c>
      <c r="AM12" s="193"/>
      <c r="AN12" s="194"/>
      <c r="AO12" s="28"/>
      <c r="AP12" s="192"/>
      <c r="AQ12" s="193"/>
      <c r="AR12" s="194"/>
      <c r="AS12" s="192"/>
      <c r="AT12" s="193"/>
      <c r="AU12" s="194"/>
      <c r="AV12" s="192"/>
      <c r="AW12" s="193"/>
      <c r="AX12" s="194"/>
      <c r="AY12" s="192"/>
      <c r="AZ12" s="193"/>
      <c r="BA12" s="194"/>
      <c r="BB12" s="28"/>
      <c r="BC12" t="s">
        <v>41</v>
      </c>
      <c r="BD12" s="35">
        <v>2</v>
      </c>
      <c r="BE12" s="35">
        <v>3</v>
      </c>
      <c r="BF12" s="35">
        <v>3</v>
      </c>
      <c r="BG12" s="35">
        <v>3</v>
      </c>
      <c r="BH12" s="35">
        <v>3</v>
      </c>
      <c r="BI12" s="35">
        <v>2</v>
      </c>
      <c r="BJ12" s="35">
        <v>3</v>
      </c>
      <c r="BK12" s="35">
        <v>5</v>
      </c>
      <c r="BL12" s="35" t="s">
        <v>21</v>
      </c>
      <c r="BM12" s="35">
        <f>BL13</f>
        <v>4</v>
      </c>
      <c r="BN12" s="35">
        <f>BL14</f>
        <v>4</v>
      </c>
      <c r="BO12" s="35">
        <f>BL15</f>
        <v>4</v>
      </c>
      <c r="BP12" s="35"/>
      <c r="BR12" s="35">
        <f>BL18</f>
        <v>0</v>
      </c>
    </row>
    <row r="13" spans="1:70" ht="12" customHeight="1" x14ac:dyDescent="0.2">
      <c r="A13" s="202" t="s">
        <v>10</v>
      </c>
      <c r="B13" s="203"/>
      <c r="C13" s="83">
        <v>88</v>
      </c>
      <c r="D13" s="84">
        <v>-32</v>
      </c>
      <c r="E13" s="83">
        <v>28</v>
      </c>
      <c r="F13" s="83">
        <v>87</v>
      </c>
      <c r="G13" s="84">
        <v>6</v>
      </c>
      <c r="H13" s="83">
        <v>34</v>
      </c>
      <c r="I13" s="83">
        <v>100</v>
      </c>
      <c r="J13" s="84">
        <v>20</v>
      </c>
      <c r="K13" s="83">
        <v>27</v>
      </c>
      <c r="L13" s="83">
        <v>82</v>
      </c>
      <c r="M13" s="84">
        <v>6</v>
      </c>
      <c r="N13" s="83">
        <v>33</v>
      </c>
      <c r="O13" s="13"/>
      <c r="P13" s="83">
        <v>92</v>
      </c>
      <c r="Q13" s="84">
        <v>4</v>
      </c>
      <c r="R13" s="83">
        <v>33</v>
      </c>
      <c r="S13" s="83">
        <v>79</v>
      </c>
      <c r="T13" s="84">
        <v>34</v>
      </c>
      <c r="U13" s="83">
        <v>35</v>
      </c>
      <c r="V13" s="83">
        <v>91</v>
      </c>
      <c r="W13" s="84">
        <v>16</v>
      </c>
      <c r="X13" s="83">
        <v>35</v>
      </c>
      <c r="Y13" s="83">
        <v>87</v>
      </c>
      <c r="Z13" s="84">
        <v>-54</v>
      </c>
      <c r="AA13" s="83">
        <v>24</v>
      </c>
      <c r="AB13" s="22"/>
      <c r="AC13" s="83">
        <v>84</v>
      </c>
      <c r="AD13" s="84">
        <v>-49</v>
      </c>
      <c r="AE13" s="83">
        <v>31</v>
      </c>
      <c r="AF13" s="83">
        <v>79</v>
      </c>
      <c r="AG13" s="84">
        <v>47</v>
      </c>
      <c r="AH13" s="83">
        <v>41</v>
      </c>
      <c r="AI13" s="83">
        <v>72</v>
      </c>
      <c r="AJ13" s="84">
        <v>15</v>
      </c>
      <c r="AK13" s="83">
        <v>40</v>
      </c>
      <c r="AL13" s="83">
        <v>73</v>
      </c>
      <c r="AM13" s="84">
        <v>-13</v>
      </c>
      <c r="AN13" s="83">
        <v>37</v>
      </c>
      <c r="AO13" s="48"/>
      <c r="AP13" s="83"/>
      <c r="AQ13" s="84"/>
      <c r="AR13" s="83"/>
      <c r="AS13" s="83"/>
      <c r="AT13" s="84"/>
      <c r="AU13" s="83"/>
      <c r="AV13" s="83"/>
      <c r="AW13" s="84"/>
      <c r="AX13" s="83"/>
      <c r="AY13" s="83"/>
      <c r="AZ13" s="84"/>
      <c r="BA13" s="83"/>
      <c r="BB13" s="12"/>
      <c r="BC13" t="s">
        <v>66</v>
      </c>
      <c r="BD13" s="35">
        <v>4</v>
      </c>
      <c r="BE13" s="35">
        <v>4</v>
      </c>
      <c r="BF13" s="35">
        <v>5</v>
      </c>
      <c r="BG13" s="35">
        <v>5</v>
      </c>
      <c r="BH13" s="35">
        <v>5</v>
      </c>
      <c r="BI13" s="35">
        <v>3</v>
      </c>
      <c r="BJ13" s="35">
        <v>5</v>
      </c>
      <c r="BK13" s="35">
        <v>6</v>
      </c>
      <c r="BL13" s="35">
        <v>4</v>
      </c>
      <c r="BM13" s="35" t="s">
        <v>21</v>
      </c>
      <c r="BN13" s="35">
        <f>BM14</f>
        <v>4</v>
      </c>
      <c r="BO13" s="35">
        <f>BM15</f>
        <v>4</v>
      </c>
      <c r="BP13" s="35"/>
      <c r="BR13" s="35">
        <f>BM18</f>
        <v>0</v>
      </c>
    </row>
    <row r="14" spans="1:70" ht="12" customHeight="1" x14ac:dyDescent="0.2">
      <c r="A14" s="2"/>
      <c r="B14" s="36">
        <v>7</v>
      </c>
      <c r="C14" s="192" t="s">
        <v>149</v>
      </c>
      <c r="D14" s="193"/>
      <c r="E14" s="194"/>
      <c r="F14" s="192" t="s">
        <v>185</v>
      </c>
      <c r="G14" s="193"/>
      <c r="H14" s="194"/>
      <c r="I14" s="192" t="s">
        <v>29</v>
      </c>
      <c r="J14" s="193"/>
      <c r="K14" s="194"/>
      <c r="L14" s="192" t="s">
        <v>186</v>
      </c>
      <c r="M14" s="193"/>
      <c r="N14" s="194"/>
      <c r="O14" s="13"/>
      <c r="P14" s="192" t="s">
        <v>189</v>
      </c>
      <c r="Q14" s="193"/>
      <c r="R14" s="194"/>
      <c r="S14" s="192" t="s">
        <v>64</v>
      </c>
      <c r="T14" s="193"/>
      <c r="U14" s="194"/>
      <c r="V14" s="199" t="s">
        <v>30</v>
      </c>
      <c r="W14" s="200"/>
      <c r="X14" s="201"/>
      <c r="Y14" s="192" t="s">
        <v>33</v>
      </c>
      <c r="Z14" s="193"/>
      <c r="AA14" s="194"/>
      <c r="AB14" s="22"/>
      <c r="AC14" s="192" t="s">
        <v>177</v>
      </c>
      <c r="AD14" s="193"/>
      <c r="AE14" s="194"/>
      <c r="AF14" s="196" t="s">
        <v>46</v>
      </c>
      <c r="AG14" s="197"/>
      <c r="AH14" s="198"/>
      <c r="AI14" s="192" t="s">
        <v>107</v>
      </c>
      <c r="AJ14" s="193"/>
      <c r="AK14" s="194"/>
      <c r="AL14" s="192" t="s">
        <v>8</v>
      </c>
      <c r="AM14" s="193"/>
      <c r="AN14" s="194"/>
      <c r="AO14" s="28"/>
      <c r="AP14" s="192"/>
      <c r="AQ14" s="193"/>
      <c r="AR14" s="194"/>
      <c r="AS14" s="192"/>
      <c r="AT14" s="193"/>
      <c r="AU14" s="194"/>
      <c r="AV14" s="192"/>
      <c r="AW14" s="193"/>
      <c r="AX14" s="194"/>
      <c r="AY14" s="192"/>
      <c r="AZ14" s="193"/>
      <c r="BA14" s="194"/>
      <c r="BB14" s="28"/>
      <c r="BC14" t="s">
        <v>87</v>
      </c>
      <c r="BD14" s="36">
        <v>3</v>
      </c>
      <c r="BE14" s="36">
        <v>1</v>
      </c>
      <c r="BF14" s="36">
        <v>2</v>
      </c>
      <c r="BG14" s="36">
        <v>3</v>
      </c>
      <c r="BH14" s="35">
        <v>3</v>
      </c>
      <c r="BI14" s="35">
        <v>5</v>
      </c>
      <c r="BJ14" s="35">
        <v>3</v>
      </c>
      <c r="BK14" s="35">
        <v>3</v>
      </c>
      <c r="BL14" s="35">
        <v>4</v>
      </c>
      <c r="BM14" s="35">
        <v>4</v>
      </c>
      <c r="BN14" s="35" t="s">
        <v>21</v>
      </c>
      <c r="BO14" s="35">
        <f>BN15</f>
        <v>4</v>
      </c>
      <c r="BP14" s="35"/>
      <c r="BR14" s="35">
        <f>BN18</f>
        <v>0</v>
      </c>
    </row>
    <row r="15" spans="1:70" ht="12" customHeight="1" x14ac:dyDescent="0.2">
      <c r="A15" s="202" t="s">
        <v>10</v>
      </c>
      <c r="B15" s="203"/>
      <c r="C15" s="11">
        <v>72</v>
      </c>
      <c r="D15" s="73">
        <v>-7</v>
      </c>
      <c r="E15" s="11">
        <v>37</v>
      </c>
      <c r="F15" s="11">
        <v>90</v>
      </c>
      <c r="G15" s="73">
        <v>25</v>
      </c>
      <c r="H15" s="11">
        <v>33</v>
      </c>
      <c r="I15" s="11">
        <v>80</v>
      </c>
      <c r="J15" s="73">
        <v>-49</v>
      </c>
      <c r="K15" s="11">
        <v>40</v>
      </c>
      <c r="L15" s="83">
        <v>91</v>
      </c>
      <c r="M15" s="84">
        <v>31</v>
      </c>
      <c r="N15" s="83">
        <v>31</v>
      </c>
      <c r="O15" s="13"/>
      <c r="P15" s="83">
        <v>97</v>
      </c>
      <c r="Q15" s="84">
        <v>8</v>
      </c>
      <c r="R15" s="83">
        <v>23</v>
      </c>
      <c r="S15" s="83">
        <v>78</v>
      </c>
      <c r="T15" s="84">
        <v>8</v>
      </c>
      <c r="U15" s="83">
        <v>35</v>
      </c>
      <c r="V15" s="83">
        <v>82</v>
      </c>
      <c r="W15" s="84">
        <v>-16</v>
      </c>
      <c r="X15" s="83">
        <v>34</v>
      </c>
      <c r="Y15" s="11">
        <v>86</v>
      </c>
      <c r="Z15" s="73">
        <v>0</v>
      </c>
      <c r="AA15" s="11">
        <v>38</v>
      </c>
      <c r="AC15" s="11">
        <v>80</v>
      </c>
      <c r="AD15" s="73">
        <v>-10</v>
      </c>
      <c r="AE15" s="11">
        <v>30</v>
      </c>
      <c r="AF15" s="11">
        <v>72</v>
      </c>
      <c r="AG15" s="73">
        <v>22</v>
      </c>
      <c r="AH15" s="11">
        <v>39</v>
      </c>
      <c r="AI15" s="11">
        <v>78</v>
      </c>
      <c r="AJ15" s="73">
        <v>28</v>
      </c>
      <c r="AK15" s="11">
        <v>34</v>
      </c>
      <c r="AL15" s="11">
        <v>80</v>
      </c>
      <c r="AM15" s="73">
        <v>-40</v>
      </c>
      <c r="AN15" s="11">
        <v>33</v>
      </c>
      <c r="AO15" s="12"/>
      <c r="AP15" s="11"/>
      <c r="AQ15" s="73"/>
      <c r="AR15" s="11"/>
      <c r="AS15" s="11"/>
      <c r="AT15" s="73"/>
      <c r="AU15" s="11"/>
      <c r="AV15" s="11"/>
      <c r="AW15" s="73"/>
      <c r="AX15" s="11"/>
      <c r="AY15" s="11"/>
      <c r="AZ15" s="73"/>
      <c r="BA15" s="11"/>
      <c r="BB15" s="12"/>
      <c r="BC15" t="s">
        <v>165</v>
      </c>
      <c r="BD15" s="35">
        <v>4</v>
      </c>
      <c r="BE15" s="35">
        <v>1</v>
      </c>
      <c r="BF15" s="35">
        <v>3</v>
      </c>
      <c r="BG15" s="35">
        <v>4</v>
      </c>
      <c r="BH15" s="35">
        <v>3</v>
      </c>
      <c r="BI15" s="35">
        <v>4</v>
      </c>
      <c r="BJ15" s="35">
        <v>2</v>
      </c>
      <c r="BK15" s="35">
        <v>3</v>
      </c>
      <c r="BL15" s="35">
        <v>4</v>
      </c>
      <c r="BM15" s="35">
        <v>4</v>
      </c>
      <c r="BN15" s="35">
        <v>4</v>
      </c>
      <c r="BO15" s="35" t="s">
        <v>21</v>
      </c>
      <c r="BP15" s="35"/>
      <c r="BR15" s="35">
        <f>BO18</f>
        <v>0</v>
      </c>
    </row>
    <row r="16" spans="1:70" ht="12" customHeight="1" x14ac:dyDescent="0.2">
      <c r="A16" s="2"/>
      <c r="B16" s="36">
        <v>8</v>
      </c>
      <c r="C16" s="192" t="s">
        <v>73</v>
      </c>
      <c r="D16" s="193"/>
      <c r="E16" s="194"/>
      <c r="F16" s="192" t="s">
        <v>185</v>
      </c>
      <c r="G16" s="193"/>
      <c r="H16" s="194"/>
      <c r="I16" s="199" t="s">
        <v>30</v>
      </c>
      <c r="J16" s="200"/>
      <c r="K16" s="201"/>
      <c r="L16" s="196" t="s">
        <v>46</v>
      </c>
      <c r="M16" s="197"/>
      <c r="N16" s="198"/>
      <c r="O16" s="13"/>
      <c r="P16" s="192" t="s">
        <v>33</v>
      </c>
      <c r="Q16" s="193"/>
      <c r="R16" s="194"/>
      <c r="S16" s="192" t="s">
        <v>3</v>
      </c>
      <c r="T16" s="193"/>
      <c r="U16" s="194"/>
      <c r="V16" s="192" t="s">
        <v>107</v>
      </c>
      <c r="W16" s="193"/>
      <c r="X16" s="194"/>
      <c r="Y16" s="192" t="s">
        <v>64</v>
      </c>
      <c r="Z16" s="193"/>
      <c r="AA16" s="194"/>
      <c r="AC16" s="192"/>
      <c r="AD16" s="193"/>
      <c r="AE16" s="194"/>
      <c r="AF16" s="192"/>
      <c r="AG16" s="193"/>
      <c r="AH16" s="194"/>
      <c r="AI16" s="192"/>
      <c r="AJ16" s="193"/>
      <c r="AK16" s="194"/>
      <c r="AL16" s="192"/>
      <c r="AM16" s="193"/>
      <c r="AN16" s="194"/>
      <c r="AO16" s="28"/>
      <c r="AP16" s="192"/>
      <c r="AQ16" s="193"/>
      <c r="AR16" s="194"/>
      <c r="AS16" s="192"/>
      <c r="AT16" s="193"/>
      <c r="AU16" s="194"/>
      <c r="AV16" s="192"/>
      <c r="AW16" s="193"/>
      <c r="AX16" s="194"/>
      <c r="AY16" s="192"/>
      <c r="AZ16" s="193"/>
      <c r="BA16" s="194"/>
      <c r="BB16" s="28"/>
      <c r="BC16" t="s">
        <v>175</v>
      </c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O16" s="35"/>
      <c r="BP16" s="35" t="s">
        <v>21</v>
      </c>
      <c r="BQ16" s="35">
        <f>BP17</f>
        <v>0</v>
      </c>
      <c r="BR16" s="35">
        <f>BP18</f>
        <v>0</v>
      </c>
    </row>
    <row r="17" spans="1:70" ht="12" customHeight="1" x14ac:dyDescent="0.2">
      <c r="A17" s="202" t="s">
        <v>10</v>
      </c>
      <c r="B17" s="203"/>
      <c r="C17" s="11">
        <v>93</v>
      </c>
      <c r="D17" s="73">
        <v>-16</v>
      </c>
      <c r="E17" s="11">
        <v>37</v>
      </c>
      <c r="F17" s="11">
        <v>96</v>
      </c>
      <c r="G17" s="73">
        <v>12</v>
      </c>
      <c r="H17" s="11">
        <v>36</v>
      </c>
      <c r="I17" s="11">
        <v>94</v>
      </c>
      <c r="J17" s="73">
        <v>2</v>
      </c>
      <c r="K17" s="11">
        <v>29</v>
      </c>
      <c r="L17" s="83">
        <v>83</v>
      </c>
      <c r="M17" s="84">
        <v>2</v>
      </c>
      <c r="N17" s="83">
        <v>36</v>
      </c>
      <c r="O17" s="13"/>
      <c r="P17" s="83">
        <v>105</v>
      </c>
      <c r="Q17" s="84">
        <v>-16</v>
      </c>
      <c r="R17" s="83">
        <v>28</v>
      </c>
      <c r="S17" s="83">
        <v>81</v>
      </c>
      <c r="T17" s="84">
        <v>14</v>
      </c>
      <c r="U17" s="83">
        <v>34</v>
      </c>
      <c r="V17" s="83">
        <v>87</v>
      </c>
      <c r="W17" s="84">
        <v>-12</v>
      </c>
      <c r="X17" s="83">
        <v>33</v>
      </c>
      <c r="Y17" s="11">
        <v>78</v>
      </c>
      <c r="Z17" s="73">
        <v>14</v>
      </c>
      <c r="AA17" s="11">
        <v>41</v>
      </c>
      <c r="AC17" s="11"/>
      <c r="AD17" s="73"/>
      <c r="AE17" s="11"/>
      <c r="AF17" s="11"/>
      <c r="AG17" s="73"/>
      <c r="AH17" s="11"/>
      <c r="AI17" s="11"/>
      <c r="AJ17" s="73"/>
      <c r="AK17" s="11"/>
      <c r="AL17" s="11"/>
      <c r="AM17" s="73"/>
      <c r="AN17" s="11"/>
      <c r="AO17" s="12"/>
      <c r="AP17" s="11"/>
      <c r="AQ17" s="73"/>
      <c r="AR17" s="11"/>
      <c r="AS17" s="11"/>
      <c r="AT17" s="73"/>
      <c r="AU17" s="11"/>
      <c r="AV17" s="11"/>
      <c r="AW17" s="73"/>
      <c r="AX17" s="11"/>
      <c r="AY17" s="11"/>
      <c r="AZ17" s="73"/>
      <c r="BA17" s="11"/>
      <c r="BB17" s="12"/>
      <c r="BC17" t="s">
        <v>176</v>
      </c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O17" s="35"/>
      <c r="BP17" s="35"/>
      <c r="BQ17" s="35" t="s">
        <v>21</v>
      </c>
      <c r="BR17" s="35">
        <f>BQ18</f>
        <v>0</v>
      </c>
    </row>
    <row r="18" spans="1:70" ht="12" customHeight="1" x14ac:dyDescent="0.2">
      <c r="A18" s="2"/>
      <c r="B18" s="36">
        <v>9</v>
      </c>
      <c r="C18" s="199" t="s">
        <v>30</v>
      </c>
      <c r="D18" s="200"/>
      <c r="E18" s="201"/>
      <c r="F18" s="192" t="s">
        <v>34</v>
      </c>
      <c r="G18" s="193"/>
      <c r="H18" s="194"/>
      <c r="I18" s="192" t="s">
        <v>29</v>
      </c>
      <c r="J18" s="193"/>
      <c r="K18" s="194"/>
      <c r="L18" s="192" t="s">
        <v>172</v>
      </c>
      <c r="M18" s="193"/>
      <c r="N18" s="194"/>
      <c r="O18" s="13"/>
      <c r="P18" s="192" t="s">
        <v>73</v>
      </c>
      <c r="Q18" s="193"/>
      <c r="R18" s="194"/>
      <c r="S18" s="192" t="s">
        <v>173</v>
      </c>
      <c r="T18" s="193"/>
      <c r="U18" s="194"/>
      <c r="V18" s="192" t="s">
        <v>107</v>
      </c>
      <c r="W18" s="193"/>
      <c r="X18" s="194"/>
      <c r="Y18" s="196" t="s">
        <v>46</v>
      </c>
      <c r="Z18" s="197"/>
      <c r="AA18" s="198"/>
      <c r="AC18" s="192"/>
      <c r="AD18" s="193"/>
      <c r="AE18" s="194"/>
      <c r="AF18" s="192"/>
      <c r="AG18" s="193"/>
      <c r="AH18" s="194"/>
      <c r="AI18" s="192"/>
      <c r="AJ18" s="193"/>
      <c r="AK18" s="194"/>
      <c r="AL18" s="192"/>
      <c r="AM18" s="193"/>
      <c r="AN18" s="194"/>
      <c r="AO18" s="106"/>
      <c r="AP18" s="192"/>
      <c r="AQ18" s="193"/>
      <c r="AR18" s="194"/>
      <c r="AS18" s="192"/>
      <c r="AT18" s="193"/>
      <c r="AU18" s="194"/>
      <c r="AV18" s="192"/>
      <c r="AW18" s="193"/>
      <c r="AX18" s="194"/>
      <c r="AY18" s="192"/>
      <c r="AZ18" s="193"/>
      <c r="BA18" s="194"/>
      <c r="BB18" s="28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O18" s="35"/>
      <c r="BP18" s="35"/>
      <c r="BR18" s="35" t="s">
        <v>21</v>
      </c>
    </row>
    <row r="19" spans="1:70" ht="12" customHeight="1" x14ac:dyDescent="0.2">
      <c r="A19" s="202" t="s">
        <v>10</v>
      </c>
      <c r="B19" s="203"/>
      <c r="C19" s="11">
        <v>84</v>
      </c>
      <c r="D19" s="73">
        <v>25</v>
      </c>
      <c r="E19" s="11">
        <v>36</v>
      </c>
      <c r="F19" s="11">
        <v>76</v>
      </c>
      <c r="G19" s="73">
        <v>-21</v>
      </c>
      <c r="H19" s="11">
        <v>39</v>
      </c>
      <c r="I19" s="11">
        <v>90</v>
      </c>
      <c r="J19" s="73">
        <v>-5</v>
      </c>
      <c r="K19" s="11">
        <v>35</v>
      </c>
      <c r="L19" s="11">
        <v>86</v>
      </c>
      <c r="M19" s="73">
        <v>1</v>
      </c>
      <c r="N19" s="11">
        <v>43</v>
      </c>
      <c r="P19" s="11">
        <v>99</v>
      </c>
      <c r="Q19" s="73">
        <v>13</v>
      </c>
      <c r="R19" s="11">
        <v>31</v>
      </c>
      <c r="S19" s="11">
        <v>95</v>
      </c>
      <c r="T19" s="73">
        <v>-1</v>
      </c>
      <c r="U19" s="11">
        <v>36</v>
      </c>
      <c r="V19" s="11">
        <v>90</v>
      </c>
      <c r="W19" s="73">
        <v>-13</v>
      </c>
      <c r="X19" s="11">
        <v>29</v>
      </c>
      <c r="Y19" s="11">
        <v>84</v>
      </c>
      <c r="Z19" s="73">
        <v>1</v>
      </c>
      <c r="AA19" s="11">
        <v>32</v>
      </c>
      <c r="AC19" s="11"/>
      <c r="AD19" s="73"/>
      <c r="AE19" s="11"/>
      <c r="AF19" s="11"/>
      <c r="AG19" s="73"/>
      <c r="AH19" s="11"/>
      <c r="AI19" s="11"/>
      <c r="AJ19" s="73"/>
      <c r="AK19" s="11"/>
      <c r="AL19" s="11"/>
      <c r="AM19" s="73"/>
      <c r="AN19" s="11"/>
      <c r="AO19" s="12"/>
      <c r="AP19" s="11"/>
      <c r="AQ19" s="73"/>
      <c r="AR19" s="11"/>
      <c r="AS19" s="11"/>
      <c r="AT19" s="73"/>
      <c r="AU19" s="11"/>
      <c r="AV19" s="11"/>
      <c r="AW19" s="73"/>
      <c r="AX19" s="11"/>
      <c r="AY19" s="11"/>
      <c r="AZ19" s="73"/>
      <c r="BA19" s="11"/>
      <c r="BB19" s="12"/>
      <c r="BC19" t="s">
        <v>11</v>
      </c>
      <c r="BD19" s="35">
        <f>SUM(BD5:BD18)</f>
        <v>32</v>
      </c>
      <c r="BE19" s="35">
        <f>SUM(BE4:BE18)</f>
        <v>23</v>
      </c>
      <c r="BF19" s="35">
        <f t="shared" ref="BF19:BR19" si="0">SUM(BF4:BF18)</f>
        <v>36</v>
      </c>
      <c r="BG19" s="35">
        <f t="shared" si="0"/>
        <v>33</v>
      </c>
      <c r="BH19" s="35">
        <f t="shared" si="0"/>
        <v>39</v>
      </c>
      <c r="BI19" s="35">
        <f t="shared" si="0"/>
        <v>34</v>
      </c>
      <c r="BJ19" s="35">
        <f t="shared" si="0"/>
        <v>33</v>
      </c>
      <c r="BK19" s="35">
        <f t="shared" si="0"/>
        <v>42</v>
      </c>
      <c r="BL19" s="35">
        <f t="shared" si="0"/>
        <v>36</v>
      </c>
      <c r="BM19" s="35">
        <f t="shared" si="0"/>
        <v>49</v>
      </c>
      <c r="BN19" s="35">
        <f t="shared" si="0"/>
        <v>35</v>
      </c>
      <c r="BO19" s="35">
        <f t="shared" si="0"/>
        <v>36</v>
      </c>
      <c r="BP19" s="35">
        <f t="shared" si="0"/>
        <v>0</v>
      </c>
      <c r="BQ19" s="35">
        <f t="shared" si="0"/>
        <v>0</v>
      </c>
      <c r="BR19" s="35">
        <f t="shared" si="0"/>
        <v>0</v>
      </c>
    </row>
    <row r="20" spans="1:70" ht="12" customHeight="1" x14ac:dyDescent="0.2">
      <c r="A20" s="2"/>
      <c r="B20" s="36">
        <v>10</v>
      </c>
      <c r="C20" s="192" t="s">
        <v>152</v>
      </c>
      <c r="D20" s="193"/>
      <c r="E20" s="194"/>
      <c r="F20" s="192" t="s">
        <v>185</v>
      </c>
      <c r="G20" s="193"/>
      <c r="H20" s="194"/>
      <c r="I20" s="192" t="s">
        <v>107</v>
      </c>
      <c r="J20" s="193"/>
      <c r="K20" s="194"/>
      <c r="L20" s="199" t="s">
        <v>30</v>
      </c>
      <c r="M20" s="200"/>
      <c r="N20" s="201"/>
      <c r="O20" s="13"/>
      <c r="P20" s="192" t="s">
        <v>64</v>
      </c>
      <c r="Q20" s="193"/>
      <c r="R20" s="194"/>
      <c r="S20" s="192" t="s">
        <v>34</v>
      </c>
      <c r="T20" s="193"/>
      <c r="U20" s="194"/>
      <c r="V20" s="192" t="s">
        <v>73</v>
      </c>
      <c r="W20" s="193"/>
      <c r="X20" s="194"/>
      <c r="Y20" s="192" t="s">
        <v>192</v>
      </c>
      <c r="Z20" s="193"/>
      <c r="AA20" s="194"/>
      <c r="AC20" s="192" t="s">
        <v>3</v>
      </c>
      <c r="AD20" s="193"/>
      <c r="AE20" s="194"/>
      <c r="AF20" s="192" t="s">
        <v>40</v>
      </c>
      <c r="AG20" s="193"/>
      <c r="AH20" s="194"/>
      <c r="AI20" s="192" t="s">
        <v>29</v>
      </c>
      <c r="AJ20" s="193"/>
      <c r="AK20" s="194"/>
      <c r="AL20" s="196" t="s">
        <v>46</v>
      </c>
      <c r="AM20" s="197"/>
      <c r="AN20" s="198"/>
      <c r="AO20" s="28"/>
      <c r="AP20" s="192"/>
      <c r="AQ20" s="193"/>
      <c r="AR20" s="194"/>
      <c r="AS20" s="192"/>
      <c r="AT20" s="193"/>
      <c r="AU20" s="194"/>
      <c r="AV20" s="192"/>
      <c r="AW20" s="193"/>
      <c r="AX20" s="194"/>
      <c r="AY20" s="192"/>
      <c r="AZ20" s="193"/>
      <c r="BA20" s="194"/>
      <c r="BB20" s="28"/>
    </row>
    <row r="21" spans="1:70" ht="12" customHeight="1" x14ac:dyDescent="0.2">
      <c r="A21" s="202" t="s">
        <v>10</v>
      </c>
      <c r="B21" s="203"/>
      <c r="C21" s="11">
        <v>93</v>
      </c>
      <c r="D21" s="73">
        <v>5</v>
      </c>
      <c r="E21" s="11">
        <v>34</v>
      </c>
      <c r="F21" s="11">
        <v>87</v>
      </c>
      <c r="G21" s="73">
        <v>-19</v>
      </c>
      <c r="H21" s="11">
        <v>38</v>
      </c>
      <c r="I21" s="11">
        <v>80</v>
      </c>
      <c r="J21" s="73">
        <v>15</v>
      </c>
      <c r="K21" s="11">
        <v>37</v>
      </c>
      <c r="L21" s="11">
        <v>83</v>
      </c>
      <c r="M21" s="73">
        <v>-1</v>
      </c>
      <c r="N21" s="11">
        <v>32</v>
      </c>
      <c r="P21" s="11">
        <v>78</v>
      </c>
      <c r="Q21" s="73">
        <v>-3</v>
      </c>
      <c r="R21" s="11">
        <v>35</v>
      </c>
      <c r="S21" s="11">
        <v>77</v>
      </c>
      <c r="T21" s="73">
        <v>17</v>
      </c>
      <c r="U21" s="11">
        <v>34</v>
      </c>
      <c r="V21" s="11">
        <v>94</v>
      </c>
      <c r="W21" s="73">
        <v>3</v>
      </c>
      <c r="X21" s="11">
        <v>31</v>
      </c>
      <c r="Y21" s="11">
        <v>86</v>
      </c>
      <c r="Z21" s="73">
        <v>-17</v>
      </c>
      <c r="AA21" s="11">
        <v>36</v>
      </c>
      <c r="AC21" s="11">
        <v>73</v>
      </c>
      <c r="AD21" s="73">
        <v>-23</v>
      </c>
      <c r="AE21" s="11">
        <v>37</v>
      </c>
      <c r="AF21" s="11">
        <v>76</v>
      </c>
      <c r="AG21" s="73">
        <v>11</v>
      </c>
      <c r="AH21" s="11">
        <v>37</v>
      </c>
      <c r="AI21" s="11">
        <v>86</v>
      </c>
      <c r="AJ21" s="73">
        <v>-1</v>
      </c>
      <c r="AK21" s="11">
        <v>36</v>
      </c>
      <c r="AL21" s="11">
        <v>70</v>
      </c>
      <c r="AM21" s="73">
        <v>13</v>
      </c>
      <c r="AN21" s="11">
        <v>43</v>
      </c>
      <c r="AO21" s="12"/>
      <c r="AP21" s="11"/>
      <c r="AQ21" s="73"/>
      <c r="AR21" s="11"/>
      <c r="AS21" s="11"/>
      <c r="AT21" s="73"/>
      <c r="AU21" s="11"/>
      <c r="AV21" s="11"/>
      <c r="AW21" s="73"/>
      <c r="AX21" s="11"/>
      <c r="AY21" s="11"/>
      <c r="AZ21" s="73"/>
      <c r="BA21" s="11"/>
      <c r="BB21" s="12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O21" s="35"/>
    </row>
    <row r="22" spans="1:70" ht="12" customHeight="1" x14ac:dyDescent="0.2">
      <c r="A22" s="2"/>
      <c r="B22" s="36">
        <v>11</v>
      </c>
      <c r="C22" s="192" t="s">
        <v>194</v>
      </c>
      <c r="D22" s="193"/>
      <c r="E22" s="194"/>
      <c r="F22" s="196" t="s">
        <v>46</v>
      </c>
      <c r="G22" s="197"/>
      <c r="H22" s="198"/>
      <c r="I22" s="192" t="s">
        <v>177</v>
      </c>
      <c r="J22" s="193"/>
      <c r="K22" s="194"/>
      <c r="L22" s="192" t="s">
        <v>33</v>
      </c>
      <c r="M22" s="193"/>
      <c r="N22" s="194"/>
      <c r="O22" s="13"/>
      <c r="P22" s="192" t="s">
        <v>64</v>
      </c>
      <c r="Q22" s="193"/>
      <c r="R22" s="194"/>
      <c r="S22" s="192" t="s">
        <v>40</v>
      </c>
      <c r="T22" s="193"/>
      <c r="U22" s="194"/>
      <c r="V22" s="192" t="s">
        <v>107</v>
      </c>
      <c r="W22" s="193"/>
      <c r="X22" s="194"/>
      <c r="Y22" s="192" t="s">
        <v>189</v>
      </c>
      <c r="Z22" s="193"/>
      <c r="AA22" s="194"/>
      <c r="AC22" s="192" t="s">
        <v>195</v>
      </c>
      <c r="AD22" s="193"/>
      <c r="AE22" s="194"/>
      <c r="AF22" s="199" t="s">
        <v>30</v>
      </c>
      <c r="AG22" s="200"/>
      <c r="AH22" s="201"/>
      <c r="AI22" s="192" t="s">
        <v>8</v>
      </c>
      <c r="AJ22" s="193"/>
      <c r="AK22" s="194"/>
      <c r="AL22" s="192" t="s">
        <v>3</v>
      </c>
      <c r="AM22" s="193"/>
      <c r="AN22" s="194"/>
      <c r="AO22" s="28"/>
      <c r="AP22" s="192"/>
      <c r="AQ22" s="193"/>
      <c r="AR22" s="194"/>
      <c r="AS22" s="192"/>
      <c r="AT22" s="193"/>
      <c r="AU22" s="194"/>
      <c r="AV22" s="192"/>
      <c r="AW22" s="193"/>
      <c r="AX22" s="194"/>
      <c r="AY22" s="192"/>
      <c r="AZ22" s="193"/>
      <c r="BA22" s="194"/>
      <c r="BB22" s="28"/>
    </row>
    <row r="23" spans="1:70" ht="12" customHeight="1" x14ac:dyDescent="0.2">
      <c r="A23" s="202" t="s">
        <v>10</v>
      </c>
      <c r="B23" s="203"/>
      <c r="C23" s="11">
        <v>80</v>
      </c>
      <c r="D23" s="73">
        <v>17</v>
      </c>
      <c r="E23" s="11">
        <v>28</v>
      </c>
      <c r="F23" s="11">
        <v>82</v>
      </c>
      <c r="G23" s="73">
        <v>-7</v>
      </c>
      <c r="H23" s="11">
        <v>34</v>
      </c>
      <c r="I23" s="11">
        <v>77</v>
      </c>
      <c r="J23" s="73">
        <v>1</v>
      </c>
      <c r="K23" s="11">
        <v>38</v>
      </c>
      <c r="L23" s="11">
        <v>104</v>
      </c>
      <c r="M23" s="73">
        <v>-11</v>
      </c>
      <c r="N23" s="11">
        <v>28</v>
      </c>
      <c r="P23" s="11">
        <v>75</v>
      </c>
      <c r="Q23" s="73">
        <v>-8</v>
      </c>
      <c r="R23" s="11">
        <v>42</v>
      </c>
      <c r="S23" s="11">
        <v>81</v>
      </c>
      <c r="T23" s="73">
        <v>4</v>
      </c>
      <c r="U23" s="11">
        <v>34</v>
      </c>
      <c r="V23" s="11">
        <v>86</v>
      </c>
      <c r="W23" s="73">
        <v>9</v>
      </c>
      <c r="X23" s="11">
        <v>34</v>
      </c>
      <c r="Y23" s="11">
        <v>88</v>
      </c>
      <c r="Z23" s="73">
        <v>-5</v>
      </c>
      <c r="AA23" s="11">
        <v>40</v>
      </c>
      <c r="AC23" s="11">
        <v>90</v>
      </c>
      <c r="AD23" s="73">
        <v>11</v>
      </c>
      <c r="AE23" s="11">
        <v>36</v>
      </c>
      <c r="AF23" s="11">
        <v>91</v>
      </c>
      <c r="AG23" s="73">
        <v>-3</v>
      </c>
      <c r="AH23" s="11">
        <v>28</v>
      </c>
      <c r="AI23" s="11">
        <v>90</v>
      </c>
      <c r="AJ23" s="73">
        <v>-25</v>
      </c>
      <c r="AK23" s="11">
        <v>29</v>
      </c>
      <c r="AL23" s="11">
        <v>75</v>
      </c>
      <c r="AM23" s="73">
        <v>17</v>
      </c>
      <c r="AN23" s="11">
        <v>39</v>
      </c>
      <c r="AO23" s="12"/>
      <c r="AP23" s="11"/>
      <c r="AQ23" s="73"/>
      <c r="AR23" s="11"/>
      <c r="AS23" s="11"/>
      <c r="AT23" s="73"/>
      <c r="AU23" s="11"/>
      <c r="AV23" s="11"/>
      <c r="AW23" s="73"/>
      <c r="AX23" s="11"/>
      <c r="AY23" s="11"/>
      <c r="AZ23" s="73"/>
      <c r="BA23" s="11"/>
      <c r="BB23" s="12"/>
    </row>
    <row r="24" spans="1:70" ht="12" customHeight="1" x14ac:dyDescent="0.2">
      <c r="A24" s="2"/>
      <c r="B24" s="36">
        <v>12</v>
      </c>
      <c r="C24" s="192" t="s">
        <v>73</v>
      </c>
      <c r="D24" s="193"/>
      <c r="E24" s="194"/>
      <c r="F24" s="192" t="s">
        <v>128</v>
      </c>
      <c r="G24" s="193"/>
      <c r="H24" s="194"/>
      <c r="I24" s="192" t="s">
        <v>197</v>
      </c>
      <c r="J24" s="193"/>
      <c r="K24" s="194"/>
      <c r="L24" s="192" t="s">
        <v>40</v>
      </c>
      <c r="M24" s="193"/>
      <c r="N24" s="194"/>
      <c r="O24" s="13"/>
      <c r="P24" s="192" t="s">
        <v>3</v>
      </c>
      <c r="Q24" s="193"/>
      <c r="R24" s="194"/>
      <c r="S24" s="192" t="s">
        <v>194</v>
      </c>
      <c r="T24" s="193"/>
      <c r="U24" s="194"/>
      <c r="V24" s="196" t="s">
        <v>46</v>
      </c>
      <c r="W24" s="197"/>
      <c r="X24" s="198"/>
      <c r="Y24" s="192" t="s">
        <v>172</v>
      </c>
      <c r="Z24" s="193"/>
      <c r="AA24" s="194"/>
      <c r="AC24" s="192" t="s">
        <v>177</v>
      </c>
      <c r="AD24" s="193"/>
      <c r="AE24" s="194"/>
      <c r="AF24" s="199" t="s">
        <v>30</v>
      </c>
      <c r="AG24" s="200"/>
      <c r="AH24" s="201"/>
      <c r="AI24" s="192" t="s">
        <v>93</v>
      </c>
      <c r="AJ24" s="193"/>
      <c r="AK24" s="194"/>
      <c r="AL24" s="192" t="s">
        <v>29</v>
      </c>
      <c r="AM24" s="193"/>
      <c r="AN24" s="194"/>
      <c r="AO24" s="28"/>
      <c r="AP24" s="192"/>
      <c r="AQ24" s="193"/>
      <c r="AR24" s="194"/>
      <c r="AS24" s="192"/>
      <c r="AT24" s="193"/>
      <c r="AU24" s="194"/>
      <c r="AV24" s="192"/>
      <c r="AW24" s="193"/>
      <c r="AX24" s="194"/>
      <c r="AY24" s="192"/>
      <c r="AZ24" s="193"/>
      <c r="BA24" s="194"/>
      <c r="BB24" s="28"/>
    </row>
    <row r="25" spans="1:70" ht="12" customHeight="1" x14ac:dyDescent="0.2">
      <c r="A25" s="202" t="s">
        <v>10</v>
      </c>
      <c r="B25" s="203"/>
      <c r="C25" s="11">
        <v>93</v>
      </c>
      <c r="D25" s="73">
        <v>-2</v>
      </c>
      <c r="E25" s="11">
        <v>34</v>
      </c>
      <c r="F25" s="11">
        <v>97</v>
      </c>
      <c r="G25" s="73">
        <v>-22</v>
      </c>
      <c r="H25" s="11">
        <v>23</v>
      </c>
      <c r="I25" s="11">
        <v>85</v>
      </c>
      <c r="J25" s="73">
        <v>4</v>
      </c>
      <c r="K25" s="11">
        <v>33</v>
      </c>
      <c r="L25" s="11">
        <v>77</v>
      </c>
      <c r="M25" s="73">
        <v>20</v>
      </c>
      <c r="N25" s="11">
        <v>37</v>
      </c>
      <c r="P25" s="11">
        <v>78</v>
      </c>
      <c r="Q25" s="73">
        <v>-5</v>
      </c>
      <c r="R25" s="11">
        <v>33</v>
      </c>
      <c r="S25" s="11">
        <v>70</v>
      </c>
      <c r="T25" s="73">
        <v>-9</v>
      </c>
      <c r="U25" s="11">
        <v>36</v>
      </c>
      <c r="V25" s="11">
        <v>78</v>
      </c>
      <c r="W25" s="73">
        <v>1</v>
      </c>
      <c r="X25" s="11">
        <v>36</v>
      </c>
      <c r="Y25" s="11">
        <v>93</v>
      </c>
      <c r="Z25" s="73">
        <v>13</v>
      </c>
      <c r="AA25" s="11">
        <v>35</v>
      </c>
      <c r="AC25" s="11">
        <v>76</v>
      </c>
      <c r="AD25" s="73">
        <v>9</v>
      </c>
      <c r="AE25" s="11">
        <v>37</v>
      </c>
      <c r="AF25" s="11">
        <v>79</v>
      </c>
      <c r="AG25" s="73">
        <v>-5</v>
      </c>
      <c r="AH25" s="11">
        <v>38</v>
      </c>
      <c r="AI25" s="11">
        <v>85</v>
      </c>
      <c r="AJ25" s="73">
        <v>1</v>
      </c>
      <c r="AK25" s="11">
        <v>34</v>
      </c>
      <c r="AL25" s="11">
        <v>92</v>
      </c>
      <c r="AM25" s="73">
        <v>-5</v>
      </c>
      <c r="AN25" s="11">
        <v>32</v>
      </c>
      <c r="AO25" s="12"/>
      <c r="AP25" s="11"/>
      <c r="AQ25" s="73"/>
      <c r="AR25" s="11"/>
      <c r="AS25" s="11"/>
      <c r="AT25" s="73"/>
      <c r="AU25" s="11"/>
      <c r="AV25" s="11"/>
      <c r="AW25" s="73"/>
      <c r="AX25" s="11"/>
      <c r="AY25" s="11"/>
      <c r="AZ25" s="73"/>
      <c r="BA25" s="11"/>
      <c r="BB25" s="12"/>
    </row>
    <row r="26" spans="1:70" ht="12" customHeight="1" x14ac:dyDescent="0.2">
      <c r="A26" s="2"/>
      <c r="B26" s="36">
        <v>13</v>
      </c>
      <c r="C26" s="192" t="s">
        <v>172</v>
      </c>
      <c r="D26" s="193"/>
      <c r="E26" s="194"/>
      <c r="F26" s="192" t="s">
        <v>40</v>
      </c>
      <c r="G26" s="193"/>
      <c r="H26" s="194"/>
      <c r="I26" s="199" t="s">
        <v>30</v>
      </c>
      <c r="J26" s="200"/>
      <c r="K26" s="201"/>
      <c r="L26" s="192" t="s">
        <v>33</v>
      </c>
      <c r="M26" s="193"/>
      <c r="N26" s="194"/>
      <c r="O26" s="13"/>
      <c r="P26" s="192" t="s">
        <v>177</v>
      </c>
      <c r="Q26" s="193"/>
      <c r="R26" s="194"/>
      <c r="S26" s="192" t="s">
        <v>64</v>
      </c>
      <c r="T26" s="193"/>
      <c r="U26" s="194"/>
      <c r="V26" s="192" t="s">
        <v>178</v>
      </c>
      <c r="W26" s="193"/>
      <c r="X26" s="194"/>
      <c r="Y26" s="196" t="s">
        <v>46</v>
      </c>
      <c r="Z26" s="197"/>
      <c r="AA26" s="198"/>
      <c r="AC26" s="192"/>
      <c r="AD26" s="193"/>
      <c r="AE26" s="194"/>
      <c r="AF26" s="192"/>
      <c r="AG26" s="193"/>
      <c r="AH26" s="194"/>
      <c r="AI26" s="192"/>
      <c r="AJ26" s="193"/>
      <c r="AK26" s="194"/>
      <c r="AL26" s="192"/>
      <c r="AM26" s="193"/>
      <c r="AN26" s="194"/>
      <c r="AO26" s="28"/>
      <c r="AP26" s="192"/>
      <c r="AQ26" s="193"/>
      <c r="AR26" s="194"/>
      <c r="AS26" s="192"/>
      <c r="AT26" s="193"/>
      <c r="AU26" s="194"/>
      <c r="AV26" s="192"/>
      <c r="AW26" s="193"/>
      <c r="AX26" s="194"/>
      <c r="AY26" s="192"/>
      <c r="AZ26" s="193"/>
      <c r="BA26" s="194"/>
      <c r="BB26" s="28"/>
    </row>
    <row r="27" spans="1:70" ht="12" customHeight="1" x14ac:dyDescent="0.2">
      <c r="A27" s="202" t="s">
        <v>10</v>
      </c>
      <c r="B27" s="203"/>
      <c r="C27" s="11">
        <v>88</v>
      </c>
      <c r="D27" s="73">
        <v>35</v>
      </c>
      <c r="E27" s="11">
        <v>37</v>
      </c>
      <c r="F27" s="11">
        <v>74</v>
      </c>
      <c r="G27" s="73">
        <v>23</v>
      </c>
      <c r="H27" s="11">
        <v>37</v>
      </c>
      <c r="I27" s="11">
        <v>82</v>
      </c>
      <c r="J27" s="73">
        <v>-19</v>
      </c>
      <c r="K27" s="11">
        <v>31</v>
      </c>
      <c r="L27" s="11">
        <v>96</v>
      </c>
      <c r="M27" s="73">
        <v>-39</v>
      </c>
      <c r="N27" s="11">
        <v>31</v>
      </c>
      <c r="P27" s="11">
        <v>69</v>
      </c>
      <c r="Q27" s="73">
        <v>12</v>
      </c>
      <c r="R27" s="11">
        <v>42</v>
      </c>
      <c r="S27" s="11">
        <v>72</v>
      </c>
      <c r="T27" s="73">
        <v>2</v>
      </c>
      <c r="U27" s="11">
        <v>39</v>
      </c>
      <c r="V27" s="11">
        <v>75</v>
      </c>
      <c r="W27" s="73">
        <v>12</v>
      </c>
      <c r="X27" s="11">
        <v>34</v>
      </c>
      <c r="Y27" s="11">
        <v>87</v>
      </c>
      <c r="Z27" s="73">
        <v>-26</v>
      </c>
      <c r="AA27" s="11">
        <v>24</v>
      </c>
      <c r="AC27" s="11"/>
      <c r="AD27" s="73"/>
      <c r="AE27" s="11"/>
      <c r="AF27" s="11"/>
      <c r="AG27" s="73"/>
      <c r="AH27" s="11"/>
      <c r="AI27" s="11"/>
      <c r="AJ27" s="73"/>
      <c r="AK27" s="11"/>
      <c r="AL27" s="11"/>
      <c r="AM27" s="73"/>
      <c r="AN27" s="11"/>
      <c r="AO27" s="12"/>
      <c r="AP27" s="11"/>
      <c r="AQ27" s="73"/>
      <c r="AR27" s="11"/>
      <c r="AS27" s="11"/>
      <c r="AT27" s="73"/>
      <c r="AU27" s="11"/>
      <c r="AV27" s="11"/>
      <c r="AW27" s="73"/>
      <c r="AX27" s="11"/>
      <c r="AY27" s="11"/>
      <c r="AZ27" s="73"/>
      <c r="BA27" s="11"/>
      <c r="BB27" s="12"/>
    </row>
    <row r="28" spans="1:70" ht="12" customHeight="1" x14ac:dyDescent="0.2">
      <c r="A28" s="2"/>
      <c r="B28" s="36">
        <v>14</v>
      </c>
      <c r="C28" s="199" t="s">
        <v>30</v>
      </c>
      <c r="D28" s="200"/>
      <c r="E28" s="201"/>
      <c r="F28" s="196" t="s">
        <v>46</v>
      </c>
      <c r="G28" s="197"/>
      <c r="H28" s="198"/>
      <c r="I28" s="192" t="s">
        <v>128</v>
      </c>
      <c r="J28" s="193"/>
      <c r="K28" s="194"/>
      <c r="L28" s="192" t="s">
        <v>29</v>
      </c>
      <c r="M28" s="193"/>
      <c r="N28" s="194"/>
      <c r="O28" s="13"/>
      <c r="P28" s="192" t="s">
        <v>184</v>
      </c>
      <c r="Q28" s="193"/>
      <c r="R28" s="194"/>
      <c r="S28" s="192" t="s">
        <v>64</v>
      </c>
      <c r="T28" s="193"/>
      <c r="U28" s="194"/>
      <c r="V28" s="192" t="s">
        <v>178</v>
      </c>
      <c r="W28" s="193"/>
      <c r="X28" s="194"/>
      <c r="Y28" s="192" t="s">
        <v>172</v>
      </c>
      <c r="Z28" s="193"/>
      <c r="AA28" s="194"/>
      <c r="AC28" s="192" t="s">
        <v>33</v>
      </c>
      <c r="AD28" s="193"/>
      <c r="AE28" s="194"/>
      <c r="AF28" s="192" t="s">
        <v>100</v>
      </c>
      <c r="AG28" s="193"/>
      <c r="AH28" s="194"/>
      <c r="AI28" s="192" t="s">
        <v>107</v>
      </c>
      <c r="AJ28" s="193"/>
      <c r="AK28" s="194"/>
      <c r="AL28" s="192" t="s">
        <v>177</v>
      </c>
      <c r="AM28" s="193"/>
      <c r="AN28" s="194"/>
      <c r="AO28" s="28"/>
      <c r="AP28" s="192"/>
      <c r="AQ28" s="193"/>
      <c r="AR28" s="194"/>
      <c r="AS28" s="192"/>
      <c r="AT28" s="193"/>
      <c r="AU28" s="194"/>
      <c r="AV28" s="192"/>
      <c r="AW28" s="193"/>
      <c r="AX28" s="194"/>
      <c r="AY28" s="192"/>
      <c r="AZ28" s="193"/>
      <c r="BA28" s="194"/>
      <c r="BB28" s="28"/>
    </row>
    <row r="29" spans="1:70" ht="12" customHeight="1" x14ac:dyDescent="0.2">
      <c r="A29" s="202" t="s">
        <v>10</v>
      </c>
      <c r="B29" s="203"/>
      <c r="C29" s="11">
        <v>88</v>
      </c>
      <c r="D29" s="73">
        <v>-7</v>
      </c>
      <c r="E29" s="11">
        <v>30</v>
      </c>
      <c r="F29" s="11">
        <v>86</v>
      </c>
      <c r="G29" s="73">
        <v>-27</v>
      </c>
      <c r="H29" s="11">
        <v>30</v>
      </c>
      <c r="I29" s="11">
        <v>90</v>
      </c>
      <c r="J29" s="73">
        <v>11</v>
      </c>
      <c r="K29" s="11">
        <v>34</v>
      </c>
      <c r="L29" s="11">
        <v>87</v>
      </c>
      <c r="M29" s="73">
        <v>23</v>
      </c>
      <c r="N29" s="11">
        <v>38</v>
      </c>
      <c r="P29" s="11">
        <v>88</v>
      </c>
      <c r="Q29" s="73">
        <v>-25</v>
      </c>
      <c r="R29" s="11">
        <v>40</v>
      </c>
      <c r="S29" s="11">
        <v>76</v>
      </c>
      <c r="T29" s="73">
        <v>13</v>
      </c>
      <c r="U29" s="11">
        <v>39</v>
      </c>
      <c r="V29" s="11">
        <v>75</v>
      </c>
      <c r="W29" s="73">
        <v>-1</v>
      </c>
      <c r="X29" s="11">
        <v>37</v>
      </c>
      <c r="Y29" s="11">
        <v>95</v>
      </c>
      <c r="Z29" s="73">
        <v>13</v>
      </c>
      <c r="AA29" s="11">
        <v>34</v>
      </c>
      <c r="AC29" s="11">
        <v>93</v>
      </c>
      <c r="AD29" s="73">
        <v>24</v>
      </c>
      <c r="AE29" s="11">
        <v>39</v>
      </c>
      <c r="AF29" s="11">
        <v>93</v>
      </c>
      <c r="AG29" s="73">
        <v>-4</v>
      </c>
      <c r="AH29" s="11">
        <v>33</v>
      </c>
      <c r="AI29" s="11">
        <v>86</v>
      </c>
      <c r="AJ29" s="73">
        <v>-2</v>
      </c>
      <c r="AK29" s="11">
        <v>33</v>
      </c>
      <c r="AL29" s="11">
        <v>81</v>
      </c>
      <c r="AM29" s="73">
        <v>-18</v>
      </c>
      <c r="AN29" s="11">
        <v>33</v>
      </c>
      <c r="AO29" s="12"/>
      <c r="AP29" s="11"/>
      <c r="AQ29" s="73"/>
      <c r="AR29" s="11"/>
      <c r="AS29" s="11"/>
      <c r="AT29" s="73"/>
      <c r="AU29" s="11"/>
      <c r="AV29" s="11"/>
      <c r="AW29" s="73"/>
      <c r="AX29" s="11"/>
      <c r="AY29" s="11"/>
      <c r="AZ29" s="73"/>
      <c r="BA29" s="11"/>
      <c r="BB29" s="12"/>
    </row>
    <row r="30" spans="1:70" ht="12" customHeight="1" x14ac:dyDescent="0.2">
      <c r="A30" s="2"/>
      <c r="B30" s="36">
        <v>15</v>
      </c>
      <c r="C30" s="189" t="s">
        <v>189</v>
      </c>
      <c r="D30" s="190"/>
      <c r="E30" s="191"/>
      <c r="F30" s="189" t="s">
        <v>8</v>
      </c>
      <c r="G30" s="190"/>
      <c r="H30" s="191"/>
      <c r="I30" s="189" t="s">
        <v>172</v>
      </c>
      <c r="J30" s="190"/>
      <c r="K30" s="191"/>
      <c r="L30" s="196" t="s">
        <v>46</v>
      </c>
      <c r="M30" s="197"/>
      <c r="N30" s="198"/>
      <c r="P30" s="189" t="s">
        <v>73</v>
      </c>
      <c r="Q30" s="190"/>
      <c r="R30" s="191"/>
      <c r="S30" s="189" t="s">
        <v>146</v>
      </c>
      <c r="T30" s="190"/>
      <c r="U30" s="191"/>
      <c r="V30" s="189" t="s">
        <v>107</v>
      </c>
      <c r="W30" s="190"/>
      <c r="X30" s="191"/>
      <c r="Y30" s="189" t="s">
        <v>29</v>
      </c>
      <c r="Z30" s="190"/>
      <c r="AA30" s="191"/>
      <c r="AC30" s="189"/>
      <c r="AD30" s="190"/>
      <c r="AE30" s="191"/>
      <c r="AF30" s="189"/>
      <c r="AG30" s="190"/>
      <c r="AH30" s="191"/>
      <c r="AI30" s="189"/>
      <c r="AJ30" s="190"/>
      <c r="AK30" s="191"/>
      <c r="AL30" s="189"/>
      <c r="AM30" s="190"/>
      <c r="AN30" s="191"/>
      <c r="AO30" s="106"/>
      <c r="AP30" s="189"/>
      <c r="AQ30" s="190"/>
      <c r="AR30" s="191"/>
      <c r="AS30" s="189"/>
      <c r="AT30" s="190"/>
      <c r="AU30" s="191"/>
      <c r="AV30" s="189"/>
      <c r="AW30" s="190"/>
      <c r="AX30" s="191"/>
      <c r="AY30" s="189"/>
      <c r="AZ30" s="190"/>
      <c r="BA30" s="191"/>
      <c r="BB30" s="106"/>
    </row>
    <row r="31" spans="1:70" ht="12" customHeight="1" x14ac:dyDescent="0.2">
      <c r="A31" s="202" t="s">
        <v>10</v>
      </c>
      <c r="B31" s="203"/>
      <c r="C31" s="11">
        <v>92</v>
      </c>
      <c r="D31" s="73">
        <v>0</v>
      </c>
      <c r="E31" s="11">
        <v>34</v>
      </c>
      <c r="F31" s="11">
        <v>84</v>
      </c>
      <c r="G31" s="73">
        <v>26</v>
      </c>
      <c r="H31" s="11">
        <v>33</v>
      </c>
      <c r="I31" s="11">
        <v>91</v>
      </c>
      <c r="J31" s="73">
        <v>-34</v>
      </c>
      <c r="K31" s="11">
        <v>36</v>
      </c>
      <c r="L31" s="11">
        <v>83</v>
      </c>
      <c r="M31" s="73">
        <v>8</v>
      </c>
      <c r="N31" s="11">
        <v>31</v>
      </c>
      <c r="P31" s="11">
        <v>97</v>
      </c>
      <c r="Q31" s="73">
        <v>-31</v>
      </c>
      <c r="R31" s="11">
        <v>31</v>
      </c>
      <c r="S31" s="11">
        <v>85</v>
      </c>
      <c r="T31" s="73">
        <v>15</v>
      </c>
      <c r="U31" s="11">
        <v>32</v>
      </c>
      <c r="V31" s="11">
        <v>80</v>
      </c>
      <c r="W31" s="73">
        <v>1</v>
      </c>
      <c r="X31" s="11">
        <v>37</v>
      </c>
      <c r="Y31" s="11">
        <v>85</v>
      </c>
      <c r="Z31" s="73">
        <v>15</v>
      </c>
      <c r="AA31" s="11">
        <v>38</v>
      </c>
      <c r="AC31" s="11"/>
      <c r="AD31" s="73"/>
      <c r="AE31" s="11"/>
      <c r="AF31" s="11"/>
      <c r="AG31" s="73"/>
      <c r="AH31" s="11"/>
      <c r="AI31" s="11"/>
      <c r="AJ31" s="73"/>
      <c r="AK31" s="11"/>
      <c r="AL31" s="11"/>
      <c r="AM31" s="73"/>
      <c r="AN31" s="11"/>
      <c r="AO31" s="12"/>
      <c r="AP31" s="11"/>
      <c r="AQ31" s="73"/>
      <c r="AR31" s="11"/>
      <c r="AS31" s="11"/>
      <c r="AT31" s="73"/>
      <c r="AU31" s="11"/>
      <c r="AV31" s="11"/>
      <c r="AW31" s="73"/>
      <c r="AX31" s="11"/>
      <c r="AY31" s="11"/>
      <c r="AZ31" s="73"/>
      <c r="BA31" s="11"/>
      <c r="BB31" s="12"/>
    </row>
    <row r="32" spans="1:70" ht="12" customHeight="1" x14ac:dyDescent="0.2">
      <c r="A32" s="2"/>
      <c r="B32" s="36">
        <v>16</v>
      </c>
      <c r="C32" s="189" t="s">
        <v>73</v>
      </c>
      <c r="D32" s="190"/>
      <c r="E32" s="191"/>
      <c r="F32" s="189" t="s">
        <v>189</v>
      </c>
      <c r="G32" s="190"/>
      <c r="H32" s="191"/>
      <c r="I32" s="189" t="s">
        <v>3</v>
      </c>
      <c r="J32" s="190"/>
      <c r="K32" s="191"/>
      <c r="L32" s="189" t="s">
        <v>33</v>
      </c>
      <c r="M32" s="190"/>
      <c r="N32" s="191"/>
      <c r="P32" s="189" t="s">
        <v>64</v>
      </c>
      <c r="Q32" s="190"/>
      <c r="R32" s="191"/>
      <c r="S32" s="196" t="s">
        <v>179</v>
      </c>
      <c r="T32" s="197"/>
      <c r="U32" s="198"/>
      <c r="V32" s="189" t="s">
        <v>40</v>
      </c>
      <c r="W32" s="190"/>
      <c r="X32" s="191"/>
      <c r="Y32" s="189" t="s">
        <v>107</v>
      </c>
      <c r="Z32" s="190"/>
      <c r="AA32" s="191"/>
      <c r="AC32" s="189"/>
      <c r="AD32" s="190"/>
      <c r="AE32" s="191"/>
      <c r="AF32" s="189"/>
      <c r="AG32" s="190"/>
      <c r="AH32" s="191"/>
      <c r="AI32" s="189"/>
      <c r="AJ32" s="190"/>
      <c r="AK32" s="191"/>
      <c r="AL32" s="189"/>
      <c r="AM32" s="190"/>
      <c r="AN32" s="191"/>
      <c r="AO32" s="106"/>
      <c r="AP32" s="189"/>
      <c r="AQ32" s="190"/>
      <c r="AR32" s="191"/>
      <c r="AS32" s="189"/>
      <c r="AT32" s="190"/>
      <c r="AU32" s="191"/>
      <c r="AV32" s="189"/>
      <c r="AW32" s="190"/>
      <c r="AX32" s="191"/>
      <c r="AY32" s="189"/>
      <c r="AZ32" s="190"/>
      <c r="BA32" s="191"/>
      <c r="BB32" s="106"/>
    </row>
    <row r="33" spans="1:54" ht="12" customHeight="1" x14ac:dyDescent="0.2">
      <c r="A33" s="202" t="s">
        <v>10</v>
      </c>
      <c r="B33" s="203"/>
      <c r="C33" s="11">
        <v>87</v>
      </c>
      <c r="D33" s="73">
        <v>0</v>
      </c>
      <c r="E33" s="11">
        <v>37</v>
      </c>
      <c r="F33" s="11">
        <v>91</v>
      </c>
      <c r="G33" s="73">
        <v>24</v>
      </c>
      <c r="H33" s="11">
        <v>32</v>
      </c>
      <c r="I33" s="11">
        <v>71</v>
      </c>
      <c r="J33" s="73">
        <v>10</v>
      </c>
      <c r="K33" s="11">
        <v>37</v>
      </c>
      <c r="L33" s="11">
        <v>95</v>
      </c>
      <c r="M33" s="73">
        <v>-34</v>
      </c>
      <c r="N33" s="11">
        <v>31</v>
      </c>
      <c r="P33" s="11">
        <v>83</v>
      </c>
      <c r="Q33" s="73">
        <v>4</v>
      </c>
      <c r="R33" s="11">
        <v>28</v>
      </c>
      <c r="S33" s="11">
        <v>85</v>
      </c>
      <c r="T33" s="73">
        <v>-26</v>
      </c>
      <c r="U33" s="11">
        <v>28</v>
      </c>
      <c r="V33" s="11">
        <v>76</v>
      </c>
      <c r="W33" s="73">
        <v>6</v>
      </c>
      <c r="X33" s="11">
        <v>34</v>
      </c>
      <c r="Y33" s="11">
        <v>79</v>
      </c>
      <c r="Z33" s="73">
        <v>16</v>
      </c>
      <c r="AA33" s="11">
        <v>35</v>
      </c>
      <c r="AC33" s="11"/>
      <c r="AD33" s="73"/>
      <c r="AE33" s="11"/>
      <c r="AF33" s="11"/>
      <c r="AG33" s="73"/>
      <c r="AH33" s="11"/>
      <c r="AI33" s="11"/>
      <c r="AJ33" s="73"/>
      <c r="AK33" s="11"/>
      <c r="AL33" s="11"/>
      <c r="AM33" s="73"/>
      <c r="AN33" s="11"/>
      <c r="AO33" s="12"/>
      <c r="AP33" s="11"/>
      <c r="AQ33" s="73"/>
      <c r="AR33" s="11"/>
      <c r="AS33" s="11"/>
      <c r="AT33" s="73"/>
      <c r="AU33" s="11"/>
      <c r="AV33" s="11"/>
      <c r="AW33" s="73"/>
      <c r="AX33" s="11"/>
      <c r="AY33" s="11"/>
      <c r="AZ33" s="73"/>
      <c r="BA33" s="11"/>
      <c r="BB33" s="12"/>
    </row>
    <row r="34" spans="1:54" ht="12" customHeight="1" x14ac:dyDescent="0.2">
      <c r="A34" s="2"/>
      <c r="B34" s="36">
        <v>17</v>
      </c>
      <c r="C34" s="189" t="s">
        <v>150</v>
      </c>
      <c r="D34" s="190"/>
      <c r="E34" s="191"/>
      <c r="F34" s="189" t="s">
        <v>202</v>
      </c>
      <c r="G34" s="190"/>
      <c r="H34" s="191"/>
      <c r="I34" s="189" t="s">
        <v>154</v>
      </c>
      <c r="J34" s="190"/>
      <c r="K34" s="191"/>
      <c r="L34" s="189" t="s">
        <v>162</v>
      </c>
      <c r="M34" s="190"/>
      <c r="N34" s="191"/>
      <c r="P34" s="189" t="s">
        <v>152</v>
      </c>
      <c r="Q34" s="190"/>
      <c r="R34" s="191"/>
      <c r="S34" s="189" t="s">
        <v>34</v>
      </c>
      <c r="T34" s="190"/>
      <c r="U34" s="191"/>
      <c r="V34" s="189" t="s">
        <v>203</v>
      </c>
      <c r="W34" s="190"/>
      <c r="X34" s="191"/>
      <c r="Y34" s="189" t="s">
        <v>204</v>
      </c>
      <c r="Z34" s="190"/>
      <c r="AA34" s="191"/>
      <c r="AC34" s="189"/>
      <c r="AD34" s="190"/>
      <c r="AE34" s="191"/>
      <c r="AF34" s="189"/>
      <c r="AG34" s="190"/>
      <c r="AH34" s="191"/>
      <c r="AI34" s="189"/>
      <c r="AJ34" s="190"/>
      <c r="AK34" s="191"/>
      <c r="AL34" s="189"/>
      <c r="AM34" s="190"/>
      <c r="AN34" s="191"/>
      <c r="AO34" s="106"/>
      <c r="AP34" s="189"/>
      <c r="AQ34" s="190"/>
      <c r="AR34" s="191"/>
      <c r="AS34" s="189"/>
      <c r="AT34" s="190"/>
      <c r="AU34" s="191"/>
      <c r="AV34" s="189"/>
      <c r="AW34" s="190"/>
      <c r="AX34" s="191"/>
      <c r="AY34" s="189"/>
      <c r="AZ34" s="190"/>
      <c r="BA34" s="191"/>
      <c r="BB34" s="106"/>
    </row>
    <row r="35" spans="1:54" ht="12" customHeight="1" x14ac:dyDescent="0.2">
      <c r="A35" s="202" t="s">
        <v>10</v>
      </c>
      <c r="B35" s="203"/>
      <c r="C35" s="11">
        <v>77</v>
      </c>
      <c r="D35" s="73">
        <v>-13</v>
      </c>
      <c r="E35" s="11">
        <v>37</v>
      </c>
      <c r="F35" s="11">
        <v>82</v>
      </c>
      <c r="G35" s="73">
        <v>19</v>
      </c>
      <c r="H35" s="11">
        <v>39</v>
      </c>
      <c r="I35" s="11">
        <v>76</v>
      </c>
      <c r="J35" s="73">
        <v>-7</v>
      </c>
      <c r="K35" s="11">
        <v>36</v>
      </c>
      <c r="L35" s="11">
        <v>86</v>
      </c>
      <c r="M35" s="73">
        <v>1</v>
      </c>
      <c r="N35" s="11">
        <v>30</v>
      </c>
      <c r="O35" s="97"/>
      <c r="P35" s="11">
        <v>101</v>
      </c>
      <c r="Q35" s="73">
        <v>11</v>
      </c>
      <c r="R35" s="11">
        <v>1</v>
      </c>
      <c r="S35" s="11">
        <v>80</v>
      </c>
      <c r="T35" s="73">
        <v>-29</v>
      </c>
      <c r="U35" s="11">
        <v>33</v>
      </c>
      <c r="V35" s="11">
        <v>88</v>
      </c>
      <c r="W35" s="73">
        <v>21</v>
      </c>
      <c r="X35" s="11">
        <v>35</v>
      </c>
      <c r="Y35" s="11">
        <v>82</v>
      </c>
      <c r="Z35" s="73">
        <v>-3</v>
      </c>
      <c r="AA35" s="11">
        <v>35</v>
      </c>
      <c r="AB35" s="3"/>
      <c r="AC35" s="11"/>
      <c r="AD35" s="73"/>
      <c r="AE35" s="11"/>
      <c r="AF35" s="11"/>
      <c r="AG35" s="73"/>
      <c r="AH35" s="11"/>
      <c r="AI35" s="11"/>
      <c r="AJ35" s="73"/>
      <c r="AK35" s="11"/>
      <c r="AL35" s="11"/>
      <c r="AM35" s="73"/>
      <c r="AN35" s="11"/>
      <c r="AO35" s="12"/>
      <c r="AP35" s="11"/>
      <c r="AQ35" s="73"/>
      <c r="AR35" s="11"/>
      <c r="AS35" s="11"/>
      <c r="AT35" s="73"/>
      <c r="AU35" s="11"/>
      <c r="AV35" s="11"/>
      <c r="AW35" s="73"/>
      <c r="AX35" s="11"/>
      <c r="AY35" s="11"/>
      <c r="AZ35" s="73"/>
      <c r="BA35" s="11"/>
      <c r="BB35" s="12"/>
    </row>
    <row r="36" spans="1:54" ht="12" customHeight="1" x14ac:dyDescent="0.2">
      <c r="A36" s="2"/>
      <c r="B36" s="36">
        <v>18</v>
      </c>
      <c r="C36" s="189" t="s">
        <v>8</v>
      </c>
      <c r="D36" s="190"/>
      <c r="E36" s="191"/>
      <c r="F36" s="189" t="s">
        <v>46</v>
      </c>
      <c r="G36" s="190"/>
      <c r="H36" s="191"/>
      <c r="I36" s="189" t="s">
        <v>33</v>
      </c>
      <c r="J36" s="190"/>
      <c r="K36" s="191"/>
      <c r="L36" s="189" t="s">
        <v>30</v>
      </c>
      <c r="M36" s="190"/>
      <c r="N36" s="191"/>
      <c r="P36" s="189" t="s">
        <v>172</v>
      </c>
      <c r="Q36" s="190"/>
      <c r="R36" s="191"/>
      <c r="S36" s="189" t="s">
        <v>40</v>
      </c>
      <c r="T36" s="190"/>
      <c r="U36" s="191"/>
      <c r="V36" s="189" t="s">
        <v>178</v>
      </c>
      <c r="W36" s="190"/>
      <c r="X36" s="191"/>
      <c r="Y36" s="189" t="s">
        <v>64</v>
      </c>
      <c r="Z36" s="190"/>
      <c r="AA36" s="191"/>
      <c r="AC36" s="189" t="s">
        <v>73</v>
      </c>
      <c r="AD36" s="190"/>
      <c r="AE36" s="191"/>
      <c r="AF36" s="189" t="s">
        <v>107</v>
      </c>
      <c r="AG36" s="190"/>
      <c r="AH36" s="191"/>
      <c r="AI36" s="189" t="s">
        <v>2</v>
      </c>
      <c r="AJ36" s="190"/>
      <c r="AK36" s="191"/>
      <c r="AL36" s="189" t="s">
        <v>177</v>
      </c>
      <c r="AM36" s="190"/>
      <c r="AN36" s="191"/>
      <c r="AO36" s="131"/>
      <c r="AP36" s="189"/>
      <c r="AQ36" s="190"/>
      <c r="AR36" s="191"/>
      <c r="AS36" s="189"/>
      <c r="AT36" s="190"/>
      <c r="AU36" s="191"/>
      <c r="AV36" s="189"/>
      <c r="AW36" s="190"/>
      <c r="AX36" s="191"/>
      <c r="AY36" s="189"/>
      <c r="AZ36" s="190"/>
      <c r="BA36" s="191"/>
      <c r="BB36" s="131"/>
    </row>
    <row r="37" spans="1:54" ht="12" customHeight="1" x14ac:dyDescent="0.2">
      <c r="A37" s="202" t="s">
        <v>10</v>
      </c>
      <c r="B37" s="203"/>
      <c r="C37" s="11">
        <v>92</v>
      </c>
      <c r="D37" s="73">
        <v>23</v>
      </c>
      <c r="E37" s="11">
        <v>26</v>
      </c>
      <c r="F37" s="11">
        <v>86</v>
      </c>
      <c r="G37" s="73">
        <v>-5</v>
      </c>
      <c r="H37" s="11">
        <v>28</v>
      </c>
      <c r="I37" s="11">
        <v>98</v>
      </c>
      <c r="J37" s="73">
        <v>-9</v>
      </c>
      <c r="K37" s="11">
        <v>33</v>
      </c>
      <c r="L37" s="11">
        <v>88</v>
      </c>
      <c r="M37" s="73">
        <v>-9</v>
      </c>
      <c r="N37" s="11">
        <v>32</v>
      </c>
      <c r="O37" s="97"/>
      <c r="P37" s="11">
        <v>96</v>
      </c>
      <c r="Q37" s="73">
        <v>42</v>
      </c>
      <c r="R37" s="11">
        <v>31</v>
      </c>
      <c r="S37" s="11">
        <v>76</v>
      </c>
      <c r="T37" s="73">
        <v>22</v>
      </c>
      <c r="U37" s="11">
        <v>37</v>
      </c>
      <c r="V37" s="11">
        <v>77</v>
      </c>
      <c r="W37" s="73">
        <v>-4</v>
      </c>
      <c r="X37" s="11">
        <v>33</v>
      </c>
      <c r="Y37" s="11">
        <v>86</v>
      </c>
      <c r="Z37" s="73">
        <v>-60</v>
      </c>
      <c r="AA37" s="11">
        <v>27</v>
      </c>
      <c r="AB37" s="3"/>
      <c r="AC37" s="11">
        <v>97</v>
      </c>
      <c r="AD37" s="73">
        <v>19</v>
      </c>
      <c r="AE37" s="11">
        <v>30</v>
      </c>
      <c r="AF37" s="11">
        <v>85</v>
      </c>
      <c r="AG37" s="73">
        <v>-5</v>
      </c>
      <c r="AH37" s="11">
        <v>30</v>
      </c>
      <c r="AI37" s="11">
        <v>99</v>
      </c>
      <c r="AJ37" s="73">
        <v>-31</v>
      </c>
      <c r="AK37" s="11">
        <v>24</v>
      </c>
      <c r="AL37" s="11">
        <v>75</v>
      </c>
      <c r="AM37" s="73">
        <v>17</v>
      </c>
      <c r="AN37" s="11">
        <v>37</v>
      </c>
      <c r="AO37" s="12"/>
      <c r="AP37" s="11"/>
      <c r="AQ37" s="73"/>
      <c r="AR37" s="11"/>
      <c r="AS37" s="11"/>
      <c r="AT37" s="73"/>
      <c r="AU37" s="11"/>
      <c r="AV37" s="11"/>
      <c r="AW37" s="73"/>
      <c r="AX37" s="11"/>
      <c r="AY37" s="11"/>
      <c r="AZ37" s="73"/>
      <c r="BA37" s="11"/>
      <c r="BB37" s="12"/>
    </row>
    <row r="38" spans="1:54" x14ac:dyDescent="0.2"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</row>
    <row r="42" spans="1:54" x14ac:dyDescent="0.2">
      <c r="A42" t="s">
        <v>48</v>
      </c>
    </row>
  </sheetData>
  <mergeCells count="310">
    <mergeCell ref="AL36:AN36"/>
    <mergeCell ref="A37:B37"/>
    <mergeCell ref="S36:U36"/>
    <mergeCell ref="V36:X36"/>
    <mergeCell ref="Y36:AA36"/>
    <mergeCell ref="AC36:AE36"/>
    <mergeCell ref="AF36:AH36"/>
    <mergeCell ref="AI36:AK36"/>
    <mergeCell ref="A35:B35"/>
    <mergeCell ref="C36:E36"/>
    <mergeCell ref="F36:H36"/>
    <mergeCell ref="I36:K36"/>
    <mergeCell ref="L36:N36"/>
    <mergeCell ref="P36:R36"/>
    <mergeCell ref="V34:X34"/>
    <mergeCell ref="Y34:AA34"/>
    <mergeCell ref="AC34:AE34"/>
    <mergeCell ref="AF34:AH34"/>
    <mergeCell ref="AI34:AK34"/>
    <mergeCell ref="AL34:AN34"/>
    <mergeCell ref="C34:E34"/>
    <mergeCell ref="F34:H34"/>
    <mergeCell ref="I34:K34"/>
    <mergeCell ref="L34:N34"/>
    <mergeCell ref="P34:R34"/>
    <mergeCell ref="S34:U34"/>
    <mergeCell ref="AL32:AN32"/>
    <mergeCell ref="A33:B33"/>
    <mergeCell ref="S32:U32"/>
    <mergeCell ref="V32:X32"/>
    <mergeCell ref="Y32:AA32"/>
    <mergeCell ref="AC32:AE32"/>
    <mergeCell ref="AF32:AH32"/>
    <mergeCell ref="AI32:AK32"/>
    <mergeCell ref="A31:B31"/>
    <mergeCell ref="C32:E32"/>
    <mergeCell ref="F32:H32"/>
    <mergeCell ref="I32:K32"/>
    <mergeCell ref="L32:N32"/>
    <mergeCell ref="P32:R32"/>
    <mergeCell ref="V30:X30"/>
    <mergeCell ref="Y30:AA30"/>
    <mergeCell ref="AC30:AE30"/>
    <mergeCell ref="AF30:AH30"/>
    <mergeCell ref="AI30:AK30"/>
    <mergeCell ref="AL30:AN30"/>
    <mergeCell ref="C30:E30"/>
    <mergeCell ref="F30:H30"/>
    <mergeCell ref="I30:K30"/>
    <mergeCell ref="L30:N30"/>
    <mergeCell ref="P30:R30"/>
    <mergeCell ref="S30:U30"/>
    <mergeCell ref="AL28:AN28"/>
    <mergeCell ref="A29:B29"/>
    <mergeCell ref="S28:U28"/>
    <mergeCell ref="V28:X28"/>
    <mergeCell ref="Y28:AA28"/>
    <mergeCell ref="AC28:AE28"/>
    <mergeCell ref="AF28:AH28"/>
    <mergeCell ref="AI28:AK28"/>
    <mergeCell ref="A27:B27"/>
    <mergeCell ref="C28:E28"/>
    <mergeCell ref="F28:H28"/>
    <mergeCell ref="I28:K28"/>
    <mergeCell ref="L28:N28"/>
    <mergeCell ref="P28:R28"/>
    <mergeCell ref="V26:X26"/>
    <mergeCell ref="Y26:AA26"/>
    <mergeCell ref="AC26:AE26"/>
    <mergeCell ref="AF26:AH26"/>
    <mergeCell ref="AI26:AK26"/>
    <mergeCell ref="AL26:AN26"/>
    <mergeCell ref="C26:E26"/>
    <mergeCell ref="F26:H26"/>
    <mergeCell ref="I26:K26"/>
    <mergeCell ref="L26:N26"/>
    <mergeCell ref="P26:R26"/>
    <mergeCell ref="S26:U26"/>
    <mergeCell ref="AL24:AN24"/>
    <mergeCell ref="A25:B25"/>
    <mergeCell ref="S24:U24"/>
    <mergeCell ref="V24:X24"/>
    <mergeCell ref="Y24:AA24"/>
    <mergeCell ref="AC24:AE24"/>
    <mergeCell ref="AF24:AH24"/>
    <mergeCell ref="AI24:AK24"/>
    <mergeCell ref="A23:B23"/>
    <mergeCell ref="C24:E24"/>
    <mergeCell ref="F24:H24"/>
    <mergeCell ref="I24:K24"/>
    <mergeCell ref="L24:N24"/>
    <mergeCell ref="P24:R24"/>
    <mergeCell ref="V22:X22"/>
    <mergeCell ref="Y22:AA22"/>
    <mergeCell ref="AC22:AE22"/>
    <mergeCell ref="AF22:AH22"/>
    <mergeCell ref="AI22:AK22"/>
    <mergeCell ref="AL22:AN22"/>
    <mergeCell ref="C22:E22"/>
    <mergeCell ref="F22:H22"/>
    <mergeCell ref="I22:K22"/>
    <mergeCell ref="L22:N22"/>
    <mergeCell ref="P22:R22"/>
    <mergeCell ref="S22:U22"/>
    <mergeCell ref="AL20:AN20"/>
    <mergeCell ref="A21:B21"/>
    <mergeCell ref="S20:U20"/>
    <mergeCell ref="V20:X20"/>
    <mergeCell ref="Y20:AA20"/>
    <mergeCell ref="AC20:AE20"/>
    <mergeCell ref="AF20:AH20"/>
    <mergeCell ref="AI20:AK20"/>
    <mergeCell ref="A19:B19"/>
    <mergeCell ref="C20:E20"/>
    <mergeCell ref="F20:H20"/>
    <mergeCell ref="I20:K20"/>
    <mergeCell ref="L20:N20"/>
    <mergeCell ref="P20:R20"/>
    <mergeCell ref="V18:X18"/>
    <mergeCell ref="Y18:AA18"/>
    <mergeCell ref="AC18:AE18"/>
    <mergeCell ref="AF18:AH18"/>
    <mergeCell ref="AI18:AK18"/>
    <mergeCell ref="AL18:AN18"/>
    <mergeCell ref="C18:E18"/>
    <mergeCell ref="F18:H18"/>
    <mergeCell ref="I18:K18"/>
    <mergeCell ref="L18:N18"/>
    <mergeCell ref="P18:R18"/>
    <mergeCell ref="S18:U18"/>
    <mergeCell ref="AL16:AN16"/>
    <mergeCell ref="A17:B17"/>
    <mergeCell ref="S16:U16"/>
    <mergeCell ref="V16:X16"/>
    <mergeCell ref="Y16:AA16"/>
    <mergeCell ref="AC16:AE16"/>
    <mergeCell ref="AF16:AH16"/>
    <mergeCell ref="AI16:AK16"/>
    <mergeCell ref="A15:B15"/>
    <mergeCell ref="C16:E16"/>
    <mergeCell ref="F16:H16"/>
    <mergeCell ref="I16:K16"/>
    <mergeCell ref="L16:N16"/>
    <mergeCell ref="P16:R16"/>
    <mergeCell ref="V14:X14"/>
    <mergeCell ref="Y14:AA14"/>
    <mergeCell ref="AC14:AE14"/>
    <mergeCell ref="AF14:AH14"/>
    <mergeCell ref="AI14:AK14"/>
    <mergeCell ref="AL14:AN14"/>
    <mergeCell ref="C14:E14"/>
    <mergeCell ref="F14:H14"/>
    <mergeCell ref="I14:K14"/>
    <mergeCell ref="L14:N14"/>
    <mergeCell ref="P14:R14"/>
    <mergeCell ref="S14:U14"/>
    <mergeCell ref="AL12:AN12"/>
    <mergeCell ref="A13:B13"/>
    <mergeCell ref="S12:U12"/>
    <mergeCell ref="V12:X12"/>
    <mergeCell ref="Y12:AA12"/>
    <mergeCell ref="AC12:AE12"/>
    <mergeCell ref="AF12:AH12"/>
    <mergeCell ref="AI12:AK12"/>
    <mergeCell ref="A11:B11"/>
    <mergeCell ref="C12:E12"/>
    <mergeCell ref="F12:H12"/>
    <mergeCell ref="I12:K12"/>
    <mergeCell ref="L12:N12"/>
    <mergeCell ref="P12:R12"/>
    <mergeCell ref="V10:X10"/>
    <mergeCell ref="Y10:AA10"/>
    <mergeCell ref="AC10:AE10"/>
    <mergeCell ref="AF10:AH10"/>
    <mergeCell ref="AI10:AK10"/>
    <mergeCell ref="AL10:AN10"/>
    <mergeCell ref="C10:E10"/>
    <mergeCell ref="F10:H10"/>
    <mergeCell ref="I10:K10"/>
    <mergeCell ref="L10:N10"/>
    <mergeCell ref="P10:R10"/>
    <mergeCell ref="S10:U10"/>
    <mergeCell ref="AL8:AN8"/>
    <mergeCell ref="A9:B9"/>
    <mergeCell ref="S8:U8"/>
    <mergeCell ref="V8:X8"/>
    <mergeCell ref="Y8:AA8"/>
    <mergeCell ref="AC8:AE8"/>
    <mergeCell ref="AF8:AH8"/>
    <mergeCell ref="AI8:AK8"/>
    <mergeCell ref="A7:B7"/>
    <mergeCell ref="C8:E8"/>
    <mergeCell ref="F8:H8"/>
    <mergeCell ref="I8:K8"/>
    <mergeCell ref="L8:N8"/>
    <mergeCell ref="P8:R8"/>
    <mergeCell ref="V6:X6"/>
    <mergeCell ref="Y6:AA6"/>
    <mergeCell ref="AC6:AE6"/>
    <mergeCell ref="AF6:AH6"/>
    <mergeCell ref="AI6:AK6"/>
    <mergeCell ref="AL6:AN6"/>
    <mergeCell ref="C6:E6"/>
    <mergeCell ref="F6:H6"/>
    <mergeCell ref="I6:K6"/>
    <mergeCell ref="L6:N6"/>
    <mergeCell ref="P6:R6"/>
    <mergeCell ref="S6:U6"/>
    <mergeCell ref="AL4:AN4"/>
    <mergeCell ref="A5:B5"/>
    <mergeCell ref="S4:U4"/>
    <mergeCell ref="V4:X4"/>
    <mergeCell ref="Y4:AA4"/>
    <mergeCell ref="AC4:AE4"/>
    <mergeCell ref="AF4:AH4"/>
    <mergeCell ref="AI4:AK4"/>
    <mergeCell ref="A3:B3"/>
    <mergeCell ref="C4:E4"/>
    <mergeCell ref="F4:H4"/>
    <mergeCell ref="I4:K4"/>
    <mergeCell ref="L4:N4"/>
    <mergeCell ref="P4:R4"/>
    <mergeCell ref="V2:X2"/>
    <mergeCell ref="Y2:AA2"/>
    <mergeCell ref="AC2:AE2"/>
    <mergeCell ref="AF2:AH2"/>
    <mergeCell ref="AI2:AK2"/>
    <mergeCell ref="AL2:AN2"/>
    <mergeCell ref="C1:L1"/>
    <mergeCell ref="P1:Y1"/>
    <mergeCell ref="AC1:AL1"/>
    <mergeCell ref="C2:E2"/>
    <mergeCell ref="F2:H2"/>
    <mergeCell ref="I2:K2"/>
    <mergeCell ref="L2:N2"/>
    <mergeCell ref="P2:R2"/>
    <mergeCell ref="S2:U2"/>
    <mergeCell ref="AP1:AY1"/>
    <mergeCell ref="AP2:AR2"/>
    <mergeCell ref="AS2:AU2"/>
    <mergeCell ref="AV2:AX2"/>
    <mergeCell ref="AY2:BA2"/>
    <mergeCell ref="AP4:AR4"/>
    <mergeCell ref="AS4:AU4"/>
    <mergeCell ref="AV4:AX4"/>
    <mergeCell ref="AY4:BA4"/>
    <mergeCell ref="AP6:AR6"/>
    <mergeCell ref="AS6:AU6"/>
    <mergeCell ref="AV6:AX6"/>
    <mergeCell ref="AY6:BA6"/>
    <mergeCell ref="AP8:AR8"/>
    <mergeCell ref="AS8:AU8"/>
    <mergeCell ref="AV8:AX8"/>
    <mergeCell ref="AY8:BA8"/>
    <mergeCell ref="AP10:AR10"/>
    <mergeCell ref="AS10:AU10"/>
    <mergeCell ref="AV10:AX10"/>
    <mergeCell ref="AY10:BA10"/>
    <mergeCell ref="AP12:AR12"/>
    <mergeCell ref="AS12:AU12"/>
    <mergeCell ref="AV12:AX12"/>
    <mergeCell ref="AY12:BA12"/>
    <mergeCell ref="AP14:AR14"/>
    <mergeCell ref="AS14:AU14"/>
    <mergeCell ref="AV14:AX14"/>
    <mergeCell ref="AY14:BA14"/>
    <mergeCell ref="AP16:AR16"/>
    <mergeCell ref="AS16:AU16"/>
    <mergeCell ref="AV16:AX16"/>
    <mergeCell ref="AY16:BA16"/>
    <mergeCell ref="AP18:AR18"/>
    <mergeCell ref="AS18:AU18"/>
    <mergeCell ref="AV18:AX18"/>
    <mergeCell ref="AY18:BA18"/>
    <mergeCell ref="AP20:AR20"/>
    <mergeCell ref="AS20:AU20"/>
    <mergeCell ref="AV20:AX20"/>
    <mergeCell ref="AY20:BA20"/>
    <mergeCell ref="AP22:AR22"/>
    <mergeCell ref="AS22:AU22"/>
    <mergeCell ref="AV22:AX22"/>
    <mergeCell ref="AY22:BA22"/>
    <mergeCell ref="AP24:AR24"/>
    <mergeCell ref="AS24:AU24"/>
    <mergeCell ref="AV24:AX24"/>
    <mergeCell ref="AY24:BA24"/>
    <mergeCell ref="AP26:AR26"/>
    <mergeCell ref="AS26:AU26"/>
    <mergeCell ref="AV26:AX26"/>
    <mergeCell ref="AY26:BA26"/>
    <mergeCell ref="AP28:AR28"/>
    <mergeCell ref="AS28:AU28"/>
    <mergeCell ref="AV28:AX28"/>
    <mergeCell ref="AY28:BA28"/>
    <mergeCell ref="AP36:AR36"/>
    <mergeCell ref="AS36:AU36"/>
    <mergeCell ref="AV36:AX36"/>
    <mergeCell ref="AY36:BA36"/>
    <mergeCell ref="AP30:AR30"/>
    <mergeCell ref="AS30:AU30"/>
    <mergeCell ref="AV30:AX30"/>
    <mergeCell ref="AY30:BA30"/>
    <mergeCell ref="AP32:AR32"/>
    <mergeCell ref="AS32:AU32"/>
    <mergeCell ref="AV32:AX32"/>
    <mergeCell ref="AY32:BA32"/>
    <mergeCell ref="AP34:AR34"/>
    <mergeCell ref="AS34:AU34"/>
    <mergeCell ref="AV34:AX34"/>
    <mergeCell ref="AY34:BA34"/>
  </mergeCells>
  <pageMargins left="0.2" right="0.2" top="0.25" bottom="0.2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X39"/>
  <sheetViews>
    <sheetView zoomScale="85" zoomScaleNormal="85" workbookViewId="0">
      <selection activeCell="I6" sqref="I6:X22"/>
    </sheetView>
  </sheetViews>
  <sheetFormatPr defaultRowHeight="14.25" x14ac:dyDescent="0.2"/>
  <cols>
    <col min="1" max="1" width="7.109375" customWidth="1"/>
    <col min="2" max="2" width="8.109375" customWidth="1"/>
    <col min="3" max="6" width="13.21875" customWidth="1"/>
    <col min="7" max="8" width="3.6640625" customWidth="1"/>
    <col min="9" max="9" width="6.44140625" bestFit="1" customWidth="1"/>
    <col min="10" max="12" width="4.21875" customWidth="1"/>
    <col min="13" max="13" width="4.88671875" bestFit="1" customWidth="1"/>
    <col min="14" max="14" width="4.44140625" bestFit="1" customWidth="1"/>
    <col min="15" max="18" width="4.21875" customWidth="1"/>
    <col min="19" max="19" width="3.6640625" bestFit="1" customWidth="1"/>
    <col min="20" max="20" width="4.5546875" bestFit="1" customWidth="1"/>
    <col min="21" max="21" width="4.44140625" bestFit="1" customWidth="1"/>
    <col min="22" max="22" width="4.21875" bestFit="1" customWidth="1"/>
    <col min="23" max="23" width="3.21875" bestFit="1" customWidth="1"/>
    <col min="24" max="24" width="5.21875" bestFit="1" customWidth="1"/>
  </cols>
  <sheetData>
    <row r="2" spans="1:24" x14ac:dyDescent="0.2">
      <c r="A2" s="205" t="s">
        <v>15</v>
      </c>
      <c r="B2" s="4" t="s">
        <v>17</v>
      </c>
      <c r="C2" s="127"/>
      <c r="D2" s="21"/>
      <c r="E2" s="20"/>
      <c r="F2" s="124"/>
      <c r="G2" s="18"/>
      <c r="H2" s="18"/>
    </row>
    <row r="3" spans="1:24" x14ac:dyDescent="0.2">
      <c r="A3" s="205"/>
      <c r="B3" s="4" t="s">
        <v>18</v>
      </c>
      <c r="C3" s="21"/>
      <c r="D3" s="20"/>
      <c r="E3" s="20"/>
      <c r="F3" s="20"/>
      <c r="G3" s="18"/>
      <c r="H3" s="18"/>
    </row>
    <row r="4" spans="1:24" x14ac:dyDescent="0.2">
      <c r="C4" s="17"/>
      <c r="D4" s="17"/>
      <c r="E4" s="35"/>
      <c r="F4" s="35"/>
      <c r="S4" s="35"/>
      <c r="T4" s="35"/>
      <c r="U4" s="35"/>
      <c r="V4" s="35"/>
      <c r="W4" s="35"/>
    </row>
    <row r="5" spans="1:24" x14ac:dyDescent="0.2">
      <c r="C5" s="17"/>
      <c r="D5" s="17"/>
      <c r="E5" s="35"/>
      <c r="F5" s="35"/>
      <c r="J5" s="22"/>
      <c r="K5" s="22"/>
      <c r="L5" s="22"/>
      <c r="M5" s="22"/>
      <c r="N5" s="22"/>
      <c r="O5" s="22"/>
      <c r="P5" s="22"/>
      <c r="Q5" s="22"/>
      <c r="R5" s="22"/>
      <c r="S5" s="22"/>
      <c r="T5" s="17"/>
      <c r="U5" s="17"/>
      <c r="V5" s="22"/>
      <c r="W5" s="17"/>
      <c r="X5" s="22"/>
    </row>
    <row r="6" spans="1:24" ht="14.25" customHeight="1" x14ac:dyDescent="0.2">
      <c r="A6" s="206" t="s">
        <v>16</v>
      </c>
      <c r="B6" s="19" t="s">
        <v>17</v>
      </c>
      <c r="C6" s="21"/>
      <c r="D6" s="20"/>
      <c r="E6" s="20"/>
      <c r="F6" s="20"/>
      <c r="J6" t="s">
        <v>83</v>
      </c>
      <c r="K6" t="s">
        <v>19</v>
      </c>
      <c r="L6" t="s">
        <v>65</v>
      </c>
      <c r="M6" t="s">
        <v>1</v>
      </c>
      <c r="N6" t="s">
        <v>20</v>
      </c>
      <c r="O6" t="s">
        <v>29</v>
      </c>
      <c r="P6" t="s">
        <v>28</v>
      </c>
      <c r="Q6" s="35" t="s">
        <v>32</v>
      </c>
      <c r="R6" s="35" t="s">
        <v>41</v>
      </c>
      <c r="S6" t="s">
        <v>66</v>
      </c>
      <c r="T6" s="35" t="s">
        <v>87</v>
      </c>
      <c r="U6" t="s">
        <v>165</v>
      </c>
      <c r="V6" s="35" t="s">
        <v>175</v>
      </c>
      <c r="W6" s="35" t="s">
        <v>176</v>
      </c>
    </row>
    <row r="7" spans="1:24" x14ac:dyDescent="0.2">
      <c r="A7" s="206"/>
      <c r="B7" s="19" t="s">
        <v>18</v>
      </c>
      <c r="C7" s="20"/>
      <c r="D7" s="20"/>
      <c r="E7" s="20"/>
      <c r="F7" s="20"/>
      <c r="I7" t="s">
        <v>83</v>
      </c>
      <c r="J7" s="35" t="s">
        <v>21</v>
      </c>
      <c r="K7" s="35">
        <f>J8</f>
        <v>2</v>
      </c>
      <c r="L7" s="35">
        <f>J9</f>
        <v>4</v>
      </c>
      <c r="M7" s="35">
        <f>J10</f>
        <v>0</v>
      </c>
      <c r="N7" s="35">
        <f>J11</f>
        <v>4</v>
      </c>
      <c r="O7" s="35">
        <f>J12</f>
        <v>3</v>
      </c>
      <c r="P7" s="35">
        <f>J13</f>
        <v>3</v>
      </c>
      <c r="Q7" s="35">
        <f>J14</f>
        <v>3</v>
      </c>
      <c r="R7" s="35">
        <f>J15</f>
        <v>2</v>
      </c>
      <c r="S7" s="35">
        <f>J16</f>
        <v>4</v>
      </c>
      <c r="T7" s="35">
        <f>J17</f>
        <v>3</v>
      </c>
      <c r="U7" s="35">
        <f>J18</f>
        <v>4</v>
      </c>
      <c r="V7" s="35"/>
      <c r="W7" s="35"/>
      <c r="X7" s="35">
        <f>J21</f>
        <v>0</v>
      </c>
    </row>
    <row r="8" spans="1:24" x14ac:dyDescent="0.2">
      <c r="C8" s="35"/>
      <c r="D8" s="35"/>
      <c r="E8" s="35"/>
      <c r="F8" s="35"/>
      <c r="I8" t="s">
        <v>19</v>
      </c>
      <c r="J8" s="35">
        <v>2</v>
      </c>
      <c r="K8" s="35" t="s">
        <v>21</v>
      </c>
      <c r="L8" s="35">
        <f>K9</f>
        <v>1</v>
      </c>
      <c r="M8" s="35">
        <f>K10</f>
        <v>3</v>
      </c>
      <c r="N8" s="35">
        <f>K11</f>
        <v>2</v>
      </c>
      <c r="O8" s="35">
        <f>K12</f>
        <v>2</v>
      </c>
      <c r="P8" s="35">
        <f>K13</f>
        <v>1</v>
      </c>
      <c r="Q8" s="35">
        <f>K14</f>
        <v>3</v>
      </c>
      <c r="R8" s="35">
        <f>K15</f>
        <v>3</v>
      </c>
      <c r="S8" s="35">
        <f>K16</f>
        <v>4</v>
      </c>
      <c r="T8" s="35">
        <f>K17</f>
        <v>1</v>
      </c>
      <c r="U8" s="35">
        <f>K18</f>
        <v>1</v>
      </c>
      <c r="V8" s="35"/>
      <c r="W8" s="35"/>
      <c r="X8" s="35">
        <f>K21</f>
        <v>0</v>
      </c>
    </row>
    <row r="9" spans="1:24" x14ac:dyDescent="0.2">
      <c r="C9" s="35"/>
      <c r="D9" s="35"/>
      <c r="E9" s="35"/>
      <c r="F9" s="35"/>
      <c r="I9" t="s">
        <v>65</v>
      </c>
      <c r="J9" s="35">
        <v>4</v>
      </c>
      <c r="K9" s="35">
        <v>1</v>
      </c>
      <c r="L9" s="35" t="s">
        <v>21</v>
      </c>
      <c r="M9" s="35">
        <f>L10</f>
        <v>3</v>
      </c>
      <c r="N9" s="35">
        <f>L11</f>
        <v>6</v>
      </c>
      <c r="O9" s="35">
        <f>L12</f>
        <v>2</v>
      </c>
      <c r="P9" s="35">
        <f>L13</f>
        <v>3</v>
      </c>
      <c r="Q9" s="35">
        <f>L14</f>
        <v>4</v>
      </c>
      <c r="R9" s="35">
        <f>L15</f>
        <v>3</v>
      </c>
      <c r="S9" s="35">
        <f>L16</f>
        <v>5</v>
      </c>
      <c r="T9" s="35">
        <f>L17</f>
        <v>2</v>
      </c>
      <c r="U9" s="35">
        <f>L18</f>
        <v>3</v>
      </c>
      <c r="V9" s="35"/>
      <c r="W9" s="35"/>
      <c r="X9" s="35">
        <f>L21</f>
        <v>0</v>
      </c>
    </row>
    <row r="10" spans="1:24" ht="14.25" customHeight="1" x14ac:dyDescent="0.2">
      <c r="A10" s="205" t="s">
        <v>27</v>
      </c>
      <c r="B10" s="19" t="s">
        <v>17</v>
      </c>
      <c r="C10" s="21"/>
      <c r="D10" s="124"/>
      <c r="E10" s="20"/>
      <c r="F10" s="20"/>
      <c r="I10" t="s">
        <v>1</v>
      </c>
      <c r="J10" s="35"/>
      <c r="K10" s="35">
        <v>3</v>
      </c>
      <c r="L10" s="35">
        <v>3</v>
      </c>
      <c r="M10" s="35" t="s">
        <v>21</v>
      </c>
      <c r="N10" s="35">
        <f>M11</f>
        <v>3</v>
      </c>
      <c r="O10" s="35">
        <f>M12</f>
        <v>4</v>
      </c>
      <c r="P10" s="35">
        <f>M13</f>
        <v>2</v>
      </c>
      <c r="Q10" s="35">
        <f>M14</f>
        <v>3</v>
      </c>
      <c r="R10" s="35">
        <f>M15</f>
        <v>3</v>
      </c>
      <c r="S10" s="35">
        <f>M16</f>
        <v>5</v>
      </c>
      <c r="T10" s="35">
        <f>M17</f>
        <v>3</v>
      </c>
      <c r="U10" s="35">
        <f>M18</f>
        <v>4</v>
      </c>
      <c r="V10" s="35"/>
      <c r="W10" s="35"/>
      <c r="X10" s="35">
        <f>M21</f>
        <v>0</v>
      </c>
    </row>
    <row r="11" spans="1:24" x14ac:dyDescent="0.2">
      <c r="A11" s="205"/>
      <c r="B11" s="19" t="s">
        <v>18</v>
      </c>
      <c r="C11" s="20"/>
      <c r="D11" s="20"/>
      <c r="E11" s="20"/>
      <c r="F11" s="20"/>
      <c r="I11" t="s">
        <v>20</v>
      </c>
      <c r="J11" s="35">
        <v>4</v>
      </c>
      <c r="K11" s="35">
        <v>2</v>
      </c>
      <c r="L11" s="35">
        <v>6</v>
      </c>
      <c r="M11" s="35">
        <v>3</v>
      </c>
      <c r="N11" s="35" t="s">
        <v>21</v>
      </c>
      <c r="O11" s="35">
        <f>N12</f>
        <v>2</v>
      </c>
      <c r="P11" s="35">
        <f>N13</f>
        <v>4</v>
      </c>
      <c r="Q11" s="35">
        <f>N14</f>
        <v>4</v>
      </c>
      <c r="R11" s="35">
        <f>N15</f>
        <v>3</v>
      </c>
      <c r="S11" s="35">
        <f>N16</f>
        <v>5</v>
      </c>
      <c r="T11" s="35">
        <f>N17</f>
        <v>3</v>
      </c>
      <c r="U11" s="35">
        <f>N18</f>
        <v>3</v>
      </c>
      <c r="V11" s="35"/>
      <c r="W11" s="35"/>
      <c r="X11" s="35">
        <f>N21</f>
        <v>0</v>
      </c>
    </row>
    <row r="12" spans="1:24" x14ac:dyDescent="0.2">
      <c r="C12" s="35"/>
      <c r="D12" s="35"/>
      <c r="E12" s="35"/>
      <c r="F12" s="35"/>
      <c r="I12" t="s">
        <v>29</v>
      </c>
      <c r="J12" s="35">
        <v>3</v>
      </c>
      <c r="K12" s="35">
        <v>2</v>
      </c>
      <c r="L12" s="35">
        <v>2</v>
      </c>
      <c r="M12" s="35">
        <v>4</v>
      </c>
      <c r="N12" s="35">
        <v>2</v>
      </c>
      <c r="O12" s="35" t="s">
        <v>21</v>
      </c>
      <c r="P12" s="35">
        <f>O13</f>
        <v>3</v>
      </c>
      <c r="Q12" s="35">
        <f>O14</f>
        <v>4</v>
      </c>
      <c r="R12" s="35">
        <f>O15</f>
        <v>2</v>
      </c>
      <c r="S12" s="35">
        <f>O16</f>
        <v>3</v>
      </c>
      <c r="T12" s="35">
        <f>O17</f>
        <v>5</v>
      </c>
      <c r="U12" s="35">
        <f>O18</f>
        <v>4</v>
      </c>
      <c r="V12" s="35"/>
      <c r="W12" s="35"/>
      <c r="X12" s="35">
        <f>O21</f>
        <v>0</v>
      </c>
    </row>
    <row r="13" spans="1:24" x14ac:dyDescent="0.2">
      <c r="A13" s="205" t="s">
        <v>80</v>
      </c>
      <c r="B13" s="19" t="s">
        <v>17</v>
      </c>
      <c r="C13" s="124"/>
      <c r="D13" s="124"/>
      <c r="E13" s="124"/>
      <c r="F13" s="124"/>
      <c r="I13" t="s">
        <v>28</v>
      </c>
      <c r="J13" s="35">
        <v>3</v>
      </c>
      <c r="K13" s="35">
        <v>1</v>
      </c>
      <c r="L13" s="35">
        <v>3</v>
      </c>
      <c r="M13" s="35">
        <v>2</v>
      </c>
      <c r="N13" s="35">
        <v>4</v>
      </c>
      <c r="O13" s="35">
        <v>3</v>
      </c>
      <c r="P13" s="35" t="s">
        <v>21</v>
      </c>
      <c r="Q13" s="35">
        <f>P14</f>
        <v>4</v>
      </c>
      <c r="R13" s="35">
        <f>P15</f>
        <v>3</v>
      </c>
      <c r="S13" s="35">
        <f>P16</f>
        <v>5</v>
      </c>
      <c r="T13" s="35">
        <f>P17</f>
        <v>3</v>
      </c>
      <c r="U13" s="35">
        <f>P18</f>
        <v>2</v>
      </c>
      <c r="V13" s="35"/>
      <c r="W13" s="35"/>
      <c r="X13" s="35">
        <f>P21</f>
        <v>0</v>
      </c>
    </row>
    <row r="14" spans="1:24" ht="14.25" customHeight="1" x14ac:dyDescent="0.2">
      <c r="A14" s="205"/>
      <c r="B14" s="19" t="s">
        <v>18</v>
      </c>
      <c r="C14" s="20"/>
      <c r="D14" s="20"/>
      <c r="E14" s="20"/>
      <c r="F14" s="20"/>
      <c r="I14" s="33" t="s">
        <v>32</v>
      </c>
      <c r="J14" s="35">
        <v>3</v>
      </c>
      <c r="K14" s="35">
        <v>3</v>
      </c>
      <c r="L14" s="35">
        <v>4</v>
      </c>
      <c r="M14" s="35">
        <v>3</v>
      </c>
      <c r="N14" s="35">
        <v>4</v>
      </c>
      <c r="O14" s="35">
        <v>4</v>
      </c>
      <c r="P14" s="35">
        <v>4</v>
      </c>
      <c r="Q14" s="35" t="s">
        <v>21</v>
      </c>
      <c r="R14" s="35">
        <f>Q15</f>
        <v>5</v>
      </c>
      <c r="S14" s="35">
        <f>Q16</f>
        <v>6</v>
      </c>
      <c r="T14" s="35">
        <f>Q17</f>
        <v>3</v>
      </c>
      <c r="U14" s="35">
        <f>Q18</f>
        <v>3</v>
      </c>
      <c r="V14" s="35"/>
      <c r="W14" s="35"/>
      <c r="X14" s="35">
        <f>Q21</f>
        <v>0</v>
      </c>
    </row>
    <row r="15" spans="1:24" x14ac:dyDescent="0.2">
      <c r="I15" t="s">
        <v>41</v>
      </c>
      <c r="J15" s="35">
        <v>2</v>
      </c>
      <c r="K15" s="35">
        <v>3</v>
      </c>
      <c r="L15" s="35">
        <v>3</v>
      </c>
      <c r="M15" s="35">
        <v>3</v>
      </c>
      <c r="N15" s="35">
        <v>3</v>
      </c>
      <c r="O15" s="35">
        <v>2</v>
      </c>
      <c r="P15" s="35">
        <v>3</v>
      </c>
      <c r="Q15" s="35">
        <v>5</v>
      </c>
      <c r="R15" s="35" t="s">
        <v>21</v>
      </c>
      <c r="S15" s="35">
        <f>R16</f>
        <v>4</v>
      </c>
      <c r="T15" s="35">
        <f>R17</f>
        <v>4</v>
      </c>
      <c r="U15" s="35">
        <f>R18</f>
        <v>4</v>
      </c>
      <c r="V15" s="35"/>
      <c r="W15" s="35"/>
      <c r="X15" s="35">
        <f>R21</f>
        <v>0</v>
      </c>
    </row>
    <row r="16" spans="1:24" x14ac:dyDescent="0.2">
      <c r="I16" t="s">
        <v>66</v>
      </c>
      <c r="J16" s="35">
        <v>4</v>
      </c>
      <c r="K16" s="35">
        <v>4</v>
      </c>
      <c r="L16" s="35">
        <v>5</v>
      </c>
      <c r="M16" s="35">
        <v>5</v>
      </c>
      <c r="N16" s="35">
        <v>5</v>
      </c>
      <c r="O16" s="35">
        <v>3</v>
      </c>
      <c r="P16" s="35">
        <v>5</v>
      </c>
      <c r="Q16" s="35">
        <v>6</v>
      </c>
      <c r="R16" s="35">
        <v>4</v>
      </c>
      <c r="S16" s="35" t="s">
        <v>21</v>
      </c>
      <c r="T16" s="35">
        <f>S17</f>
        <v>4</v>
      </c>
      <c r="U16" s="35">
        <f>S18</f>
        <v>4</v>
      </c>
      <c r="V16" s="35"/>
      <c r="W16" s="35"/>
      <c r="X16" s="35">
        <f>S21</f>
        <v>0</v>
      </c>
    </row>
    <row r="17" spans="1:24" x14ac:dyDescent="0.2">
      <c r="I17" t="s">
        <v>87</v>
      </c>
      <c r="J17" s="36">
        <v>3</v>
      </c>
      <c r="K17" s="36">
        <v>1</v>
      </c>
      <c r="L17" s="36">
        <v>2</v>
      </c>
      <c r="M17" s="36">
        <v>3</v>
      </c>
      <c r="N17" s="35">
        <v>3</v>
      </c>
      <c r="O17" s="35">
        <v>5</v>
      </c>
      <c r="P17" s="35">
        <v>3</v>
      </c>
      <c r="Q17" s="35">
        <v>3</v>
      </c>
      <c r="R17" s="35">
        <v>4</v>
      </c>
      <c r="S17" s="35">
        <v>4</v>
      </c>
      <c r="T17" s="35" t="s">
        <v>21</v>
      </c>
      <c r="U17" s="35">
        <f>T18</f>
        <v>4</v>
      </c>
      <c r="V17" s="35"/>
      <c r="W17" s="35"/>
      <c r="X17" s="35">
        <f>T21</f>
        <v>0</v>
      </c>
    </row>
    <row r="18" spans="1:24" x14ac:dyDescent="0.2">
      <c r="C18" s="22"/>
      <c r="D18" s="22"/>
      <c r="E18" s="22"/>
      <c r="F18" s="22"/>
      <c r="I18" t="s">
        <v>165</v>
      </c>
      <c r="J18" s="35">
        <v>4</v>
      </c>
      <c r="K18" s="35">
        <v>1</v>
      </c>
      <c r="L18" s="35">
        <v>3</v>
      </c>
      <c r="M18" s="35">
        <v>4</v>
      </c>
      <c r="N18" s="35">
        <v>3</v>
      </c>
      <c r="O18" s="35">
        <v>4</v>
      </c>
      <c r="P18" s="35">
        <v>2</v>
      </c>
      <c r="Q18" s="35">
        <v>3</v>
      </c>
      <c r="R18" s="35">
        <v>4</v>
      </c>
      <c r="S18" s="35">
        <v>4</v>
      </c>
      <c r="T18" s="35">
        <v>4</v>
      </c>
      <c r="U18" s="35" t="s">
        <v>21</v>
      </c>
      <c r="V18" s="35"/>
      <c r="W18" s="35"/>
      <c r="X18" s="35">
        <f>U21</f>
        <v>0</v>
      </c>
    </row>
    <row r="19" spans="1:24" x14ac:dyDescent="0.2">
      <c r="C19" s="160" t="s">
        <v>34</v>
      </c>
      <c r="D19" s="160" t="s">
        <v>0</v>
      </c>
      <c r="E19" s="21" t="s">
        <v>3</v>
      </c>
      <c r="F19" s="21" t="s">
        <v>2</v>
      </c>
      <c r="G19" s="22"/>
      <c r="I19" t="s">
        <v>175</v>
      </c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 t="s">
        <v>21</v>
      </c>
      <c r="W19" s="35">
        <f>V20</f>
        <v>0</v>
      </c>
      <c r="X19" s="35">
        <f>V21</f>
        <v>0</v>
      </c>
    </row>
    <row r="20" spans="1:24" x14ac:dyDescent="0.2">
      <c r="C20" s="17"/>
      <c r="D20" s="17"/>
      <c r="E20" s="17"/>
      <c r="F20" s="17"/>
      <c r="G20" s="22"/>
      <c r="I20" t="s">
        <v>176</v>
      </c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 t="s">
        <v>21</v>
      </c>
      <c r="X20" s="35">
        <f>W21</f>
        <v>0</v>
      </c>
    </row>
    <row r="21" spans="1:24" x14ac:dyDescent="0.2">
      <c r="C21" s="160" t="s">
        <v>33</v>
      </c>
      <c r="D21" s="160" t="s">
        <v>30</v>
      </c>
      <c r="E21" s="160" t="s">
        <v>46</v>
      </c>
      <c r="F21" s="160" t="s">
        <v>44</v>
      </c>
      <c r="G21" s="22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 t="s">
        <v>21</v>
      </c>
    </row>
    <row r="22" spans="1:24" x14ac:dyDescent="0.2">
      <c r="C22" s="17"/>
      <c r="D22" s="17"/>
      <c r="E22" s="17"/>
      <c r="F22" s="17"/>
      <c r="G22" s="22"/>
      <c r="I22" t="s">
        <v>11</v>
      </c>
      <c r="J22" s="35">
        <f>SUM(J8:J21)</f>
        <v>32</v>
      </c>
      <c r="K22" s="35">
        <f>SUM(K7:K21)</f>
        <v>23</v>
      </c>
      <c r="L22" s="35">
        <f t="shared" ref="L22:X22" si="0">SUM(L7:L21)</f>
        <v>36</v>
      </c>
      <c r="M22" s="35">
        <f t="shared" si="0"/>
        <v>33</v>
      </c>
      <c r="N22" s="35">
        <f t="shared" si="0"/>
        <v>39</v>
      </c>
      <c r="O22" s="35">
        <f t="shared" si="0"/>
        <v>34</v>
      </c>
      <c r="P22" s="35">
        <f t="shared" si="0"/>
        <v>33</v>
      </c>
      <c r="Q22" s="35">
        <f t="shared" si="0"/>
        <v>42</v>
      </c>
      <c r="R22" s="35">
        <f t="shared" si="0"/>
        <v>36</v>
      </c>
      <c r="S22" s="35">
        <f t="shared" si="0"/>
        <v>49</v>
      </c>
      <c r="T22" s="35">
        <f t="shared" si="0"/>
        <v>35</v>
      </c>
      <c r="U22" s="35">
        <f t="shared" si="0"/>
        <v>36</v>
      </c>
      <c r="V22" s="35">
        <f t="shared" si="0"/>
        <v>0</v>
      </c>
      <c r="W22" s="35">
        <f t="shared" si="0"/>
        <v>0</v>
      </c>
      <c r="X22" s="35">
        <f t="shared" si="0"/>
        <v>0</v>
      </c>
    </row>
    <row r="23" spans="1:24" x14ac:dyDescent="0.2">
      <c r="C23" s="160" t="s">
        <v>64</v>
      </c>
      <c r="D23" s="160" t="s">
        <v>40</v>
      </c>
      <c r="E23" s="160" t="s">
        <v>73</v>
      </c>
      <c r="F23" s="160" t="s">
        <v>107</v>
      </c>
      <c r="G23" s="22"/>
      <c r="I23" t="s">
        <v>74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x14ac:dyDescent="0.2">
      <c r="C24" s="15"/>
      <c r="D24" s="15"/>
      <c r="E24" s="15"/>
      <c r="F24" s="75"/>
      <c r="G24" s="22"/>
      <c r="I24" t="s">
        <v>76</v>
      </c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17"/>
    </row>
    <row r="25" spans="1:24" x14ac:dyDescent="0.2">
      <c r="C25" s="127"/>
      <c r="D25" s="127"/>
      <c r="E25" s="136"/>
      <c r="F25" s="75"/>
      <c r="G25" s="22"/>
      <c r="I25" t="s">
        <v>75</v>
      </c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4" x14ac:dyDescent="0.2">
      <c r="C26" s="126"/>
      <c r="D26" s="126"/>
      <c r="E26" s="15"/>
      <c r="F26" s="75"/>
      <c r="G26" s="22"/>
      <c r="I26" t="s">
        <v>94</v>
      </c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1:24" x14ac:dyDescent="0.2">
      <c r="C27" s="17"/>
      <c r="D27" s="17"/>
      <c r="E27" s="17"/>
      <c r="F27" s="29"/>
      <c r="I27" t="s">
        <v>77</v>
      </c>
      <c r="J27" s="35"/>
      <c r="K27" s="35"/>
      <c r="L27" s="35"/>
      <c r="M27" s="140"/>
      <c r="N27" s="140"/>
      <c r="O27" s="140"/>
      <c r="P27" s="140"/>
      <c r="Q27" s="140"/>
      <c r="R27" s="140"/>
      <c r="S27" s="140"/>
      <c r="T27" s="140"/>
      <c r="U27" s="140"/>
      <c r="V27" s="35"/>
    </row>
    <row r="28" spans="1:24" x14ac:dyDescent="0.2">
      <c r="C28" s="22" t="s">
        <v>88</v>
      </c>
      <c r="D28" s="22"/>
      <c r="E28" s="22"/>
      <c r="F28" s="22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</row>
    <row r="29" spans="1:24" x14ac:dyDescent="0.2">
      <c r="A29" s="207"/>
      <c r="B29" s="116"/>
      <c r="C29" s="129"/>
      <c r="D29" s="29"/>
      <c r="E29" s="29"/>
      <c r="F29" s="29"/>
      <c r="H29" s="29"/>
      <c r="I29" s="29" t="s">
        <v>78</v>
      </c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</row>
    <row r="30" spans="1:24" x14ac:dyDescent="0.2">
      <c r="A30" s="207"/>
      <c r="B30" s="116"/>
      <c r="C30" s="29"/>
      <c r="D30" s="29"/>
      <c r="E30" s="29"/>
      <c r="F30" s="29"/>
      <c r="I30" t="s">
        <v>74</v>
      </c>
      <c r="J30" s="35"/>
      <c r="K30" s="35"/>
      <c r="L30" s="35"/>
      <c r="M30" s="35"/>
      <c r="N30" s="35"/>
      <c r="O30" s="35"/>
      <c r="P30" s="35"/>
      <c r="Q30" s="35"/>
      <c r="R30" s="35"/>
      <c r="S30" s="17"/>
      <c r="T30" s="35"/>
      <c r="U30" s="35"/>
      <c r="V30" s="35"/>
    </row>
    <row r="31" spans="1:24" x14ac:dyDescent="0.2">
      <c r="A31" s="1"/>
      <c r="B31" s="1"/>
      <c r="D31" s="1"/>
      <c r="E31" s="1"/>
      <c r="F31" s="1"/>
      <c r="I31" t="s">
        <v>76</v>
      </c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</row>
    <row r="32" spans="1:24" x14ac:dyDescent="0.2">
      <c r="A32" s="1"/>
      <c r="B32" s="1"/>
      <c r="D32" s="1"/>
      <c r="E32" s="1"/>
      <c r="F32" s="1"/>
      <c r="I32" t="s">
        <v>75</v>
      </c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</row>
    <row r="33" spans="1:24" ht="14.25" customHeight="1" x14ac:dyDescent="0.2">
      <c r="A33" s="207"/>
      <c r="B33" s="117"/>
      <c r="D33" s="117"/>
      <c r="E33" s="117"/>
      <c r="F33" s="117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34" spans="1:24" x14ac:dyDescent="0.2">
      <c r="A34" s="207"/>
      <c r="B34" s="117"/>
      <c r="D34" s="117"/>
      <c r="E34" s="117"/>
      <c r="F34" s="117"/>
      <c r="I34" t="s">
        <v>79</v>
      </c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spans="1:24" x14ac:dyDescent="0.2">
      <c r="I35" t="s">
        <v>74</v>
      </c>
      <c r="J35" s="36"/>
      <c r="K35" s="36"/>
      <c r="L35" s="36"/>
      <c r="M35" s="36"/>
      <c r="N35" s="36"/>
      <c r="O35" s="35"/>
      <c r="P35" s="35"/>
      <c r="Q35" s="35"/>
      <c r="R35" s="35"/>
      <c r="S35" s="36"/>
      <c r="T35" s="36"/>
      <c r="U35" s="35"/>
      <c r="V35" s="35"/>
      <c r="W35" s="36"/>
      <c r="X35" s="36"/>
    </row>
    <row r="36" spans="1:24" x14ac:dyDescent="0.2">
      <c r="I36" t="s">
        <v>76</v>
      </c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 spans="1:24" x14ac:dyDescent="0.2">
      <c r="I37" t="s">
        <v>75</v>
      </c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</row>
    <row r="38" spans="1:24" x14ac:dyDescent="0.2">
      <c r="J38" s="35"/>
      <c r="K38" s="35"/>
      <c r="L38" s="35"/>
      <c r="M38" s="35"/>
      <c r="N38" s="35"/>
      <c r="O38" s="35"/>
      <c r="P38" s="35"/>
      <c r="S38" s="35"/>
      <c r="T38" s="35"/>
      <c r="W38" s="35"/>
    </row>
    <row r="39" spans="1:24" x14ac:dyDescent="0.2"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</sheetData>
  <mergeCells count="6">
    <mergeCell ref="A2:A3"/>
    <mergeCell ref="A6:A7"/>
    <mergeCell ref="A29:A30"/>
    <mergeCell ref="A33:A34"/>
    <mergeCell ref="A10:A11"/>
    <mergeCell ref="A13:A14"/>
  </mergeCells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00DB-F6F7-4E0E-B82C-16B91EAC2440}">
  <dimension ref="B5:V15"/>
  <sheetViews>
    <sheetView workbookViewId="0">
      <selection activeCell="V15" sqref="B5:V15"/>
    </sheetView>
  </sheetViews>
  <sheetFormatPr defaultRowHeight="14.25" x14ac:dyDescent="0.2"/>
  <cols>
    <col min="1" max="1" width="1" customWidth="1"/>
    <col min="2" max="2" width="6.77734375" bestFit="1" customWidth="1"/>
    <col min="3" max="20" width="4.44140625" customWidth="1"/>
    <col min="21" max="21" width="2.109375" customWidth="1"/>
  </cols>
  <sheetData>
    <row r="5" spans="2:22" x14ac:dyDescent="0.2">
      <c r="B5" t="s">
        <v>147</v>
      </c>
      <c r="C5" s="143">
        <v>1</v>
      </c>
      <c r="D5" s="143">
        <v>2</v>
      </c>
      <c r="E5" s="143">
        <v>3</v>
      </c>
      <c r="F5" s="143">
        <v>4</v>
      </c>
      <c r="G5" s="143">
        <v>5</v>
      </c>
      <c r="H5" s="143">
        <v>6</v>
      </c>
      <c r="I5" s="143">
        <v>7</v>
      </c>
      <c r="J5" s="143">
        <v>8</v>
      </c>
      <c r="K5" s="143">
        <v>9</v>
      </c>
      <c r="L5" s="143">
        <v>10</v>
      </c>
      <c r="M5" s="143">
        <v>11</v>
      </c>
      <c r="N5" s="143">
        <v>12</v>
      </c>
      <c r="O5" s="143">
        <v>13</v>
      </c>
      <c r="P5" s="143">
        <v>14</v>
      </c>
      <c r="Q5" s="143">
        <v>15</v>
      </c>
      <c r="R5" s="143">
        <v>16</v>
      </c>
      <c r="S5" s="143">
        <v>17</v>
      </c>
      <c r="T5" s="143">
        <v>18</v>
      </c>
    </row>
    <row r="6" spans="2:22" x14ac:dyDescent="0.2">
      <c r="B6" t="s">
        <v>148</v>
      </c>
      <c r="C6" s="144">
        <v>5</v>
      </c>
      <c r="D6" s="144">
        <v>4</v>
      </c>
      <c r="E6" s="144">
        <v>4</v>
      </c>
      <c r="F6" s="144">
        <v>4</v>
      </c>
      <c r="G6" s="144">
        <v>4</v>
      </c>
      <c r="H6" s="144">
        <v>3</v>
      </c>
      <c r="I6" s="144">
        <v>3</v>
      </c>
      <c r="J6" s="144">
        <v>5</v>
      </c>
      <c r="K6" s="144">
        <v>4</v>
      </c>
      <c r="L6" s="144">
        <v>4</v>
      </c>
      <c r="M6" s="144">
        <v>5</v>
      </c>
      <c r="N6" s="144">
        <v>3</v>
      </c>
      <c r="O6" s="144">
        <v>4</v>
      </c>
      <c r="P6" s="144">
        <v>4</v>
      </c>
      <c r="Q6" s="144">
        <v>3</v>
      </c>
      <c r="R6" s="144">
        <v>4</v>
      </c>
      <c r="S6" s="144">
        <v>4</v>
      </c>
      <c r="T6" s="144">
        <v>4</v>
      </c>
    </row>
    <row r="8" spans="2:22" x14ac:dyDescent="0.2">
      <c r="B8" t="s">
        <v>149</v>
      </c>
      <c r="C8">
        <v>-4</v>
      </c>
      <c r="D8">
        <v>2</v>
      </c>
      <c r="E8">
        <v>3</v>
      </c>
      <c r="F8">
        <v>2</v>
      </c>
      <c r="G8">
        <v>0</v>
      </c>
      <c r="H8">
        <v>8</v>
      </c>
      <c r="I8">
        <v>6.7</v>
      </c>
      <c r="J8">
        <v>6</v>
      </c>
      <c r="K8">
        <v>-1.3</v>
      </c>
      <c r="L8">
        <v>-5.3</v>
      </c>
      <c r="M8">
        <v>1</v>
      </c>
      <c r="N8">
        <v>2</v>
      </c>
      <c r="O8">
        <v>-4</v>
      </c>
      <c r="P8">
        <v>0</v>
      </c>
      <c r="Q8">
        <v>9.3000000000000007</v>
      </c>
      <c r="R8">
        <v>-5</v>
      </c>
      <c r="S8">
        <v>1</v>
      </c>
      <c r="T8">
        <v>0</v>
      </c>
      <c r="V8">
        <f t="shared" ref="V8:V14" si="0">SUM(C8:U8)</f>
        <v>21.4</v>
      </c>
    </row>
    <row r="9" spans="2:22" x14ac:dyDescent="0.2">
      <c r="B9" t="s">
        <v>150</v>
      </c>
      <c r="C9">
        <v>3</v>
      </c>
      <c r="D9">
        <v>-5</v>
      </c>
      <c r="E9">
        <v>3</v>
      </c>
      <c r="F9">
        <v>2</v>
      </c>
      <c r="G9">
        <v>0</v>
      </c>
      <c r="H9">
        <v>-6</v>
      </c>
      <c r="I9">
        <v>6.7</v>
      </c>
      <c r="J9">
        <v>6</v>
      </c>
      <c r="K9">
        <v>-1.3</v>
      </c>
      <c r="L9">
        <v>-5.3</v>
      </c>
      <c r="M9">
        <v>-1.3</v>
      </c>
      <c r="N9">
        <v>2</v>
      </c>
      <c r="O9">
        <v>-4</v>
      </c>
      <c r="P9">
        <v>0</v>
      </c>
      <c r="Q9">
        <v>-7</v>
      </c>
      <c r="R9">
        <v>-5</v>
      </c>
      <c r="S9">
        <v>1</v>
      </c>
      <c r="T9">
        <v>0</v>
      </c>
      <c r="V9">
        <f t="shared" si="0"/>
        <v>-11.200000000000001</v>
      </c>
    </row>
    <row r="10" spans="2:22" x14ac:dyDescent="0.2">
      <c r="B10" t="s">
        <v>151</v>
      </c>
      <c r="C10">
        <v>-4</v>
      </c>
      <c r="D10">
        <v>2</v>
      </c>
      <c r="E10">
        <v>-4</v>
      </c>
      <c r="F10">
        <v>2</v>
      </c>
      <c r="G10">
        <v>0</v>
      </c>
      <c r="H10">
        <v>-6</v>
      </c>
      <c r="I10">
        <v>6.7</v>
      </c>
      <c r="J10">
        <v>6</v>
      </c>
      <c r="K10">
        <v>1</v>
      </c>
      <c r="L10">
        <v>-5.3</v>
      </c>
      <c r="M10">
        <v>-1.3</v>
      </c>
      <c r="N10">
        <v>2</v>
      </c>
      <c r="O10">
        <v>5.3</v>
      </c>
      <c r="P10">
        <v>0</v>
      </c>
      <c r="Q10">
        <v>-7</v>
      </c>
      <c r="R10">
        <v>6.7</v>
      </c>
      <c r="S10">
        <v>1</v>
      </c>
      <c r="T10">
        <v>0</v>
      </c>
      <c r="V10">
        <f t="shared" si="0"/>
        <v>5.1000000000000005</v>
      </c>
    </row>
    <row r="11" spans="2:22" x14ac:dyDescent="0.2">
      <c r="B11" t="s">
        <v>34</v>
      </c>
      <c r="C11">
        <v>-4</v>
      </c>
      <c r="D11">
        <v>2</v>
      </c>
      <c r="E11">
        <v>-4</v>
      </c>
      <c r="F11">
        <v>-2.7</v>
      </c>
      <c r="G11">
        <v>0</v>
      </c>
      <c r="H11">
        <v>8</v>
      </c>
      <c r="I11">
        <v>-5</v>
      </c>
      <c r="J11">
        <v>6</v>
      </c>
      <c r="K11">
        <v>1</v>
      </c>
      <c r="L11">
        <v>4</v>
      </c>
      <c r="M11">
        <v>1</v>
      </c>
      <c r="N11">
        <v>-2.7</v>
      </c>
      <c r="O11">
        <v>-4</v>
      </c>
      <c r="P11">
        <v>0</v>
      </c>
      <c r="Q11">
        <v>-7</v>
      </c>
      <c r="R11">
        <v>-5</v>
      </c>
      <c r="S11">
        <v>1</v>
      </c>
      <c r="T11">
        <v>0</v>
      </c>
      <c r="V11">
        <f t="shared" si="0"/>
        <v>-11.399999999999999</v>
      </c>
    </row>
    <row r="12" spans="2:22" x14ac:dyDescent="0.2">
      <c r="B12" t="s">
        <v>152</v>
      </c>
      <c r="C12">
        <v>3</v>
      </c>
      <c r="D12">
        <v>2</v>
      </c>
      <c r="E12">
        <v>-4</v>
      </c>
      <c r="F12">
        <v>-2.7</v>
      </c>
      <c r="G12">
        <v>0</v>
      </c>
      <c r="H12">
        <v>-6</v>
      </c>
      <c r="I12">
        <v>-5</v>
      </c>
      <c r="J12">
        <v>6</v>
      </c>
      <c r="K12">
        <v>1</v>
      </c>
      <c r="L12">
        <v>4</v>
      </c>
      <c r="M12">
        <v>1</v>
      </c>
      <c r="N12">
        <v>-2.7</v>
      </c>
      <c r="O12">
        <v>5.3</v>
      </c>
      <c r="P12">
        <v>0</v>
      </c>
      <c r="Q12">
        <v>-7</v>
      </c>
      <c r="R12">
        <v>6.7</v>
      </c>
      <c r="S12">
        <v>-1.3</v>
      </c>
      <c r="T12">
        <v>0</v>
      </c>
      <c r="V12">
        <f t="shared" si="0"/>
        <v>0.30000000000000049</v>
      </c>
    </row>
    <row r="13" spans="2:22" x14ac:dyDescent="0.2">
      <c r="B13" t="s">
        <v>153</v>
      </c>
      <c r="C13">
        <v>3</v>
      </c>
      <c r="D13">
        <v>-5</v>
      </c>
      <c r="E13">
        <v>3</v>
      </c>
      <c r="F13">
        <v>-2.7</v>
      </c>
      <c r="G13">
        <v>0</v>
      </c>
      <c r="H13">
        <v>-6</v>
      </c>
      <c r="I13">
        <v>-5</v>
      </c>
      <c r="J13">
        <v>-36</v>
      </c>
      <c r="K13">
        <v>1</v>
      </c>
      <c r="L13">
        <v>4</v>
      </c>
      <c r="M13">
        <v>-1.3</v>
      </c>
      <c r="N13">
        <v>-2.7</v>
      </c>
      <c r="O13">
        <v>-4</v>
      </c>
      <c r="P13">
        <v>0</v>
      </c>
      <c r="Q13">
        <v>9.3000000000000007</v>
      </c>
      <c r="R13">
        <v>6.7</v>
      </c>
      <c r="S13">
        <v>-1.3</v>
      </c>
      <c r="T13">
        <v>0</v>
      </c>
      <c r="V13">
        <f t="shared" si="0"/>
        <v>-37</v>
      </c>
    </row>
    <row r="14" spans="2:22" x14ac:dyDescent="0.2">
      <c r="B14" t="s">
        <v>154</v>
      </c>
      <c r="C14">
        <v>3</v>
      </c>
      <c r="D14">
        <v>2</v>
      </c>
      <c r="E14">
        <v>3</v>
      </c>
      <c r="F14">
        <v>2</v>
      </c>
      <c r="G14">
        <v>0</v>
      </c>
      <c r="H14">
        <v>8</v>
      </c>
      <c r="I14">
        <v>-5</v>
      </c>
      <c r="J14">
        <v>6</v>
      </c>
      <c r="K14">
        <v>-1.3</v>
      </c>
      <c r="L14">
        <v>4</v>
      </c>
      <c r="M14">
        <v>1</v>
      </c>
      <c r="N14">
        <v>2</v>
      </c>
      <c r="O14">
        <v>5.3</v>
      </c>
      <c r="P14">
        <v>0</v>
      </c>
      <c r="Q14">
        <v>9.3000000000000007</v>
      </c>
      <c r="R14">
        <v>-5</v>
      </c>
      <c r="S14">
        <v>-1.3</v>
      </c>
      <c r="T14">
        <v>0</v>
      </c>
      <c r="V14">
        <f t="shared" si="0"/>
        <v>33</v>
      </c>
    </row>
    <row r="15" spans="2:22" x14ac:dyDescent="0.2">
      <c r="C15">
        <f>SUM(C8:C14)</f>
        <v>0</v>
      </c>
      <c r="D15">
        <f>SUM(D8:D14)</f>
        <v>0</v>
      </c>
      <c r="E15">
        <f t="shared" ref="E15:T15" si="1">SUM(E8:E14)</f>
        <v>0</v>
      </c>
      <c r="F15">
        <f t="shared" si="1"/>
        <v>-0.10000000000000053</v>
      </c>
      <c r="G15">
        <f t="shared" si="1"/>
        <v>0</v>
      </c>
      <c r="H15">
        <f t="shared" si="1"/>
        <v>0</v>
      </c>
      <c r="I15">
        <f t="shared" si="1"/>
        <v>0.10000000000000142</v>
      </c>
      <c r="J15">
        <f t="shared" si="1"/>
        <v>0</v>
      </c>
      <c r="K15">
        <f t="shared" si="1"/>
        <v>9.9999999999999867E-2</v>
      </c>
      <c r="L15">
        <f t="shared" si="1"/>
        <v>0.10000000000000142</v>
      </c>
      <c r="M15">
        <f t="shared" si="1"/>
        <v>9.9999999999999867E-2</v>
      </c>
      <c r="N15">
        <f t="shared" si="1"/>
        <v>-0.10000000000000053</v>
      </c>
      <c r="O15">
        <f t="shared" si="1"/>
        <v>-0.10000000000000053</v>
      </c>
      <c r="P15">
        <f t="shared" si="1"/>
        <v>0</v>
      </c>
      <c r="Q15">
        <f t="shared" si="1"/>
        <v>-9.9999999999997868E-2</v>
      </c>
      <c r="R15">
        <f t="shared" si="1"/>
        <v>9.9999999999999645E-2</v>
      </c>
      <c r="S15">
        <f t="shared" si="1"/>
        <v>0.10000000000000009</v>
      </c>
      <c r="T15">
        <f t="shared" si="1"/>
        <v>0</v>
      </c>
      <c r="V15">
        <f>SUM(C15:T15)</f>
        <v>0.20000000000000284</v>
      </c>
    </row>
  </sheetData>
  <pageMargins left="0.7" right="0.7" top="0.75" bottom="0.75" header="0.3" footer="0.3"/>
  <pageSetup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outlinePr summaryBelow="0"/>
  </sheetPr>
  <dimension ref="A1:Q46"/>
  <sheetViews>
    <sheetView workbookViewId="0">
      <selection activeCell="Q18" sqref="Q18"/>
    </sheetView>
  </sheetViews>
  <sheetFormatPr defaultColWidth="8.88671875" defaultRowHeight="14.25" outlineLevelRow="1" x14ac:dyDescent="0.2"/>
  <cols>
    <col min="1" max="1" width="1.6640625" style="104" customWidth="1"/>
    <col min="2" max="2" width="12.109375" style="1" bestFit="1" customWidth="1"/>
    <col min="3" max="3" width="6.109375" style="1" customWidth="1"/>
    <col min="4" max="4" width="3.77734375" style="1" bestFit="1" customWidth="1"/>
    <col min="5" max="5" width="4.21875" style="1" bestFit="1" customWidth="1"/>
    <col min="6" max="6" width="3.5546875" style="1" customWidth="1"/>
    <col min="7" max="7" width="4.21875" style="1" bestFit="1" customWidth="1"/>
    <col min="8" max="8" width="6.21875" style="1" customWidth="1"/>
    <col min="9" max="9" width="2.77734375" style="1" customWidth="1"/>
    <col min="10" max="10" width="2" style="1" customWidth="1"/>
    <col min="11" max="11" width="12.109375" style="1" bestFit="1" customWidth="1"/>
    <col min="12" max="12" width="6.44140625" style="1" bestFit="1" customWidth="1"/>
    <col min="13" max="13" width="3.5546875" style="1" customWidth="1"/>
    <col min="14" max="14" width="4.21875" style="1" customWidth="1"/>
    <col min="15" max="15" width="3.5546875" style="1" customWidth="1"/>
    <col min="16" max="16" width="4.33203125" style="1" bestFit="1" customWidth="1"/>
    <col min="17" max="17" width="6.21875" style="1" bestFit="1" customWidth="1"/>
    <col min="18" max="16384" width="8.88671875" style="1"/>
  </cols>
  <sheetData>
    <row r="1" spans="1:17" s="5" customFormat="1" ht="14.25" customHeight="1" x14ac:dyDescent="0.2">
      <c r="A1" s="105"/>
      <c r="B1" s="37"/>
      <c r="D1" s="208" t="s">
        <v>50</v>
      </c>
      <c r="E1" s="208"/>
      <c r="F1" s="208" t="s">
        <v>50</v>
      </c>
      <c r="G1" s="208"/>
      <c r="H1" s="2" t="s">
        <v>11</v>
      </c>
      <c r="L1" s="2" t="s">
        <v>11</v>
      </c>
      <c r="M1" s="208" t="s">
        <v>50</v>
      </c>
      <c r="N1" s="208"/>
      <c r="O1" s="208" t="s">
        <v>50</v>
      </c>
      <c r="P1" s="208"/>
      <c r="Q1" s="2" t="s">
        <v>51</v>
      </c>
    </row>
    <row r="2" spans="1:17" x14ac:dyDescent="0.2">
      <c r="B2" s="38" t="s">
        <v>49</v>
      </c>
      <c r="C2" s="1" t="s">
        <v>11</v>
      </c>
      <c r="D2" s="178">
        <v>1</v>
      </c>
      <c r="E2" s="178"/>
      <c r="F2" s="178">
        <v>2</v>
      </c>
      <c r="G2" s="178"/>
      <c r="M2" s="178">
        <v>3</v>
      </c>
      <c r="N2" s="178"/>
      <c r="O2" s="178">
        <v>4</v>
      </c>
      <c r="P2" s="178"/>
    </row>
    <row r="3" spans="1:17" x14ac:dyDescent="0.2">
      <c r="A3" s="104">
        <v>1</v>
      </c>
      <c r="B3" s="40" t="s">
        <v>3</v>
      </c>
      <c r="C3" s="52">
        <v>169</v>
      </c>
      <c r="D3" s="48">
        <v>75</v>
      </c>
      <c r="E3" s="120">
        <f>E4+E5</f>
        <v>23</v>
      </c>
      <c r="F3" s="48">
        <v>80</v>
      </c>
      <c r="G3" s="120">
        <f>G4+G5</f>
        <v>22</v>
      </c>
      <c r="H3" s="52">
        <f>G3+E3+C3</f>
        <v>214</v>
      </c>
      <c r="J3" s="104">
        <v>1</v>
      </c>
      <c r="K3" s="40" t="s">
        <v>3</v>
      </c>
      <c r="L3" s="101">
        <v>214</v>
      </c>
      <c r="M3" s="48">
        <v>79</v>
      </c>
      <c r="N3" s="120">
        <f>N4+N5</f>
        <v>30</v>
      </c>
      <c r="O3" s="48">
        <v>77</v>
      </c>
      <c r="P3" s="120">
        <f>P4+P5</f>
        <v>40</v>
      </c>
      <c r="Q3" s="102">
        <f>P3+N3+L3</f>
        <v>284</v>
      </c>
    </row>
    <row r="4" spans="1:17" outlineLevel="1" x14ac:dyDescent="0.2">
      <c r="B4" s="63" t="s">
        <v>31</v>
      </c>
      <c r="C4" s="30"/>
      <c r="D4" s="48">
        <v>35</v>
      </c>
      <c r="E4" s="58">
        <v>13</v>
      </c>
      <c r="F4" s="48">
        <v>30</v>
      </c>
      <c r="G4" s="48">
        <v>8</v>
      </c>
      <c r="H4" s="30"/>
      <c r="J4" s="104"/>
      <c r="K4" s="63" t="s">
        <v>31</v>
      </c>
      <c r="L4" s="36"/>
      <c r="M4" s="48">
        <v>33</v>
      </c>
      <c r="N4" s="48">
        <v>20</v>
      </c>
      <c r="O4" s="48">
        <v>35</v>
      </c>
      <c r="P4" s="48">
        <v>20</v>
      </c>
    </row>
    <row r="5" spans="1:17" outlineLevel="1" x14ac:dyDescent="0.2">
      <c r="A5" s="47"/>
      <c r="B5" s="64" t="s">
        <v>5</v>
      </c>
      <c r="C5" s="30"/>
      <c r="D5" s="60">
        <v>15</v>
      </c>
      <c r="E5" s="50">
        <v>10</v>
      </c>
      <c r="F5" s="60">
        <v>20</v>
      </c>
      <c r="G5" s="50">
        <v>14</v>
      </c>
      <c r="H5" s="30"/>
      <c r="J5" s="47"/>
      <c r="K5" s="64" t="s">
        <v>5</v>
      </c>
      <c r="L5" s="36"/>
      <c r="M5" s="60">
        <v>-4</v>
      </c>
      <c r="N5" s="50">
        <v>10</v>
      </c>
      <c r="O5" s="60">
        <v>19</v>
      </c>
      <c r="P5" s="50">
        <v>20</v>
      </c>
    </row>
    <row r="6" spans="1:17" x14ac:dyDescent="0.2">
      <c r="A6" s="104">
        <v>2</v>
      </c>
      <c r="B6" s="40" t="s">
        <v>73</v>
      </c>
      <c r="C6" s="52">
        <v>153.5</v>
      </c>
      <c r="D6" s="48">
        <v>94</v>
      </c>
      <c r="E6" s="120">
        <f>E7+E8</f>
        <v>26</v>
      </c>
      <c r="F6" s="48">
        <v>95</v>
      </c>
      <c r="G6" s="120">
        <f>G7+G8</f>
        <v>31</v>
      </c>
      <c r="H6" s="52">
        <f>G6+E6+C6</f>
        <v>210.5</v>
      </c>
      <c r="J6" s="104">
        <v>2</v>
      </c>
      <c r="K6" s="40" t="s">
        <v>73</v>
      </c>
      <c r="L6" s="101">
        <v>210.5</v>
      </c>
      <c r="M6" s="48">
        <v>97</v>
      </c>
      <c r="N6" s="121">
        <f>N7+N8</f>
        <v>35</v>
      </c>
      <c r="O6" s="48">
        <v>93</v>
      </c>
      <c r="P6" s="120">
        <f>P7+P8</f>
        <v>17.5</v>
      </c>
      <c r="Q6" s="102">
        <f>P6+N6+L6</f>
        <v>263</v>
      </c>
    </row>
    <row r="7" spans="1:17" outlineLevel="1" collapsed="1" x14ac:dyDescent="0.2">
      <c r="B7" s="63" t="s">
        <v>31</v>
      </c>
      <c r="C7" s="30"/>
      <c r="D7" s="48">
        <v>33</v>
      </c>
      <c r="E7" s="48">
        <v>10</v>
      </c>
      <c r="F7" s="48">
        <v>34</v>
      </c>
      <c r="G7" s="48">
        <v>15</v>
      </c>
      <c r="H7" s="30"/>
      <c r="J7" s="104"/>
      <c r="K7" s="63" t="s">
        <v>31</v>
      </c>
      <c r="M7" s="48">
        <v>31</v>
      </c>
      <c r="N7" s="48">
        <v>15</v>
      </c>
      <c r="O7" s="48">
        <v>34</v>
      </c>
      <c r="P7" s="48">
        <v>12.5</v>
      </c>
    </row>
    <row r="8" spans="1:17" outlineLevel="1" x14ac:dyDescent="0.2">
      <c r="A8" s="47"/>
      <c r="B8" s="64" t="s">
        <v>5</v>
      </c>
      <c r="C8" s="30"/>
      <c r="D8" s="60">
        <v>23</v>
      </c>
      <c r="E8" s="50">
        <v>16</v>
      </c>
      <c r="F8" s="60">
        <v>29</v>
      </c>
      <c r="G8" s="50">
        <v>16</v>
      </c>
      <c r="H8" s="30"/>
      <c r="J8" s="47"/>
      <c r="K8" s="64" t="s">
        <v>5</v>
      </c>
      <c r="M8" s="60">
        <v>16</v>
      </c>
      <c r="N8" s="50">
        <v>20</v>
      </c>
      <c r="O8" s="60">
        <v>-21</v>
      </c>
      <c r="P8" s="50">
        <v>5</v>
      </c>
    </row>
    <row r="9" spans="1:17" x14ac:dyDescent="0.2">
      <c r="A9" s="104">
        <v>3</v>
      </c>
      <c r="B9" s="40" t="s">
        <v>46</v>
      </c>
      <c r="C9" s="52">
        <v>155.5</v>
      </c>
      <c r="D9" s="48">
        <v>80</v>
      </c>
      <c r="E9" s="120">
        <f>E10+E11</f>
        <v>27</v>
      </c>
      <c r="F9" s="48">
        <v>83</v>
      </c>
      <c r="G9" s="120">
        <f>G10+G11</f>
        <v>22</v>
      </c>
      <c r="H9" s="52">
        <f>G9+E9+C9</f>
        <v>204.5</v>
      </c>
      <c r="J9" s="104">
        <v>3</v>
      </c>
      <c r="K9" s="40" t="s">
        <v>172</v>
      </c>
      <c r="L9" s="101">
        <v>203.5</v>
      </c>
      <c r="M9" s="48">
        <v>101</v>
      </c>
      <c r="N9" s="120">
        <f>N10+N11</f>
        <v>25</v>
      </c>
      <c r="O9" s="48">
        <v>106</v>
      </c>
      <c r="P9" s="120">
        <f>P10+P11</f>
        <v>15</v>
      </c>
      <c r="Q9" s="102">
        <f>P9+N9+L9</f>
        <v>243.5</v>
      </c>
    </row>
    <row r="10" spans="1:17" outlineLevel="1" x14ac:dyDescent="0.2">
      <c r="B10" s="38" t="s">
        <v>31</v>
      </c>
      <c r="C10" s="30"/>
      <c r="D10" s="48">
        <v>35</v>
      </c>
      <c r="E10" s="48">
        <v>13</v>
      </c>
      <c r="F10" s="48">
        <v>31</v>
      </c>
      <c r="G10" s="48">
        <v>10</v>
      </c>
      <c r="J10" s="104"/>
      <c r="K10" s="38" t="s">
        <v>31</v>
      </c>
      <c r="L10" s="36"/>
      <c r="M10" s="48">
        <v>26</v>
      </c>
      <c r="N10" s="48">
        <v>10</v>
      </c>
      <c r="O10" s="48">
        <v>23</v>
      </c>
      <c r="P10" s="48">
        <v>5</v>
      </c>
      <c r="Q10" s="103"/>
    </row>
    <row r="11" spans="1:17" outlineLevel="1" collapsed="1" x14ac:dyDescent="0.2">
      <c r="A11" s="47"/>
      <c r="B11" s="42" t="s">
        <v>5</v>
      </c>
      <c r="C11" s="30"/>
      <c r="D11" s="60">
        <v>18</v>
      </c>
      <c r="E11" s="50">
        <v>14</v>
      </c>
      <c r="F11" s="60">
        <v>19</v>
      </c>
      <c r="G11" s="50">
        <v>12</v>
      </c>
      <c r="J11" s="47"/>
      <c r="K11" s="42" t="s">
        <v>5</v>
      </c>
      <c r="L11" s="36"/>
      <c r="M11" s="60">
        <v>6</v>
      </c>
      <c r="N11" s="50">
        <v>15</v>
      </c>
      <c r="O11" s="60">
        <v>-15</v>
      </c>
      <c r="P11" s="50">
        <v>10</v>
      </c>
    </row>
    <row r="12" spans="1:17" x14ac:dyDescent="0.2">
      <c r="A12" s="104">
        <v>4</v>
      </c>
      <c r="B12" s="40" t="s">
        <v>172</v>
      </c>
      <c r="C12" s="52">
        <v>175.5</v>
      </c>
      <c r="D12" s="48">
        <v>100</v>
      </c>
      <c r="E12" s="120">
        <f>E13+E14</f>
        <v>6</v>
      </c>
      <c r="F12" s="48">
        <v>95</v>
      </c>
      <c r="G12" s="120">
        <f>G13+G14</f>
        <v>22</v>
      </c>
      <c r="H12" s="52">
        <f>G12+E12+C12</f>
        <v>203.5</v>
      </c>
      <c r="J12" s="104">
        <v>4</v>
      </c>
      <c r="K12" s="40" t="s">
        <v>46</v>
      </c>
      <c r="L12" s="101">
        <v>204.5</v>
      </c>
      <c r="M12" s="48">
        <v>88</v>
      </c>
      <c r="N12" s="121">
        <f>N13+N14</f>
        <v>10</v>
      </c>
      <c r="O12" s="48">
        <v>80</v>
      </c>
      <c r="P12" s="120">
        <f>P13+P14</f>
        <v>27.5</v>
      </c>
      <c r="Q12" s="102">
        <f>P12+N12+L12</f>
        <v>242</v>
      </c>
    </row>
    <row r="13" spans="1:17" outlineLevel="1" x14ac:dyDescent="0.2">
      <c r="B13" s="63" t="s">
        <v>31</v>
      </c>
      <c r="C13" s="30"/>
      <c r="D13" s="48">
        <v>27</v>
      </c>
      <c r="E13" s="119">
        <v>2</v>
      </c>
      <c r="F13" s="48">
        <v>32</v>
      </c>
      <c r="G13" s="48">
        <v>12</v>
      </c>
      <c r="H13" s="30"/>
      <c r="K13" s="63" t="s">
        <v>31</v>
      </c>
      <c r="L13" s="36"/>
      <c r="M13" s="48">
        <v>28</v>
      </c>
      <c r="N13" s="48">
        <v>5</v>
      </c>
      <c r="O13" s="48">
        <v>34</v>
      </c>
      <c r="P13" s="48">
        <v>12.5</v>
      </c>
    </row>
    <row r="14" spans="1:17" outlineLevel="1" x14ac:dyDescent="0.2">
      <c r="A14" s="47"/>
      <c r="B14" s="64" t="s">
        <v>5</v>
      </c>
      <c r="C14" s="30"/>
      <c r="D14" s="60">
        <v>-21</v>
      </c>
      <c r="E14" s="50">
        <v>4</v>
      </c>
      <c r="F14" s="60">
        <v>2</v>
      </c>
      <c r="G14" s="50">
        <v>10</v>
      </c>
      <c r="H14" s="30"/>
      <c r="J14" s="47"/>
      <c r="K14" s="64" t="s">
        <v>5</v>
      </c>
      <c r="L14" s="36"/>
      <c r="M14" s="62">
        <v>-18</v>
      </c>
      <c r="N14" s="48">
        <v>5</v>
      </c>
      <c r="O14" s="62">
        <v>17</v>
      </c>
      <c r="P14" s="48">
        <v>15</v>
      </c>
    </row>
    <row r="15" spans="1:17" x14ac:dyDescent="0.2">
      <c r="A15" s="104">
        <v>5</v>
      </c>
      <c r="B15" s="40" t="s">
        <v>40</v>
      </c>
      <c r="C15" s="52">
        <v>181</v>
      </c>
      <c r="D15" s="48">
        <v>82</v>
      </c>
      <c r="E15" s="120">
        <f>E16+E17</f>
        <v>10</v>
      </c>
      <c r="F15" s="48">
        <v>85</v>
      </c>
      <c r="G15" s="120">
        <f>G16+G17</f>
        <v>10</v>
      </c>
      <c r="H15" s="52">
        <f>G15+E15+C15</f>
        <v>201</v>
      </c>
      <c r="L15" s="30"/>
      <c r="M15" s="48"/>
      <c r="N15" s="58"/>
      <c r="O15" s="48"/>
      <c r="P15" s="58"/>
    </row>
    <row r="16" spans="1:17" outlineLevel="1" x14ac:dyDescent="0.2">
      <c r="B16" s="63" t="s">
        <v>31</v>
      </c>
      <c r="D16" s="48">
        <v>31</v>
      </c>
      <c r="E16" s="48">
        <v>8</v>
      </c>
      <c r="F16" s="48">
        <v>29</v>
      </c>
      <c r="G16" s="48">
        <v>4</v>
      </c>
      <c r="M16" s="48"/>
      <c r="N16" s="48"/>
      <c r="O16" s="48"/>
      <c r="P16" s="48"/>
    </row>
    <row r="17" spans="1:16" outlineLevel="1" x14ac:dyDescent="0.2">
      <c r="A17" s="47"/>
      <c r="B17" s="64" t="s">
        <v>5</v>
      </c>
      <c r="C17" s="30"/>
      <c r="D17" s="60">
        <v>-22</v>
      </c>
      <c r="E17" s="50">
        <v>2</v>
      </c>
      <c r="F17" s="60">
        <v>-7</v>
      </c>
      <c r="G17" s="50">
        <v>6</v>
      </c>
      <c r="H17" s="30"/>
      <c r="M17" s="62"/>
      <c r="N17" s="48"/>
      <c r="O17" s="62"/>
      <c r="P17" s="48"/>
    </row>
    <row r="18" spans="1:16" x14ac:dyDescent="0.2">
      <c r="A18" s="104">
        <v>6</v>
      </c>
      <c r="B18" s="40" t="s">
        <v>30</v>
      </c>
      <c r="C18" s="52">
        <v>157.5</v>
      </c>
      <c r="D18" s="48">
        <v>83</v>
      </c>
      <c r="E18" s="120">
        <f>E19+E20</f>
        <v>22</v>
      </c>
      <c r="F18" s="48">
        <v>91</v>
      </c>
      <c r="G18" s="120">
        <f>G19+G20</f>
        <v>12</v>
      </c>
      <c r="H18" s="52">
        <f>G18+E18+C18</f>
        <v>191.5</v>
      </c>
      <c r="L18" s="30"/>
      <c r="M18" s="48"/>
      <c r="N18" s="58"/>
      <c r="O18" s="48"/>
      <c r="P18" s="58"/>
    </row>
    <row r="19" spans="1:16" outlineLevel="1" collapsed="1" x14ac:dyDescent="0.2">
      <c r="B19" s="63" t="s">
        <v>31</v>
      </c>
      <c r="D19" s="48">
        <v>37</v>
      </c>
      <c r="E19" s="48">
        <v>16</v>
      </c>
      <c r="F19" s="48">
        <v>29</v>
      </c>
      <c r="G19" s="48">
        <v>4</v>
      </c>
      <c r="M19" s="48"/>
      <c r="N19" s="48"/>
      <c r="O19" s="48"/>
      <c r="P19" s="48"/>
    </row>
    <row r="20" spans="1:16" outlineLevel="1" x14ac:dyDescent="0.2">
      <c r="A20" s="47"/>
      <c r="B20" s="64" t="s">
        <v>5</v>
      </c>
      <c r="D20" s="60">
        <v>-17</v>
      </c>
      <c r="E20" s="50">
        <v>6</v>
      </c>
      <c r="F20" s="60">
        <v>-6</v>
      </c>
      <c r="G20" s="50">
        <v>8</v>
      </c>
      <c r="M20" s="62"/>
      <c r="N20" s="48"/>
      <c r="O20" s="62"/>
      <c r="P20" s="48"/>
    </row>
    <row r="21" spans="1:16" x14ac:dyDescent="0.2">
      <c r="A21" s="104">
        <v>7</v>
      </c>
      <c r="B21" s="40" t="s">
        <v>64</v>
      </c>
      <c r="C21" s="52">
        <v>161.5</v>
      </c>
      <c r="D21" s="48">
        <v>86</v>
      </c>
      <c r="E21" s="120">
        <f>E22+E23</f>
        <v>16</v>
      </c>
      <c r="F21" s="48">
        <v>84</v>
      </c>
      <c r="G21" s="120">
        <f>G22+G23</f>
        <v>6</v>
      </c>
      <c r="H21" s="52">
        <f>G21+E21+C21</f>
        <v>183.5</v>
      </c>
      <c r="L21" s="30"/>
      <c r="M21" s="48"/>
      <c r="N21" s="58"/>
      <c r="O21" s="48"/>
      <c r="P21" s="58"/>
    </row>
    <row r="22" spans="1:16" outlineLevel="1" x14ac:dyDescent="0.2">
      <c r="B22" s="63" t="s">
        <v>31</v>
      </c>
      <c r="D22" s="48">
        <v>28</v>
      </c>
      <c r="E22" s="48">
        <v>4</v>
      </c>
      <c r="F22" s="48">
        <v>29</v>
      </c>
      <c r="G22" s="48">
        <v>4</v>
      </c>
      <c r="M22" s="48"/>
      <c r="N22" s="48"/>
      <c r="O22" s="48"/>
      <c r="P22" s="48"/>
    </row>
    <row r="23" spans="1:16" outlineLevel="1" collapsed="1" x14ac:dyDescent="0.2">
      <c r="A23" s="47"/>
      <c r="B23" s="64" t="s">
        <v>5</v>
      </c>
      <c r="D23" s="60">
        <v>16</v>
      </c>
      <c r="E23" s="50">
        <v>12</v>
      </c>
      <c r="F23" s="60">
        <v>-41</v>
      </c>
      <c r="G23" s="50">
        <v>2</v>
      </c>
      <c r="M23" s="62"/>
      <c r="N23" s="48"/>
      <c r="O23" s="62"/>
      <c r="P23" s="48"/>
    </row>
    <row r="24" spans="1:16" x14ac:dyDescent="0.2">
      <c r="A24" s="104">
        <v>8</v>
      </c>
      <c r="B24" s="66" t="s">
        <v>107</v>
      </c>
      <c r="C24" s="52">
        <v>149</v>
      </c>
      <c r="D24" s="48">
        <v>85</v>
      </c>
      <c r="E24" s="120">
        <f>E25+E26</f>
        <v>14</v>
      </c>
      <c r="F24" s="48">
        <v>81</v>
      </c>
      <c r="G24" s="120">
        <f>G25+G26</f>
        <v>19</v>
      </c>
      <c r="H24" s="52">
        <f>G24+E24+C24</f>
        <v>182</v>
      </c>
      <c r="L24" s="30"/>
      <c r="M24" s="48"/>
      <c r="N24" s="58"/>
      <c r="O24" s="48"/>
      <c r="P24" s="58"/>
    </row>
    <row r="25" spans="1:16" outlineLevel="1" x14ac:dyDescent="0.2">
      <c r="B25" s="63" t="s">
        <v>31</v>
      </c>
      <c r="C25" s="30"/>
      <c r="D25" s="48">
        <v>30</v>
      </c>
      <c r="E25" s="48">
        <v>6</v>
      </c>
      <c r="F25" s="48">
        <v>34</v>
      </c>
      <c r="G25" s="48">
        <v>15</v>
      </c>
      <c r="H25" s="30"/>
      <c r="M25" s="48"/>
      <c r="N25" s="48"/>
      <c r="O25" s="48"/>
      <c r="P25" s="48"/>
    </row>
    <row r="26" spans="1:16" outlineLevel="1" x14ac:dyDescent="0.2">
      <c r="A26" s="47"/>
      <c r="B26" s="64" t="s">
        <v>5</v>
      </c>
      <c r="C26" s="30"/>
      <c r="D26" s="60">
        <v>-12</v>
      </c>
      <c r="E26" s="50">
        <v>8</v>
      </c>
      <c r="F26" s="60">
        <v>-16</v>
      </c>
      <c r="G26" s="50">
        <v>4</v>
      </c>
      <c r="H26" s="30"/>
      <c r="M26" s="62"/>
      <c r="N26" s="48"/>
      <c r="O26" s="62"/>
      <c r="P26" s="48"/>
    </row>
    <row r="27" spans="1:16" ht="5.25" customHeight="1" x14ac:dyDescent="0.2">
      <c r="B27" s="6"/>
      <c r="D27" s="12"/>
      <c r="E27" s="12"/>
      <c r="F27" s="12"/>
      <c r="G27" s="12"/>
      <c r="M27" s="12"/>
      <c r="N27" s="12"/>
      <c r="O27" s="12"/>
      <c r="P27" s="12"/>
    </row>
    <row r="28" spans="1:16" collapsed="1" x14ac:dyDescent="0.2">
      <c r="B28" t="s">
        <v>13</v>
      </c>
      <c r="E28" s="31">
        <f>AVERAGE(E3,E6,E9,E12,E15,E18,E21,E24)</f>
        <v>18</v>
      </c>
      <c r="G28" s="31">
        <f>AVERAGE(G3,G6,G9,G12,G15,G18,G21,G24)</f>
        <v>18</v>
      </c>
      <c r="N28" s="31"/>
      <c r="P28" s="31"/>
    </row>
    <row r="29" spans="1:16" ht="6" customHeight="1" x14ac:dyDescent="0.2">
      <c r="B29"/>
      <c r="D29" s="35"/>
    </row>
    <row r="30" spans="1:16" x14ac:dyDescent="0.2">
      <c r="B30" t="s">
        <v>11</v>
      </c>
      <c r="D30" s="35"/>
      <c r="E30" s="32">
        <f>E24+E21+E18+E15+E12+E9+E6+E3</f>
        <v>144</v>
      </c>
      <c r="F30" s="161"/>
      <c r="G30" s="32">
        <f>G24+G21+G18+G15+G12+G9+G6+G3</f>
        <v>144</v>
      </c>
      <c r="N30" s="32"/>
      <c r="P30" s="32"/>
    </row>
    <row r="31" spans="1:16" x14ac:dyDescent="0.2">
      <c r="B31"/>
      <c r="D31" s="35"/>
    </row>
    <row r="46" spans="2:2" x14ac:dyDescent="0.2">
      <c r="B46" s="40"/>
    </row>
  </sheetData>
  <sortState xmlns:xlrd2="http://schemas.microsoft.com/office/spreadsheetml/2017/richdata2" ref="K3:Q14">
    <sortCondition descending="1" ref="Q3:Q14"/>
  </sortState>
  <dataConsolidate/>
  <mergeCells count="8">
    <mergeCell ref="D1:E1"/>
    <mergeCell ref="F1:G1"/>
    <mergeCell ref="M1:N1"/>
    <mergeCell ref="O1:P1"/>
    <mergeCell ref="D2:E2"/>
    <mergeCell ref="F2:G2"/>
    <mergeCell ref="M2:N2"/>
    <mergeCell ref="O2:P2"/>
  </mergeCells>
  <pageMargins left="0.7" right="0.2" top="1.25" bottom="0.25" header="0.3" footer="0.3"/>
  <pageSetup pageOrder="overThenDown" orientation="landscape" verticalDpi="360" r:id="rId1"/>
  <headerFooter>
    <oddHeader xml:space="preserve">&amp;C&amp;20 2020 Wolf Cup Playoffs&amp;11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2:L21"/>
  <sheetViews>
    <sheetView tabSelected="1" workbookViewId="0">
      <selection activeCell="J10" sqref="J10"/>
    </sheetView>
  </sheetViews>
  <sheetFormatPr defaultRowHeight="14.25" x14ac:dyDescent="0.2"/>
  <cols>
    <col min="2" max="2" width="11" bestFit="1" customWidth="1"/>
    <col min="8" max="8" width="14.6640625" bestFit="1" customWidth="1"/>
    <col min="9" max="9" width="10" bestFit="1" customWidth="1"/>
  </cols>
  <sheetData>
    <row r="2" spans="1:12" x14ac:dyDescent="0.2">
      <c r="A2" t="s">
        <v>89</v>
      </c>
      <c r="K2" t="s">
        <v>110</v>
      </c>
      <c r="L2" s="69"/>
    </row>
    <row r="3" spans="1:12" x14ac:dyDescent="0.2">
      <c r="B3" s="40"/>
      <c r="C3" s="122"/>
      <c r="D3" s="122"/>
      <c r="E3" s="122"/>
      <c r="G3" t="s">
        <v>53</v>
      </c>
      <c r="I3" s="70">
        <f>C19</f>
        <v>1200</v>
      </c>
      <c r="K3" t="s">
        <v>111</v>
      </c>
      <c r="L3" s="69">
        <v>36</v>
      </c>
    </row>
    <row r="4" spans="1:12" x14ac:dyDescent="0.2">
      <c r="A4" t="s">
        <v>210</v>
      </c>
      <c r="B4" s="123" t="s">
        <v>34</v>
      </c>
      <c r="C4" s="137">
        <v>100</v>
      </c>
      <c r="D4" s="122"/>
      <c r="E4" s="122"/>
      <c r="I4" s="69"/>
      <c r="K4" t="s">
        <v>112</v>
      </c>
      <c r="L4" s="69">
        <v>36</v>
      </c>
    </row>
    <row r="5" spans="1:12" x14ac:dyDescent="0.2">
      <c r="A5" t="s">
        <v>212</v>
      </c>
      <c r="B5" s="123" t="s">
        <v>0</v>
      </c>
      <c r="C5" s="137">
        <v>100</v>
      </c>
      <c r="D5" s="122"/>
      <c r="E5" s="122"/>
      <c r="G5" t="s">
        <v>54</v>
      </c>
      <c r="I5" s="69"/>
      <c r="K5" t="s">
        <v>113</v>
      </c>
      <c r="L5" s="69">
        <v>40</v>
      </c>
    </row>
    <row r="6" spans="1:12" x14ac:dyDescent="0.2">
      <c r="A6" t="s">
        <v>210</v>
      </c>
      <c r="B6" s="123" t="s">
        <v>3</v>
      </c>
      <c r="C6" s="137">
        <v>100</v>
      </c>
      <c r="D6" s="122"/>
      <c r="E6" s="122"/>
      <c r="H6" t="s">
        <v>55</v>
      </c>
      <c r="I6" s="69">
        <f>L21</f>
        <v>616</v>
      </c>
      <c r="K6" t="s">
        <v>114</v>
      </c>
      <c r="L6" s="69">
        <v>36</v>
      </c>
    </row>
    <row r="7" spans="1:12" x14ac:dyDescent="0.2">
      <c r="A7" t="s">
        <v>210</v>
      </c>
      <c r="B7" s="123" t="s">
        <v>2</v>
      </c>
      <c r="C7" s="137">
        <v>100</v>
      </c>
      <c r="D7" s="122"/>
      <c r="E7" s="122"/>
      <c r="H7" t="s">
        <v>56</v>
      </c>
      <c r="I7" s="69">
        <v>50</v>
      </c>
      <c r="K7" t="s">
        <v>115</v>
      </c>
      <c r="L7" s="69">
        <v>36</v>
      </c>
    </row>
    <row r="8" spans="1:12" x14ac:dyDescent="0.2">
      <c r="A8" t="s">
        <v>210</v>
      </c>
      <c r="B8" s="146" t="s">
        <v>33</v>
      </c>
      <c r="C8" s="137">
        <v>100</v>
      </c>
      <c r="D8" s="122"/>
      <c r="E8" s="122"/>
      <c r="H8" t="s">
        <v>57</v>
      </c>
      <c r="I8" s="69">
        <v>25</v>
      </c>
      <c r="K8" t="s">
        <v>116</v>
      </c>
      <c r="L8" s="69">
        <v>36</v>
      </c>
    </row>
    <row r="9" spans="1:12" x14ac:dyDescent="0.2">
      <c r="A9" t="s">
        <v>210</v>
      </c>
      <c r="B9" s="123" t="s">
        <v>30</v>
      </c>
      <c r="C9" s="137">
        <v>100</v>
      </c>
      <c r="D9" s="122"/>
      <c r="E9" s="122"/>
      <c r="H9" t="s">
        <v>130</v>
      </c>
      <c r="I9" s="69">
        <v>31.12</v>
      </c>
      <c r="K9" t="s">
        <v>117</v>
      </c>
      <c r="L9" s="69">
        <v>36</v>
      </c>
    </row>
    <row r="10" spans="1:12" x14ac:dyDescent="0.2">
      <c r="A10" t="s">
        <v>210</v>
      </c>
      <c r="B10" s="145" t="s">
        <v>46</v>
      </c>
      <c r="C10" s="137">
        <v>100</v>
      </c>
      <c r="D10" s="122"/>
      <c r="E10" s="122"/>
      <c r="H10" t="s">
        <v>209</v>
      </c>
      <c r="I10" s="69">
        <v>250</v>
      </c>
      <c r="K10" t="s">
        <v>118</v>
      </c>
      <c r="L10" s="69">
        <v>36</v>
      </c>
    </row>
    <row r="11" spans="1:12" x14ac:dyDescent="0.2">
      <c r="A11" t="s">
        <v>210</v>
      </c>
      <c r="B11" s="123" t="s">
        <v>44</v>
      </c>
      <c r="C11" s="137">
        <v>100</v>
      </c>
      <c r="D11" s="122"/>
      <c r="E11" s="122"/>
      <c r="H11" t="s">
        <v>81</v>
      </c>
      <c r="I11" s="69"/>
      <c r="K11" t="s">
        <v>119</v>
      </c>
      <c r="L11" s="69">
        <v>36</v>
      </c>
    </row>
    <row r="12" spans="1:12" x14ac:dyDescent="0.2">
      <c r="A12" t="s">
        <v>210</v>
      </c>
      <c r="B12" s="123" t="s">
        <v>64</v>
      </c>
      <c r="C12" s="137">
        <v>100</v>
      </c>
      <c r="D12" s="122"/>
      <c r="E12" s="122"/>
      <c r="I12" s="69"/>
      <c r="K12" t="s">
        <v>120</v>
      </c>
      <c r="L12" s="69">
        <v>36</v>
      </c>
    </row>
    <row r="13" spans="1:12" x14ac:dyDescent="0.2">
      <c r="A13" t="s">
        <v>212</v>
      </c>
      <c r="B13" s="123" t="s">
        <v>40</v>
      </c>
      <c r="C13" s="137">
        <v>100</v>
      </c>
      <c r="D13" s="122"/>
      <c r="E13" s="122"/>
      <c r="H13" t="s">
        <v>131</v>
      </c>
      <c r="I13" s="69">
        <v>-1.57</v>
      </c>
      <c r="K13" t="s">
        <v>121</v>
      </c>
      <c r="L13" s="69">
        <v>36</v>
      </c>
    </row>
    <row r="14" spans="1:12" x14ac:dyDescent="0.2">
      <c r="A14" t="s">
        <v>210</v>
      </c>
      <c r="B14" s="123" t="s">
        <v>73</v>
      </c>
      <c r="C14" s="137">
        <v>100</v>
      </c>
      <c r="D14" s="122"/>
      <c r="E14" s="122"/>
      <c r="K14" t="s">
        <v>122</v>
      </c>
      <c r="L14" s="69">
        <v>36</v>
      </c>
    </row>
    <row r="15" spans="1:12" x14ac:dyDescent="0.2">
      <c r="A15" t="s">
        <v>210</v>
      </c>
      <c r="B15" s="147" t="s">
        <v>107</v>
      </c>
      <c r="C15" s="137">
        <v>100</v>
      </c>
      <c r="D15" s="122"/>
      <c r="E15" s="122"/>
      <c r="H15" t="s">
        <v>58</v>
      </c>
      <c r="I15" s="69">
        <f>SUM(I6:I12)+I13</f>
        <v>970.55</v>
      </c>
      <c r="K15" t="s">
        <v>123</v>
      </c>
      <c r="L15" s="69">
        <v>36</v>
      </c>
    </row>
    <row r="16" spans="1:12" x14ac:dyDescent="0.2">
      <c r="A16" t="s">
        <v>210</v>
      </c>
      <c r="B16" s="123" t="s">
        <v>211</v>
      </c>
      <c r="D16" s="122"/>
      <c r="E16" s="122"/>
      <c r="I16" s="69"/>
      <c r="K16" t="s">
        <v>124</v>
      </c>
      <c r="L16" s="69">
        <v>36</v>
      </c>
    </row>
    <row r="17" spans="2:12" x14ac:dyDescent="0.2">
      <c r="D17" s="122"/>
      <c r="E17" s="122"/>
      <c r="G17" t="s">
        <v>59</v>
      </c>
      <c r="I17" s="69">
        <f>I3-I15</f>
        <v>229.45000000000005</v>
      </c>
      <c r="K17" t="s">
        <v>125</v>
      </c>
      <c r="L17" s="69">
        <v>36</v>
      </c>
    </row>
    <row r="18" spans="2:12" x14ac:dyDescent="0.2">
      <c r="B18" s="40"/>
      <c r="C18" s="68"/>
      <c r="D18" s="68"/>
      <c r="E18" s="68"/>
      <c r="K18" t="s">
        <v>126</v>
      </c>
      <c r="L18" s="69">
        <v>36</v>
      </c>
    </row>
    <row r="19" spans="2:12" x14ac:dyDescent="0.2">
      <c r="B19" s="40" t="s">
        <v>53</v>
      </c>
      <c r="C19" s="68">
        <f>SUM(C3:C17)</f>
        <v>1200</v>
      </c>
      <c r="D19" s="68"/>
      <c r="E19" s="68"/>
      <c r="H19" t="s">
        <v>213</v>
      </c>
      <c r="I19">
        <v>373.06</v>
      </c>
      <c r="K19" t="s">
        <v>144</v>
      </c>
      <c r="L19" s="69">
        <v>36</v>
      </c>
    </row>
    <row r="20" spans="2:12" x14ac:dyDescent="0.2">
      <c r="K20" t="s">
        <v>145</v>
      </c>
      <c r="L20" s="69"/>
    </row>
    <row r="21" spans="2:12" x14ac:dyDescent="0.2">
      <c r="H21" t="s">
        <v>214</v>
      </c>
      <c r="I21" s="162">
        <f>I17-I19</f>
        <v>-143.60999999999996</v>
      </c>
      <c r="L21" s="69">
        <f>SUM(L2:L20)</f>
        <v>616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46"/>
  <sheetViews>
    <sheetView workbookViewId="0">
      <selection activeCell="B3" sqref="B3"/>
    </sheetView>
  </sheetViews>
  <sheetFormatPr defaultRowHeight="14.25" x14ac:dyDescent="0.2"/>
  <cols>
    <col min="2" max="2" width="17.88671875" style="133" bestFit="1" customWidth="1"/>
    <col min="3" max="3" width="12.77734375" style="132" customWidth="1"/>
    <col min="4" max="4" width="5" style="132" bestFit="1" customWidth="1"/>
    <col min="5" max="8" width="5" style="35" bestFit="1" customWidth="1"/>
    <col min="10" max="10" width="11.6640625" bestFit="1" customWidth="1"/>
    <col min="13" max="13" width="17.88671875" bestFit="1" customWidth="1"/>
  </cols>
  <sheetData>
    <row r="1" spans="2:13" x14ac:dyDescent="0.2">
      <c r="D1" s="132">
        <v>2019</v>
      </c>
      <c r="E1" s="35">
        <v>2018</v>
      </c>
      <c r="F1" s="35">
        <v>2017</v>
      </c>
      <c r="G1" s="35">
        <v>2016</v>
      </c>
      <c r="H1" s="35">
        <v>2015</v>
      </c>
      <c r="I1" s="35" t="s">
        <v>11</v>
      </c>
    </row>
    <row r="3" spans="2:13" x14ac:dyDescent="0.2">
      <c r="B3" s="118" t="s">
        <v>24</v>
      </c>
      <c r="C3" s="118"/>
      <c r="D3" s="118">
        <v>48.5</v>
      </c>
      <c r="E3" s="59">
        <v>25.5</v>
      </c>
      <c r="F3" s="59">
        <v>8</v>
      </c>
      <c r="G3" s="134"/>
      <c r="I3" s="35">
        <f t="shared" ref="I3:I24" si="0">SUM(D3:H3)</f>
        <v>82</v>
      </c>
    </row>
    <row r="4" spans="2:13" x14ac:dyDescent="0.2">
      <c r="B4" s="118" t="s">
        <v>60</v>
      </c>
      <c r="C4" s="118"/>
      <c r="D4" s="118"/>
      <c r="E4" s="134"/>
      <c r="F4" s="59">
        <v>48.5</v>
      </c>
      <c r="G4" s="59">
        <v>11</v>
      </c>
      <c r="I4" s="35">
        <f t="shared" si="0"/>
        <v>59.5</v>
      </c>
      <c r="M4" s="22"/>
    </row>
    <row r="5" spans="2:13" x14ac:dyDescent="0.2">
      <c r="B5" s="118" t="s">
        <v>93</v>
      </c>
      <c r="C5" s="118"/>
      <c r="D5" s="118">
        <v>6</v>
      </c>
      <c r="E5" s="59">
        <v>41.5</v>
      </c>
      <c r="F5" s="134"/>
      <c r="G5" s="126"/>
      <c r="H5" s="52"/>
      <c r="I5" s="35">
        <f t="shared" si="0"/>
        <v>47.5</v>
      </c>
      <c r="M5" s="22"/>
    </row>
    <row r="6" spans="2:13" x14ac:dyDescent="0.2">
      <c r="B6" s="118" t="s">
        <v>72</v>
      </c>
      <c r="C6" s="118"/>
      <c r="D6" s="118"/>
      <c r="E6" s="134"/>
      <c r="F6" s="59">
        <v>31.5</v>
      </c>
      <c r="G6" s="59">
        <v>8.5</v>
      </c>
      <c r="I6" s="35">
        <f t="shared" si="0"/>
        <v>40</v>
      </c>
      <c r="M6" s="118"/>
    </row>
    <row r="7" spans="2:13" x14ac:dyDescent="0.2">
      <c r="B7" s="118" t="s">
        <v>97</v>
      </c>
      <c r="C7" s="118"/>
      <c r="D7" s="118">
        <v>10</v>
      </c>
      <c r="E7" s="59">
        <v>29</v>
      </c>
      <c r="F7" s="134"/>
      <c r="G7" s="134"/>
      <c r="I7" s="35">
        <f t="shared" si="0"/>
        <v>39</v>
      </c>
      <c r="M7" s="118"/>
    </row>
    <row r="8" spans="2:13" x14ac:dyDescent="0.2">
      <c r="B8" s="118" t="s">
        <v>62</v>
      </c>
      <c r="C8" s="118"/>
      <c r="D8" s="118"/>
      <c r="E8" s="134"/>
      <c r="F8" s="134"/>
      <c r="G8" s="59">
        <v>35.5</v>
      </c>
      <c r="H8" s="59"/>
      <c r="I8" s="35">
        <f t="shared" si="0"/>
        <v>35.5</v>
      </c>
      <c r="M8" s="22"/>
    </row>
    <row r="9" spans="2:13" x14ac:dyDescent="0.2">
      <c r="B9" s="118" t="s">
        <v>95</v>
      </c>
      <c r="C9" s="118"/>
      <c r="D9" s="118">
        <v>9</v>
      </c>
      <c r="E9" s="59">
        <v>16</v>
      </c>
      <c r="F9" s="59">
        <v>6.5</v>
      </c>
      <c r="G9" s="134"/>
      <c r="I9" s="35">
        <f t="shared" si="0"/>
        <v>31.5</v>
      </c>
      <c r="M9" s="118"/>
    </row>
    <row r="10" spans="2:13" x14ac:dyDescent="0.2">
      <c r="B10" s="118" t="s">
        <v>86</v>
      </c>
      <c r="C10" s="118"/>
      <c r="D10" s="118"/>
      <c r="E10" s="134"/>
      <c r="F10" s="59">
        <v>27.5</v>
      </c>
      <c r="G10" s="135"/>
      <c r="H10" s="59"/>
      <c r="I10" s="35">
        <f t="shared" si="0"/>
        <v>27.5</v>
      </c>
      <c r="J10" s="6"/>
      <c r="K10" s="59"/>
      <c r="M10" s="118"/>
    </row>
    <row r="11" spans="2:13" x14ac:dyDescent="0.2">
      <c r="B11" s="133" t="s">
        <v>128</v>
      </c>
      <c r="D11" s="132">
        <v>25.5</v>
      </c>
      <c r="I11" s="35">
        <f t="shared" si="0"/>
        <v>25.5</v>
      </c>
      <c r="M11" s="118"/>
    </row>
    <row r="12" spans="2:13" x14ac:dyDescent="0.2">
      <c r="B12" s="133" t="s">
        <v>108</v>
      </c>
      <c r="D12" s="132">
        <v>21.5</v>
      </c>
      <c r="I12" s="35">
        <f t="shared" si="0"/>
        <v>21.5</v>
      </c>
      <c r="M12" s="118"/>
    </row>
    <row r="13" spans="2:13" x14ac:dyDescent="0.2">
      <c r="B13" s="118" t="s">
        <v>39</v>
      </c>
      <c r="C13" s="33"/>
      <c r="D13" s="33"/>
      <c r="E13" s="134"/>
      <c r="F13" s="134"/>
      <c r="G13" s="134"/>
      <c r="H13" s="35">
        <v>17</v>
      </c>
      <c r="I13" s="35">
        <f t="shared" si="0"/>
        <v>17</v>
      </c>
      <c r="M13" s="118"/>
    </row>
    <row r="14" spans="2:13" x14ac:dyDescent="0.2">
      <c r="B14" s="133" t="s">
        <v>109</v>
      </c>
      <c r="D14" s="132">
        <v>15</v>
      </c>
      <c r="I14" s="35">
        <f t="shared" si="0"/>
        <v>15</v>
      </c>
      <c r="M14" s="118"/>
    </row>
    <row r="15" spans="2:13" x14ac:dyDescent="0.2">
      <c r="B15" s="118" t="s">
        <v>68</v>
      </c>
      <c r="C15" s="33"/>
      <c r="D15" s="33"/>
      <c r="E15" s="134"/>
      <c r="F15" s="59">
        <v>14.5</v>
      </c>
      <c r="G15" s="134"/>
      <c r="I15" s="35">
        <f t="shared" si="0"/>
        <v>14.5</v>
      </c>
      <c r="M15" s="118"/>
    </row>
    <row r="16" spans="2:13" x14ac:dyDescent="0.2">
      <c r="B16" s="118" t="s">
        <v>67</v>
      </c>
      <c r="C16" s="118"/>
      <c r="D16" s="118"/>
      <c r="E16" s="59">
        <v>5.5</v>
      </c>
      <c r="F16" s="134"/>
      <c r="G16" s="59">
        <v>7.5</v>
      </c>
      <c r="I16" s="35">
        <f t="shared" si="0"/>
        <v>13</v>
      </c>
      <c r="M16" s="133"/>
    </row>
    <row r="17" spans="2:13" x14ac:dyDescent="0.2">
      <c r="B17" s="133" t="s">
        <v>129</v>
      </c>
      <c r="D17" s="132">
        <v>12.5</v>
      </c>
      <c r="I17" s="35">
        <f t="shared" si="0"/>
        <v>12.5</v>
      </c>
      <c r="M17" s="118"/>
    </row>
    <row r="18" spans="2:13" x14ac:dyDescent="0.2">
      <c r="B18" s="133" t="s">
        <v>127</v>
      </c>
      <c r="D18" s="132">
        <v>10</v>
      </c>
      <c r="I18" s="35">
        <f t="shared" si="0"/>
        <v>10</v>
      </c>
      <c r="M18" s="118"/>
    </row>
    <row r="19" spans="2:13" x14ac:dyDescent="0.2">
      <c r="B19" s="118" t="s">
        <v>63</v>
      </c>
      <c r="C19" s="118"/>
      <c r="D19" s="118"/>
      <c r="E19" s="59">
        <v>9.5</v>
      </c>
      <c r="F19" s="134"/>
      <c r="G19" s="134"/>
      <c r="I19" s="35">
        <f t="shared" si="0"/>
        <v>9.5</v>
      </c>
      <c r="M19" s="118"/>
    </row>
    <row r="20" spans="2:13" x14ac:dyDescent="0.2">
      <c r="B20" s="22" t="s">
        <v>100</v>
      </c>
      <c r="D20" s="132">
        <v>7.5</v>
      </c>
      <c r="I20" s="35">
        <f t="shared" si="0"/>
        <v>7.5</v>
      </c>
      <c r="M20" s="118"/>
    </row>
    <row r="21" spans="2:13" x14ac:dyDescent="0.2">
      <c r="B21" s="118" t="s">
        <v>91</v>
      </c>
      <c r="C21" s="33" t="s">
        <v>99</v>
      </c>
      <c r="D21" s="33"/>
      <c r="E21" s="134"/>
      <c r="F21" s="59">
        <v>5</v>
      </c>
      <c r="G21" s="134"/>
      <c r="I21" s="35">
        <f t="shared" si="0"/>
        <v>5</v>
      </c>
      <c r="M21" s="22"/>
    </row>
    <row r="22" spans="2:13" x14ac:dyDescent="0.2">
      <c r="B22" s="22" t="s">
        <v>85</v>
      </c>
      <c r="D22" s="132">
        <v>4</v>
      </c>
      <c r="I22" s="35">
        <f t="shared" si="0"/>
        <v>4</v>
      </c>
      <c r="M22" s="133"/>
    </row>
    <row r="23" spans="2:13" x14ac:dyDescent="0.2">
      <c r="B23" s="118" t="s">
        <v>45</v>
      </c>
      <c r="C23" s="118"/>
      <c r="D23" s="118"/>
      <c r="E23" s="134"/>
      <c r="F23" s="59">
        <v>2</v>
      </c>
      <c r="G23" s="135"/>
      <c r="H23" s="59"/>
      <c r="I23" s="35">
        <f t="shared" si="0"/>
        <v>2</v>
      </c>
      <c r="M23" s="22"/>
    </row>
    <row r="24" spans="2:13" x14ac:dyDescent="0.2">
      <c r="B24" s="133" t="s">
        <v>105</v>
      </c>
      <c r="C24" s="133"/>
      <c r="D24" s="133">
        <v>2</v>
      </c>
      <c r="I24" s="35">
        <f t="shared" si="0"/>
        <v>2</v>
      </c>
      <c r="M24" s="133"/>
    </row>
    <row r="25" spans="2:13" x14ac:dyDescent="0.2">
      <c r="B25" s="133" t="s">
        <v>146</v>
      </c>
      <c r="C25" s="133"/>
      <c r="D25" s="133"/>
      <c r="I25" s="35"/>
      <c r="M25" s="133"/>
    </row>
    <row r="26" spans="2:13" x14ac:dyDescent="0.2">
      <c r="B26" s="133" t="s">
        <v>184</v>
      </c>
      <c r="C26" s="133"/>
      <c r="D26" s="133"/>
      <c r="I26" s="35"/>
      <c r="M26" s="133"/>
    </row>
    <row r="27" spans="2:13" x14ac:dyDescent="0.2">
      <c r="B27" s="22" t="s">
        <v>96</v>
      </c>
      <c r="C27" s="22"/>
      <c r="D27" s="22"/>
      <c r="M27" s="22"/>
    </row>
    <row r="28" spans="2:13" x14ac:dyDescent="0.2">
      <c r="B28" s="22" t="s">
        <v>90</v>
      </c>
      <c r="C28" s="22"/>
      <c r="D28" s="22"/>
      <c r="M28" s="22"/>
    </row>
    <row r="29" spans="2:13" x14ac:dyDescent="0.2">
      <c r="B29" s="133" t="s">
        <v>98</v>
      </c>
      <c r="C29" s="133"/>
      <c r="D29" s="133"/>
      <c r="M29" s="22"/>
    </row>
    <row r="30" spans="2:13" x14ac:dyDescent="0.2">
      <c r="B30" s="133" t="s">
        <v>102</v>
      </c>
      <c r="C30" s="133"/>
      <c r="D30" s="133"/>
    </row>
    <row r="31" spans="2:13" x14ac:dyDescent="0.2">
      <c r="B31" s="22" t="s">
        <v>25</v>
      </c>
      <c r="M31" s="22"/>
    </row>
    <row r="32" spans="2:13" x14ac:dyDescent="0.2">
      <c r="B32" s="22" t="s">
        <v>101</v>
      </c>
      <c r="M32" s="22"/>
    </row>
    <row r="33" spans="2:13" x14ac:dyDescent="0.2">
      <c r="B33" s="22" t="s">
        <v>92</v>
      </c>
      <c r="C33" s="22"/>
      <c r="D33" s="22"/>
      <c r="M33" s="22"/>
    </row>
    <row r="34" spans="2:13" x14ac:dyDescent="0.2">
      <c r="B34" s="22" t="s">
        <v>36</v>
      </c>
      <c r="C34" s="22"/>
      <c r="D34" s="22"/>
      <c r="M34" s="22"/>
    </row>
    <row r="35" spans="2:13" x14ac:dyDescent="0.2">
      <c r="B35" s="22" t="s">
        <v>43</v>
      </c>
      <c r="C35" s="22"/>
      <c r="D35" s="22"/>
      <c r="M35" s="22"/>
    </row>
    <row r="36" spans="2:13" x14ac:dyDescent="0.2">
      <c r="B36" s="22" t="s">
        <v>61</v>
      </c>
      <c r="C36" s="22"/>
      <c r="D36" s="22"/>
    </row>
    <row r="37" spans="2:13" x14ac:dyDescent="0.2">
      <c r="B37" s="22" t="s">
        <v>84</v>
      </c>
      <c r="C37" s="22"/>
      <c r="D37" s="22"/>
    </row>
    <row r="38" spans="2:13" x14ac:dyDescent="0.2">
      <c r="B38" s="22" t="s">
        <v>22</v>
      </c>
      <c r="C38" s="22"/>
      <c r="D38" s="22"/>
    </row>
    <row r="39" spans="2:13" x14ac:dyDescent="0.2">
      <c r="B39" s="22" t="s">
        <v>35</v>
      </c>
      <c r="C39" s="22"/>
      <c r="D39" s="22"/>
    </row>
    <row r="40" spans="2:13" x14ac:dyDescent="0.2">
      <c r="B40" s="22" t="s">
        <v>4</v>
      </c>
      <c r="C40" s="22"/>
      <c r="D40" s="22"/>
    </row>
    <row r="41" spans="2:13" x14ac:dyDescent="0.2">
      <c r="B41" s="22" t="s">
        <v>37</v>
      </c>
      <c r="C41" s="22"/>
      <c r="D41" s="22"/>
    </row>
    <row r="42" spans="2:13" x14ac:dyDescent="0.2">
      <c r="B42" s="22" t="s">
        <v>38</v>
      </c>
      <c r="C42" s="22"/>
      <c r="D42" s="22"/>
    </row>
    <row r="43" spans="2:13" x14ac:dyDescent="0.2">
      <c r="B43" s="22" t="s">
        <v>42</v>
      </c>
      <c r="C43" s="22"/>
      <c r="D43" s="22"/>
    </row>
    <row r="44" spans="2:13" x14ac:dyDescent="0.2">
      <c r="B44" s="22" t="s">
        <v>47</v>
      </c>
      <c r="C44" s="22"/>
      <c r="D44" s="22"/>
    </row>
    <row r="45" spans="2:13" x14ac:dyDescent="0.2">
      <c r="B45" s="22" t="s">
        <v>52</v>
      </c>
      <c r="C45" s="22"/>
      <c r="D45" s="22"/>
    </row>
    <row r="46" spans="2:13" x14ac:dyDescent="0.2">
      <c r="B46" s="22"/>
      <c r="C46" s="22"/>
      <c r="D46" s="22"/>
    </row>
  </sheetData>
  <sortState xmlns:xlrd2="http://schemas.microsoft.com/office/spreadsheetml/2017/richdata2" ref="B3:I24">
    <sortCondition descending="1" ref="I3:I24"/>
  </sortState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F5F3-9648-4D52-BE57-A5A556B31104}">
  <dimension ref="B3:P26"/>
  <sheetViews>
    <sheetView workbookViewId="0">
      <selection activeCell="G27" sqref="G27"/>
    </sheetView>
  </sheetViews>
  <sheetFormatPr defaultRowHeight="14.25" x14ac:dyDescent="0.2"/>
  <sheetData>
    <row r="3" spans="2:16" x14ac:dyDescent="0.2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</row>
    <row r="5" spans="2:16" x14ac:dyDescent="0.2">
      <c r="B5" s="10">
        <v>93</v>
      </c>
      <c r="C5" s="151">
        <v>88</v>
      </c>
      <c r="D5" s="151">
        <v>87</v>
      </c>
      <c r="E5" s="10">
        <v>92</v>
      </c>
      <c r="F5" s="151">
        <v>87</v>
      </c>
      <c r="G5" s="10">
        <v>90</v>
      </c>
      <c r="H5" s="151">
        <v>83</v>
      </c>
      <c r="I5" s="10">
        <v>94</v>
      </c>
      <c r="J5" s="151">
        <v>90</v>
      </c>
      <c r="K5" s="151">
        <v>88</v>
      </c>
      <c r="L5" s="10">
        <v>92</v>
      </c>
      <c r="M5" s="151">
        <v>89</v>
      </c>
      <c r="N5" s="10">
        <v>93</v>
      </c>
    </row>
    <row r="7" spans="2:16" x14ac:dyDescent="0.2">
      <c r="C7">
        <v>88</v>
      </c>
      <c r="D7">
        <v>87</v>
      </c>
      <c r="F7">
        <v>87</v>
      </c>
      <c r="H7">
        <v>83</v>
      </c>
      <c r="J7">
        <v>90</v>
      </c>
      <c r="K7">
        <v>88</v>
      </c>
      <c r="M7">
        <v>89</v>
      </c>
      <c r="P7">
        <f>AVERAGE(C7:O7)</f>
        <v>87.428571428571431</v>
      </c>
    </row>
    <row r="11" spans="2:16" x14ac:dyDescent="0.2">
      <c r="G11" s="10">
        <v>93</v>
      </c>
    </row>
    <row r="12" spans="2:16" x14ac:dyDescent="0.2">
      <c r="G12" s="10">
        <v>88</v>
      </c>
    </row>
    <row r="13" spans="2:16" x14ac:dyDescent="0.2">
      <c r="G13" s="10">
        <v>87</v>
      </c>
    </row>
    <row r="14" spans="2:16" x14ac:dyDescent="0.2">
      <c r="G14" s="10">
        <v>92</v>
      </c>
    </row>
    <row r="15" spans="2:16" x14ac:dyDescent="0.2">
      <c r="G15" s="10">
        <v>95</v>
      </c>
    </row>
    <row r="16" spans="2:16" x14ac:dyDescent="0.2">
      <c r="G16" s="10">
        <v>97</v>
      </c>
    </row>
    <row r="17" spans="7:7" x14ac:dyDescent="0.2">
      <c r="G17" s="10">
        <v>87</v>
      </c>
    </row>
    <row r="18" spans="7:7" x14ac:dyDescent="0.2">
      <c r="G18" s="10">
        <v>90</v>
      </c>
    </row>
    <row r="19" spans="7:7" x14ac:dyDescent="0.2">
      <c r="G19" s="10">
        <v>83</v>
      </c>
    </row>
    <row r="20" spans="7:7" x14ac:dyDescent="0.2">
      <c r="G20" s="10">
        <v>94</v>
      </c>
    </row>
    <row r="21" spans="7:7" x14ac:dyDescent="0.2">
      <c r="G21" s="10">
        <v>90</v>
      </c>
    </row>
    <row r="22" spans="7:7" x14ac:dyDescent="0.2">
      <c r="G22" s="10">
        <v>89</v>
      </c>
    </row>
    <row r="23" spans="7:7" x14ac:dyDescent="0.2">
      <c r="G23" s="10">
        <v>88</v>
      </c>
    </row>
    <row r="24" spans="7:7" x14ac:dyDescent="0.2">
      <c r="G24" s="10">
        <v>93</v>
      </c>
    </row>
    <row r="25" spans="7:7" x14ac:dyDescent="0.2">
      <c r="G25" s="10">
        <v>92</v>
      </c>
    </row>
    <row r="26" spans="7:7" x14ac:dyDescent="0.2">
      <c r="G26">
        <f>AVERAGE(G11:G25)</f>
        <v>90.533333333333331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Printable</vt:lpstr>
      <vt:lpstr>Standings</vt:lpstr>
      <vt:lpstr>Pairings</vt:lpstr>
      <vt:lpstr>Tee Sheet</vt:lpstr>
      <vt:lpstr>Gin &amp; Juice</vt:lpstr>
      <vt:lpstr>Playoffs</vt:lpstr>
      <vt:lpstr>Money</vt:lpstr>
      <vt:lpstr>sub list</vt:lpstr>
      <vt:lpstr>Jaquint's handicap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Moses</dc:creator>
  <cp:lastModifiedBy>Jason Moses</cp:lastModifiedBy>
  <cp:lastPrinted>2020-10-20T14:05:43Z</cp:lastPrinted>
  <dcterms:created xsi:type="dcterms:W3CDTF">2014-04-02T21:11:50Z</dcterms:created>
  <dcterms:modified xsi:type="dcterms:W3CDTF">2021-07-22T15:13:25Z</dcterms:modified>
</cp:coreProperties>
</file>