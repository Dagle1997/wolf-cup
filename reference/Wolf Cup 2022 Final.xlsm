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lf-Cup\reference\"/>
    </mc:Choice>
  </mc:AlternateContent>
  <xr:revisionPtr revIDLastSave="0" documentId="13_ncr:1_{59620981-739B-487D-8425-C931B69F41E0}" xr6:coauthVersionLast="47" xr6:coauthVersionMax="47" xr10:uidLastSave="{00000000-0000-0000-0000-000000000000}"/>
  <bookViews>
    <workbookView xWindow="15900" yWindow="5640" windowWidth="35850" windowHeight="24735" xr2:uid="{00000000-000D-0000-FFFF-FFFF00000000}"/>
  </bookViews>
  <sheets>
    <sheet name="Auto -  Printable" sheetId="1" r:id="rId1"/>
    <sheet name="Data - For Rank" sheetId="3" r:id="rId2"/>
  </sheets>
  <definedNames>
    <definedName name="Ranking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65" i="1" l="1"/>
  <c r="AB65" i="1"/>
  <c r="T67" i="1"/>
  <c r="V65" i="1"/>
  <c r="Z67" i="1"/>
  <c r="Z65" i="1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3" i="3" s="1"/>
  <c r="K2" i="3"/>
  <c r="K17" i="3" s="1"/>
  <c r="N2" i="3"/>
  <c r="N16" i="3" s="1"/>
  <c r="P2" i="3"/>
  <c r="P8" i="3" s="1"/>
  <c r="J2" i="3"/>
  <c r="J29" i="3" s="1"/>
  <c r="G2" i="3"/>
  <c r="M2" i="3"/>
  <c r="S2" i="3"/>
  <c r="H2" i="3"/>
  <c r="B2" i="3"/>
  <c r="C2" i="3"/>
  <c r="I2" i="3"/>
  <c r="O2" i="3"/>
  <c r="D2" i="3"/>
  <c r="Q24" i="3"/>
  <c r="Q19" i="3"/>
  <c r="Q11" i="3"/>
  <c r="Q7" i="3"/>
  <c r="Q17" i="3"/>
  <c r="Q29" i="3"/>
  <c r="Q27" i="3"/>
  <c r="Q25" i="3"/>
  <c r="Q9" i="3"/>
  <c r="E2" i="3"/>
  <c r="F2" i="3"/>
  <c r="L2" i="3"/>
  <c r="R2" i="3"/>
  <c r="Q21" i="3" l="1"/>
  <c r="Q6" i="3"/>
  <c r="Q10" i="3"/>
  <c r="Q14" i="3"/>
  <c r="Q18" i="3"/>
  <c r="Q22" i="3"/>
  <c r="Q28" i="3"/>
  <c r="Q30" i="3"/>
  <c r="P12" i="3"/>
  <c r="Q23" i="3"/>
  <c r="Q13" i="3"/>
  <c r="Q4" i="3"/>
  <c r="Q8" i="3"/>
  <c r="Q12" i="3"/>
  <c r="Q16" i="3"/>
  <c r="Q20" i="3"/>
  <c r="Q26" i="3"/>
  <c r="P17" i="3"/>
  <c r="Q5" i="3"/>
  <c r="Q15" i="3"/>
  <c r="P27" i="3"/>
  <c r="P10" i="3"/>
  <c r="P3" i="3"/>
  <c r="P14" i="3"/>
  <c r="P7" i="3"/>
  <c r="P16" i="3"/>
  <c r="P11" i="3"/>
  <c r="P18" i="3"/>
  <c r="P19" i="3"/>
  <c r="P20" i="3"/>
  <c r="P13" i="3"/>
  <c r="P22" i="3"/>
  <c r="P21" i="3"/>
  <c r="P24" i="3"/>
  <c r="P5" i="3"/>
  <c r="P26" i="3"/>
  <c r="P23" i="3"/>
  <c r="P9" i="3"/>
  <c r="P28" i="3"/>
  <c r="P15" i="3"/>
  <c r="P4" i="3"/>
  <c r="P30" i="3"/>
  <c r="P25" i="3"/>
  <c r="P6" i="3"/>
  <c r="P29" i="3"/>
  <c r="N5" i="3"/>
  <c r="N6" i="3"/>
  <c r="N22" i="3"/>
  <c r="N13" i="3"/>
  <c r="N29" i="3"/>
  <c r="N18" i="3"/>
  <c r="N21" i="3"/>
  <c r="N4" i="3"/>
  <c r="N20" i="3"/>
  <c r="N17" i="3"/>
  <c r="N9" i="3"/>
  <c r="N8" i="3"/>
  <c r="N24" i="3"/>
  <c r="N3" i="3"/>
  <c r="N15" i="3"/>
  <c r="N10" i="3"/>
  <c r="N26" i="3"/>
  <c r="N7" i="3"/>
  <c r="N23" i="3"/>
  <c r="N12" i="3"/>
  <c r="N28" i="3"/>
  <c r="N11" i="3"/>
  <c r="N25" i="3"/>
  <c r="N14" i="3"/>
  <c r="N30" i="3"/>
  <c r="N19" i="3"/>
  <c r="N27" i="3"/>
  <c r="K12" i="3"/>
  <c r="K18" i="3"/>
  <c r="K25" i="3"/>
  <c r="H65" i="1"/>
  <c r="J24" i="3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K16" i="3"/>
  <c r="K15" i="3"/>
  <c r="K24" i="3"/>
  <c r="J30" i="3"/>
  <c r="J12" i="3"/>
  <c r="J20" i="3"/>
  <c r="J7" i="3"/>
  <c r="J15" i="3"/>
  <c r="J14" i="3"/>
  <c r="J17" i="3"/>
  <c r="J16" i="3"/>
  <c r="J23" i="3"/>
  <c r="J26" i="3"/>
  <c r="J3" i="3"/>
  <c r="J19" i="3"/>
  <c r="J28" i="3"/>
  <c r="J5" i="3"/>
  <c r="J21" i="3"/>
  <c r="J22" i="3"/>
  <c r="J18" i="3"/>
  <c r="J9" i="3"/>
  <c r="J25" i="3"/>
  <c r="J6" i="3"/>
  <c r="J4" i="3"/>
  <c r="J11" i="3"/>
  <c r="J27" i="3"/>
  <c r="J10" i="3"/>
  <c r="J8" i="3"/>
  <c r="J13" i="3"/>
  <c r="E30" i="3"/>
  <c r="E28" i="3"/>
  <c r="E26" i="3"/>
  <c r="E24" i="3"/>
  <c r="E22" i="3"/>
  <c r="E20" i="3"/>
  <c r="E18" i="3"/>
  <c r="E16" i="3"/>
  <c r="E14" i="3"/>
  <c r="E12" i="3"/>
  <c r="E10" i="3"/>
  <c r="E8" i="3"/>
  <c r="E6" i="3"/>
  <c r="E4" i="3"/>
  <c r="E17" i="3"/>
  <c r="E29" i="3"/>
  <c r="E27" i="3"/>
  <c r="E25" i="3"/>
  <c r="E23" i="3"/>
  <c r="E15" i="3"/>
  <c r="E9" i="3"/>
  <c r="E5" i="3"/>
  <c r="E21" i="3"/>
  <c r="E13" i="3"/>
  <c r="E19" i="3"/>
  <c r="E11" i="3"/>
  <c r="E3" i="3"/>
  <c r="E7" i="3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B30" i="3"/>
  <c r="B28" i="3"/>
  <c r="B26" i="3"/>
  <c r="B24" i="3"/>
  <c r="B22" i="3"/>
  <c r="B20" i="3"/>
  <c r="B18" i="3"/>
  <c r="B16" i="3"/>
  <c r="B14" i="3"/>
  <c r="B12" i="3"/>
  <c r="B10" i="3"/>
  <c r="B8" i="3"/>
  <c r="B6" i="3"/>
  <c r="B4" i="3"/>
  <c r="B19" i="3"/>
  <c r="B11" i="3"/>
  <c r="B7" i="3"/>
  <c r="B3" i="3"/>
  <c r="B17" i="3"/>
  <c r="B29" i="3"/>
  <c r="B27" i="3"/>
  <c r="B25" i="3"/>
  <c r="B23" i="3"/>
  <c r="B15" i="3"/>
  <c r="B9" i="3"/>
  <c r="B5" i="3"/>
  <c r="B21" i="3"/>
  <c r="B13" i="3"/>
  <c r="G30" i="3"/>
  <c r="G28" i="3"/>
  <c r="G26" i="3"/>
  <c r="G24" i="3"/>
  <c r="G22" i="3"/>
  <c r="G20" i="3"/>
  <c r="G18" i="3"/>
  <c r="G16" i="3"/>
  <c r="G14" i="3"/>
  <c r="G12" i="3"/>
  <c r="G10" i="3"/>
  <c r="G8" i="3"/>
  <c r="G6" i="3"/>
  <c r="G4" i="3"/>
  <c r="G29" i="3"/>
  <c r="G27" i="3"/>
  <c r="G25" i="3"/>
  <c r="G23" i="3"/>
  <c r="G15" i="3"/>
  <c r="G9" i="3"/>
  <c r="G5" i="3"/>
  <c r="G21" i="3"/>
  <c r="G13" i="3"/>
  <c r="G19" i="3"/>
  <c r="G11" i="3"/>
  <c r="G7" i="3"/>
  <c r="G3" i="3"/>
  <c r="G17" i="3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I3" i="3"/>
  <c r="I20" i="3"/>
  <c r="I12" i="3"/>
  <c r="I8" i="3"/>
  <c r="I4" i="3"/>
  <c r="I18" i="3"/>
  <c r="I30" i="3"/>
  <c r="I28" i="3"/>
  <c r="I26" i="3"/>
  <c r="I24" i="3"/>
  <c r="I16" i="3"/>
  <c r="I10" i="3"/>
  <c r="I6" i="3"/>
  <c r="I14" i="3"/>
  <c r="I22" i="3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H29" i="3"/>
  <c r="H27" i="3"/>
  <c r="H25" i="3"/>
  <c r="H23" i="3"/>
  <c r="H21" i="3"/>
  <c r="H19" i="3"/>
  <c r="H17" i="3"/>
  <c r="H15" i="3"/>
  <c r="H13" i="3"/>
  <c r="H11" i="3"/>
  <c r="H9" i="3"/>
  <c r="H7" i="3"/>
  <c r="H5" i="3"/>
  <c r="H3" i="3"/>
  <c r="H20" i="3"/>
  <c r="H12" i="3"/>
  <c r="H8" i="3"/>
  <c r="H4" i="3"/>
  <c r="H18" i="3"/>
  <c r="H30" i="3"/>
  <c r="H28" i="3"/>
  <c r="H26" i="3"/>
  <c r="H24" i="3"/>
  <c r="H16" i="3"/>
  <c r="H10" i="3"/>
  <c r="H6" i="3"/>
  <c r="H14" i="3"/>
  <c r="H22" i="3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D11" i="3"/>
  <c r="D7" i="3"/>
  <c r="D3" i="3"/>
  <c r="D17" i="3"/>
  <c r="D29" i="3"/>
  <c r="D27" i="3"/>
  <c r="D25" i="3"/>
  <c r="D23" i="3"/>
  <c r="D15" i="3"/>
  <c r="D9" i="3"/>
  <c r="D5" i="3"/>
  <c r="D21" i="3"/>
  <c r="D13" i="3"/>
  <c r="D19" i="3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F4" i="3"/>
  <c r="F29" i="3"/>
  <c r="F27" i="3"/>
  <c r="F25" i="3"/>
  <c r="F23" i="3"/>
  <c r="F21" i="3"/>
  <c r="F19" i="3"/>
  <c r="F17" i="3"/>
  <c r="F15" i="3"/>
  <c r="F13" i="3"/>
  <c r="F9" i="3"/>
  <c r="F5" i="3"/>
  <c r="F11" i="3"/>
  <c r="F3" i="3"/>
  <c r="F7" i="3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AH69" i="1" l="1"/>
  <c r="AD69" i="1"/>
  <c r="AF69" i="1"/>
  <c r="AB69" i="1"/>
  <c r="V69" i="1"/>
  <c r="T69" i="1"/>
  <c r="AJ69" i="1" l="1"/>
  <c r="Z69" i="1"/>
  <c r="X69" i="1"/>
  <c r="D65" i="1" l="1"/>
  <c r="AL67" i="1"/>
  <c r="AL69" i="1" s="1"/>
  <c r="AL65" i="1"/>
  <c r="AM67" i="1" l="1"/>
  <c r="AM65" i="1"/>
</calcChain>
</file>

<file path=xl/sharedStrings.xml><?xml version="1.0" encoding="utf-8"?>
<sst xmlns="http://schemas.openxmlformats.org/spreadsheetml/2006/main" count="494" uniqueCount="72">
  <si>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</si>
  <si>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</si>
  <si>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</si>
  <si>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</si>
  <si>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</si>
  <si>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</si>
  <si>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</si>
  <si>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</si>
  <si>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</si>
  <si>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</si>
  <si>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</si>
  <si>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</si>
  <si>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</si>
  <si>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</si>
  <si>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</si>
  <si>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</si>
  <si>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</si>
  <si>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</si>
  <si>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</si>
  <si>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</si>
  <si>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</si>
  <si>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</si>
  <si>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</si>
  <si>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</si>
  <si>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</si>
  <si>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</si>
  <si>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</si>
  <si>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</si>
  <si>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</si>
  <si>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</si>
  <si>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</si>
  <si>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</si>
  <si>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</si>
  <si>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</si>
  <si>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</si>
  <si>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</si>
  <si>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</si>
  <si>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</si>
  <si>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</si>
  <si>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</si>
  <si>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</si>
  <si>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</si>
  <si>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</si>
  <si>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</si>
  <si>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</si>
  <si>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</si>
  <si>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</si>
  <si>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</si>
  <si>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</si>
  <si>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</si>
  <si>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</si>
  <si>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</si>
  <si>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</si>
  <si>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</si>
  <si>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</si>
  <si>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</si>
  <si>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</si>
  <si>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</si>
  <si>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</si>
  <si>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</si>
  <si>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</si>
  <si>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Rank</t>
  </si>
  <si>
    <t>Bagger</t>
  </si>
  <si>
    <t>Preston</t>
  </si>
  <si>
    <t>Pierson</t>
  </si>
  <si>
    <t/>
  </si>
  <si>
    <t>BMx2, CM, JB</t>
  </si>
  <si>
    <t>NCx3, AD, MBx2, JB</t>
  </si>
  <si>
    <t>JP, BMx2, JM</t>
  </si>
  <si>
    <t>JBx2,MW,CM, CP, SW</t>
  </si>
  <si>
    <t>Rounds [Min Points]</t>
  </si>
  <si>
    <t>NC, MW, 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</si>
</sst>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$#,##0_);[Red]&quot;($&quot;#,##0\)"/>
    <numFmt numFmtId="166" formatCode="\$#,##0"/>
  </numFmts>
  <fonts count="14" x14ac:knownFonts="1">
    <font>
      <sz val="11"/>
      <color rgb="FF000000"/>
      <name val="Georgia"/>
      <family val="2"/>
      <charset val="1"/>
    </font>
    <font>
      <sz val="11"/>
      <color theme="1"/>
      <name val="Calibri"/>
      <family val="2"/>
      <scheme val="minor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0" xfId="0" applyFont="1"/>
    <xf numFmtId="164" fontId="4" fillId="0" borderId="0" xfId="0" applyNumberFormat="1" applyFont="1" applyAlignment="1">
      <alignment horizontal="center"/>
    </xf>
    <xf numFmtId="0" fontId="2" fillId="2" borderId="0" xfId="0" applyFont="1" applyFill="1"/>
    <xf numFmtId="0" fontId="5" fillId="3" borderId="0" xfId="0" applyFont="1" applyFill="1" applyProtection="1">
      <protection locked="0"/>
    </xf>
    <xf numFmtId="164" fontId="6" fillId="0" borderId="0" xfId="0" applyNumberFormat="1" applyFont="1"/>
    <xf numFmtId="164" fontId="3" fillId="0" borderId="0" xfId="0" applyNumberFormat="1" applyFont="1"/>
    <xf numFmtId="0" fontId="7" fillId="0" borderId="0" xfId="0" applyFont="1" applyAlignment="1">
      <alignment horizontal="center"/>
    </xf>
    <xf numFmtId="164" fontId="5" fillId="0" borderId="0" xfId="0" applyNumberFormat="1" applyFont="1"/>
    <xf numFmtId="164" fontId="2" fillId="0" borderId="0" xfId="0" applyNumberFormat="1" applyFont="1"/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4" fontId="2" fillId="4" borderId="1" xfId="0" applyNumberFormat="1" applyFont="1" applyFill="1" applyBorder="1" applyAlignment="1">
      <alignment horizontal="right"/>
    </xf>
    <xf numFmtId="165" fontId="5" fillId="3" borderId="1" xfId="0" applyNumberFormat="1" applyFont="1" applyFill="1" applyBorder="1" applyProtection="1">
      <protection locked="0"/>
    </xf>
    <xf numFmtId="164" fontId="5" fillId="0" borderId="1" xfId="0" applyNumberFormat="1" applyFont="1" applyBorder="1"/>
    <xf numFmtId="166" fontId="8" fillId="0" borderId="1" xfId="0" applyNumberFormat="1" applyFont="1" applyBorder="1" applyAlignment="1">
      <alignment horizontal="center"/>
    </xf>
    <xf numFmtId="164" fontId="3" fillId="0" borderId="1" xfId="0" applyNumberFormat="1" applyFont="1" applyBorder="1"/>
    <xf numFmtId="0" fontId="2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5" fillId="0" borderId="0" xfId="0" applyFont="1"/>
    <xf numFmtId="0" fontId="0" fillId="0" borderId="1" xfId="0" applyBorder="1" applyAlignment="1">
      <alignment horizontal="right"/>
    </xf>
    <xf numFmtId="1" fontId="5" fillId="3" borderId="0" xfId="0" applyNumberFormat="1" applyFont="1" applyFill="1" applyProtection="1">
      <protection locked="0"/>
    </xf>
    <xf numFmtId="164" fontId="8" fillId="0" borderId="0" xfId="0" applyNumberFormat="1" applyFont="1" applyAlignment="1">
      <alignment horizontal="center"/>
    </xf>
    <xf numFmtId="0" fontId="8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16" fontId="0" fillId="0" borderId="0" xfId="0" applyNumberFormat="1"/>
    <xf numFmtId="0" fontId="10" fillId="0" borderId="0" xfId="0" applyFont="1"/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horizontal="right"/>
    </xf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164" fontId="13" fillId="0" borderId="0" xfId="0" applyNumberFormat="1" applyFont="1" applyAlignment="1">
      <alignment horizont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 wrapText="1"/>
    </xf>
    <xf numFmtId="0" fontId="12" fillId="2" borderId="0" xfId="0" applyFont="1" applyFill="1" applyAlignment="1">
      <alignment horizontal="center" textRotation="180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 xr:uid="{DDEF1700-9EFF-4D5C-91E9-5481045F1D24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tabSelected="1" view="pageLayout" zoomScale="84" zoomScaleNormal="100" zoomScalePageLayoutView="84" workbookViewId="0">
      <selection activeCell="X15" sqref="X15"/>
    </sheetView>
  </sheetViews>
  <sheetFormatPr defaultColWidth="8.88671875" defaultRowHeight="14.25" x14ac:dyDescent="0.2"/>
  <cols>
    <col min="1" max="1" width="5.21875" customWidth="1"/>
    <col min="2" max="2" width="12.109375" customWidth="1"/>
    <col min="3" max="3" width="6.109375" style="1" customWidth="1"/>
    <col min="4" max="4" width="6.6640625" style="1" customWidth="1"/>
    <col min="5" max="5" width="4.44140625" customWidth="1"/>
    <col min="6" max="6" width="8.33203125" customWidth="1"/>
    <col min="7" max="8" width="4.5546875" customWidth="1"/>
    <col min="9" max="9" width="4.21875" customWidth="1"/>
    <col min="10" max="10" width="5.5546875" customWidth="1"/>
    <col min="11" max="11" width="4.44140625" customWidth="1"/>
    <col min="12" max="12" width="4.6640625" customWidth="1"/>
    <col min="13" max="15" width="4.44140625" customWidth="1"/>
    <col min="16" max="16" width="4.6640625" customWidth="1"/>
    <col min="17" max="18" width="4.44140625" customWidth="1"/>
    <col min="19" max="19" width="4.21875" customWidth="1"/>
    <col min="20" max="21" width="0.21875" customWidth="1"/>
    <col min="22" max="22" width="8.33203125" customWidth="1"/>
    <col min="23" max="23" width="4.21875" customWidth="1"/>
    <col min="24" max="24" width="8.33203125" customWidth="1"/>
    <col min="25" max="25" width="4.21875" customWidth="1"/>
    <col min="26" max="26" width="8.33203125" customWidth="1"/>
    <col min="27" max="27" width="4.33203125" customWidth="1"/>
    <col min="28" max="28" width="8.44140625" customWidth="1"/>
    <col min="29" max="29" width="4.5546875" customWidth="1"/>
    <col min="30" max="30" width="8.5546875" customWidth="1"/>
    <col min="31" max="31" width="4.44140625" customWidth="1"/>
    <col min="32" max="32" width="8" customWidth="1"/>
    <col min="33" max="33" width="4.44140625" customWidth="1"/>
    <col min="34" max="34" width="8.33203125" bestFit="1" customWidth="1"/>
    <col min="35" max="36" width="6.44140625" customWidth="1"/>
    <col min="37" max="37" width="4.21875" bestFit="1" customWidth="1"/>
    <col min="38" max="38" width="8.33203125" bestFit="1" customWidth="1"/>
    <col min="39" max="39" width="5.6640625" bestFit="1" customWidth="1"/>
    <col min="40" max="40" width="6.33203125" customWidth="1"/>
    <col min="41" max="41" width="3.88671875" customWidth="1"/>
  </cols>
  <sheetData>
    <row r="1" spans="1:41" ht="14.25" customHeight="1" x14ac:dyDescent="0.2">
      <c r="A1" s="32"/>
      <c r="B1" s="33"/>
      <c r="C1" s="42" t="s">
        <v>70</v>
      </c>
      <c r="D1" s="43">
        <v>1</v>
      </c>
      <c r="E1" s="43"/>
      <c r="F1" s="43">
        <v>2</v>
      </c>
      <c r="G1" s="43"/>
      <c r="H1" s="43">
        <v>3</v>
      </c>
      <c r="I1" s="43"/>
      <c r="J1" s="43">
        <v>4</v>
      </c>
      <c r="K1" s="43"/>
      <c r="L1" s="43">
        <v>5</v>
      </c>
      <c r="M1" s="43"/>
      <c r="N1" s="43">
        <v>6</v>
      </c>
      <c r="O1" s="43"/>
      <c r="P1" s="43">
        <v>7</v>
      </c>
      <c r="Q1" s="43"/>
      <c r="R1" s="43">
        <v>8</v>
      </c>
      <c r="S1" s="43"/>
      <c r="T1" s="43">
        <v>9</v>
      </c>
      <c r="U1" s="43"/>
      <c r="V1" s="43">
        <v>10</v>
      </c>
      <c r="W1" s="43"/>
      <c r="X1" s="43">
        <v>11</v>
      </c>
      <c r="Y1" s="43"/>
      <c r="Z1" s="43">
        <v>12</v>
      </c>
      <c r="AA1" s="43"/>
      <c r="AB1" s="43">
        <v>13</v>
      </c>
      <c r="AC1" s="43"/>
      <c r="AD1" s="43">
        <v>14</v>
      </c>
      <c r="AE1" s="43"/>
      <c r="AF1" s="43">
        <v>15</v>
      </c>
      <c r="AG1" s="43"/>
      <c r="AH1" s="43">
        <v>16</v>
      </c>
      <c r="AI1" s="43"/>
      <c r="AJ1" s="43">
        <v>17</v>
      </c>
      <c r="AK1" s="43"/>
      <c r="AL1" s="43">
        <v>18</v>
      </c>
      <c r="AM1" s="43"/>
      <c r="AN1" s="33"/>
      <c r="AO1" s="34"/>
    </row>
    <row r="2" spans="1:41" ht="14.25" customHeight="1" x14ac:dyDescent="0.2">
      <c r="A2" s="32"/>
      <c r="B2" s="35" t="s">
        <v>0</v>
      </c>
      <c r="C2" s="42"/>
      <c r="D2" s="44" t="s">
        <v>1</v>
      </c>
      <c r="E2" s="44"/>
      <c r="F2" s="44" t="s">
        <v>2</v>
      </c>
      <c r="G2" s="44"/>
      <c r="H2" s="44" t="s">
        <v>3</v>
      </c>
      <c r="I2" s="44"/>
      <c r="J2" s="44" t="s">
        <v>4</v>
      </c>
      <c r="K2" s="44"/>
      <c r="L2" s="44" t="s">
        <v>5</v>
      </c>
      <c r="M2" s="44"/>
      <c r="N2" s="44" t="s">
        <v>6</v>
      </c>
      <c r="O2" s="44"/>
      <c r="P2" s="44" t="s">
        <v>7</v>
      </c>
      <c r="Q2" s="44"/>
      <c r="R2" s="44" t="s">
        <v>8</v>
      </c>
      <c r="S2" s="44"/>
      <c r="T2" s="44" t="s">
        <v>9</v>
      </c>
      <c r="U2" s="44"/>
      <c r="V2" s="44" t="s">
        <v>10</v>
      </c>
      <c r="W2" s="44"/>
      <c r="X2" s="44" t="s">
        <v>11</v>
      </c>
      <c r="Y2" s="44"/>
      <c r="Z2" s="44" t="s">
        <v>12</v>
      </c>
      <c r="AA2" s="44"/>
      <c r="AB2" s="44" t="s">
        <v>13</v>
      </c>
      <c r="AC2" s="44"/>
      <c r="AD2" s="44" t="s">
        <v>14</v>
      </c>
      <c r="AE2" s="44"/>
      <c r="AF2" s="44" t="s">
        <v>15</v>
      </c>
      <c r="AG2" s="44"/>
      <c r="AH2" s="44" t="s">
        <v>16</v>
      </c>
      <c r="AI2" s="44"/>
      <c r="AJ2" s="44" t="s">
        <v>17</v>
      </c>
      <c r="AK2" s="44"/>
      <c r="AL2" s="44" t="s">
        <v>18</v>
      </c>
      <c r="AM2" s="44"/>
      <c r="AN2" s="36" t="s">
        <v>19</v>
      </c>
      <c r="AO2" s="37" t="s">
        <v>20</v>
      </c>
    </row>
    <row r="3" spans="1:41" ht="27.75" customHeight="1" x14ac:dyDescent="0.2">
      <c r="A3" s="32"/>
      <c r="B3" s="35" t="s">
        <v>21</v>
      </c>
      <c r="C3" s="42"/>
      <c r="D3" s="45" t="s">
        <v>22</v>
      </c>
      <c r="E3" s="45"/>
      <c r="F3" s="45" t="s">
        <v>23</v>
      </c>
      <c r="G3" s="45"/>
      <c r="H3" s="45" t="s">
        <v>24</v>
      </c>
      <c r="I3" s="45"/>
      <c r="J3" s="45" t="s">
        <v>25</v>
      </c>
      <c r="K3" s="45"/>
      <c r="L3" s="45" t="s">
        <v>22</v>
      </c>
      <c r="M3" s="45"/>
      <c r="N3" s="45" t="s">
        <v>23</v>
      </c>
      <c r="O3" s="45"/>
      <c r="P3" s="45" t="s">
        <v>24</v>
      </c>
      <c r="Q3" s="45"/>
      <c r="R3" s="45" t="s">
        <v>25</v>
      </c>
      <c r="S3" s="45"/>
      <c r="T3" s="45" t="s">
        <v>22</v>
      </c>
      <c r="U3" s="45"/>
      <c r="V3" s="45" t="s">
        <v>22</v>
      </c>
      <c r="W3" s="45"/>
      <c r="X3" s="45" t="s">
        <v>24</v>
      </c>
      <c r="Y3" s="45"/>
      <c r="Z3" s="45" t="s">
        <v>25</v>
      </c>
      <c r="AA3" s="45"/>
      <c r="AB3" s="45" t="s">
        <v>22</v>
      </c>
      <c r="AC3" s="45"/>
      <c r="AD3" s="45" t="s">
        <v>23</v>
      </c>
      <c r="AE3" s="45"/>
      <c r="AF3" s="45" t="s">
        <v>24</v>
      </c>
      <c r="AG3" s="45"/>
      <c r="AH3" s="45" t="s">
        <v>25</v>
      </c>
      <c r="AI3" s="45"/>
      <c r="AJ3" s="45" t="s">
        <v>23</v>
      </c>
      <c r="AK3" s="45"/>
      <c r="AL3" s="45" t="s">
        <v>22</v>
      </c>
      <c r="AM3" s="45"/>
      <c r="AN3" s="45"/>
      <c r="AO3" s="45"/>
    </row>
    <row r="4" spans="1:41" ht="45" customHeight="1" x14ac:dyDescent="0.2">
      <c r="A4" s="32"/>
      <c r="B4" s="38" t="s">
        <v>26</v>
      </c>
      <c r="C4" s="42"/>
      <c r="D4" s="46" t="s">
        <v>27</v>
      </c>
      <c r="E4" s="46"/>
      <c r="F4" s="46"/>
      <c r="G4" s="46"/>
      <c r="H4" s="46" t="s">
        <v>28</v>
      </c>
      <c r="I4" s="46"/>
      <c r="J4" s="46" t="s">
        <v>29</v>
      </c>
      <c r="K4" s="46"/>
      <c r="L4" s="46" t="s">
        <v>30</v>
      </c>
      <c r="M4" s="46"/>
      <c r="N4" s="46" t="s">
        <v>31</v>
      </c>
      <c r="O4" s="46"/>
      <c r="P4" s="46" t="s">
        <v>32</v>
      </c>
      <c r="Q4" s="46"/>
      <c r="R4" s="46" t="s">
        <v>33</v>
      </c>
      <c r="S4" s="46"/>
      <c r="T4" s="46" t="s">
        <v>62</v>
      </c>
      <c r="U4" s="46"/>
      <c r="V4" s="46" t="s">
        <v>66</v>
      </c>
      <c r="W4" s="46"/>
      <c r="X4" s="46" t="s">
        <v>59</v>
      </c>
      <c r="Y4" s="46"/>
      <c r="Z4" s="46" t="s">
        <v>67</v>
      </c>
      <c r="AA4" s="46"/>
      <c r="AB4" s="46" t="s">
        <v>68</v>
      </c>
      <c r="AC4" s="46"/>
      <c r="AD4" s="46" t="s">
        <v>63</v>
      </c>
      <c r="AE4" s="46"/>
      <c r="AF4" s="46" t="s">
        <v>62</v>
      </c>
      <c r="AG4" s="46"/>
      <c r="AH4" s="46" t="s">
        <v>69</v>
      </c>
      <c r="AI4" s="46"/>
      <c r="AJ4" s="46" t="s">
        <v>64</v>
      </c>
      <c r="AK4" s="46"/>
      <c r="AL4" s="47" t="s">
        <v>71</v>
      </c>
      <c r="AM4" s="47"/>
      <c r="AN4" s="39"/>
      <c r="AO4" s="37"/>
    </row>
    <row r="5" spans="1:41" ht="14.25" customHeight="1" x14ac:dyDescent="0.2">
      <c r="A5" s="32"/>
      <c r="B5" s="40" t="s">
        <v>34</v>
      </c>
      <c r="C5" s="40"/>
      <c r="D5" s="45" t="s">
        <v>35</v>
      </c>
      <c r="E5" s="45"/>
      <c r="F5" s="32" t="s">
        <v>36</v>
      </c>
      <c r="G5" s="32"/>
      <c r="H5" s="45" t="s">
        <v>37</v>
      </c>
      <c r="I5" s="45"/>
      <c r="J5" s="41" t="s">
        <v>38</v>
      </c>
      <c r="K5" s="41"/>
      <c r="L5" s="41" t="s">
        <v>35</v>
      </c>
      <c r="M5" s="41"/>
      <c r="N5" s="41" t="s">
        <v>37</v>
      </c>
      <c r="O5" s="41"/>
      <c r="P5" s="41" t="s">
        <v>38</v>
      </c>
      <c r="Q5" s="41"/>
      <c r="R5" s="41" t="s">
        <v>35</v>
      </c>
      <c r="S5" s="41"/>
      <c r="T5" s="41" t="s">
        <v>37</v>
      </c>
      <c r="U5" s="41"/>
      <c r="V5" s="41" t="s">
        <v>38</v>
      </c>
      <c r="W5" s="41"/>
      <c r="X5" s="41" t="s">
        <v>35</v>
      </c>
      <c r="Y5" s="41"/>
      <c r="Z5" s="41" t="s">
        <v>37</v>
      </c>
      <c r="AA5" s="41"/>
      <c r="AB5" s="41" t="s">
        <v>38</v>
      </c>
      <c r="AC5" s="41"/>
      <c r="AD5" s="41" t="s">
        <v>35</v>
      </c>
      <c r="AE5" s="41"/>
      <c r="AF5" s="41" t="s">
        <v>37</v>
      </c>
      <c r="AG5" s="41"/>
      <c r="AH5" s="41" t="s">
        <v>38</v>
      </c>
      <c r="AI5" s="41"/>
      <c r="AJ5" s="41" t="s">
        <v>35</v>
      </c>
      <c r="AK5" s="41"/>
      <c r="AL5" s="41" t="s">
        <v>37</v>
      </c>
      <c r="AM5" s="41"/>
      <c r="AN5" s="37"/>
      <c r="AO5" s="37"/>
    </row>
    <row r="6" spans="1:41" x14ac:dyDescent="0.2">
      <c r="A6" s="3">
        <v>1</v>
      </c>
      <c r="B6" s="20" t="s">
        <v>42</v>
      </c>
      <c r="C6" s="6">
        <v>14</v>
      </c>
      <c r="D6" s="7">
        <v>77</v>
      </c>
      <c r="E6" s="8">
        <v>36</v>
      </c>
      <c r="F6" s="7"/>
      <c r="G6" s="8" t="s">
        <v>65</v>
      </c>
      <c r="H6" s="7">
        <v>83</v>
      </c>
      <c r="I6" s="8">
        <v>26.5</v>
      </c>
      <c r="J6" s="7"/>
      <c r="K6" s="8" t="s">
        <v>65</v>
      </c>
      <c r="L6" s="7">
        <v>85</v>
      </c>
      <c r="M6" s="8">
        <v>31</v>
      </c>
      <c r="N6" s="7">
        <v>85</v>
      </c>
      <c r="O6" s="8">
        <v>23</v>
      </c>
      <c r="P6" s="7">
        <v>80</v>
      </c>
      <c r="Q6" s="8">
        <v>26.5</v>
      </c>
      <c r="R6" s="7">
        <v>79</v>
      </c>
      <c r="S6" s="8">
        <v>25.5</v>
      </c>
      <c r="T6" s="7">
        <v>80</v>
      </c>
      <c r="U6" s="8">
        <v>28.5</v>
      </c>
      <c r="V6" s="7">
        <v>75</v>
      </c>
      <c r="W6" s="8">
        <v>29.5</v>
      </c>
      <c r="X6" s="7">
        <v>76</v>
      </c>
      <c r="Y6" s="8">
        <v>24</v>
      </c>
      <c r="Z6" s="7"/>
      <c r="AA6" s="8" t="s">
        <v>65</v>
      </c>
      <c r="AB6" s="7">
        <v>75</v>
      </c>
      <c r="AC6" s="8">
        <v>25</v>
      </c>
      <c r="AD6" s="7">
        <v>77</v>
      </c>
      <c r="AE6" s="8">
        <v>29</v>
      </c>
      <c r="AF6" s="7">
        <v>87</v>
      </c>
      <c r="AG6" s="8">
        <v>16.5</v>
      </c>
      <c r="AH6" s="7"/>
      <c r="AI6" s="8" t="s">
        <v>65</v>
      </c>
      <c r="AJ6" s="7">
        <v>82</v>
      </c>
      <c r="AK6" s="8">
        <v>11.5</v>
      </c>
      <c r="AL6" s="7">
        <v>82</v>
      </c>
      <c r="AM6" s="8">
        <v>31</v>
      </c>
      <c r="AN6" s="5">
        <v>288.5</v>
      </c>
      <c r="AO6" s="9">
        <v>25.964285714285715</v>
      </c>
    </row>
    <row r="7" spans="1:41" x14ac:dyDescent="0.2">
      <c r="A7" s="10">
        <v>1.1299999999999999</v>
      </c>
      <c r="B7" s="2" t="s">
        <v>40</v>
      </c>
      <c r="C7" s="2"/>
      <c r="D7" s="7">
        <v>40</v>
      </c>
      <c r="E7" s="11">
        <v>18</v>
      </c>
      <c r="F7" s="7"/>
      <c r="G7" s="11" t="s">
        <v>65</v>
      </c>
      <c r="H7" s="7">
        <v>37</v>
      </c>
      <c r="I7" s="11">
        <v>14</v>
      </c>
      <c r="J7" s="7"/>
      <c r="K7" s="11" t="s">
        <v>65</v>
      </c>
      <c r="L7" s="7">
        <v>33</v>
      </c>
      <c r="M7" s="11">
        <v>14</v>
      </c>
      <c r="N7" s="7">
        <v>35</v>
      </c>
      <c r="O7" s="11">
        <v>13.5</v>
      </c>
      <c r="P7" s="7">
        <v>34</v>
      </c>
      <c r="Q7" s="11">
        <v>10.5</v>
      </c>
      <c r="R7" s="7">
        <v>37</v>
      </c>
      <c r="S7" s="11">
        <v>17</v>
      </c>
      <c r="T7" s="7">
        <v>38</v>
      </c>
      <c r="U7" s="11">
        <v>15</v>
      </c>
      <c r="V7" s="7">
        <v>37</v>
      </c>
      <c r="W7" s="11">
        <v>15.5</v>
      </c>
      <c r="X7" s="7">
        <v>37</v>
      </c>
      <c r="Y7" s="11">
        <v>14</v>
      </c>
      <c r="Z7" s="7"/>
      <c r="AA7" s="11" t="s">
        <v>65</v>
      </c>
      <c r="AB7" s="7">
        <v>35</v>
      </c>
      <c r="AC7" s="11">
        <v>14</v>
      </c>
      <c r="AD7" s="7">
        <v>36</v>
      </c>
      <c r="AE7" s="11">
        <v>15</v>
      </c>
      <c r="AF7" s="7">
        <v>27</v>
      </c>
      <c r="AG7" s="11">
        <v>5.5</v>
      </c>
      <c r="AH7" s="7"/>
      <c r="AI7" s="11" t="s">
        <v>65</v>
      </c>
      <c r="AJ7" s="7">
        <v>30</v>
      </c>
      <c r="AK7" s="11">
        <v>6.5</v>
      </c>
      <c r="AL7" s="7">
        <v>34</v>
      </c>
      <c r="AM7" s="11">
        <v>13</v>
      </c>
      <c r="AN7" s="12">
        <v>35</v>
      </c>
      <c r="AO7" s="9">
        <v>13.25</v>
      </c>
    </row>
    <row r="8" spans="1:41" x14ac:dyDescent="0.2">
      <c r="A8" s="13">
        <v>1.0229999999999999</v>
      </c>
      <c r="B8" s="14" t="s">
        <v>41</v>
      </c>
      <c r="C8" s="15">
        <v>25</v>
      </c>
      <c r="D8" s="16">
        <v>35</v>
      </c>
      <c r="E8" s="17">
        <v>18</v>
      </c>
      <c r="F8" s="16"/>
      <c r="G8" s="17" t="s">
        <v>65</v>
      </c>
      <c r="H8" s="16">
        <v>4</v>
      </c>
      <c r="I8" s="17">
        <v>12.5</v>
      </c>
      <c r="J8" s="16"/>
      <c r="K8" s="17" t="s">
        <v>65</v>
      </c>
      <c r="L8" s="16">
        <v>38</v>
      </c>
      <c r="M8" s="17">
        <v>17</v>
      </c>
      <c r="N8" s="16">
        <v>-1E-3</v>
      </c>
      <c r="O8" s="17">
        <v>9.5</v>
      </c>
      <c r="P8" s="16">
        <v>16</v>
      </c>
      <c r="Q8" s="17">
        <v>16</v>
      </c>
      <c r="R8" s="16">
        <v>-2</v>
      </c>
      <c r="S8" s="17">
        <v>8.5</v>
      </c>
      <c r="T8" s="16">
        <v>5</v>
      </c>
      <c r="U8" s="17">
        <v>13.5</v>
      </c>
      <c r="V8" s="16">
        <v>16</v>
      </c>
      <c r="W8" s="17">
        <v>14</v>
      </c>
      <c r="X8" s="16">
        <v>2</v>
      </c>
      <c r="Y8" s="17">
        <v>10</v>
      </c>
      <c r="Z8" s="16"/>
      <c r="AA8" s="17" t="s">
        <v>65</v>
      </c>
      <c r="AB8" s="16">
        <v>2</v>
      </c>
      <c r="AC8" s="17">
        <v>11</v>
      </c>
      <c r="AD8" s="16">
        <v>9</v>
      </c>
      <c r="AE8" s="17">
        <v>14</v>
      </c>
      <c r="AF8" s="16">
        <v>1</v>
      </c>
      <c r="AG8" s="17">
        <v>11</v>
      </c>
      <c r="AH8" s="16"/>
      <c r="AI8" s="17" t="s">
        <v>65</v>
      </c>
      <c r="AJ8" s="16">
        <v>-11</v>
      </c>
      <c r="AK8" s="17">
        <v>5</v>
      </c>
      <c r="AL8" s="16">
        <v>23</v>
      </c>
      <c r="AM8" s="17">
        <v>18</v>
      </c>
      <c r="AN8" s="18">
        <v>137.999</v>
      </c>
      <c r="AO8" s="19">
        <v>12.714285714285714</v>
      </c>
    </row>
    <row r="9" spans="1:41" x14ac:dyDescent="0.2">
      <c r="A9" s="3">
        <v>2</v>
      </c>
      <c r="B9" s="4" t="s">
        <v>45</v>
      </c>
      <c r="C9" s="6">
        <v>14</v>
      </c>
      <c r="D9" s="7">
        <v>80</v>
      </c>
      <c r="E9" s="8">
        <v>23</v>
      </c>
      <c r="F9" s="7"/>
      <c r="G9" s="8" t="s">
        <v>65</v>
      </c>
      <c r="H9" s="7"/>
      <c r="I9" s="8" t="s">
        <v>65</v>
      </c>
      <c r="J9" s="7">
        <v>81</v>
      </c>
      <c r="K9" s="8">
        <v>21.5</v>
      </c>
      <c r="L9" s="7">
        <v>83</v>
      </c>
      <c r="M9" s="8">
        <v>29</v>
      </c>
      <c r="N9" s="7">
        <v>84</v>
      </c>
      <c r="O9" s="8">
        <v>17.5</v>
      </c>
      <c r="P9" s="7">
        <v>79</v>
      </c>
      <c r="Q9" s="8">
        <v>21.5</v>
      </c>
      <c r="R9" s="7">
        <v>79</v>
      </c>
      <c r="S9" s="8">
        <v>29.5</v>
      </c>
      <c r="T9" s="7">
        <v>76</v>
      </c>
      <c r="U9" s="8">
        <v>35</v>
      </c>
      <c r="V9" s="7">
        <v>81</v>
      </c>
      <c r="W9" s="8">
        <v>18</v>
      </c>
      <c r="X9" s="7">
        <v>75</v>
      </c>
      <c r="Y9" s="8">
        <v>31</v>
      </c>
      <c r="Z9" s="7"/>
      <c r="AA9" s="8" t="s">
        <v>65</v>
      </c>
      <c r="AB9" s="7">
        <v>82</v>
      </c>
      <c r="AC9" s="8">
        <v>22.5</v>
      </c>
      <c r="AD9" s="7">
        <v>75</v>
      </c>
      <c r="AE9" s="8">
        <v>32</v>
      </c>
      <c r="AF9" s="7">
        <v>86</v>
      </c>
      <c r="AG9" s="8">
        <v>23</v>
      </c>
      <c r="AH9" s="7">
        <v>76</v>
      </c>
      <c r="AI9" s="8">
        <v>21</v>
      </c>
      <c r="AJ9" s="7">
        <v>78</v>
      </c>
      <c r="AK9" s="8">
        <v>24.5</v>
      </c>
      <c r="AL9" s="7"/>
      <c r="AM9" s="8" t="s">
        <v>65</v>
      </c>
      <c r="AN9" s="5">
        <v>271</v>
      </c>
      <c r="AO9" s="9">
        <v>24.928571428571427</v>
      </c>
    </row>
    <row r="10" spans="1:41" x14ac:dyDescent="0.2">
      <c r="A10" s="10">
        <v>2.15</v>
      </c>
      <c r="B10" s="2" t="s">
        <v>40</v>
      </c>
      <c r="C10" s="2"/>
      <c r="D10" s="7">
        <v>34</v>
      </c>
      <c r="E10" s="11">
        <v>16</v>
      </c>
      <c r="F10" s="7"/>
      <c r="G10" s="11" t="s">
        <v>65</v>
      </c>
      <c r="H10" s="7"/>
      <c r="I10" s="11" t="s">
        <v>65</v>
      </c>
      <c r="J10" s="7">
        <v>32</v>
      </c>
      <c r="K10" s="11">
        <v>12.5</v>
      </c>
      <c r="L10" s="7">
        <v>33</v>
      </c>
      <c r="M10" s="11">
        <v>14</v>
      </c>
      <c r="N10" s="7">
        <v>34</v>
      </c>
      <c r="O10" s="11">
        <v>11.5</v>
      </c>
      <c r="P10" s="7">
        <v>36</v>
      </c>
      <c r="Q10" s="11">
        <v>13.5</v>
      </c>
      <c r="R10" s="7">
        <v>36</v>
      </c>
      <c r="S10" s="11">
        <v>15.5</v>
      </c>
      <c r="T10" s="7">
        <v>41</v>
      </c>
      <c r="U10" s="11">
        <v>18</v>
      </c>
      <c r="V10" s="7">
        <v>33</v>
      </c>
      <c r="W10" s="11">
        <v>9.5</v>
      </c>
      <c r="X10" s="7">
        <v>39</v>
      </c>
      <c r="Y10" s="11">
        <v>16.5</v>
      </c>
      <c r="Z10" s="7"/>
      <c r="AA10" s="11" t="s">
        <v>65</v>
      </c>
      <c r="AB10" s="7">
        <v>28</v>
      </c>
      <c r="AC10" s="11">
        <v>7.5</v>
      </c>
      <c r="AD10" s="7">
        <v>38</v>
      </c>
      <c r="AE10" s="11">
        <v>16</v>
      </c>
      <c r="AF10" s="7">
        <v>29</v>
      </c>
      <c r="AG10" s="11">
        <v>8</v>
      </c>
      <c r="AH10" s="7">
        <v>34</v>
      </c>
      <c r="AI10" s="11">
        <v>12</v>
      </c>
      <c r="AJ10" s="7">
        <v>34</v>
      </c>
      <c r="AK10" s="11">
        <v>13</v>
      </c>
      <c r="AL10" s="7"/>
      <c r="AM10" s="11" t="s">
        <v>65</v>
      </c>
      <c r="AN10" s="12">
        <v>34.357142857142854</v>
      </c>
      <c r="AO10" s="9">
        <v>13.107142857142858</v>
      </c>
    </row>
    <row r="11" spans="1:41" x14ac:dyDescent="0.2">
      <c r="A11" s="13">
        <v>2.0249999999999999</v>
      </c>
      <c r="B11" s="14" t="s">
        <v>41</v>
      </c>
      <c r="C11" s="15">
        <v>21.5</v>
      </c>
      <c r="D11" s="16">
        <v>-10</v>
      </c>
      <c r="E11" s="17">
        <v>7</v>
      </c>
      <c r="F11" s="16"/>
      <c r="G11" s="17" t="s">
        <v>65</v>
      </c>
      <c r="H11" s="16"/>
      <c r="I11" s="17" t="s">
        <v>65</v>
      </c>
      <c r="J11" s="16">
        <v>-15</v>
      </c>
      <c r="K11" s="17">
        <v>9</v>
      </c>
      <c r="L11" s="16">
        <v>20</v>
      </c>
      <c r="M11" s="17">
        <v>15</v>
      </c>
      <c r="N11" s="16">
        <v>-16</v>
      </c>
      <c r="O11" s="17">
        <v>6</v>
      </c>
      <c r="P11" s="16">
        <v>-4</v>
      </c>
      <c r="Q11" s="17">
        <v>8</v>
      </c>
      <c r="R11" s="16">
        <v>12</v>
      </c>
      <c r="S11" s="17">
        <v>14</v>
      </c>
      <c r="T11" s="16">
        <v>25</v>
      </c>
      <c r="U11" s="17">
        <v>17</v>
      </c>
      <c r="V11" s="16">
        <v>-8</v>
      </c>
      <c r="W11" s="17">
        <v>8.5</v>
      </c>
      <c r="X11" s="16">
        <v>14</v>
      </c>
      <c r="Y11" s="17">
        <v>14.5</v>
      </c>
      <c r="Z11" s="16"/>
      <c r="AA11" s="17" t="s">
        <v>65</v>
      </c>
      <c r="AB11" s="16">
        <v>16</v>
      </c>
      <c r="AC11" s="17">
        <v>15</v>
      </c>
      <c r="AD11" s="16">
        <v>24</v>
      </c>
      <c r="AE11" s="17">
        <v>16</v>
      </c>
      <c r="AF11" s="16">
        <v>12</v>
      </c>
      <c r="AG11" s="17">
        <v>15</v>
      </c>
      <c r="AH11" s="16">
        <v>-4</v>
      </c>
      <c r="AI11" s="17">
        <v>9</v>
      </c>
      <c r="AJ11" s="16">
        <v>7</v>
      </c>
      <c r="AK11" s="17">
        <v>11.5</v>
      </c>
      <c r="AL11" s="16"/>
      <c r="AM11" s="17" t="s">
        <v>65</v>
      </c>
      <c r="AN11" s="18">
        <v>73</v>
      </c>
      <c r="AO11" s="19">
        <v>11.821428571428571</v>
      </c>
    </row>
    <row r="12" spans="1:41" x14ac:dyDescent="0.2">
      <c r="A12" s="3">
        <v>3</v>
      </c>
      <c r="B12" s="4" t="s">
        <v>52</v>
      </c>
      <c r="C12" s="6">
        <v>13</v>
      </c>
      <c r="D12" s="7">
        <v>96</v>
      </c>
      <c r="E12" s="8">
        <v>24.5</v>
      </c>
      <c r="F12" s="7"/>
      <c r="G12" s="8" t="s">
        <v>65</v>
      </c>
      <c r="H12" s="7">
        <v>95</v>
      </c>
      <c r="I12" s="8">
        <v>27</v>
      </c>
      <c r="J12" s="7"/>
      <c r="K12" s="8" t="s">
        <v>65</v>
      </c>
      <c r="L12" s="7">
        <v>102</v>
      </c>
      <c r="M12" s="8">
        <v>9</v>
      </c>
      <c r="N12" s="7">
        <v>98</v>
      </c>
      <c r="O12" s="8">
        <v>18.5</v>
      </c>
      <c r="P12" s="7"/>
      <c r="Q12" s="8" t="s">
        <v>65</v>
      </c>
      <c r="R12" s="7">
        <v>99</v>
      </c>
      <c r="S12" s="8">
        <v>9.5</v>
      </c>
      <c r="T12" s="7">
        <v>87</v>
      </c>
      <c r="U12" s="8">
        <v>30.5</v>
      </c>
      <c r="V12" s="7">
        <v>89</v>
      </c>
      <c r="W12" s="8">
        <v>23.5</v>
      </c>
      <c r="X12" s="7">
        <v>93</v>
      </c>
      <c r="Y12" s="8">
        <v>12</v>
      </c>
      <c r="Z12" s="7">
        <v>96</v>
      </c>
      <c r="AA12" s="8">
        <v>23.5</v>
      </c>
      <c r="AB12" s="7">
        <v>92</v>
      </c>
      <c r="AC12" s="8">
        <v>20</v>
      </c>
      <c r="AD12" s="7"/>
      <c r="AE12" s="8" t="s">
        <v>65</v>
      </c>
      <c r="AF12" s="7">
        <v>89</v>
      </c>
      <c r="AG12" s="8">
        <v>34</v>
      </c>
      <c r="AH12" s="7">
        <v>86</v>
      </c>
      <c r="AI12" s="8">
        <v>28</v>
      </c>
      <c r="AJ12" s="7">
        <v>82</v>
      </c>
      <c r="AK12" s="8">
        <v>39.5</v>
      </c>
      <c r="AL12" s="7"/>
      <c r="AM12" s="8" t="s">
        <v>65</v>
      </c>
      <c r="AN12" s="5">
        <v>269</v>
      </c>
      <c r="AO12" s="9">
        <v>23.03846153846154</v>
      </c>
    </row>
    <row r="13" spans="1:41" x14ac:dyDescent="0.2">
      <c r="A13" s="10">
        <v>3.19</v>
      </c>
      <c r="B13" s="2" t="s">
        <v>40</v>
      </c>
      <c r="C13" s="2"/>
      <c r="D13" s="7">
        <v>31</v>
      </c>
      <c r="E13" s="11">
        <v>10</v>
      </c>
      <c r="F13" s="7"/>
      <c r="G13" s="11" t="s">
        <v>65</v>
      </c>
      <c r="H13" s="7">
        <v>35</v>
      </c>
      <c r="I13" s="11">
        <v>13</v>
      </c>
      <c r="J13" s="7"/>
      <c r="K13" s="11" t="s">
        <v>65</v>
      </c>
      <c r="L13" s="7">
        <v>23</v>
      </c>
      <c r="M13" s="11">
        <v>6</v>
      </c>
      <c r="N13" s="7">
        <v>30</v>
      </c>
      <c r="O13" s="11">
        <v>9</v>
      </c>
      <c r="P13" s="7"/>
      <c r="Q13" s="11" t="s">
        <v>65</v>
      </c>
      <c r="R13" s="7">
        <v>25</v>
      </c>
      <c r="S13" s="11">
        <v>3</v>
      </c>
      <c r="T13" s="7">
        <v>40</v>
      </c>
      <c r="U13" s="11">
        <v>17</v>
      </c>
      <c r="V13" s="7">
        <v>34</v>
      </c>
      <c r="W13" s="11">
        <v>11.5</v>
      </c>
      <c r="X13" s="7">
        <v>31</v>
      </c>
      <c r="Y13" s="11">
        <v>7</v>
      </c>
      <c r="Z13" s="7">
        <v>31</v>
      </c>
      <c r="AA13" s="11">
        <v>7.5</v>
      </c>
      <c r="AB13" s="7">
        <v>30</v>
      </c>
      <c r="AC13" s="11">
        <v>11</v>
      </c>
      <c r="AD13" s="7"/>
      <c r="AE13" s="11" t="s">
        <v>65</v>
      </c>
      <c r="AF13" s="7">
        <v>37</v>
      </c>
      <c r="AG13" s="11">
        <v>16</v>
      </c>
      <c r="AH13" s="7">
        <v>35</v>
      </c>
      <c r="AI13" s="11">
        <v>14</v>
      </c>
      <c r="AJ13" s="7">
        <v>41</v>
      </c>
      <c r="AK13" s="11">
        <v>19.5</v>
      </c>
      <c r="AL13" s="7"/>
      <c r="AM13" s="11" t="s">
        <v>65</v>
      </c>
      <c r="AN13" s="12">
        <v>32.53846153846154</v>
      </c>
      <c r="AO13" s="9">
        <v>11.115384615384615</v>
      </c>
    </row>
    <row r="14" spans="1:41" x14ac:dyDescent="0.2">
      <c r="A14" s="13">
        <v>3.0289999999999999</v>
      </c>
      <c r="B14" s="14" t="s">
        <v>41</v>
      </c>
      <c r="C14" s="15">
        <v>18.5</v>
      </c>
      <c r="D14" s="16">
        <v>10</v>
      </c>
      <c r="E14" s="17">
        <v>14.5</v>
      </c>
      <c r="F14" s="16"/>
      <c r="G14" s="17" t="s">
        <v>65</v>
      </c>
      <c r="H14" s="16">
        <v>17</v>
      </c>
      <c r="I14" s="17">
        <v>14</v>
      </c>
      <c r="J14" s="16"/>
      <c r="K14" s="17" t="s">
        <v>65</v>
      </c>
      <c r="L14" s="16">
        <v>-74</v>
      </c>
      <c r="M14" s="17">
        <v>3</v>
      </c>
      <c r="N14" s="16">
        <v>-1E-3</v>
      </c>
      <c r="O14" s="17">
        <v>9.5</v>
      </c>
      <c r="P14" s="16"/>
      <c r="Q14" s="17" t="s">
        <v>65</v>
      </c>
      <c r="R14" s="16">
        <v>-10</v>
      </c>
      <c r="S14" s="17">
        <v>6.5</v>
      </c>
      <c r="T14" s="16">
        <v>5</v>
      </c>
      <c r="U14" s="17">
        <v>13.5</v>
      </c>
      <c r="V14" s="16">
        <v>12</v>
      </c>
      <c r="W14" s="17">
        <v>12</v>
      </c>
      <c r="X14" s="16">
        <v>-12</v>
      </c>
      <c r="Y14" s="17">
        <v>5</v>
      </c>
      <c r="Z14" s="16">
        <v>18</v>
      </c>
      <c r="AA14" s="17">
        <v>16</v>
      </c>
      <c r="AB14" s="16">
        <v>-2</v>
      </c>
      <c r="AC14" s="17">
        <v>9</v>
      </c>
      <c r="AD14" s="16"/>
      <c r="AE14" s="17" t="s">
        <v>65</v>
      </c>
      <c r="AF14" s="16">
        <v>28</v>
      </c>
      <c r="AG14" s="17">
        <v>18</v>
      </c>
      <c r="AH14" s="16">
        <v>15</v>
      </c>
      <c r="AI14" s="17">
        <v>14</v>
      </c>
      <c r="AJ14" s="16">
        <v>39</v>
      </c>
      <c r="AK14" s="17">
        <v>20</v>
      </c>
      <c r="AL14" s="16"/>
      <c r="AM14" s="17" t="s">
        <v>65</v>
      </c>
      <c r="AN14" s="18">
        <v>45.999000000000002</v>
      </c>
      <c r="AO14" s="19">
        <v>11.923076923076923</v>
      </c>
    </row>
    <row r="15" spans="1:41" x14ac:dyDescent="0.2">
      <c r="A15" s="3">
        <v>4</v>
      </c>
      <c r="B15" s="20" t="s">
        <v>47</v>
      </c>
      <c r="C15" s="6">
        <v>12</v>
      </c>
      <c r="D15" s="7">
        <v>83</v>
      </c>
      <c r="E15" s="8">
        <v>26.5</v>
      </c>
      <c r="F15" s="7"/>
      <c r="G15" s="8" t="s">
        <v>65</v>
      </c>
      <c r="H15" s="7"/>
      <c r="I15" s="8" t="s">
        <v>65</v>
      </c>
      <c r="J15" s="7">
        <v>84</v>
      </c>
      <c r="K15" s="8">
        <v>24</v>
      </c>
      <c r="L15" s="7">
        <v>87</v>
      </c>
      <c r="M15" s="8">
        <v>23</v>
      </c>
      <c r="N15" s="7">
        <v>83</v>
      </c>
      <c r="O15" s="8">
        <v>29</v>
      </c>
      <c r="P15" s="7"/>
      <c r="Q15" s="8" t="s">
        <v>65</v>
      </c>
      <c r="R15" s="7">
        <v>88</v>
      </c>
      <c r="S15" s="8">
        <v>10.5</v>
      </c>
      <c r="T15" s="7">
        <v>81</v>
      </c>
      <c r="U15" s="8">
        <v>33</v>
      </c>
      <c r="V15" s="7">
        <v>84</v>
      </c>
      <c r="W15" s="8">
        <v>22</v>
      </c>
      <c r="X15" s="7">
        <v>85</v>
      </c>
      <c r="Y15" s="8">
        <v>24.5</v>
      </c>
      <c r="Z15" s="7">
        <v>82</v>
      </c>
      <c r="AA15" s="8">
        <v>20</v>
      </c>
      <c r="AB15" s="7"/>
      <c r="AC15" s="8" t="s">
        <v>65</v>
      </c>
      <c r="AD15" s="7">
        <v>86</v>
      </c>
      <c r="AE15" s="8">
        <v>21</v>
      </c>
      <c r="AF15" s="7">
        <v>84</v>
      </c>
      <c r="AG15" s="8">
        <v>19</v>
      </c>
      <c r="AH15" s="7"/>
      <c r="AI15" s="8" t="s">
        <v>65</v>
      </c>
      <c r="AJ15" s="7">
        <v>81</v>
      </c>
      <c r="AK15" s="8">
        <v>33.5</v>
      </c>
      <c r="AL15" s="7"/>
      <c r="AM15" s="8" t="s">
        <v>65</v>
      </c>
      <c r="AN15" s="5">
        <v>256.5</v>
      </c>
      <c r="AO15" s="9">
        <v>23.833333333333332</v>
      </c>
    </row>
    <row r="16" spans="1:41" x14ac:dyDescent="0.2">
      <c r="A16" s="10">
        <v>4.1399999999999997</v>
      </c>
      <c r="B16" s="2" t="s">
        <v>40</v>
      </c>
      <c r="C16" s="2"/>
      <c r="D16" s="7">
        <v>33</v>
      </c>
      <c r="E16" s="11">
        <v>14.5</v>
      </c>
      <c r="F16" s="7"/>
      <c r="G16" s="11" t="s">
        <v>65</v>
      </c>
      <c r="H16" s="7"/>
      <c r="I16" s="11" t="s">
        <v>65</v>
      </c>
      <c r="J16" s="7">
        <v>30</v>
      </c>
      <c r="K16" s="11">
        <v>11</v>
      </c>
      <c r="L16" s="7">
        <v>31</v>
      </c>
      <c r="M16" s="11">
        <v>11</v>
      </c>
      <c r="N16" s="7">
        <v>36</v>
      </c>
      <c r="O16" s="11">
        <v>15</v>
      </c>
      <c r="P16" s="7"/>
      <c r="Q16" s="11" t="s">
        <v>65</v>
      </c>
      <c r="R16" s="7">
        <v>29</v>
      </c>
      <c r="S16" s="11">
        <v>6.5</v>
      </c>
      <c r="T16" s="7">
        <v>38</v>
      </c>
      <c r="U16" s="11">
        <v>15</v>
      </c>
      <c r="V16" s="7">
        <v>30</v>
      </c>
      <c r="W16" s="11">
        <v>8</v>
      </c>
      <c r="X16" s="7">
        <v>32</v>
      </c>
      <c r="Y16" s="11">
        <v>8</v>
      </c>
      <c r="Z16" s="7">
        <v>37</v>
      </c>
      <c r="AA16" s="11">
        <v>17</v>
      </c>
      <c r="AB16" s="7"/>
      <c r="AC16" s="11" t="s">
        <v>65</v>
      </c>
      <c r="AD16" s="7">
        <v>32</v>
      </c>
      <c r="AE16" s="11">
        <v>10</v>
      </c>
      <c r="AF16" s="7">
        <v>35</v>
      </c>
      <c r="AG16" s="11">
        <v>15</v>
      </c>
      <c r="AH16" s="7"/>
      <c r="AI16" s="11" t="s">
        <v>65</v>
      </c>
      <c r="AJ16" s="7">
        <v>36</v>
      </c>
      <c r="AK16" s="11">
        <v>14.5</v>
      </c>
      <c r="AL16" s="7"/>
      <c r="AM16" s="11" t="s">
        <v>65</v>
      </c>
      <c r="AN16" s="12">
        <v>33.25</v>
      </c>
      <c r="AO16" s="9">
        <v>12.125</v>
      </c>
    </row>
    <row r="17" spans="1:41" x14ac:dyDescent="0.2">
      <c r="A17" s="13">
        <v>4.024</v>
      </c>
      <c r="B17" s="14" t="s">
        <v>41</v>
      </c>
      <c r="C17" s="15">
        <v>20</v>
      </c>
      <c r="D17" s="16">
        <v>5</v>
      </c>
      <c r="E17" s="17">
        <v>12</v>
      </c>
      <c r="F17" s="16"/>
      <c r="G17" s="17" t="s">
        <v>65</v>
      </c>
      <c r="H17" s="16"/>
      <c r="I17" s="17" t="s">
        <v>65</v>
      </c>
      <c r="J17" s="16">
        <v>41</v>
      </c>
      <c r="K17" s="17">
        <v>13</v>
      </c>
      <c r="L17" s="16">
        <v>8</v>
      </c>
      <c r="M17" s="17">
        <v>12</v>
      </c>
      <c r="N17" s="16">
        <v>12</v>
      </c>
      <c r="O17" s="17">
        <v>14</v>
      </c>
      <c r="P17" s="16"/>
      <c r="Q17" s="17" t="s">
        <v>65</v>
      </c>
      <c r="R17" s="16">
        <v>-32</v>
      </c>
      <c r="S17" s="17">
        <v>4</v>
      </c>
      <c r="T17" s="16">
        <v>29</v>
      </c>
      <c r="U17" s="17">
        <v>18</v>
      </c>
      <c r="V17" s="16">
        <v>16</v>
      </c>
      <c r="W17" s="17">
        <v>14</v>
      </c>
      <c r="X17" s="16">
        <v>18</v>
      </c>
      <c r="Y17" s="17">
        <v>16.5</v>
      </c>
      <c r="Z17" s="16">
        <v>-57</v>
      </c>
      <c r="AA17" s="17">
        <v>3</v>
      </c>
      <c r="AB17" s="16"/>
      <c r="AC17" s="17" t="s">
        <v>65</v>
      </c>
      <c r="AD17" s="16">
        <v>1</v>
      </c>
      <c r="AE17" s="17">
        <v>11</v>
      </c>
      <c r="AF17" s="16">
        <v>-23</v>
      </c>
      <c r="AG17" s="17">
        <v>4</v>
      </c>
      <c r="AH17" s="16"/>
      <c r="AI17" s="17" t="s">
        <v>65</v>
      </c>
      <c r="AJ17" s="16">
        <v>18</v>
      </c>
      <c r="AK17" s="17">
        <v>19</v>
      </c>
      <c r="AL17" s="16"/>
      <c r="AM17" s="17" t="s">
        <v>65</v>
      </c>
      <c r="AN17" s="18">
        <v>36</v>
      </c>
      <c r="AO17" s="19">
        <v>11.708333333333334</v>
      </c>
    </row>
    <row r="18" spans="1:41" x14ac:dyDescent="0.2">
      <c r="A18" s="3">
        <v>4</v>
      </c>
      <c r="B18" s="4" t="s">
        <v>46</v>
      </c>
      <c r="C18" s="6">
        <v>13</v>
      </c>
      <c r="D18" s="7">
        <v>85</v>
      </c>
      <c r="E18" s="8">
        <v>22</v>
      </c>
      <c r="F18" s="7"/>
      <c r="G18" s="8" t="s">
        <v>65</v>
      </c>
      <c r="H18" s="7"/>
      <c r="I18" s="8" t="s">
        <v>65</v>
      </c>
      <c r="J18" s="7"/>
      <c r="K18" s="8" t="s">
        <v>65</v>
      </c>
      <c r="L18" s="7">
        <v>80</v>
      </c>
      <c r="M18" s="8">
        <v>34</v>
      </c>
      <c r="N18" s="7">
        <v>80</v>
      </c>
      <c r="O18" s="8">
        <v>32.5</v>
      </c>
      <c r="P18" s="7">
        <v>74</v>
      </c>
      <c r="Q18" s="8">
        <v>22</v>
      </c>
      <c r="R18" s="7">
        <v>81</v>
      </c>
      <c r="S18" s="8">
        <v>21.5</v>
      </c>
      <c r="T18" s="7">
        <v>83</v>
      </c>
      <c r="U18" s="8">
        <v>23.5</v>
      </c>
      <c r="V18" s="7">
        <v>77</v>
      </c>
      <c r="W18" s="8">
        <v>18</v>
      </c>
      <c r="X18" s="7"/>
      <c r="Y18" s="8" t="s">
        <v>65</v>
      </c>
      <c r="Z18" s="7">
        <v>76</v>
      </c>
      <c r="AA18" s="8">
        <v>36</v>
      </c>
      <c r="AB18" s="7">
        <v>80</v>
      </c>
      <c r="AC18" s="8">
        <v>14</v>
      </c>
      <c r="AD18" s="7"/>
      <c r="AE18" s="8" t="s">
        <v>65</v>
      </c>
      <c r="AF18" s="7">
        <v>83</v>
      </c>
      <c r="AG18" s="8">
        <v>14</v>
      </c>
      <c r="AH18" s="7">
        <v>81</v>
      </c>
      <c r="AI18" s="8">
        <v>13.5</v>
      </c>
      <c r="AJ18" s="7">
        <v>81</v>
      </c>
      <c r="AK18" s="8">
        <v>23.5</v>
      </c>
      <c r="AL18" s="7">
        <v>75</v>
      </c>
      <c r="AM18" s="8">
        <v>23.5</v>
      </c>
      <c r="AN18" s="5">
        <v>256.5</v>
      </c>
      <c r="AO18" s="9">
        <v>22.923076923076923</v>
      </c>
    </row>
    <row r="19" spans="1:41" x14ac:dyDescent="0.2">
      <c r="A19" s="10">
        <v>4.1109999999999998</v>
      </c>
      <c r="B19" s="2" t="s">
        <v>40</v>
      </c>
      <c r="C19" s="2"/>
      <c r="D19" s="7">
        <v>32</v>
      </c>
      <c r="E19" s="11">
        <v>12.5</v>
      </c>
      <c r="F19" s="7"/>
      <c r="G19" s="11" t="s">
        <v>65</v>
      </c>
      <c r="H19" s="7"/>
      <c r="I19" s="11" t="s">
        <v>65</v>
      </c>
      <c r="J19" s="7"/>
      <c r="K19" s="11" t="s">
        <v>65</v>
      </c>
      <c r="L19" s="7">
        <v>37</v>
      </c>
      <c r="M19" s="11">
        <v>18</v>
      </c>
      <c r="N19" s="7">
        <v>37</v>
      </c>
      <c r="O19" s="11">
        <v>16.5</v>
      </c>
      <c r="P19" s="7">
        <v>39</v>
      </c>
      <c r="Q19" s="11">
        <v>15.5</v>
      </c>
      <c r="R19" s="7">
        <v>34</v>
      </c>
      <c r="S19" s="11">
        <v>13</v>
      </c>
      <c r="T19" s="7">
        <v>33</v>
      </c>
      <c r="U19" s="11">
        <v>8.5</v>
      </c>
      <c r="V19" s="7">
        <v>33</v>
      </c>
      <c r="W19" s="11">
        <v>9.5</v>
      </c>
      <c r="X19" s="7"/>
      <c r="Y19" s="11" t="s">
        <v>65</v>
      </c>
      <c r="Z19" s="7">
        <v>38</v>
      </c>
      <c r="AA19" s="11">
        <v>18</v>
      </c>
      <c r="AB19" s="7">
        <v>29</v>
      </c>
      <c r="AC19" s="11">
        <v>9</v>
      </c>
      <c r="AD19" s="7"/>
      <c r="AE19" s="11" t="s">
        <v>65</v>
      </c>
      <c r="AF19" s="7">
        <v>29</v>
      </c>
      <c r="AG19" s="11">
        <v>8</v>
      </c>
      <c r="AH19" s="7">
        <v>28</v>
      </c>
      <c r="AI19" s="11">
        <v>5.5</v>
      </c>
      <c r="AJ19" s="7">
        <v>30</v>
      </c>
      <c r="AK19" s="11">
        <v>6.5</v>
      </c>
      <c r="AL19" s="7">
        <v>37</v>
      </c>
      <c r="AM19" s="11">
        <v>17</v>
      </c>
      <c r="AN19" s="12">
        <v>33.53846153846154</v>
      </c>
      <c r="AO19" s="9">
        <v>12.115384615384615</v>
      </c>
    </row>
    <row r="20" spans="1:41" x14ac:dyDescent="0.2">
      <c r="A20" s="13">
        <v>4.0210999999999997</v>
      </c>
      <c r="B20" s="14" t="s">
        <v>41</v>
      </c>
      <c r="C20" s="15">
        <v>18</v>
      </c>
      <c r="D20" s="16">
        <v>-8</v>
      </c>
      <c r="E20" s="17">
        <v>9.5</v>
      </c>
      <c r="F20" s="16"/>
      <c r="G20" s="17" t="s">
        <v>65</v>
      </c>
      <c r="H20" s="16"/>
      <c r="I20" s="17" t="s">
        <v>65</v>
      </c>
      <c r="J20" s="16"/>
      <c r="K20" s="17" t="s">
        <v>65</v>
      </c>
      <c r="L20" s="16">
        <v>28</v>
      </c>
      <c r="M20" s="17">
        <v>16</v>
      </c>
      <c r="N20" s="16">
        <v>17</v>
      </c>
      <c r="O20" s="17">
        <v>16</v>
      </c>
      <c r="P20" s="16">
        <v>-8</v>
      </c>
      <c r="Q20" s="17">
        <v>6.5</v>
      </c>
      <c r="R20" s="16">
        <v>-2</v>
      </c>
      <c r="S20" s="17">
        <v>8.5</v>
      </c>
      <c r="T20" s="16">
        <v>13</v>
      </c>
      <c r="U20" s="17">
        <v>15</v>
      </c>
      <c r="V20" s="16">
        <v>-8</v>
      </c>
      <c r="W20" s="17">
        <v>8.5</v>
      </c>
      <c r="X20" s="16"/>
      <c r="Y20" s="17" t="s">
        <v>65</v>
      </c>
      <c r="Z20" s="16">
        <v>45</v>
      </c>
      <c r="AA20" s="17">
        <v>18</v>
      </c>
      <c r="AB20" s="16">
        <v>-22</v>
      </c>
      <c r="AC20" s="17">
        <v>5</v>
      </c>
      <c r="AD20" s="16"/>
      <c r="AE20" s="17" t="s">
        <v>65</v>
      </c>
      <c r="AF20" s="16">
        <v>-13</v>
      </c>
      <c r="AG20" s="17">
        <v>6</v>
      </c>
      <c r="AH20" s="16">
        <v>-7</v>
      </c>
      <c r="AI20" s="17">
        <v>8</v>
      </c>
      <c r="AJ20" s="16">
        <v>14</v>
      </c>
      <c r="AK20" s="17">
        <v>17</v>
      </c>
      <c r="AL20" s="16">
        <v>-11</v>
      </c>
      <c r="AM20" s="17">
        <v>6.5</v>
      </c>
      <c r="AN20" s="18">
        <v>38</v>
      </c>
      <c r="AO20" s="19">
        <v>10.807692307692308</v>
      </c>
    </row>
    <row r="21" spans="1:41" x14ac:dyDescent="0.2">
      <c r="A21" s="3">
        <v>6</v>
      </c>
      <c r="B21" s="4" t="s">
        <v>43</v>
      </c>
      <c r="C21" s="6">
        <v>15</v>
      </c>
      <c r="D21" s="7">
        <v>82</v>
      </c>
      <c r="E21" s="8">
        <v>22</v>
      </c>
      <c r="F21" s="7"/>
      <c r="G21" s="8" t="s">
        <v>65</v>
      </c>
      <c r="H21" s="7">
        <v>81</v>
      </c>
      <c r="I21" s="8">
        <v>23.5</v>
      </c>
      <c r="J21" s="7">
        <v>76</v>
      </c>
      <c r="K21" s="8">
        <v>26</v>
      </c>
      <c r="L21" s="7">
        <v>80</v>
      </c>
      <c r="M21" s="8">
        <v>22</v>
      </c>
      <c r="N21" s="7">
        <v>85</v>
      </c>
      <c r="O21" s="8">
        <v>11.5</v>
      </c>
      <c r="P21" s="7">
        <v>76</v>
      </c>
      <c r="Q21" s="8">
        <v>23.5</v>
      </c>
      <c r="R21" s="7">
        <v>74</v>
      </c>
      <c r="S21" s="8">
        <v>28.5</v>
      </c>
      <c r="T21" s="7">
        <v>80</v>
      </c>
      <c r="U21" s="8">
        <v>16.5</v>
      </c>
      <c r="V21" s="7">
        <v>74</v>
      </c>
      <c r="W21" s="8">
        <v>18.5</v>
      </c>
      <c r="X21" s="7">
        <v>82</v>
      </c>
      <c r="Y21" s="8">
        <v>8.5</v>
      </c>
      <c r="Z21" s="7">
        <v>82</v>
      </c>
      <c r="AA21" s="8">
        <v>13</v>
      </c>
      <c r="AB21" s="7"/>
      <c r="AC21" s="8" t="s">
        <v>65</v>
      </c>
      <c r="AD21" s="7">
        <v>76</v>
      </c>
      <c r="AE21" s="8">
        <v>27</v>
      </c>
      <c r="AF21" s="7"/>
      <c r="AG21" s="8" t="s">
        <v>65</v>
      </c>
      <c r="AH21" s="7">
        <v>76</v>
      </c>
      <c r="AI21" s="8">
        <v>21</v>
      </c>
      <c r="AJ21" s="7">
        <v>73</v>
      </c>
      <c r="AK21" s="8">
        <v>28.5</v>
      </c>
      <c r="AL21" s="7">
        <v>73</v>
      </c>
      <c r="AM21" s="8">
        <v>34</v>
      </c>
      <c r="AN21" s="5">
        <v>256</v>
      </c>
      <c r="AO21" s="9">
        <v>21.6</v>
      </c>
    </row>
    <row r="22" spans="1:41" x14ac:dyDescent="0.2">
      <c r="A22" s="10">
        <v>6.12</v>
      </c>
      <c r="B22" s="2" t="s">
        <v>40</v>
      </c>
      <c r="C22" s="2"/>
      <c r="D22" s="7">
        <v>29</v>
      </c>
      <c r="E22" s="11">
        <v>6</v>
      </c>
      <c r="F22" s="7"/>
      <c r="G22" s="11" t="s">
        <v>65</v>
      </c>
      <c r="H22" s="7">
        <v>32</v>
      </c>
      <c r="I22" s="11">
        <v>11</v>
      </c>
      <c r="J22" s="7">
        <v>33</v>
      </c>
      <c r="K22" s="11">
        <v>14</v>
      </c>
      <c r="L22" s="7">
        <v>33</v>
      </c>
      <c r="M22" s="11">
        <v>14</v>
      </c>
      <c r="N22" s="7">
        <v>29</v>
      </c>
      <c r="O22" s="11">
        <v>7.5</v>
      </c>
      <c r="P22" s="7">
        <v>34</v>
      </c>
      <c r="Q22" s="11">
        <v>10.5</v>
      </c>
      <c r="R22" s="7">
        <v>38</v>
      </c>
      <c r="S22" s="11">
        <v>18</v>
      </c>
      <c r="T22" s="7">
        <v>33</v>
      </c>
      <c r="U22" s="11">
        <v>8.5</v>
      </c>
      <c r="V22" s="7">
        <v>34</v>
      </c>
      <c r="W22" s="11">
        <v>11.5</v>
      </c>
      <c r="X22" s="7">
        <v>28</v>
      </c>
      <c r="Y22" s="11">
        <v>4.5</v>
      </c>
      <c r="Z22" s="7">
        <v>30</v>
      </c>
      <c r="AA22" s="11">
        <v>6</v>
      </c>
      <c r="AB22" s="7"/>
      <c r="AC22" s="11" t="s">
        <v>65</v>
      </c>
      <c r="AD22" s="7">
        <v>33</v>
      </c>
      <c r="AE22" s="11">
        <v>12</v>
      </c>
      <c r="AF22" s="7"/>
      <c r="AG22" s="11" t="s">
        <v>65</v>
      </c>
      <c r="AH22" s="7">
        <v>33</v>
      </c>
      <c r="AI22" s="11">
        <v>11</v>
      </c>
      <c r="AJ22" s="7">
        <v>39</v>
      </c>
      <c r="AK22" s="11">
        <v>17</v>
      </c>
      <c r="AL22" s="7">
        <v>40</v>
      </c>
      <c r="AM22" s="11">
        <v>18</v>
      </c>
      <c r="AN22" s="12">
        <v>33.200000000000003</v>
      </c>
      <c r="AO22" s="9">
        <v>11.3</v>
      </c>
    </row>
    <row r="23" spans="1:41" x14ac:dyDescent="0.2">
      <c r="A23" s="13">
        <v>6.0220000000000002</v>
      </c>
      <c r="B23" s="14" t="s">
        <v>41</v>
      </c>
      <c r="C23" s="15">
        <v>21</v>
      </c>
      <c r="D23" s="16">
        <v>12</v>
      </c>
      <c r="E23" s="17">
        <v>16</v>
      </c>
      <c r="F23" s="16"/>
      <c r="G23" s="17" t="s">
        <v>65</v>
      </c>
      <c r="H23" s="16">
        <v>4</v>
      </c>
      <c r="I23" s="17">
        <v>12.5</v>
      </c>
      <c r="J23" s="16">
        <v>13</v>
      </c>
      <c r="K23" s="17">
        <v>12</v>
      </c>
      <c r="L23" s="16">
        <v>-6</v>
      </c>
      <c r="M23" s="17">
        <v>8</v>
      </c>
      <c r="N23" s="16">
        <v>-28</v>
      </c>
      <c r="O23" s="17">
        <v>4</v>
      </c>
      <c r="P23" s="16">
        <v>4</v>
      </c>
      <c r="Q23" s="17">
        <v>13</v>
      </c>
      <c r="R23" s="16">
        <v>-1E-4</v>
      </c>
      <c r="S23" s="17">
        <v>10.5</v>
      </c>
      <c r="T23" s="16">
        <v>-9</v>
      </c>
      <c r="U23" s="17">
        <v>8</v>
      </c>
      <c r="V23" s="16">
        <v>-18</v>
      </c>
      <c r="W23" s="17">
        <v>7</v>
      </c>
      <c r="X23" s="16">
        <v>-24</v>
      </c>
      <c r="Y23" s="17">
        <v>4</v>
      </c>
      <c r="Z23" s="16">
        <v>-7</v>
      </c>
      <c r="AA23" s="17">
        <v>7</v>
      </c>
      <c r="AB23" s="16"/>
      <c r="AC23" s="17" t="s">
        <v>65</v>
      </c>
      <c r="AD23" s="16">
        <v>12</v>
      </c>
      <c r="AE23" s="17">
        <v>15</v>
      </c>
      <c r="AF23" s="16"/>
      <c r="AG23" s="17" t="s">
        <v>65</v>
      </c>
      <c r="AH23" s="16">
        <v>-3</v>
      </c>
      <c r="AI23" s="17">
        <v>10</v>
      </c>
      <c r="AJ23" s="16">
        <v>7</v>
      </c>
      <c r="AK23" s="17">
        <v>11.5</v>
      </c>
      <c r="AL23" s="16">
        <v>17</v>
      </c>
      <c r="AM23" s="17">
        <v>16</v>
      </c>
      <c r="AN23" s="18">
        <v>-26.000100000000003</v>
      </c>
      <c r="AO23" s="19">
        <v>10.3</v>
      </c>
    </row>
    <row r="24" spans="1:41" x14ac:dyDescent="0.2">
      <c r="A24" s="3">
        <v>7</v>
      </c>
      <c r="B24" s="21" t="s">
        <v>44</v>
      </c>
      <c r="C24" s="6">
        <v>14</v>
      </c>
      <c r="D24" s="7">
        <v>96</v>
      </c>
      <c r="E24" s="8">
        <v>27</v>
      </c>
      <c r="F24" s="7"/>
      <c r="G24" s="8" t="s">
        <v>65</v>
      </c>
      <c r="H24" s="7">
        <v>89</v>
      </c>
      <c r="I24" s="8">
        <v>31</v>
      </c>
      <c r="J24" s="7"/>
      <c r="K24" s="8" t="s">
        <v>65</v>
      </c>
      <c r="L24" s="7">
        <v>100</v>
      </c>
      <c r="M24" s="8">
        <v>12</v>
      </c>
      <c r="N24" s="7">
        <v>92</v>
      </c>
      <c r="O24" s="8">
        <v>34.5</v>
      </c>
      <c r="P24" s="7">
        <v>89</v>
      </c>
      <c r="Q24" s="8">
        <v>21.5</v>
      </c>
      <c r="R24" s="7">
        <v>93</v>
      </c>
      <c r="S24" s="8">
        <v>22</v>
      </c>
      <c r="T24" s="7"/>
      <c r="U24" s="8" t="s">
        <v>65</v>
      </c>
      <c r="V24" s="7">
        <v>86</v>
      </c>
      <c r="W24" s="8">
        <v>19.5</v>
      </c>
      <c r="X24" s="7">
        <v>92</v>
      </c>
      <c r="Y24" s="8">
        <v>12</v>
      </c>
      <c r="Z24" s="7">
        <v>104</v>
      </c>
      <c r="AA24" s="8">
        <v>16</v>
      </c>
      <c r="AB24" s="7">
        <v>91</v>
      </c>
      <c r="AC24" s="8">
        <v>19</v>
      </c>
      <c r="AD24" s="7">
        <v>92</v>
      </c>
      <c r="AE24" s="8">
        <v>15</v>
      </c>
      <c r="AF24" s="7">
        <v>96</v>
      </c>
      <c r="AG24" s="8">
        <v>28</v>
      </c>
      <c r="AH24" s="7"/>
      <c r="AI24" s="8" t="s">
        <v>65</v>
      </c>
      <c r="AJ24" s="7">
        <v>97</v>
      </c>
      <c r="AK24" s="8">
        <v>18.5</v>
      </c>
      <c r="AL24" s="7">
        <v>94</v>
      </c>
      <c r="AM24" s="8">
        <v>26</v>
      </c>
      <c r="AN24" s="5">
        <v>247</v>
      </c>
      <c r="AO24" s="9">
        <v>21.571428571428573</v>
      </c>
    </row>
    <row r="25" spans="1:41" x14ac:dyDescent="0.2">
      <c r="A25" s="10">
        <v>7.16</v>
      </c>
      <c r="B25" s="2" t="s">
        <v>40</v>
      </c>
      <c r="C25" s="2"/>
      <c r="D25" s="7">
        <v>31</v>
      </c>
      <c r="E25" s="11">
        <v>10</v>
      </c>
      <c r="F25" s="7"/>
      <c r="G25" s="11" t="s">
        <v>65</v>
      </c>
      <c r="H25" s="7">
        <v>40</v>
      </c>
      <c r="I25" s="11">
        <v>16</v>
      </c>
      <c r="J25" s="7"/>
      <c r="K25" s="11" t="s">
        <v>65</v>
      </c>
      <c r="L25" s="7">
        <v>27</v>
      </c>
      <c r="M25" s="11">
        <v>7</v>
      </c>
      <c r="N25" s="7">
        <v>37</v>
      </c>
      <c r="O25" s="11">
        <v>16.5</v>
      </c>
      <c r="P25" s="7">
        <v>34</v>
      </c>
      <c r="Q25" s="11">
        <v>10.5</v>
      </c>
      <c r="R25" s="7">
        <v>32</v>
      </c>
      <c r="S25" s="11">
        <v>10</v>
      </c>
      <c r="T25" s="7"/>
      <c r="U25" s="11" t="s">
        <v>65</v>
      </c>
      <c r="V25" s="7">
        <v>36</v>
      </c>
      <c r="W25" s="11">
        <v>13.5</v>
      </c>
      <c r="X25" s="7">
        <v>30</v>
      </c>
      <c r="Y25" s="11">
        <v>6</v>
      </c>
      <c r="Z25" s="7">
        <v>21</v>
      </c>
      <c r="AA25" s="11">
        <v>4</v>
      </c>
      <c r="AB25" s="7">
        <v>30</v>
      </c>
      <c r="AC25" s="11">
        <v>11</v>
      </c>
      <c r="AD25" s="7">
        <v>30</v>
      </c>
      <c r="AE25" s="11">
        <v>7</v>
      </c>
      <c r="AF25" s="7">
        <v>31</v>
      </c>
      <c r="AG25" s="11">
        <v>11</v>
      </c>
      <c r="AH25" s="7"/>
      <c r="AI25" s="11" t="s">
        <v>65</v>
      </c>
      <c r="AJ25" s="7">
        <v>28</v>
      </c>
      <c r="AK25" s="11">
        <v>3</v>
      </c>
      <c r="AL25" s="7">
        <v>34</v>
      </c>
      <c r="AM25" s="11">
        <v>13</v>
      </c>
      <c r="AN25" s="12">
        <v>31.5</v>
      </c>
      <c r="AO25" s="9">
        <v>9.8928571428571423</v>
      </c>
    </row>
    <row r="26" spans="1:41" x14ac:dyDescent="0.2">
      <c r="A26" s="13">
        <v>7.0259999999999998</v>
      </c>
      <c r="B26" s="14" t="s">
        <v>41</v>
      </c>
      <c r="C26" s="15">
        <v>18.5</v>
      </c>
      <c r="D26" s="16">
        <v>27</v>
      </c>
      <c r="E26" s="17">
        <v>17</v>
      </c>
      <c r="F26" s="16"/>
      <c r="G26" s="17" t="s">
        <v>65</v>
      </c>
      <c r="H26" s="16">
        <v>21</v>
      </c>
      <c r="I26" s="17">
        <v>15</v>
      </c>
      <c r="J26" s="16"/>
      <c r="K26" s="17" t="s">
        <v>65</v>
      </c>
      <c r="L26" s="16">
        <v>-20</v>
      </c>
      <c r="M26" s="17">
        <v>5</v>
      </c>
      <c r="N26" s="16">
        <v>28</v>
      </c>
      <c r="O26" s="17">
        <v>18</v>
      </c>
      <c r="P26" s="16">
        <v>2</v>
      </c>
      <c r="Q26" s="17">
        <v>11</v>
      </c>
      <c r="R26" s="16">
        <v>8</v>
      </c>
      <c r="S26" s="17">
        <v>12</v>
      </c>
      <c r="T26" s="16"/>
      <c r="U26" s="17" t="s">
        <v>65</v>
      </c>
      <c r="V26" s="16">
        <v>-20</v>
      </c>
      <c r="W26" s="17">
        <v>6</v>
      </c>
      <c r="X26" s="16">
        <v>-11</v>
      </c>
      <c r="Y26" s="17">
        <v>6</v>
      </c>
      <c r="Z26" s="16">
        <v>2</v>
      </c>
      <c r="AA26" s="17">
        <v>12</v>
      </c>
      <c r="AB26" s="16">
        <v>-6</v>
      </c>
      <c r="AC26" s="17">
        <v>8</v>
      </c>
      <c r="AD26" s="16">
        <v>-7</v>
      </c>
      <c r="AE26" s="17">
        <v>8</v>
      </c>
      <c r="AF26" s="16">
        <v>27</v>
      </c>
      <c r="AG26" s="17">
        <v>17</v>
      </c>
      <c r="AH26" s="16"/>
      <c r="AI26" s="17" t="s">
        <v>65</v>
      </c>
      <c r="AJ26" s="16">
        <v>11</v>
      </c>
      <c r="AK26" s="17">
        <v>15.5</v>
      </c>
      <c r="AL26" s="16">
        <v>4</v>
      </c>
      <c r="AM26" s="17">
        <v>13</v>
      </c>
      <c r="AN26" s="18">
        <v>66</v>
      </c>
      <c r="AO26" s="19">
        <v>11.678571428571429</v>
      </c>
    </row>
    <row r="27" spans="1:41" x14ac:dyDescent="0.2">
      <c r="A27" s="3">
        <v>8</v>
      </c>
      <c r="B27" s="4" t="s">
        <v>39</v>
      </c>
      <c r="C27" s="6">
        <v>13</v>
      </c>
      <c r="D27" s="7">
        <v>84</v>
      </c>
      <c r="E27" s="8">
        <v>20.5</v>
      </c>
      <c r="F27" s="7"/>
      <c r="G27" s="8" t="s">
        <v>65</v>
      </c>
      <c r="H27" s="7">
        <v>79</v>
      </c>
      <c r="I27" s="8">
        <v>31</v>
      </c>
      <c r="J27" s="7">
        <v>82</v>
      </c>
      <c r="K27" s="8">
        <v>26.5</v>
      </c>
      <c r="L27" s="7">
        <v>86</v>
      </c>
      <c r="M27" s="8">
        <v>26.5</v>
      </c>
      <c r="N27" s="7">
        <v>84</v>
      </c>
      <c r="O27" s="8">
        <v>23.5</v>
      </c>
      <c r="P27" s="7">
        <v>80</v>
      </c>
      <c r="Q27" s="8">
        <v>25.5</v>
      </c>
      <c r="R27" s="7">
        <v>83</v>
      </c>
      <c r="S27" s="8">
        <v>25.5</v>
      </c>
      <c r="T27" s="7">
        <v>96</v>
      </c>
      <c r="U27" s="8">
        <v>14</v>
      </c>
      <c r="V27" s="7"/>
      <c r="W27" s="8" t="s">
        <v>65</v>
      </c>
      <c r="X27" s="7">
        <v>89</v>
      </c>
      <c r="Y27" s="8">
        <v>12</v>
      </c>
      <c r="Z27" s="7"/>
      <c r="AA27" s="8" t="s">
        <v>65</v>
      </c>
      <c r="AB27" s="7"/>
      <c r="AC27" s="8" t="s">
        <v>65</v>
      </c>
      <c r="AD27" s="7"/>
      <c r="AE27" s="8" t="s">
        <v>65</v>
      </c>
      <c r="AF27" s="7">
        <v>89</v>
      </c>
      <c r="AG27" s="8">
        <v>17</v>
      </c>
      <c r="AH27" s="7">
        <v>78</v>
      </c>
      <c r="AI27" s="8">
        <v>25</v>
      </c>
      <c r="AJ27" s="7">
        <v>86</v>
      </c>
      <c r="AK27" s="8">
        <v>13</v>
      </c>
      <c r="AL27" s="7">
        <v>84</v>
      </c>
      <c r="AM27" s="8">
        <v>25</v>
      </c>
      <c r="AN27" s="5">
        <v>246</v>
      </c>
      <c r="AO27" s="9">
        <v>21.923076923076923</v>
      </c>
    </row>
    <row r="28" spans="1:41" x14ac:dyDescent="0.2">
      <c r="A28" s="10">
        <v>8.11</v>
      </c>
      <c r="B28" s="2" t="s">
        <v>40</v>
      </c>
      <c r="C28" s="2"/>
      <c r="D28" s="7">
        <v>32</v>
      </c>
      <c r="E28" s="11">
        <v>12.5</v>
      </c>
      <c r="F28" s="7"/>
      <c r="G28" s="11" t="s">
        <v>65</v>
      </c>
      <c r="H28" s="7">
        <v>39</v>
      </c>
      <c r="I28" s="11">
        <v>15</v>
      </c>
      <c r="J28" s="7">
        <v>32</v>
      </c>
      <c r="K28" s="11">
        <v>12.5</v>
      </c>
      <c r="L28" s="7">
        <v>30</v>
      </c>
      <c r="M28" s="11">
        <v>8.5</v>
      </c>
      <c r="N28" s="7">
        <v>34</v>
      </c>
      <c r="O28" s="11">
        <v>11.5</v>
      </c>
      <c r="P28" s="7">
        <v>34</v>
      </c>
      <c r="Q28" s="11">
        <v>10.5</v>
      </c>
      <c r="R28" s="7">
        <v>33</v>
      </c>
      <c r="S28" s="11">
        <v>11.5</v>
      </c>
      <c r="T28" s="7">
        <v>23</v>
      </c>
      <c r="U28" s="11">
        <v>3</v>
      </c>
      <c r="V28" s="7"/>
      <c r="W28" s="11" t="s">
        <v>65</v>
      </c>
      <c r="X28" s="7">
        <v>27</v>
      </c>
      <c r="Y28" s="11">
        <v>3</v>
      </c>
      <c r="Z28" s="7"/>
      <c r="AA28" s="11" t="s">
        <v>65</v>
      </c>
      <c r="AB28" s="7"/>
      <c r="AC28" s="11" t="s">
        <v>65</v>
      </c>
      <c r="AD28" s="7"/>
      <c r="AE28" s="11" t="s">
        <v>65</v>
      </c>
      <c r="AF28" s="7">
        <v>29</v>
      </c>
      <c r="AG28" s="11">
        <v>8</v>
      </c>
      <c r="AH28" s="7">
        <v>35</v>
      </c>
      <c r="AI28" s="11">
        <v>14</v>
      </c>
      <c r="AJ28" s="7">
        <v>30</v>
      </c>
      <c r="AK28" s="11">
        <v>6.5</v>
      </c>
      <c r="AL28" s="7">
        <v>34</v>
      </c>
      <c r="AM28" s="11">
        <v>13</v>
      </c>
      <c r="AN28" s="12">
        <v>31.692307692307693</v>
      </c>
      <c r="AO28" s="9">
        <v>9.9615384615384617</v>
      </c>
    </row>
    <row r="29" spans="1:41" x14ac:dyDescent="0.2">
      <c r="A29" s="13">
        <v>8.0210000000000008</v>
      </c>
      <c r="B29" s="14" t="s">
        <v>41</v>
      </c>
      <c r="C29" s="15">
        <v>17</v>
      </c>
      <c r="D29" s="16">
        <v>-9</v>
      </c>
      <c r="E29" s="17">
        <v>8</v>
      </c>
      <c r="F29" s="16"/>
      <c r="G29" s="17" t="s">
        <v>65</v>
      </c>
      <c r="H29" s="16">
        <v>30</v>
      </c>
      <c r="I29" s="17">
        <v>16</v>
      </c>
      <c r="J29" s="16">
        <v>43</v>
      </c>
      <c r="K29" s="17">
        <v>14</v>
      </c>
      <c r="L29" s="16">
        <v>40</v>
      </c>
      <c r="M29" s="17">
        <v>18</v>
      </c>
      <c r="N29" s="16">
        <v>1</v>
      </c>
      <c r="O29" s="17">
        <v>12</v>
      </c>
      <c r="P29" s="16">
        <v>8</v>
      </c>
      <c r="Q29" s="17">
        <v>15</v>
      </c>
      <c r="R29" s="16">
        <v>12</v>
      </c>
      <c r="S29" s="17">
        <v>14</v>
      </c>
      <c r="T29" s="16">
        <v>3</v>
      </c>
      <c r="U29" s="17">
        <v>11</v>
      </c>
      <c r="V29" s="16"/>
      <c r="W29" s="17" t="s">
        <v>65</v>
      </c>
      <c r="X29" s="16">
        <v>-5</v>
      </c>
      <c r="Y29" s="17">
        <v>9</v>
      </c>
      <c r="Z29" s="16"/>
      <c r="AA29" s="17" t="s">
        <v>65</v>
      </c>
      <c r="AB29" s="16"/>
      <c r="AC29" s="17" t="s">
        <v>65</v>
      </c>
      <c r="AD29" s="16"/>
      <c r="AE29" s="17" t="s">
        <v>65</v>
      </c>
      <c r="AF29" s="16">
        <v>-7</v>
      </c>
      <c r="AG29" s="17">
        <v>9</v>
      </c>
      <c r="AH29" s="16">
        <v>9</v>
      </c>
      <c r="AI29" s="17">
        <v>11</v>
      </c>
      <c r="AJ29" s="16">
        <v>-8</v>
      </c>
      <c r="AK29" s="17">
        <v>6.5</v>
      </c>
      <c r="AL29" s="16">
        <v>3</v>
      </c>
      <c r="AM29" s="17">
        <v>12</v>
      </c>
      <c r="AN29" s="18">
        <v>120</v>
      </c>
      <c r="AO29" s="19">
        <v>11.961538461538462</v>
      </c>
    </row>
    <row r="30" spans="1:41" x14ac:dyDescent="0.2">
      <c r="A30" s="3">
        <v>9</v>
      </c>
      <c r="B30" s="4" t="s">
        <v>57</v>
      </c>
      <c r="C30" s="6">
        <v>10</v>
      </c>
      <c r="D30" s="7">
        <v>99</v>
      </c>
      <c r="E30" s="8">
        <v>15.5</v>
      </c>
      <c r="F30" s="7"/>
      <c r="G30" s="8" t="s">
        <v>65</v>
      </c>
      <c r="H30" s="7">
        <v>103</v>
      </c>
      <c r="I30" s="8">
        <v>18</v>
      </c>
      <c r="J30" s="7"/>
      <c r="K30" s="8" t="s">
        <v>65</v>
      </c>
      <c r="L30" s="7"/>
      <c r="M30" s="8" t="s">
        <v>65</v>
      </c>
      <c r="N30" s="7">
        <v>85</v>
      </c>
      <c r="O30" s="8">
        <v>27.5</v>
      </c>
      <c r="P30" s="7"/>
      <c r="Q30" s="8" t="s">
        <v>65</v>
      </c>
      <c r="R30" s="7"/>
      <c r="S30" s="8" t="s">
        <v>65</v>
      </c>
      <c r="T30" s="7">
        <v>93</v>
      </c>
      <c r="U30" s="8">
        <v>29</v>
      </c>
      <c r="V30" s="7"/>
      <c r="W30" s="8" t="s">
        <v>65</v>
      </c>
      <c r="X30" s="7">
        <v>89</v>
      </c>
      <c r="Y30" s="8">
        <v>29.5</v>
      </c>
      <c r="Z30" s="7">
        <v>96</v>
      </c>
      <c r="AA30" s="8">
        <v>23.5</v>
      </c>
      <c r="AB30" s="7"/>
      <c r="AC30" s="8" t="s">
        <v>65</v>
      </c>
      <c r="AD30" s="7">
        <v>94</v>
      </c>
      <c r="AE30" s="8">
        <v>17.5</v>
      </c>
      <c r="AF30" s="7">
        <v>93</v>
      </c>
      <c r="AG30" s="8">
        <v>20.5</v>
      </c>
      <c r="AH30" s="7"/>
      <c r="AI30" s="8" t="s">
        <v>65</v>
      </c>
      <c r="AJ30" s="7">
        <v>85</v>
      </c>
      <c r="AK30" s="8">
        <v>36</v>
      </c>
      <c r="AL30" s="7">
        <v>97</v>
      </c>
      <c r="AM30" s="8">
        <v>21</v>
      </c>
      <c r="AN30" s="5">
        <v>238</v>
      </c>
      <c r="AO30" s="9">
        <v>23.8</v>
      </c>
    </row>
    <row r="31" spans="1:41" x14ac:dyDescent="0.2">
      <c r="A31" s="10">
        <v>9.1170000000000009</v>
      </c>
      <c r="B31" s="2" t="s">
        <v>40</v>
      </c>
      <c r="C31" s="2"/>
      <c r="D31" s="7">
        <v>28</v>
      </c>
      <c r="E31" s="11">
        <v>4.5</v>
      </c>
      <c r="F31" s="7"/>
      <c r="G31" s="11" t="s">
        <v>65</v>
      </c>
      <c r="H31" s="7">
        <v>26</v>
      </c>
      <c r="I31" s="11">
        <v>8</v>
      </c>
      <c r="J31" s="7"/>
      <c r="K31" s="11" t="s">
        <v>65</v>
      </c>
      <c r="L31" s="7"/>
      <c r="M31" s="11" t="s">
        <v>65</v>
      </c>
      <c r="N31" s="7">
        <v>43</v>
      </c>
      <c r="O31" s="11">
        <v>18</v>
      </c>
      <c r="P31" s="7"/>
      <c r="Q31" s="11" t="s">
        <v>65</v>
      </c>
      <c r="R31" s="7"/>
      <c r="S31" s="11" t="s">
        <v>65</v>
      </c>
      <c r="T31" s="7">
        <v>35</v>
      </c>
      <c r="U31" s="11">
        <v>13</v>
      </c>
      <c r="V31" s="7"/>
      <c r="W31" s="11" t="s">
        <v>65</v>
      </c>
      <c r="X31" s="7">
        <v>36</v>
      </c>
      <c r="Y31" s="11">
        <v>11.5</v>
      </c>
      <c r="Z31" s="7">
        <v>32</v>
      </c>
      <c r="AA31" s="11">
        <v>9.5</v>
      </c>
      <c r="AB31" s="7"/>
      <c r="AC31" s="11" t="s">
        <v>65</v>
      </c>
      <c r="AD31" s="7">
        <v>31</v>
      </c>
      <c r="AE31" s="11">
        <v>8</v>
      </c>
      <c r="AF31" s="7">
        <v>34</v>
      </c>
      <c r="AG31" s="11">
        <v>13.5</v>
      </c>
      <c r="AH31" s="7"/>
      <c r="AI31" s="11" t="s">
        <v>65</v>
      </c>
      <c r="AJ31" s="7">
        <v>40</v>
      </c>
      <c r="AK31" s="11">
        <v>18</v>
      </c>
      <c r="AL31" s="7">
        <v>30</v>
      </c>
      <c r="AM31" s="11">
        <v>7</v>
      </c>
      <c r="AN31" s="12">
        <v>33.5</v>
      </c>
      <c r="AO31" s="9">
        <v>11.1</v>
      </c>
    </row>
    <row r="32" spans="1:41" x14ac:dyDescent="0.2">
      <c r="A32" s="13">
        <v>9.0216999999999992</v>
      </c>
      <c r="B32" s="14" t="s">
        <v>41</v>
      </c>
      <c r="C32" s="15">
        <v>15.5</v>
      </c>
      <c r="D32" s="16">
        <v>-5</v>
      </c>
      <c r="E32" s="17">
        <v>11</v>
      </c>
      <c r="F32" s="16"/>
      <c r="G32" s="17" t="s">
        <v>65</v>
      </c>
      <c r="H32" s="16">
        <v>-2</v>
      </c>
      <c r="I32" s="17">
        <v>10</v>
      </c>
      <c r="J32" s="16"/>
      <c r="K32" s="17" t="s">
        <v>65</v>
      </c>
      <c r="L32" s="16"/>
      <c r="M32" s="17" t="s">
        <v>65</v>
      </c>
      <c r="N32" s="16">
        <v>-1E-3</v>
      </c>
      <c r="O32" s="17">
        <v>9.5</v>
      </c>
      <c r="P32" s="16"/>
      <c r="Q32" s="17" t="s">
        <v>65</v>
      </c>
      <c r="R32" s="16"/>
      <c r="S32" s="17" t="s">
        <v>65</v>
      </c>
      <c r="T32" s="16">
        <v>21</v>
      </c>
      <c r="U32" s="17">
        <v>16</v>
      </c>
      <c r="V32" s="16"/>
      <c r="W32" s="17" t="s">
        <v>65</v>
      </c>
      <c r="X32" s="16">
        <v>30</v>
      </c>
      <c r="Y32" s="17">
        <v>18</v>
      </c>
      <c r="Z32" s="16">
        <v>10</v>
      </c>
      <c r="AA32" s="17">
        <v>14</v>
      </c>
      <c r="AB32" s="16"/>
      <c r="AC32" s="17" t="s">
        <v>65</v>
      </c>
      <c r="AD32" s="16">
        <v>-1</v>
      </c>
      <c r="AE32" s="17">
        <v>9.5</v>
      </c>
      <c r="AF32" s="16">
        <v>-10</v>
      </c>
      <c r="AG32" s="17">
        <v>7</v>
      </c>
      <c r="AH32" s="16"/>
      <c r="AI32" s="17" t="s">
        <v>65</v>
      </c>
      <c r="AJ32" s="16">
        <v>16</v>
      </c>
      <c r="AK32" s="17">
        <v>18</v>
      </c>
      <c r="AL32" s="16">
        <v>14</v>
      </c>
      <c r="AM32" s="17">
        <v>14</v>
      </c>
      <c r="AN32" s="18">
        <v>72.998999999999995</v>
      </c>
      <c r="AO32" s="19">
        <v>12.7</v>
      </c>
    </row>
    <row r="33" spans="1:41" x14ac:dyDescent="0.2">
      <c r="A33" s="3">
        <v>10</v>
      </c>
      <c r="B33" s="4" t="s">
        <v>51</v>
      </c>
      <c r="C33" s="6">
        <v>11</v>
      </c>
      <c r="D33" s="7">
        <v>90</v>
      </c>
      <c r="E33" s="8">
        <v>23</v>
      </c>
      <c r="F33" s="7"/>
      <c r="G33" s="8" t="s">
        <v>65</v>
      </c>
      <c r="H33" s="7"/>
      <c r="I33" s="8" t="s">
        <v>65</v>
      </c>
      <c r="J33" s="7">
        <v>91</v>
      </c>
      <c r="K33" s="8">
        <v>19.5</v>
      </c>
      <c r="L33" s="7">
        <v>94</v>
      </c>
      <c r="M33" s="8">
        <v>23</v>
      </c>
      <c r="N33" s="7"/>
      <c r="O33" s="8" t="s">
        <v>65</v>
      </c>
      <c r="P33" s="7"/>
      <c r="Q33" s="8" t="s">
        <v>65</v>
      </c>
      <c r="R33" s="7">
        <v>87</v>
      </c>
      <c r="S33" s="8">
        <v>29.5</v>
      </c>
      <c r="T33" s="7"/>
      <c r="U33" s="8" t="s">
        <v>65</v>
      </c>
      <c r="V33" s="7">
        <v>93</v>
      </c>
      <c r="W33" s="8">
        <v>17</v>
      </c>
      <c r="X33" s="7"/>
      <c r="Y33" s="8" t="s">
        <v>65</v>
      </c>
      <c r="Z33" s="7">
        <v>90</v>
      </c>
      <c r="AA33" s="8">
        <v>20.5</v>
      </c>
      <c r="AB33" s="7">
        <v>93</v>
      </c>
      <c r="AC33" s="8">
        <v>21.5</v>
      </c>
      <c r="AD33" s="7">
        <v>89</v>
      </c>
      <c r="AE33" s="8">
        <v>23.5</v>
      </c>
      <c r="AF33" s="7"/>
      <c r="AG33" s="8" t="s">
        <v>65</v>
      </c>
      <c r="AH33" s="7">
        <v>83</v>
      </c>
      <c r="AI33" s="8">
        <v>31</v>
      </c>
      <c r="AJ33" s="7">
        <v>92</v>
      </c>
      <c r="AK33" s="8">
        <v>23.5</v>
      </c>
      <c r="AL33" s="7">
        <v>97</v>
      </c>
      <c r="AM33" s="8">
        <v>16</v>
      </c>
      <c r="AN33" s="5">
        <v>232</v>
      </c>
      <c r="AO33" s="9">
        <v>22.545454545454547</v>
      </c>
    </row>
    <row r="34" spans="1:41" x14ac:dyDescent="0.2">
      <c r="A34" s="10">
        <v>10.18</v>
      </c>
      <c r="B34" s="2" t="s">
        <v>40</v>
      </c>
      <c r="C34" s="2"/>
      <c r="D34" s="7">
        <v>31</v>
      </c>
      <c r="E34" s="11">
        <v>10</v>
      </c>
      <c r="F34" s="7"/>
      <c r="G34" s="11" t="s">
        <v>65</v>
      </c>
      <c r="H34" s="7"/>
      <c r="I34" s="11" t="s">
        <v>65</v>
      </c>
      <c r="J34" s="7">
        <v>28</v>
      </c>
      <c r="K34" s="11">
        <v>8.5</v>
      </c>
      <c r="L34" s="7">
        <v>31</v>
      </c>
      <c r="M34" s="11">
        <v>11</v>
      </c>
      <c r="N34" s="7"/>
      <c r="O34" s="11" t="s">
        <v>65</v>
      </c>
      <c r="P34" s="7"/>
      <c r="Q34" s="11" t="s">
        <v>65</v>
      </c>
      <c r="R34" s="7">
        <v>36</v>
      </c>
      <c r="S34" s="11">
        <v>15.5</v>
      </c>
      <c r="T34" s="7"/>
      <c r="U34" s="11" t="s">
        <v>65</v>
      </c>
      <c r="V34" s="7">
        <v>28</v>
      </c>
      <c r="W34" s="11">
        <v>7</v>
      </c>
      <c r="X34" s="7"/>
      <c r="Y34" s="11" t="s">
        <v>65</v>
      </c>
      <c r="Z34" s="7">
        <v>35</v>
      </c>
      <c r="AA34" s="11">
        <v>15.5</v>
      </c>
      <c r="AB34" s="7">
        <v>28</v>
      </c>
      <c r="AC34" s="11">
        <v>7.5</v>
      </c>
      <c r="AD34" s="7">
        <v>35</v>
      </c>
      <c r="AE34" s="11">
        <v>14</v>
      </c>
      <c r="AF34" s="7"/>
      <c r="AG34" s="11" t="s">
        <v>65</v>
      </c>
      <c r="AH34" s="7">
        <v>38</v>
      </c>
      <c r="AI34" s="11">
        <v>16</v>
      </c>
      <c r="AJ34" s="7">
        <v>32</v>
      </c>
      <c r="AK34" s="11">
        <v>12</v>
      </c>
      <c r="AL34" s="7">
        <v>30</v>
      </c>
      <c r="AM34" s="11">
        <v>7</v>
      </c>
      <c r="AN34" s="12">
        <v>32</v>
      </c>
      <c r="AO34" s="9">
        <v>11.272727272727273</v>
      </c>
    </row>
    <row r="35" spans="1:41" x14ac:dyDescent="0.2">
      <c r="A35" s="13">
        <v>10.028</v>
      </c>
      <c r="B35" s="14" t="s">
        <v>41</v>
      </c>
      <c r="C35" s="15">
        <v>17</v>
      </c>
      <c r="D35" s="16">
        <v>6</v>
      </c>
      <c r="E35" s="17">
        <v>13</v>
      </c>
      <c r="F35" s="16"/>
      <c r="G35" s="17" t="s">
        <v>65</v>
      </c>
      <c r="H35" s="16"/>
      <c r="I35" s="17" t="s">
        <v>65</v>
      </c>
      <c r="J35" s="16">
        <v>-11</v>
      </c>
      <c r="K35" s="17">
        <v>11</v>
      </c>
      <c r="L35" s="16">
        <v>8</v>
      </c>
      <c r="M35" s="17">
        <v>12</v>
      </c>
      <c r="N35" s="16"/>
      <c r="O35" s="17" t="s">
        <v>65</v>
      </c>
      <c r="P35" s="16"/>
      <c r="Q35" s="17" t="s">
        <v>65</v>
      </c>
      <c r="R35" s="16">
        <v>12</v>
      </c>
      <c r="S35" s="17">
        <v>14</v>
      </c>
      <c r="T35" s="16"/>
      <c r="U35" s="17" t="s">
        <v>65</v>
      </c>
      <c r="V35" s="16">
        <v>6</v>
      </c>
      <c r="W35" s="17">
        <v>10</v>
      </c>
      <c r="X35" s="16"/>
      <c r="Y35" s="17" t="s">
        <v>65</v>
      </c>
      <c r="Z35" s="16">
        <v>-12</v>
      </c>
      <c r="AA35" s="17">
        <v>5</v>
      </c>
      <c r="AB35" s="16">
        <v>14</v>
      </c>
      <c r="AC35" s="17">
        <v>14</v>
      </c>
      <c r="AD35" s="16">
        <v>-1</v>
      </c>
      <c r="AE35" s="17">
        <v>9.5</v>
      </c>
      <c r="AF35" s="16"/>
      <c r="AG35" s="17" t="s">
        <v>65</v>
      </c>
      <c r="AH35" s="16">
        <v>31</v>
      </c>
      <c r="AI35" s="17">
        <v>15</v>
      </c>
      <c r="AJ35" s="16">
        <v>7</v>
      </c>
      <c r="AK35" s="17">
        <v>11.5</v>
      </c>
      <c r="AL35" s="16">
        <v>-4</v>
      </c>
      <c r="AM35" s="17">
        <v>9</v>
      </c>
      <c r="AN35" s="18">
        <v>56</v>
      </c>
      <c r="AO35" s="19">
        <v>11.272727272727273</v>
      </c>
    </row>
    <row r="36" spans="1:41" x14ac:dyDescent="0.2">
      <c r="A36" s="3">
        <v>11</v>
      </c>
      <c r="B36" s="20" t="s">
        <v>50</v>
      </c>
      <c r="C36" s="6">
        <v>13</v>
      </c>
      <c r="D36" s="7">
        <v>87</v>
      </c>
      <c r="E36" s="8">
        <v>9.5</v>
      </c>
      <c r="F36" s="7"/>
      <c r="G36" s="8" t="s">
        <v>65</v>
      </c>
      <c r="H36" s="7"/>
      <c r="I36" s="8" t="s">
        <v>65</v>
      </c>
      <c r="J36" s="7">
        <v>84</v>
      </c>
      <c r="K36" s="8">
        <v>16.5</v>
      </c>
      <c r="L36" s="7">
        <v>85</v>
      </c>
      <c r="M36" s="8">
        <v>17.5</v>
      </c>
      <c r="N36" s="7">
        <v>91</v>
      </c>
      <c r="O36" s="8">
        <v>12</v>
      </c>
      <c r="P36" s="7">
        <v>77</v>
      </c>
      <c r="Q36" s="8">
        <v>24.5</v>
      </c>
      <c r="R36" s="7">
        <v>85</v>
      </c>
      <c r="S36" s="8">
        <v>15.5</v>
      </c>
      <c r="T36" s="7">
        <v>84</v>
      </c>
      <c r="U36" s="8">
        <v>20</v>
      </c>
      <c r="V36" s="7"/>
      <c r="W36" s="8" t="s">
        <v>65</v>
      </c>
      <c r="X36" s="7"/>
      <c r="Y36" s="8" t="s">
        <v>65</v>
      </c>
      <c r="Z36" s="7">
        <v>83</v>
      </c>
      <c r="AA36" s="8">
        <v>23.5</v>
      </c>
      <c r="AB36" s="7">
        <v>74</v>
      </c>
      <c r="AC36" s="8">
        <v>31</v>
      </c>
      <c r="AD36" s="7">
        <v>81</v>
      </c>
      <c r="AE36" s="8">
        <v>20</v>
      </c>
      <c r="AF36" s="7">
        <v>84</v>
      </c>
      <c r="AG36" s="8">
        <v>18.5</v>
      </c>
      <c r="AH36" s="7">
        <v>78</v>
      </c>
      <c r="AI36" s="8">
        <v>30</v>
      </c>
      <c r="AJ36" s="7">
        <v>78</v>
      </c>
      <c r="AK36" s="8">
        <v>22.5</v>
      </c>
      <c r="AL36" s="7"/>
      <c r="AM36" s="8" t="s">
        <v>65</v>
      </c>
      <c r="AN36" s="5">
        <v>224</v>
      </c>
      <c r="AO36" s="9">
        <v>20.076923076923077</v>
      </c>
    </row>
    <row r="37" spans="1:41" x14ac:dyDescent="0.2">
      <c r="A37" s="10">
        <v>11.115</v>
      </c>
      <c r="B37" s="2" t="s">
        <v>40</v>
      </c>
      <c r="C37" s="2"/>
      <c r="D37" s="7">
        <v>28</v>
      </c>
      <c r="E37" s="11">
        <v>4.5</v>
      </c>
      <c r="F37" s="7"/>
      <c r="G37" s="11" t="s">
        <v>65</v>
      </c>
      <c r="H37" s="7"/>
      <c r="I37" s="11" t="s">
        <v>65</v>
      </c>
      <c r="J37" s="7">
        <v>28</v>
      </c>
      <c r="K37" s="11">
        <v>8.5</v>
      </c>
      <c r="L37" s="7">
        <v>30</v>
      </c>
      <c r="M37" s="11">
        <v>8.5</v>
      </c>
      <c r="N37" s="7">
        <v>26</v>
      </c>
      <c r="O37" s="11">
        <v>5</v>
      </c>
      <c r="P37" s="7">
        <v>36</v>
      </c>
      <c r="Q37" s="11">
        <v>13.5</v>
      </c>
      <c r="R37" s="7">
        <v>31</v>
      </c>
      <c r="S37" s="11">
        <v>9</v>
      </c>
      <c r="T37" s="7">
        <v>34</v>
      </c>
      <c r="U37" s="11">
        <v>11</v>
      </c>
      <c r="V37" s="7"/>
      <c r="W37" s="11" t="s">
        <v>65</v>
      </c>
      <c r="X37" s="7"/>
      <c r="Y37" s="11" t="s">
        <v>65</v>
      </c>
      <c r="Z37" s="7">
        <v>35</v>
      </c>
      <c r="AA37" s="11">
        <v>15.5</v>
      </c>
      <c r="AB37" s="7">
        <v>39</v>
      </c>
      <c r="AC37" s="11">
        <v>15</v>
      </c>
      <c r="AD37" s="7">
        <v>34</v>
      </c>
      <c r="AE37" s="11">
        <v>13</v>
      </c>
      <c r="AF37" s="7">
        <v>34</v>
      </c>
      <c r="AG37" s="11">
        <v>13.5</v>
      </c>
      <c r="AH37" s="7">
        <v>35</v>
      </c>
      <c r="AI37" s="11">
        <v>14</v>
      </c>
      <c r="AJ37" s="7">
        <v>37</v>
      </c>
      <c r="AK37" s="11">
        <v>16</v>
      </c>
      <c r="AL37" s="7"/>
      <c r="AM37" s="11" t="s">
        <v>65</v>
      </c>
      <c r="AN37" s="12">
        <v>32.846153846153847</v>
      </c>
      <c r="AO37" s="9">
        <v>11.307692307692308</v>
      </c>
    </row>
    <row r="38" spans="1:41" x14ac:dyDescent="0.2">
      <c r="A38" s="13">
        <v>11.0215</v>
      </c>
      <c r="B38" s="14" t="s">
        <v>41</v>
      </c>
      <c r="C38" s="15">
        <v>16.5</v>
      </c>
      <c r="D38" s="16">
        <v>-12</v>
      </c>
      <c r="E38" s="17">
        <v>5</v>
      </c>
      <c r="F38" s="16"/>
      <c r="G38" s="17" t="s">
        <v>65</v>
      </c>
      <c r="H38" s="16"/>
      <c r="I38" s="17" t="s">
        <v>65</v>
      </c>
      <c r="J38" s="16">
        <v>-17</v>
      </c>
      <c r="K38" s="17">
        <v>8</v>
      </c>
      <c r="L38" s="16">
        <v>4</v>
      </c>
      <c r="M38" s="17">
        <v>9</v>
      </c>
      <c r="N38" s="16">
        <v>-4</v>
      </c>
      <c r="O38" s="17">
        <v>7</v>
      </c>
      <c r="P38" s="16">
        <v>2</v>
      </c>
      <c r="Q38" s="17">
        <v>11</v>
      </c>
      <c r="R38" s="16">
        <v>-10</v>
      </c>
      <c r="S38" s="17">
        <v>6.5</v>
      </c>
      <c r="T38" s="16">
        <v>-5</v>
      </c>
      <c r="U38" s="17">
        <v>9</v>
      </c>
      <c r="V38" s="16"/>
      <c r="W38" s="17" t="s">
        <v>65</v>
      </c>
      <c r="X38" s="16"/>
      <c r="Y38" s="17" t="s">
        <v>65</v>
      </c>
      <c r="Z38" s="16">
        <v>-4</v>
      </c>
      <c r="AA38" s="17">
        <v>8</v>
      </c>
      <c r="AB38" s="16">
        <v>18</v>
      </c>
      <c r="AC38" s="17">
        <v>16</v>
      </c>
      <c r="AD38" s="16">
        <v>-9</v>
      </c>
      <c r="AE38" s="17">
        <v>7</v>
      </c>
      <c r="AF38" s="16">
        <v>-19</v>
      </c>
      <c r="AG38" s="17">
        <v>5</v>
      </c>
      <c r="AH38" s="16">
        <v>38</v>
      </c>
      <c r="AI38" s="17">
        <v>16</v>
      </c>
      <c r="AJ38" s="16">
        <v>-8</v>
      </c>
      <c r="AK38" s="17">
        <v>6.5</v>
      </c>
      <c r="AL38" s="16"/>
      <c r="AM38" s="17" t="s">
        <v>65</v>
      </c>
      <c r="AN38" s="18">
        <v>-26</v>
      </c>
      <c r="AO38" s="19">
        <v>8.7692307692307701</v>
      </c>
    </row>
    <row r="39" spans="1:41" x14ac:dyDescent="0.2">
      <c r="A39" s="3">
        <v>12</v>
      </c>
      <c r="B39" s="20" t="s">
        <v>53</v>
      </c>
      <c r="C39" s="6">
        <v>12</v>
      </c>
      <c r="D39" s="7">
        <v>89</v>
      </c>
      <c r="E39" s="8">
        <v>18.5</v>
      </c>
      <c r="F39" s="7"/>
      <c r="G39" s="8" t="s">
        <v>65</v>
      </c>
      <c r="H39" s="7">
        <v>91</v>
      </c>
      <c r="I39" s="8">
        <v>19</v>
      </c>
      <c r="J39" s="7">
        <v>93</v>
      </c>
      <c r="K39" s="8">
        <v>17</v>
      </c>
      <c r="L39" s="7"/>
      <c r="M39" s="8" t="s">
        <v>65</v>
      </c>
      <c r="N39" s="7"/>
      <c r="O39" s="8" t="s">
        <v>65</v>
      </c>
      <c r="P39" s="7">
        <v>80</v>
      </c>
      <c r="Q39" s="8">
        <v>22</v>
      </c>
      <c r="R39" s="7"/>
      <c r="S39" s="8" t="s">
        <v>65</v>
      </c>
      <c r="T39" s="7">
        <v>89</v>
      </c>
      <c r="U39" s="8">
        <v>15</v>
      </c>
      <c r="V39" s="7">
        <v>81</v>
      </c>
      <c r="W39" s="8">
        <v>29.5</v>
      </c>
      <c r="X39" s="7">
        <v>87</v>
      </c>
      <c r="Y39" s="8">
        <v>16</v>
      </c>
      <c r="Z39" s="7">
        <v>89</v>
      </c>
      <c r="AA39" s="8">
        <v>31</v>
      </c>
      <c r="AB39" s="7">
        <v>76</v>
      </c>
      <c r="AC39" s="8">
        <v>29</v>
      </c>
      <c r="AD39" s="7">
        <v>90</v>
      </c>
      <c r="AE39" s="8">
        <v>19</v>
      </c>
      <c r="AF39" s="7">
        <v>95</v>
      </c>
      <c r="AG39" s="8">
        <v>17.5</v>
      </c>
      <c r="AH39" s="7"/>
      <c r="AI39" s="8" t="s">
        <v>65</v>
      </c>
      <c r="AJ39" s="7"/>
      <c r="AK39" s="8" t="s">
        <v>65</v>
      </c>
      <c r="AL39" s="7">
        <v>94</v>
      </c>
      <c r="AM39" s="8">
        <v>9.5</v>
      </c>
      <c r="AN39" s="5">
        <v>218.5</v>
      </c>
      <c r="AO39" s="9">
        <v>20.25</v>
      </c>
    </row>
    <row r="40" spans="1:41" x14ac:dyDescent="0.2">
      <c r="A40" s="10">
        <v>12.112</v>
      </c>
      <c r="B40" s="2" t="s">
        <v>40</v>
      </c>
      <c r="C40" s="2"/>
      <c r="D40" s="7">
        <v>33</v>
      </c>
      <c r="E40" s="11">
        <v>14.5</v>
      </c>
      <c r="F40" s="7"/>
      <c r="G40" s="11" t="s">
        <v>65</v>
      </c>
      <c r="H40" s="7">
        <v>33</v>
      </c>
      <c r="I40" s="11">
        <v>12</v>
      </c>
      <c r="J40" s="7">
        <v>26</v>
      </c>
      <c r="K40" s="11">
        <v>7</v>
      </c>
      <c r="L40" s="7"/>
      <c r="M40" s="11" t="s">
        <v>65</v>
      </c>
      <c r="N40" s="7"/>
      <c r="O40" s="11" t="s">
        <v>65</v>
      </c>
      <c r="P40" s="7">
        <v>39</v>
      </c>
      <c r="Q40" s="11">
        <v>15.5</v>
      </c>
      <c r="R40" s="7"/>
      <c r="S40" s="11" t="s">
        <v>65</v>
      </c>
      <c r="T40" s="7">
        <v>34</v>
      </c>
      <c r="U40" s="11">
        <v>11</v>
      </c>
      <c r="V40" s="7">
        <v>37</v>
      </c>
      <c r="W40" s="11">
        <v>15.5</v>
      </c>
      <c r="X40" s="7">
        <v>35</v>
      </c>
      <c r="Y40" s="11">
        <v>9</v>
      </c>
      <c r="Z40" s="7">
        <v>34</v>
      </c>
      <c r="AA40" s="11">
        <v>14</v>
      </c>
      <c r="AB40" s="7">
        <v>42</v>
      </c>
      <c r="AC40" s="11">
        <v>16</v>
      </c>
      <c r="AD40" s="7">
        <v>29</v>
      </c>
      <c r="AE40" s="11">
        <v>6</v>
      </c>
      <c r="AF40" s="7">
        <v>27</v>
      </c>
      <c r="AG40" s="11">
        <v>5.5</v>
      </c>
      <c r="AH40" s="7"/>
      <c r="AI40" s="11" t="s">
        <v>65</v>
      </c>
      <c r="AJ40" s="7"/>
      <c r="AK40" s="11" t="s">
        <v>65</v>
      </c>
      <c r="AL40" s="7">
        <v>28</v>
      </c>
      <c r="AM40" s="11">
        <v>4.5</v>
      </c>
      <c r="AN40" s="12">
        <v>33.083333333333336</v>
      </c>
      <c r="AO40" s="9">
        <v>10.875</v>
      </c>
    </row>
    <row r="41" spans="1:41" x14ac:dyDescent="0.2">
      <c r="A41" s="13">
        <v>12.0212</v>
      </c>
      <c r="B41" s="23" t="s">
        <v>41</v>
      </c>
      <c r="C41" s="15">
        <v>16</v>
      </c>
      <c r="D41" s="16">
        <v>-15</v>
      </c>
      <c r="E41" s="17">
        <v>4</v>
      </c>
      <c r="F41" s="16"/>
      <c r="G41" s="17" t="s">
        <v>65</v>
      </c>
      <c r="H41" s="16">
        <v>-12</v>
      </c>
      <c r="I41" s="17">
        <v>7</v>
      </c>
      <c r="J41" s="16">
        <v>-13</v>
      </c>
      <c r="K41" s="17">
        <v>10</v>
      </c>
      <c r="L41" s="16"/>
      <c r="M41" s="17" t="s">
        <v>65</v>
      </c>
      <c r="N41" s="16"/>
      <c r="O41" s="17" t="s">
        <v>65</v>
      </c>
      <c r="P41" s="16">
        <v>-8</v>
      </c>
      <c r="Q41" s="17">
        <v>6.5</v>
      </c>
      <c r="R41" s="16"/>
      <c r="S41" s="17" t="s">
        <v>65</v>
      </c>
      <c r="T41" s="16">
        <v>-21</v>
      </c>
      <c r="U41" s="17">
        <v>4</v>
      </c>
      <c r="V41" s="16">
        <v>16</v>
      </c>
      <c r="W41" s="17">
        <v>14</v>
      </c>
      <c r="X41" s="16">
        <v>-10</v>
      </c>
      <c r="Y41" s="17">
        <v>7</v>
      </c>
      <c r="Z41" s="16">
        <v>22</v>
      </c>
      <c r="AA41" s="17">
        <v>17</v>
      </c>
      <c r="AB41" s="16">
        <v>12</v>
      </c>
      <c r="AC41" s="17">
        <v>13</v>
      </c>
      <c r="AD41" s="16">
        <v>5</v>
      </c>
      <c r="AE41" s="17">
        <v>13</v>
      </c>
      <c r="AF41" s="16">
        <v>3</v>
      </c>
      <c r="AG41" s="17">
        <v>12</v>
      </c>
      <c r="AH41" s="16"/>
      <c r="AI41" s="17" t="s">
        <v>65</v>
      </c>
      <c r="AJ41" s="16"/>
      <c r="AK41" s="17" t="s">
        <v>65</v>
      </c>
      <c r="AL41" s="16">
        <v>-14</v>
      </c>
      <c r="AM41" s="17">
        <v>5</v>
      </c>
      <c r="AN41" s="18">
        <v>-35</v>
      </c>
      <c r="AO41" s="19">
        <v>9.375</v>
      </c>
    </row>
    <row r="42" spans="1:41" x14ac:dyDescent="0.2">
      <c r="A42" s="3">
        <v>13</v>
      </c>
      <c r="B42" s="4" t="s">
        <v>49</v>
      </c>
      <c r="C42" s="6">
        <v>14</v>
      </c>
      <c r="D42" s="7">
        <v>93</v>
      </c>
      <c r="E42" s="8">
        <v>10.5</v>
      </c>
      <c r="F42" s="7"/>
      <c r="G42" s="8" t="s">
        <v>65</v>
      </c>
      <c r="H42" s="7">
        <v>101</v>
      </c>
      <c r="I42" s="8">
        <v>14.5</v>
      </c>
      <c r="J42" s="7"/>
      <c r="K42" s="8" t="s">
        <v>65</v>
      </c>
      <c r="L42" s="7">
        <v>92</v>
      </c>
      <c r="M42" s="8">
        <v>25</v>
      </c>
      <c r="N42" s="7">
        <v>96</v>
      </c>
      <c r="O42" s="8">
        <v>24.5</v>
      </c>
      <c r="P42" s="7">
        <v>87</v>
      </c>
      <c r="Q42" s="8">
        <v>15.5</v>
      </c>
      <c r="R42" s="7">
        <v>90</v>
      </c>
      <c r="S42" s="8">
        <v>18.5</v>
      </c>
      <c r="T42" s="7">
        <v>89</v>
      </c>
      <c r="U42" s="8">
        <v>17</v>
      </c>
      <c r="V42" s="7">
        <v>92</v>
      </c>
      <c r="W42" s="8">
        <v>10</v>
      </c>
      <c r="X42" s="7">
        <v>80</v>
      </c>
      <c r="Y42" s="8">
        <v>29.5</v>
      </c>
      <c r="Z42" s="7">
        <v>89</v>
      </c>
      <c r="AA42" s="8">
        <v>19</v>
      </c>
      <c r="AB42" s="7">
        <v>83</v>
      </c>
      <c r="AC42" s="8">
        <v>25</v>
      </c>
      <c r="AD42" s="7"/>
      <c r="AE42" s="8" t="s">
        <v>65</v>
      </c>
      <c r="AF42" s="7">
        <v>95</v>
      </c>
      <c r="AG42" s="8">
        <v>17.5</v>
      </c>
      <c r="AH42" s="7"/>
      <c r="AI42" s="8" t="s">
        <v>65</v>
      </c>
      <c r="AJ42" s="7">
        <v>89</v>
      </c>
      <c r="AK42" s="8">
        <v>14</v>
      </c>
      <c r="AL42" s="7">
        <v>90</v>
      </c>
      <c r="AM42" s="8">
        <v>13</v>
      </c>
      <c r="AN42" s="5">
        <v>206</v>
      </c>
      <c r="AO42" s="9">
        <v>18.107142857142858</v>
      </c>
    </row>
    <row r="43" spans="1:41" x14ac:dyDescent="0.2">
      <c r="A43" s="10">
        <v>13.113</v>
      </c>
      <c r="B43" s="2" t="s">
        <v>40</v>
      </c>
      <c r="C43" s="2"/>
      <c r="D43" s="7">
        <v>30</v>
      </c>
      <c r="E43" s="11">
        <v>7.5</v>
      </c>
      <c r="F43" s="7"/>
      <c r="G43" s="11" t="s">
        <v>65</v>
      </c>
      <c r="H43" s="7">
        <v>24</v>
      </c>
      <c r="I43" s="11">
        <v>6</v>
      </c>
      <c r="J43" s="7"/>
      <c r="K43" s="11" t="s">
        <v>65</v>
      </c>
      <c r="L43" s="7">
        <v>31</v>
      </c>
      <c r="M43" s="11">
        <v>11</v>
      </c>
      <c r="N43" s="7">
        <v>29</v>
      </c>
      <c r="O43" s="11">
        <v>7.5</v>
      </c>
      <c r="P43" s="7">
        <v>31</v>
      </c>
      <c r="Q43" s="11">
        <v>6.5</v>
      </c>
      <c r="R43" s="7">
        <v>30</v>
      </c>
      <c r="S43" s="11">
        <v>8</v>
      </c>
      <c r="T43" s="7">
        <v>34</v>
      </c>
      <c r="U43" s="11">
        <v>11</v>
      </c>
      <c r="V43" s="7">
        <v>25</v>
      </c>
      <c r="W43" s="11">
        <v>5</v>
      </c>
      <c r="X43" s="7">
        <v>39</v>
      </c>
      <c r="Y43" s="11">
        <v>16.5</v>
      </c>
      <c r="Z43" s="7">
        <v>32</v>
      </c>
      <c r="AA43" s="11">
        <v>9.5</v>
      </c>
      <c r="AB43" s="7">
        <v>33</v>
      </c>
      <c r="AC43" s="11">
        <v>13</v>
      </c>
      <c r="AD43" s="7"/>
      <c r="AE43" s="11" t="s">
        <v>65</v>
      </c>
      <c r="AF43" s="7">
        <v>26</v>
      </c>
      <c r="AG43" s="11">
        <v>4</v>
      </c>
      <c r="AH43" s="7"/>
      <c r="AI43" s="11" t="s">
        <v>65</v>
      </c>
      <c r="AJ43" s="7">
        <v>31</v>
      </c>
      <c r="AK43" s="11">
        <v>10</v>
      </c>
      <c r="AL43" s="7">
        <v>33</v>
      </c>
      <c r="AM43" s="11">
        <v>10</v>
      </c>
      <c r="AN43" s="12">
        <v>30.571428571428573</v>
      </c>
      <c r="AO43" s="9">
        <v>8.9642857142857135</v>
      </c>
    </row>
    <row r="44" spans="1:41" x14ac:dyDescent="0.2">
      <c r="A44" s="13">
        <v>13.0213</v>
      </c>
      <c r="B44" s="14" t="s">
        <v>41</v>
      </c>
      <c r="C44" s="15">
        <v>14.5</v>
      </c>
      <c r="D44" s="16">
        <v>-27</v>
      </c>
      <c r="E44" s="17">
        <v>3</v>
      </c>
      <c r="F44" s="16"/>
      <c r="G44" s="17" t="s">
        <v>65</v>
      </c>
      <c r="H44" s="16">
        <v>-9</v>
      </c>
      <c r="I44" s="17">
        <v>8.5</v>
      </c>
      <c r="J44" s="16"/>
      <c r="K44" s="17" t="s">
        <v>65</v>
      </c>
      <c r="L44" s="16">
        <v>18</v>
      </c>
      <c r="M44" s="17">
        <v>14</v>
      </c>
      <c r="N44" s="16">
        <v>21</v>
      </c>
      <c r="O44" s="17">
        <v>17</v>
      </c>
      <c r="P44" s="16">
        <v>-2</v>
      </c>
      <c r="Q44" s="17">
        <v>9</v>
      </c>
      <c r="R44" s="16">
        <v>-1E-4</v>
      </c>
      <c r="S44" s="17">
        <v>10.5</v>
      </c>
      <c r="T44" s="16">
        <v>-13</v>
      </c>
      <c r="U44" s="17">
        <v>6</v>
      </c>
      <c r="V44" s="16">
        <v>-50</v>
      </c>
      <c r="W44" s="17">
        <v>5</v>
      </c>
      <c r="X44" s="16">
        <v>9</v>
      </c>
      <c r="Y44" s="17">
        <v>13</v>
      </c>
      <c r="Z44" s="16">
        <v>-1</v>
      </c>
      <c r="AA44" s="17">
        <v>9.5</v>
      </c>
      <c r="AB44" s="16">
        <v>6</v>
      </c>
      <c r="AC44" s="17">
        <v>12</v>
      </c>
      <c r="AD44" s="16"/>
      <c r="AE44" s="17" t="s">
        <v>65</v>
      </c>
      <c r="AF44" s="16">
        <v>11</v>
      </c>
      <c r="AG44" s="17">
        <v>13.5</v>
      </c>
      <c r="AH44" s="16"/>
      <c r="AI44" s="17" t="s">
        <v>65</v>
      </c>
      <c r="AJ44" s="16">
        <v>-21</v>
      </c>
      <c r="AK44" s="17">
        <v>4</v>
      </c>
      <c r="AL44" s="16">
        <v>-27</v>
      </c>
      <c r="AM44" s="17">
        <v>3</v>
      </c>
      <c r="AN44" s="18">
        <v>-85.000100000000003</v>
      </c>
      <c r="AO44" s="19">
        <v>9.1428571428571423</v>
      </c>
    </row>
    <row r="45" spans="1:41" x14ac:dyDescent="0.2">
      <c r="A45" s="3">
        <v>14</v>
      </c>
      <c r="B45" s="20" t="s">
        <v>48</v>
      </c>
      <c r="C45" s="6">
        <v>11</v>
      </c>
      <c r="D45" s="7">
        <v>77</v>
      </c>
      <c r="E45" s="8">
        <v>31.5</v>
      </c>
      <c r="F45" s="7"/>
      <c r="G45" s="8" t="s">
        <v>65</v>
      </c>
      <c r="H45" s="7">
        <v>87</v>
      </c>
      <c r="I45" s="8">
        <v>15</v>
      </c>
      <c r="J45" s="7"/>
      <c r="K45" s="8" t="s">
        <v>65</v>
      </c>
      <c r="L45" s="7">
        <v>81</v>
      </c>
      <c r="M45" s="8">
        <v>23.5</v>
      </c>
      <c r="N45" s="7">
        <v>84</v>
      </c>
      <c r="O45" s="8">
        <v>23</v>
      </c>
      <c r="P45" s="7">
        <v>82</v>
      </c>
      <c r="Q45" s="8">
        <v>16</v>
      </c>
      <c r="R45" s="7"/>
      <c r="S45" s="8" t="s">
        <v>65</v>
      </c>
      <c r="T45" s="7">
        <v>87</v>
      </c>
      <c r="U45" s="8">
        <v>10</v>
      </c>
      <c r="V45" s="7">
        <v>76</v>
      </c>
      <c r="W45" s="8">
        <v>29.5</v>
      </c>
      <c r="X45" s="7">
        <v>87</v>
      </c>
      <c r="Y45" s="8">
        <v>7.5</v>
      </c>
      <c r="Z45" s="7"/>
      <c r="AA45" s="8" t="s">
        <v>65</v>
      </c>
      <c r="AB45" s="7"/>
      <c r="AC45" s="8" t="s">
        <v>65</v>
      </c>
      <c r="AD45" s="7">
        <v>83</v>
      </c>
      <c r="AE45" s="8">
        <v>22</v>
      </c>
      <c r="AF45" s="7">
        <v>87</v>
      </c>
      <c r="AG45" s="8">
        <v>19</v>
      </c>
      <c r="AH45" s="7"/>
      <c r="AI45" s="8" t="s">
        <v>65</v>
      </c>
      <c r="AJ45" s="7">
        <v>88</v>
      </c>
      <c r="AK45" s="8">
        <v>6</v>
      </c>
      <c r="AL45" s="7"/>
      <c r="AM45" s="8" t="s">
        <v>65</v>
      </c>
      <c r="AN45" s="5">
        <v>197</v>
      </c>
      <c r="AO45" s="9">
        <v>18.454545454545453</v>
      </c>
    </row>
    <row r="46" spans="1:41" x14ac:dyDescent="0.2">
      <c r="A46" s="10">
        <v>14.17</v>
      </c>
      <c r="B46" s="2" t="s">
        <v>40</v>
      </c>
      <c r="C46" s="22"/>
      <c r="D46" s="7">
        <v>39</v>
      </c>
      <c r="E46" s="11">
        <v>17</v>
      </c>
      <c r="F46" s="7"/>
      <c r="G46" s="11" t="s">
        <v>65</v>
      </c>
      <c r="H46" s="7">
        <v>31</v>
      </c>
      <c r="I46" s="11">
        <v>10</v>
      </c>
      <c r="J46" s="7"/>
      <c r="K46" s="11" t="s">
        <v>65</v>
      </c>
      <c r="L46" s="7">
        <v>34</v>
      </c>
      <c r="M46" s="11">
        <v>16.5</v>
      </c>
      <c r="N46" s="7">
        <v>33</v>
      </c>
      <c r="O46" s="11">
        <v>10</v>
      </c>
      <c r="P46" s="7">
        <v>30</v>
      </c>
      <c r="Q46" s="11">
        <v>5</v>
      </c>
      <c r="R46" s="7"/>
      <c r="S46" s="11" t="s">
        <v>65</v>
      </c>
      <c r="T46" s="7">
        <v>30</v>
      </c>
      <c r="U46" s="11">
        <v>7</v>
      </c>
      <c r="V46" s="7">
        <v>36</v>
      </c>
      <c r="W46" s="11">
        <v>13.5</v>
      </c>
      <c r="X46" s="7">
        <v>28</v>
      </c>
      <c r="Y46" s="11">
        <v>4.5</v>
      </c>
      <c r="Z46" s="7"/>
      <c r="AA46" s="11" t="s">
        <v>65</v>
      </c>
      <c r="AB46" s="7"/>
      <c r="AC46" s="11" t="s">
        <v>65</v>
      </c>
      <c r="AD46" s="7">
        <v>32</v>
      </c>
      <c r="AE46" s="11">
        <v>10</v>
      </c>
      <c r="AF46" s="7">
        <v>30</v>
      </c>
      <c r="AG46" s="11">
        <v>10</v>
      </c>
      <c r="AH46" s="7"/>
      <c r="AI46" s="11" t="s">
        <v>65</v>
      </c>
      <c r="AJ46" s="7">
        <v>29</v>
      </c>
      <c r="AK46" s="11">
        <v>4</v>
      </c>
      <c r="AL46" s="7"/>
      <c r="AM46" s="11" t="s">
        <v>65</v>
      </c>
      <c r="AN46" s="12">
        <v>32</v>
      </c>
      <c r="AO46" s="9">
        <v>9.7727272727272734</v>
      </c>
    </row>
    <row r="47" spans="1:41" x14ac:dyDescent="0.2">
      <c r="A47" s="13">
        <v>14.026999999999999</v>
      </c>
      <c r="B47" s="14" t="s">
        <v>41</v>
      </c>
      <c r="C47" s="15">
        <v>7.5</v>
      </c>
      <c r="D47" s="16">
        <v>10</v>
      </c>
      <c r="E47" s="17">
        <v>14.5</v>
      </c>
      <c r="F47" s="16"/>
      <c r="G47" s="17" t="s">
        <v>65</v>
      </c>
      <c r="H47" s="16">
        <v>-32</v>
      </c>
      <c r="I47" s="17">
        <v>5</v>
      </c>
      <c r="J47" s="16"/>
      <c r="K47" s="17" t="s">
        <v>65</v>
      </c>
      <c r="L47" s="16">
        <v>-8</v>
      </c>
      <c r="M47" s="17">
        <v>7</v>
      </c>
      <c r="N47" s="16">
        <v>10</v>
      </c>
      <c r="O47" s="17">
        <v>13</v>
      </c>
      <c r="P47" s="16">
        <v>2</v>
      </c>
      <c r="Q47" s="17">
        <v>11</v>
      </c>
      <c r="R47" s="16"/>
      <c r="S47" s="17" t="s">
        <v>65</v>
      </c>
      <c r="T47" s="16">
        <v>-33</v>
      </c>
      <c r="U47" s="17">
        <v>3</v>
      </c>
      <c r="V47" s="16">
        <v>28</v>
      </c>
      <c r="W47" s="17">
        <v>16</v>
      </c>
      <c r="X47" s="16">
        <v>-46</v>
      </c>
      <c r="Y47" s="17">
        <v>3</v>
      </c>
      <c r="Z47" s="16"/>
      <c r="AA47" s="17" t="s">
        <v>65</v>
      </c>
      <c r="AB47" s="16"/>
      <c r="AC47" s="17" t="s">
        <v>65</v>
      </c>
      <c r="AD47" s="16">
        <v>3</v>
      </c>
      <c r="AE47" s="17">
        <v>12</v>
      </c>
      <c r="AF47" s="16">
        <v>-7</v>
      </c>
      <c r="AG47" s="17">
        <v>9</v>
      </c>
      <c r="AH47" s="16"/>
      <c r="AI47" s="17" t="s">
        <v>65</v>
      </c>
      <c r="AJ47" s="16">
        <v>-27</v>
      </c>
      <c r="AK47" s="17">
        <v>2</v>
      </c>
      <c r="AL47" s="16"/>
      <c r="AM47" s="17" t="s">
        <v>65</v>
      </c>
      <c r="AN47" s="18">
        <v>-100</v>
      </c>
      <c r="AO47" s="19">
        <v>8.6818181818181817</v>
      </c>
    </row>
    <row r="48" spans="1:41" x14ac:dyDescent="0.2">
      <c r="A48" s="3">
        <v>15</v>
      </c>
      <c r="B48" s="4" t="s">
        <v>58</v>
      </c>
      <c r="C48" s="6">
        <v>10</v>
      </c>
      <c r="D48" s="7"/>
      <c r="E48" s="8" t="s">
        <v>65</v>
      </c>
      <c r="F48" s="7"/>
      <c r="G48" s="8" t="s">
        <v>65</v>
      </c>
      <c r="H48" s="7"/>
      <c r="I48" s="8" t="s">
        <v>65</v>
      </c>
      <c r="J48" s="7">
        <v>91</v>
      </c>
      <c r="K48" s="8">
        <v>17</v>
      </c>
      <c r="L48" s="7"/>
      <c r="M48" s="8" t="s">
        <v>65</v>
      </c>
      <c r="N48" s="7"/>
      <c r="O48" s="8" t="s">
        <v>65</v>
      </c>
      <c r="P48" s="7"/>
      <c r="Q48" s="8" t="s">
        <v>65</v>
      </c>
      <c r="R48" s="7"/>
      <c r="S48" s="8" t="s">
        <v>65</v>
      </c>
      <c r="T48" s="7">
        <v>88</v>
      </c>
      <c r="U48" s="8">
        <v>26</v>
      </c>
      <c r="V48" s="7"/>
      <c r="W48" s="8" t="s">
        <v>65</v>
      </c>
      <c r="X48" s="7">
        <v>86</v>
      </c>
      <c r="Y48" s="8">
        <v>23.5</v>
      </c>
      <c r="Z48" s="7">
        <v>95</v>
      </c>
      <c r="AA48" s="8">
        <v>9</v>
      </c>
      <c r="AB48" s="7">
        <v>92</v>
      </c>
      <c r="AC48" s="8">
        <v>13</v>
      </c>
      <c r="AD48" s="7">
        <v>90</v>
      </c>
      <c r="AE48" s="8">
        <v>16</v>
      </c>
      <c r="AF48" s="7">
        <v>91</v>
      </c>
      <c r="AG48" s="8">
        <v>21</v>
      </c>
      <c r="AH48" s="7">
        <v>91</v>
      </c>
      <c r="AI48" s="8">
        <v>11.5</v>
      </c>
      <c r="AJ48" s="7">
        <v>92</v>
      </c>
      <c r="AK48" s="8">
        <v>9.5</v>
      </c>
      <c r="AL48" s="7">
        <v>92</v>
      </c>
      <c r="AM48" s="8">
        <v>13</v>
      </c>
      <c r="AN48" s="5">
        <v>159.5</v>
      </c>
      <c r="AO48" s="9">
        <v>15.95</v>
      </c>
    </row>
    <row r="49" spans="1:41" x14ac:dyDescent="0.2">
      <c r="A49" s="10">
        <v>15.19</v>
      </c>
      <c r="B49" s="2" t="s">
        <v>40</v>
      </c>
      <c r="C49" s="2"/>
      <c r="D49" s="7"/>
      <c r="E49" s="11" t="s">
        <v>65</v>
      </c>
      <c r="F49" s="7"/>
      <c r="G49" s="11" t="s">
        <v>65</v>
      </c>
      <c r="H49" s="7"/>
      <c r="I49" s="11" t="s">
        <v>65</v>
      </c>
      <c r="J49" s="7">
        <v>29</v>
      </c>
      <c r="K49" s="11">
        <v>10</v>
      </c>
      <c r="L49" s="7"/>
      <c r="M49" s="11" t="s">
        <v>65</v>
      </c>
      <c r="N49" s="7"/>
      <c r="O49" s="11" t="s">
        <v>65</v>
      </c>
      <c r="P49" s="7"/>
      <c r="Q49" s="11" t="s">
        <v>65</v>
      </c>
      <c r="R49" s="7"/>
      <c r="S49" s="11" t="s">
        <v>65</v>
      </c>
      <c r="T49" s="7">
        <v>38</v>
      </c>
      <c r="U49" s="11">
        <v>15</v>
      </c>
      <c r="V49" s="7"/>
      <c r="W49" s="11" t="s">
        <v>65</v>
      </c>
      <c r="X49" s="7">
        <v>36</v>
      </c>
      <c r="Y49" s="11">
        <v>11.5</v>
      </c>
      <c r="Z49" s="7">
        <v>29</v>
      </c>
      <c r="AA49" s="11">
        <v>5</v>
      </c>
      <c r="AB49" s="7">
        <v>27</v>
      </c>
      <c r="AC49" s="11">
        <v>6</v>
      </c>
      <c r="AD49" s="7">
        <v>32</v>
      </c>
      <c r="AE49" s="11">
        <v>10</v>
      </c>
      <c r="AF49" s="7">
        <v>33</v>
      </c>
      <c r="AG49" s="11">
        <v>12</v>
      </c>
      <c r="AH49" s="7">
        <v>28</v>
      </c>
      <c r="AI49" s="11">
        <v>5.5</v>
      </c>
      <c r="AJ49" s="7">
        <v>30</v>
      </c>
      <c r="AK49" s="11">
        <v>6.5</v>
      </c>
      <c r="AL49" s="7">
        <v>32</v>
      </c>
      <c r="AM49" s="11">
        <v>9</v>
      </c>
      <c r="AN49" s="12">
        <v>31.4</v>
      </c>
      <c r="AO49" s="9">
        <v>9.0500000000000007</v>
      </c>
    </row>
    <row r="50" spans="1:41" x14ac:dyDescent="0.2">
      <c r="A50" s="13">
        <v>15.0219</v>
      </c>
      <c r="B50" s="14" t="s">
        <v>41</v>
      </c>
      <c r="C50" s="15">
        <v>9</v>
      </c>
      <c r="D50" s="16"/>
      <c r="E50" s="17" t="s">
        <v>65</v>
      </c>
      <c r="F50" s="16"/>
      <c r="G50" s="17" t="s">
        <v>65</v>
      </c>
      <c r="H50" s="16"/>
      <c r="I50" s="17" t="s">
        <v>65</v>
      </c>
      <c r="J50" s="16">
        <v>-41</v>
      </c>
      <c r="K50" s="17">
        <v>7</v>
      </c>
      <c r="L50" s="16"/>
      <c r="M50" s="17" t="s">
        <v>65</v>
      </c>
      <c r="N50" s="16"/>
      <c r="O50" s="17" t="s">
        <v>65</v>
      </c>
      <c r="P50" s="16"/>
      <c r="Q50" s="17" t="s">
        <v>65</v>
      </c>
      <c r="R50" s="16"/>
      <c r="S50" s="17" t="s">
        <v>65</v>
      </c>
      <c r="T50" s="16">
        <v>3</v>
      </c>
      <c r="U50" s="17">
        <v>11</v>
      </c>
      <c r="V50" s="16"/>
      <c r="W50" s="17" t="s">
        <v>65</v>
      </c>
      <c r="X50" s="16">
        <v>7</v>
      </c>
      <c r="Y50" s="17">
        <v>12</v>
      </c>
      <c r="Z50" s="16">
        <v>-28</v>
      </c>
      <c r="AA50" s="17">
        <v>4</v>
      </c>
      <c r="AB50" s="16">
        <v>-18</v>
      </c>
      <c r="AC50" s="17">
        <v>7</v>
      </c>
      <c r="AD50" s="16">
        <v>-14</v>
      </c>
      <c r="AE50" s="17">
        <v>6</v>
      </c>
      <c r="AF50" s="16">
        <v>-7</v>
      </c>
      <c r="AG50" s="17">
        <v>9</v>
      </c>
      <c r="AH50" s="16">
        <v>-37</v>
      </c>
      <c r="AI50" s="17">
        <v>6</v>
      </c>
      <c r="AJ50" s="16">
        <v>-25</v>
      </c>
      <c r="AK50" s="17">
        <v>3</v>
      </c>
      <c r="AL50" s="16">
        <v>-18</v>
      </c>
      <c r="AM50" s="17">
        <v>4</v>
      </c>
      <c r="AN50" s="18">
        <v>-178</v>
      </c>
      <c r="AO50" s="19">
        <v>6.9</v>
      </c>
    </row>
    <row r="51" spans="1:41" x14ac:dyDescent="0.2">
      <c r="A51" s="3">
        <v>16</v>
      </c>
      <c r="B51" s="21" t="s">
        <v>54</v>
      </c>
      <c r="C51" s="6">
        <v>12</v>
      </c>
      <c r="D51" s="7">
        <v>99</v>
      </c>
      <c r="E51" s="8">
        <v>17</v>
      </c>
      <c r="F51" s="7"/>
      <c r="G51" s="8" t="s">
        <v>65</v>
      </c>
      <c r="H51" s="7">
        <v>103</v>
      </c>
      <c r="I51" s="8">
        <v>17.5</v>
      </c>
      <c r="J51" s="7"/>
      <c r="K51" s="8" t="s">
        <v>65</v>
      </c>
      <c r="L51" s="7">
        <v>107</v>
      </c>
      <c r="M51" s="8">
        <v>9</v>
      </c>
      <c r="N51" s="7">
        <v>108</v>
      </c>
      <c r="O51" s="8">
        <v>7</v>
      </c>
      <c r="P51" s="7"/>
      <c r="Q51" s="8" t="s">
        <v>65</v>
      </c>
      <c r="R51" s="7">
        <v>100</v>
      </c>
      <c r="S51" s="8">
        <v>22</v>
      </c>
      <c r="T51" s="7">
        <v>103</v>
      </c>
      <c r="U51" s="8">
        <v>10</v>
      </c>
      <c r="V51" s="7"/>
      <c r="W51" s="8" t="s">
        <v>65</v>
      </c>
      <c r="X51" s="7">
        <v>91</v>
      </c>
      <c r="Y51" s="8">
        <v>19.5</v>
      </c>
      <c r="Z51" s="7">
        <v>111</v>
      </c>
      <c r="AA51" s="8">
        <v>14</v>
      </c>
      <c r="AB51" s="7">
        <v>104</v>
      </c>
      <c r="AC51" s="8">
        <v>11</v>
      </c>
      <c r="AD51" s="7">
        <v>107</v>
      </c>
      <c r="AE51" s="8">
        <v>10</v>
      </c>
      <c r="AF51" s="7">
        <v>109</v>
      </c>
      <c r="AG51" s="8">
        <v>6</v>
      </c>
      <c r="AH51" s="7"/>
      <c r="AI51" s="8" t="s">
        <v>65</v>
      </c>
      <c r="AJ51" s="7"/>
      <c r="AK51" s="8" t="s">
        <v>65</v>
      </c>
      <c r="AL51" s="7">
        <v>107</v>
      </c>
      <c r="AM51" s="8">
        <v>14</v>
      </c>
      <c r="AN51" s="5">
        <v>144</v>
      </c>
      <c r="AO51" s="9">
        <v>13.083333333333334</v>
      </c>
    </row>
    <row r="52" spans="1:41" x14ac:dyDescent="0.2">
      <c r="A52" s="10">
        <v>16.114000000000001</v>
      </c>
      <c r="B52" s="2" t="s">
        <v>40</v>
      </c>
      <c r="C52" s="2"/>
      <c r="D52" s="7">
        <v>30</v>
      </c>
      <c r="E52" s="11">
        <v>7.5</v>
      </c>
      <c r="F52" s="7"/>
      <c r="G52" s="11" t="s">
        <v>65</v>
      </c>
      <c r="H52" s="7">
        <v>27</v>
      </c>
      <c r="I52" s="11">
        <v>9</v>
      </c>
      <c r="J52" s="7"/>
      <c r="K52" s="11" t="s">
        <v>65</v>
      </c>
      <c r="L52" s="7">
        <v>21</v>
      </c>
      <c r="M52" s="11">
        <v>5</v>
      </c>
      <c r="N52" s="7">
        <v>22</v>
      </c>
      <c r="O52" s="11">
        <v>4</v>
      </c>
      <c r="P52" s="7"/>
      <c r="Q52" s="11" t="s">
        <v>65</v>
      </c>
      <c r="R52" s="7">
        <v>27</v>
      </c>
      <c r="S52" s="11">
        <v>4</v>
      </c>
      <c r="T52" s="7">
        <v>27</v>
      </c>
      <c r="U52" s="11">
        <v>5</v>
      </c>
      <c r="V52" s="7"/>
      <c r="W52" s="11" t="s">
        <v>65</v>
      </c>
      <c r="X52" s="7">
        <v>36</v>
      </c>
      <c r="Y52" s="11">
        <v>11.5</v>
      </c>
      <c r="Z52" s="7">
        <v>19</v>
      </c>
      <c r="AA52" s="11">
        <v>3</v>
      </c>
      <c r="AB52" s="7">
        <v>21</v>
      </c>
      <c r="AC52" s="11">
        <v>5</v>
      </c>
      <c r="AD52" s="7">
        <v>21</v>
      </c>
      <c r="AE52" s="11">
        <v>5</v>
      </c>
      <c r="AF52" s="7">
        <v>22</v>
      </c>
      <c r="AG52" s="11">
        <v>3</v>
      </c>
      <c r="AH52" s="7"/>
      <c r="AI52" s="11" t="s">
        <v>65</v>
      </c>
      <c r="AJ52" s="7"/>
      <c r="AK52" s="11" t="s">
        <v>65</v>
      </c>
      <c r="AL52" s="7">
        <v>23</v>
      </c>
      <c r="AM52" s="11">
        <v>3</v>
      </c>
      <c r="AN52" s="12">
        <v>24.666666666666668</v>
      </c>
      <c r="AO52" s="9">
        <v>5.416666666666667</v>
      </c>
    </row>
    <row r="53" spans="1:41" x14ac:dyDescent="0.2">
      <c r="A53" s="13">
        <v>16.0214</v>
      </c>
      <c r="B53" s="14" t="s">
        <v>41</v>
      </c>
      <c r="C53" s="15">
        <v>9</v>
      </c>
      <c r="D53" s="16">
        <v>-8</v>
      </c>
      <c r="E53" s="17">
        <v>9.5</v>
      </c>
      <c r="F53" s="16"/>
      <c r="G53" s="17" t="s">
        <v>65</v>
      </c>
      <c r="H53" s="16">
        <v>-9</v>
      </c>
      <c r="I53" s="17">
        <v>8.5</v>
      </c>
      <c r="J53" s="16"/>
      <c r="K53" s="17" t="s">
        <v>65</v>
      </c>
      <c r="L53" s="16">
        <v>-54</v>
      </c>
      <c r="M53" s="17">
        <v>4</v>
      </c>
      <c r="N53" s="16">
        <v>-39</v>
      </c>
      <c r="O53" s="17">
        <v>3</v>
      </c>
      <c r="P53" s="16"/>
      <c r="Q53" s="17" t="s">
        <v>65</v>
      </c>
      <c r="R53" s="16">
        <v>28</v>
      </c>
      <c r="S53" s="17">
        <v>18</v>
      </c>
      <c r="T53" s="16">
        <v>-15</v>
      </c>
      <c r="U53" s="17">
        <v>5</v>
      </c>
      <c r="V53" s="16"/>
      <c r="W53" s="17" t="s">
        <v>65</v>
      </c>
      <c r="X53" s="16">
        <v>-8</v>
      </c>
      <c r="Y53" s="17">
        <v>8</v>
      </c>
      <c r="Z53" s="16">
        <v>1</v>
      </c>
      <c r="AA53" s="17">
        <v>11</v>
      </c>
      <c r="AB53" s="16">
        <v>-20</v>
      </c>
      <c r="AC53" s="17">
        <v>6</v>
      </c>
      <c r="AD53" s="16">
        <v>-22</v>
      </c>
      <c r="AE53" s="17">
        <v>5</v>
      </c>
      <c r="AF53" s="16">
        <v>-30</v>
      </c>
      <c r="AG53" s="17">
        <v>3</v>
      </c>
      <c r="AH53" s="16"/>
      <c r="AI53" s="17" t="s">
        <v>65</v>
      </c>
      <c r="AJ53" s="16"/>
      <c r="AK53" s="17" t="s">
        <v>65</v>
      </c>
      <c r="AL53" s="16">
        <v>0.1</v>
      </c>
      <c r="AM53" s="17">
        <v>11</v>
      </c>
      <c r="AN53" s="18">
        <v>-175.9</v>
      </c>
      <c r="AO53" s="19">
        <v>7.666666666666667</v>
      </c>
    </row>
    <row r="54" spans="1:41" x14ac:dyDescent="0.2">
      <c r="A54" s="3">
        <v>17</v>
      </c>
      <c r="B54" s="4" t="s">
        <v>59</v>
      </c>
      <c r="C54" s="6">
        <v>6</v>
      </c>
      <c r="D54" s="7"/>
      <c r="E54" s="8" t="s">
        <v>65</v>
      </c>
      <c r="F54" s="7"/>
      <c r="G54" s="8" t="s">
        <v>65</v>
      </c>
      <c r="H54" s="7"/>
      <c r="I54" s="8" t="s">
        <v>65</v>
      </c>
      <c r="J54" s="7"/>
      <c r="K54" s="8" t="s">
        <v>65</v>
      </c>
      <c r="L54" s="7"/>
      <c r="M54" s="8" t="s">
        <v>65</v>
      </c>
      <c r="N54" s="7"/>
      <c r="O54" s="8" t="s">
        <v>65</v>
      </c>
      <c r="P54" s="7"/>
      <c r="Q54" s="8" t="s">
        <v>65</v>
      </c>
      <c r="R54" s="7"/>
      <c r="S54" s="8" t="s">
        <v>65</v>
      </c>
      <c r="T54" s="7"/>
      <c r="U54" s="8" t="s">
        <v>65</v>
      </c>
      <c r="V54" s="7"/>
      <c r="W54" s="8" t="s">
        <v>65</v>
      </c>
      <c r="X54" s="7">
        <v>72</v>
      </c>
      <c r="Y54" s="8">
        <v>34.5</v>
      </c>
      <c r="Z54" s="7">
        <v>78</v>
      </c>
      <c r="AA54" s="8">
        <v>25</v>
      </c>
      <c r="AB54" s="7">
        <v>77</v>
      </c>
      <c r="AC54" s="8">
        <v>21</v>
      </c>
      <c r="AD54" s="7"/>
      <c r="AE54" s="8" t="s">
        <v>65</v>
      </c>
      <c r="AF54" s="7"/>
      <c r="AG54" s="8" t="s">
        <v>65</v>
      </c>
      <c r="AH54" s="7">
        <v>80</v>
      </c>
      <c r="AI54" s="8">
        <v>12.5</v>
      </c>
      <c r="AJ54" s="7">
        <v>80</v>
      </c>
      <c r="AK54" s="8">
        <v>25.5</v>
      </c>
      <c r="AL54" s="7">
        <v>79</v>
      </c>
      <c r="AM54" s="8">
        <v>23</v>
      </c>
      <c r="AN54" s="5">
        <v>141.5</v>
      </c>
      <c r="AO54" s="9">
        <v>23.583333333333332</v>
      </c>
    </row>
    <row r="55" spans="1:41" x14ac:dyDescent="0.2">
      <c r="A55" s="10">
        <v>17.120999999999999</v>
      </c>
      <c r="B55" s="2" t="s">
        <v>40</v>
      </c>
      <c r="C55" s="2"/>
      <c r="D55" s="7"/>
      <c r="E55" s="11" t="s">
        <v>65</v>
      </c>
      <c r="F55" s="7"/>
      <c r="G55" s="11" t="s">
        <v>65</v>
      </c>
      <c r="H55" s="7"/>
      <c r="I55" s="11" t="s">
        <v>65</v>
      </c>
      <c r="J55" s="7"/>
      <c r="K55" s="11" t="s">
        <v>65</v>
      </c>
      <c r="L55" s="7"/>
      <c r="M55" s="11" t="s">
        <v>65</v>
      </c>
      <c r="N55" s="7"/>
      <c r="O55" s="11" t="s">
        <v>65</v>
      </c>
      <c r="P55" s="7"/>
      <c r="Q55" s="11" t="s">
        <v>65</v>
      </c>
      <c r="R55" s="7"/>
      <c r="S55" s="11" t="s">
        <v>65</v>
      </c>
      <c r="T55" s="7"/>
      <c r="U55" s="11" t="s">
        <v>65</v>
      </c>
      <c r="V55" s="7"/>
      <c r="W55" s="11" t="s">
        <v>65</v>
      </c>
      <c r="X55" s="7">
        <v>40</v>
      </c>
      <c r="Y55" s="11">
        <v>18</v>
      </c>
      <c r="Z55" s="7">
        <v>33</v>
      </c>
      <c r="AA55" s="11">
        <v>12</v>
      </c>
      <c r="AB55" s="7">
        <v>30</v>
      </c>
      <c r="AC55" s="11">
        <v>11</v>
      </c>
      <c r="AD55" s="7"/>
      <c r="AE55" s="11" t="s">
        <v>65</v>
      </c>
      <c r="AF55" s="7"/>
      <c r="AG55" s="11" t="s">
        <v>65</v>
      </c>
      <c r="AH55" s="7">
        <v>29</v>
      </c>
      <c r="AI55" s="11">
        <v>7.5</v>
      </c>
      <c r="AJ55" s="7">
        <v>31</v>
      </c>
      <c r="AK55" s="11">
        <v>10</v>
      </c>
      <c r="AL55" s="7">
        <v>34</v>
      </c>
      <c r="AM55" s="11">
        <v>13</v>
      </c>
      <c r="AN55" s="12">
        <v>32.833333333333336</v>
      </c>
      <c r="AO55" s="9">
        <v>11.916666666666666</v>
      </c>
    </row>
    <row r="56" spans="1:41" x14ac:dyDescent="0.2">
      <c r="A56" s="13">
        <v>17.022099999999998</v>
      </c>
      <c r="B56" s="14" t="s">
        <v>41</v>
      </c>
      <c r="C56" s="15">
        <v>12.5</v>
      </c>
      <c r="D56" s="16"/>
      <c r="E56" s="17" t="s">
        <v>65</v>
      </c>
      <c r="F56" s="16"/>
      <c r="G56" s="17" t="s">
        <v>65</v>
      </c>
      <c r="H56" s="16"/>
      <c r="I56" s="17" t="s">
        <v>65</v>
      </c>
      <c r="J56" s="16"/>
      <c r="K56" s="17" t="s">
        <v>65</v>
      </c>
      <c r="L56" s="16"/>
      <c r="M56" s="17" t="s">
        <v>65</v>
      </c>
      <c r="N56" s="16"/>
      <c r="O56" s="17" t="s">
        <v>65</v>
      </c>
      <c r="P56" s="16"/>
      <c r="Q56" s="17" t="s">
        <v>65</v>
      </c>
      <c r="R56" s="16"/>
      <c r="S56" s="17" t="s">
        <v>65</v>
      </c>
      <c r="T56" s="16"/>
      <c r="U56" s="17" t="s">
        <v>65</v>
      </c>
      <c r="V56" s="16"/>
      <c r="W56" s="17" t="s">
        <v>65</v>
      </c>
      <c r="X56" s="16">
        <v>18</v>
      </c>
      <c r="Y56" s="17">
        <v>16.5</v>
      </c>
      <c r="Z56" s="16">
        <v>9</v>
      </c>
      <c r="AA56" s="17">
        <v>13</v>
      </c>
      <c r="AB56" s="16">
        <v>0.1</v>
      </c>
      <c r="AC56" s="17">
        <v>10</v>
      </c>
      <c r="AD56" s="16"/>
      <c r="AE56" s="17" t="s">
        <v>65</v>
      </c>
      <c r="AF56" s="16"/>
      <c r="AG56" s="17" t="s">
        <v>65</v>
      </c>
      <c r="AH56" s="16">
        <v>-46</v>
      </c>
      <c r="AI56" s="17">
        <v>5</v>
      </c>
      <c r="AJ56" s="16">
        <v>11</v>
      </c>
      <c r="AK56" s="17">
        <v>15.5</v>
      </c>
      <c r="AL56" s="16">
        <v>-2</v>
      </c>
      <c r="AM56" s="17">
        <v>10</v>
      </c>
      <c r="AN56" s="18">
        <v>-9.8999999999999986</v>
      </c>
      <c r="AO56" s="19">
        <v>11.666666666666666</v>
      </c>
    </row>
    <row r="57" spans="1:41" x14ac:dyDescent="0.2">
      <c r="A57" s="3">
        <v>18</v>
      </c>
      <c r="B57" s="4" t="s">
        <v>55</v>
      </c>
      <c r="C57" s="6">
        <v>8</v>
      </c>
      <c r="D57" s="7"/>
      <c r="E57" s="8" t="s">
        <v>65</v>
      </c>
      <c r="F57" s="7"/>
      <c r="G57" s="8" t="s">
        <v>65</v>
      </c>
      <c r="H57" s="7">
        <v>101</v>
      </c>
      <c r="I57" s="8">
        <v>18</v>
      </c>
      <c r="J57" s="7"/>
      <c r="K57" s="8" t="s">
        <v>65</v>
      </c>
      <c r="L57" s="7">
        <v>107</v>
      </c>
      <c r="M57" s="8">
        <v>9</v>
      </c>
      <c r="N57" s="7">
        <v>100</v>
      </c>
      <c r="O57" s="8">
        <v>21</v>
      </c>
      <c r="P57" s="7">
        <v>91</v>
      </c>
      <c r="Q57" s="8">
        <v>20.5</v>
      </c>
      <c r="R57" s="7"/>
      <c r="S57" s="8" t="s">
        <v>65</v>
      </c>
      <c r="T57" s="7">
        <v>99</v>
      </c>
      <c r="U57" s="8">
        <v>13</v>
      </c>
      <c r="V57" s="7"/>
      <c r="W57" s="8" t="s">
        <v>65</v>
      </c>
      <c r="X57" s="7"/>
      <c r="Y57" s="8" t="s">
        <v>65</v>
      </c>
      <c r="Z57" s="7"/>
      <c r="AA57" s="8" t="s">
        <v>65</v>
      </c>
      <c r="AB57" s="7"/>
      <c r="AC57" s="8" t="s">
        <v>65</v>
      </c>
      <c r="AD57" s="7"/>
      <c r="AE57" s="8" t="s">
        <v>65</v>
      </c>
      <c r="AF57" s="7">
        <v>88</v>
      </c>
      <c r="AG57" s="8">
        <v>31</v>
      </c>
      <c r="AH57" s="7"/>
      <c r="AI57" s="8" t="s">
        <v>65</v>
      </c>
      <c r="AJ57" s="7">
        <v>97</v>
      </c>
      <c r="AK57" s="8">
        <v>2.5</v>
      </c>
      <c r="AL57" s="7">
        <v>98</v>
      </c>
      <c r="AM57" s="8">
        <v>12.5</v>
      </c>
      <c r="AN57" s="5">
        <v>127.5</v>
      </c>
      <c r="AO57" s="9">
        <v>15.9375</v>
      </c>
    </row>
    <row r="58" spans="1:41" x14ac:dyDescent="0.2">
      <c r="A58" s="10">
        <v>18.117999999999999</v>
      </c>
      <c r="B58" s="2" t="s">
        <v>40</v>
      </c>
      <c r="C58" s="2"/>
      <c r="D58" s="7"/>
      <c r="E58" s="11" t="s">
        <v>65</v>
      </c>
      <c r="F58" s="7"/>
      <c r="G58" s="11" t="s">
        <v>65</v>
      </c>
      <c r="H58" s="7">
        <v>25</v>
      </c>
      <c r="I58" s="11">
        <v>7</v>
      </c>
      <c r="J58" s="7"/>
      <c r="K58" s="11" t="s">
        <v>65</v>
      </c>
      <c r="L58" s="7">
        <v>17</v>
      </c>
      <c r="M58" s="11">
        <v>3</v>
      </c>
      <c r="N58" s="7">
        <v>27</v>
      </c>
      <c r="O58" s="11">
        <v>6</v>
      </c>
      <c r="P58" s="7">
        <v>31</v>
      </c>
      <c r="Q58" s="11">
        <v>6.5</v>
      </c>
      <c r="R58" s="7"/>
      <c r="S58" s="11" t="s">
        <v>65</v>
      </c>
      <c r="T58" s="7">
        <v>28</v>
      </c>
      <c r="U58" s="11">
        <v>6</v>
      </c>
      <c r="V58" s="7"/>
      <c r="W58" s="11" t="s">
        <v>65</v>
      </c>
      <c r="X58" s="7"/>
      <c r="Y58" s="11" t="s">
        <v>65</v>
      </c>
      <c r="Z58" s="7"/>
      <c r="AA58" s="11" t="s">
        <v>65</v>
      </c>
      <c r="AB58" s="7"/>
      <c r="AC58" s="11" t="s">
        <v>65</v>
      </c>
      <c r="AD58" s="7"/>
      <c r="AE58" s="11" t="s">
        <v>65</v>
      </c>
      <c r="AF58" s="7">
        <v>38</v>
      </c>
      <c r="AG58" s="11">
        <v>17.5</v>
      </c>
      <c r="AH58" s="7"/>
      <c r="AI58" s="11" t="s">
        <v>65</v>
      </c>
      <c r="AJ58" s="7">
        <v>26</v>
      </c>
      <c r="AK58" s="11">
        <v>1.5</v>
      </c>
      <c r="AL58" s="7">
        <v>28</v>
      </c>
      <c r="AM58" s="11">
        <v>4.5</v>
      </c>
      <c r="AN58" s="12">
        <v>27.5</v>
      </c>
      <c r="AO58" s="9">
        <v>6.5</v>
      </c>
    </row>
    <row r="59" spans="1:41" x14ac:dyDescent="0.2">
      <c r="A59" s="13">
        <v>18.021799999999999</v>
      </c>
      <c r="B59" s="14" t="s">
        <v>41</v>
      </c>
      <c r="C59" s="15">
        <v>2.5</v>
      </c>
      <c r="D59" s="16"/>
      <c r="E59" s="17" t="s">
        <v>65</v>
      </c>
      <c r="F59" s="16"/>
      <c r="G59" s="17" t="s">
        <v>65</v>
      </c>
      <c r="H59" s="16">
        <v>3</v>
      </c>
      <c r="I59" s="17">
        <v>11</v>
      </c>
      <c r="J59" s="16"/>
      <c r="K59" s="17" t="s">
        <v>65</v>
      </c>
      <c r="L59" s="16">
        <v>-16</v>
      </c>
      <c r="M59" s="17">
        <v>6</v>
      </c>
      <c r="N59" s="16">
        <v>16</v>
      </c>
      <c r="O59" s="17">
        <v>15</v>
      </c>
      <c r="P59" s="16">
        <v>6</v>
      </c>
      <c r="Q59" s="17">
        <v>14</v>
      </c>
      <c r="R59" s="16"/>
      <c r="S59" s="17" t="s">
        <v>65</v>
      </c>
      <c r="T59" s="16">
        <v>-11</v>
      </c>
      <c r="U59" s="17">
        <v>7</v>
      </c>
      <c r="V59" s="16"/>
      <c r="W59" s="17" t="s">
        <v>65</v>
      </c>
      <c r="X59" s="16"/>
      <c r="Y59" s="17" t="s">
        <v>65</v>
      </c>
      <c r="Z59" s="16"/>
      <c r="AA59" s="17" t="s">
        <v>65</v>
      </c>
      <c r="AB59" s="16"/>
      <c r="AC59" s="17" t="s">
        <v>65</v>
      </c>
      <c r="AD59" s="16"/>
      <c r="AE59" s="17" t="s">
        <v>65</v>
      </c>
      <c r="AF59" s="16">
        <v>11</v>
      </c>
      <c r="AG59" s="17">
        <v>13.5</v>
      </c>
      <c r="AH59" s="16"/>
      <c r="AI59" s="17" t="s">
        <v>65</v>
      </c>
      <c r="AJ59" s="16">
        <v>-39</v>
      </c>
      <c r="AK59" s="17">
        <v>1</v>
      </c>
      <c r="AL59" s="16">
        <v>-9</v>
      </c>
      <c r="AM59" s="17">
        <v>8</v>
      </c>
      <c r="AN59" s="18">
        <v>-39</v>
      </c>
      <c r="AO59" s="19">
        <v>9.4375</v>
      </c>
    </row>
    <row r="60" spans="1:41" x14ac:dyDescent="0.2">
      <c r="A60" s="3">
        <v>19</v>
      </c>
      <c r="B60" s="20" t="s">
        <v>56</v>
      </c>
      <c r="C60" s="6">
        <v>8</v>
      </c>
      <c r="D60" s="7">
        <v>97</v>
      </c>
      <c r="E60" s="8">
        <v>9</v>
      </c>
      <c r="F60" s="7"/>
      <c r="G60" s="8" t="s">
        <v>65</v>
      </c>
      <c r="H60" s="7">
        <v>125</v>
      </c>
      <c r="I60" s="8">
        <v>11</v>
      </c>
      <c r="J60" s="7"/>
      <c r="K60" s="8" t="s">
        <v>65</v>
      </c>
      <c r="L60" s="7">
        <v>107</v>
      </c>
      <c r="M60" s="8">
        <v>14</v>
      </c>
      <c r="N60" s="7">
        <v>112</v>
      </c>
      <c r="O60" s="8">
        <v>8</v>
      </c>
      <c r="P60" s="7"/>
      <c r="Q60" s="8" t="s">
        <v>65</v>
      </c>
      <c r="R60" s="7">
        <v>98</v>
      </c>
      <c r="S60" s="8">
        <v>23.5</v>
      </c>
      <c r="T60" s="7">
        <v>105</v>
      </c>
      <c r="U60" s="8">
        <v>15</v>
      </c>
      <c r="V60" s="7">
        <v>98</v>
      </c>
      <c r="W60" s="8">
        <v>17</v>
      </c>
      <c r="X60" s="7"/>
      <c r="Y60" s="8" t="s">
        <v>65</v>
      </c>
      <c r="Z60" s="7"/>
      <c r="AA60" s="8" t="s">
        <v>65</v>
      </c>
      <c r="AB60" s="7"/>
      <c r="AC60" s="8" t="s">
        <v>65</v>
      </c>
      <c r="AD60" s="7"/>
      <c r="AE60" s="8" t="s">
        <v>65</v>
      </c>
      <c r="AF60" s="7"/>
      <c r="AG60" s="8" t="s">
        <v>65</v>
      </c>
      <c r="AH60" s="7"/>
      <c r="AI60" s="8" t="s">
        <v>65</v>
      </c>
      <c r="AJ60" s="7">
        <v>102</v>
      </c>
      <c r="AK60" s="8">
        <v>10.5</v>
      </c>
      <c r="AL60" s="7"/>
      <c r="AM60" s="8" t="s">
        <v>65</v>
      </c>
      <c r="AN60" s="5">
        <v>108</v>
      </c>
      <c r="AO60" s="9">
        <v>13.5</v>
      </c>
    </row>
    <row r="61" spans="1:41" x14ac:dyDescent="0.2">
      <c r="A61" s="10">
        <v>19.116</v>
      </c>
      <c r="B61" s="2" t="s">
        <v>40</v>
      </c>
      <c r="C61" s="2"/>
      <c r="D61" s="7">
        <v>26</v>
      </c>
      <c r="E61" s="11">
        <v>3</v>
      </c>
      <c r="F61" s="7"/>
      <c r="G61" s="11" t="s">
        <v>65</v>
      </c>
      <c r="H61" s="24">
        <v>8</v>
      </c>
      <c r="I61" s="11">
        <v>5</v>
      </c>
      <c r="J61" s="7"/>
      <c r="K61" s="11" t="s">
        <v>65</v>
      </c>
      <c r="L61" s="7">
        <v>19</v>
      </c>
      <c r="M61" s="11">
        <v>4</v>
      </c>
      <c r="N61" s="7">
        <v>18</v>
      </c>
      <c r="O61" s="11">
        <v>3</v>
      </c>
      <c r="P61" s="7"/>
      <c r="Q61" s="11" t="s">
        <v>65</v>
      </c>
      <c r="R61" s="7">
        <v>29</v>
      </c>
      <c r="S61" s="11">
        <v>6.5</v>
      </c>
      <c r="T61" s="7">
        <v>26</v>
      </c>
      <c r="U61" s="11">
        <v>4</v>
      </c>
      <c r="V61" s="7">
        <v>27</v>
      </c>
      <c r="W61" s="11">
        <v>6</v>
      </c>
      <c r="X61" s="7"/>
      <c r="Y61" s="11" t="s">
        <v>65</v>
      </c>
      <c r="Z61" s="7"/>
      <c r="AA61" s="11" t="s">
        <v>65</v>
      </c>
      <c r="AB61" s="7"/>
      <c r="AC61" s="11" t="s">
        <v>65</v>
      </c>
      <c r="AD61" s="7"/>
      <c r="AE61" s="11" t="s">
        <v>65</v>
      </c>
      <c r="AF61" s="7"/>
      <c r="AG61" s="11" t="s">
        <v>65</v>
      </c>
      <c r="AH61" s="7"/>
      <c r="AI61" s="11" t="s">
        <v>65</v>
      </c>
      <c r="AJ61" s="7">
        <v>26</v>
      </c>
      <c r="AK61" s="11">
        <v>1.5</v>
      </c>
      <c r="AL61" s="7"/>
      <c r="AM61" s="11" t="s">
        <v>65</v>
      </c>
      <c r="AN61" s="12">
        <v>22.375</v>
      </c>
      <c r="AO61" s="9">
        <v>4.1428571428571432</v>
      </c>
    </row>
    <row r="62" spans="1:41" x14ac:dyDescent="0.2">
      <c r="A62" s="13">
        <v>19.021599999999999</v>
      </c>
      <c r="B62" s="23" t="s">
        <v>41</v>
      </c>
      <c r="C62" s="15">
        <v>8</v>
      </c>
      <c r="D62" s="16">
        <v>-11</v>
      </c>
      <c r="E62" s="17">
        <v>6</v>
      </c>
      <c r="F62" s="16"/>
      <c r="G62" s="17" t="s">
        <v>65</v>
      </c>
      <c r="H62" s="16">
        <v>-15</v>
      </c>
      <c r="I62" s="17">
        <v>6</v>
      </c>
      <c r="J62" s="16"/>
      <c r="K62" s="17" t="s">
        <v>65</v>
      </c>
      <c r="L62" s="16">
        <v>6</v>
      </c>
      <c r="M62" s="17">
        <v>10</v>
      </c>
      <c r="N62" s="16">
        <v>-18</v>
      </c>
      <c r="O62" s="17">
        <v>5</v>
      </c>
      <c r="P62" s="16"/>
      <c r="Q62" s="17" t="s">
        <v>65</v>
      </c>
      <c r="R62" s="16">
        <v>24</v>
      </c>
      <c r="S62" s="17">
        <v>17</v>
      </c>
      <c r="T62" s="16">
        <v>3</v>
      </c>
      <c r="U62" s="17">
        <v>11</v>
      </c>
      <c r="V62" s="16">
        <v>10</v>
      </c>
      <c r="W62" s="17">
        <v>11</v>
      </c>
      <c r="X62" s="16"/>
      <c r="Y62" s="17" t="s">
        <v>65</v>
      </c>
      <c r="Z62" s="16"/>
      <c r="AA62" s="17" t="s">
        <v>65</v>
      </c>
      <c r="AB62" s="16"/>
      <c r="AC62" s="17" t="s">
        <v>65</v>
      </c>
      <c r="AD62" s="16"/>
      <c r="AE62" s="17" t="s">
        <v>65</v>
      </c>
      <c r="AF62" s="16"/>
      <c r="AG62" s="17" t="s">
        <v>65</v>
      </c>
      <c r="AH62" s="16"/>
      <c r="AI62" s="17" t="s">
        <v>65</v>
      </c>
      <c r="AJ62" s="16">
        <v>0.1</v>
      </c>
      <c r="AK62" s="17">
        <v>9</v>
      </c>
      <c r="AL62" s="16"/>
      <c r="AM62" s="17" t="s">
        <v>65</v>
      </c>
      <c r="AN62" s="18">
        <v>-0.9</v>
      </c>
      <c r="AO62" s="19">
        <v>9.375</v>
      </c>
    </row>
    <row r="65" spans="2:96" x14ac:dyDescent="0.2">
      <c r="B65" t="s">
        <v>60</v>
      </c>
      <c r="C65"/>
      <c r="D65" s="25">
        <f>AVERAGE(E6,E9,E12,E15,E18,E21,E24,E27,E30,E33,E36,E39,E42,E45,E48,E51,E54,E57,E60)</f>
        <v>21</v>
      </c>
      <c r="E65" s="26"/>
      <c r="F65" s="25" t="e">
        <f>AVERAGE(G6,G9,G12,G15,G18,G21,G24,G27,G30,G33,G36,G39,G42,G45,G48,G51,G54,G57,G60)</f>
        <v>#DIV/0!</v>
      </c>
      <c r="G65" s="26"/>
      <c r="H65" s="25">
        <f>AVERAGE(I6,I9,I12,I15,I18,I21,I24,I27,I30,I33,I36,I39,I42,I45,I48,I51,I54,I57,I60)</f>
        <v>21</v>
      </c>
      <c r="I65" s="26"/>
      <c r="J65" s="25">
        <f>AVERAGE(K6,K9,K12,K15,K18,K21,K24,K27,K30,K33,K36,K39,K42,K45,K48,K51,K54,K57,K60)</f>
        <v>21</v>
      </c>
      <c r="K65" s="26"/>
      <c r="L65" s="25">
        <f>AVERAGE(M6,M9,M12,M15,M18,M21,M24,M27,M30,M33,M36,M39,M42,M45,M48,M51,M54,M57,M60)</f>
        <v>20.5</v>
      </c>
      <c r="M65" s="26"/>
      <c r="N65" s="25">
        <f>AVERAGE(O6,O9,O12,O15,O18,O21,O24,O27,O30,O33,O36,O39,O42,O45,O48,O51,O54,O57,O60)</f>
        <v>20.866666666666667</v>
      </c>
      <c r="O65" s="26"/>
      <c r="P65" s="25">
        <f>AVERAGE(Q6,Q9,Q12,Q15,Q18,Q21,Q24,Q27,Q30,Q33,Q36,Q39,Q42,Q45,Q48,Q51,Q54,Q57,Q60)</f>
        <v>21.727272727272727</v>
      </c>
      <c r="Q65" s="26"/>
      <c r="R65" s="25">
        <f>AVERAGE(S6,S9,S12,S15,S18,S21,S24,S27,S30,S33,S36,S39,S42,S45,S48,S51,S54,S57,S60)</f>
        <v>21.653846153846153</v>
      </c>
      <c r="S65" s="26"/>
      <c r="T65" s="25">
        <f>AVERAGE(U6,U9,U12,U15,U18,U21,U24,U27,U30,U33,U36,U39,U42,U45,U48,U51,U54,U57,U60)</f>
        <v>21</v>
      </c>
      <c r="U65" s="26"/>
      <c r="V65" s="25">
        <f>AVERAGE(W6,W9,W12,W15,W18,W21,W24,W27,W30,W33,W36,W39,W42,W45,W48,W51,W54,W57,W60)</f>
        <v>21</v>
      </c>
      <c r="W65" s="26"/>
      <c r="X65" s="25">
        <f>AVERAGE(Y6,Y9,Y12,Y15,Y18,Y21,Y24,Y27,Y30,Y33,Y36,Y39,Y42,Y45,Y48,Y51,Y54,Y57,Y60)</f>
        <v>20.285714285714285</v>
      </c>
      <c r="Y65" s="26"/>
      <c r="Z65" s="25">
        <f>AVERAGE(AA6,AA9,AA12,AA15,AA18,AA21,AA24,AA27,AA30,AA33,AA36,AA39,AA42,AA45,AA48,AA51,AA54,AA57,AA60)</f>
        <v>21.076923076923077</v>
      </c>
      <c r="AA65" s="26"/>
      <c r="AB65" s="25">
        <f>AVERAGE(AC6,AC9,AC12,AC15,AC18,AC21,AC24,AC27,AC30,AC33,AC36,AC39,AC42,AC45,AC48,AC51,AC54,AC57,AC60)</f>
        <v>21</v>
      </c>
      <c r="AC65" s="26"/>
      <c r="AD65" s="25">
        <f>AVERAGE(AE6,AE9,AE12,AE15,AE18,AE21,AE24,AE27,AE30,AE33,AE36,AE39,AE42,AE45,AE48,AE51,AE54,AE57,AE60)</f>
        <v>21</v>
      </c>
      <c r="AE65" s="26"/>
      <c r="AF65" s="25">
        <f>AVERAGE(AG6,AG9,AG12,AG15,AG18,AG21,AG24,AG27,AG30,AG33,AG36,AG39,AG42,AG45,AG48,AG51,AG54,AG57,AG60)</f>
        <v>20.166666666666668</v>
      </c>
      <c r="AG65" s="26"/>
      <c r="AH65" s="25">
        <f>AVERAGE(AI6,AI9,AI12,AI15,AI18,AI21,AI24,AI27,AI30,AI33,AI36,AI39,AI42,AI45,AI48,AI51,AI54,AI57,AI60)</f>
        <v>21.5</v>
      </c>
      <c r="AI65" s="26"/>
      <c r="AJ65" s="25">
        <f>AVERAGE(AK6,AK9,AK12,AK15,AK18,AK21,AK24,AK27,AK30,AK33,AK36,AK39,AK42,AK45,AK48,AK51,AK54,AK57,AK60)</f>
        <v>20.147058823529413</v>
      </c>
      <c r="AK65" s="26"/>
      <c r="AL65" s="25">
        <f>AVERAGE(AM6,AM9,AM12,AM15,AM18,AM21,AM24,AM27,AM30,AM33,AM36,AM39,AM42,AM45,AM48,AM51,AM54,AM57,AM60)</f>
        <v>20.115384615384617</v>
      </c>
      <c r="AM65" s="27">
        <f>AVERAGE(AN6,AN9,AN12,AN15,AN18,AN21,AN24,AN27,AN30,AN33,AN39,AN42,AN45,AN48,AN51,AN54,AN57,AN60)</f>
        <v>214.58333333333334</v>
      </c>
    </row>
    <row r="66" spans="2:96" x14ac:dyDescent="0.2">
      <c r="C66"/>
      <c r="D66"/>
      <c r="CR66" s="1"/>
    </row>
    <row r="67" spans="2:96" x14ac:dyDescent="0.2">
      <c r="D67" s="28"/>
      <c r="F67" s="28"/>
      <c r="H67" s="28"/>
      <c r="J67" s="28"/>
      <c r="L67" s="28"/>
      <c r="N67" s="28"/>
      <c r="P67" s="28"/>
      <c r="R67" s="28"/>
      <c r="T67" s="28" t="e">
        <f>U6+U9+U12+U15+U18+U21+U24+U27+U30+U33+U36+U39+U42+U45+U48+U51+U54+U57+U60</f>
        <v>#VALUE!</v>
      </c>
      <c r="V67" s="28" t="e">
        <f>W6+W9+W12+W15+W18+W21+W24+W27+W30+W33+W36+W39+W42+W45+W48+W51+W54+W57+W60</f>
        <v>#VALUE!</v>
      </c>
      <c r="X67" s="28" t="e">
        <f>Y6+Y9+Y12+Y15+Y18+Y21+Y24+Y27+Y30+Y33+Y36+Y39+Y42+Y45+Y48+Y51+Y54+Y57+Y60</f>
        <v>#VALUE!</v>
      </c>
      <c r="Z67" s="28" t="e">
        <f>AA6+AA9+AA12+AA15+AA18+AA21+AA24+AA27+AA30+AA33+AA36+AA39+AA42+AA45+AA48+AA51+AA54+AA57+AA60</f>
        <v>#VALUE!</v>
      </c>
      <c r="AB67" s="28" t="e">
        <f>AC6+AC9+AC12+AC15+AC18+AC21+AC24+AC27+AC30+AC33+AC36+AC39+AC42+AC45+AC48+AC51+AC54+AC57+AC60</f>
        <v>#VALUE!</v>
      </c>
      <c r="AD67" s="28" t="e">
        <f>AE6+AE9+AE12+AE15+AE18+AE21+AE24+AE27+AE30+AE33+AE36+AE39+AE42+AE45+AE48+AE51+AE54+AE57+AE60</f>
        <v>#VALUE!</v>
      </c>
      <c r="AF67" s="28" t="e">
        <f>AG6+AG9+AG12+AG15+AG18+AG21+AG24+AG27+AG30+AG33+AG36+AG39+AG42+AG45+AG48+AG51+AG54+AG57+AG60</f>
        <v>#VALUE!</v>
      </c>
      <c r="AH67" s="28" t="e">
        <f>AI6+AI9+AI12+AI15+AI18+AI21+AI24+AI27+AI30+AI33+AI36+AI39+AI42+AI45+AI48+AI51+AI54+AI57+AI60</f>
        <v>#VALUE!</v>
      </c>
      <c r="AJ67" s="28" t="e">
        <f>AK6+AK9+AK12+AK15+AK18+AK21+AK24+AK27+AK30+AK33+AK36+AK39+AK42+AK45+AK48+AK51+AK54+AK57+AK60</f>
        <v>#VALUE!</v>
      </c>
      <c r="AL67" s="28" t="e">
        <f>AM6+AM9+AM12+AM15+AM18+AM21+AM24+AM27+AM30+AM33+AM36+AM39+AM42+AM45+AM48+AM51+AM54+AM57+AM60</f>
        <v>#VALUE!</v>
      </c>
      <c r="AM67" s="29">
        <f>AN6+AN9+AN12+AN15+AN18+AN21+AN24+AN27+AN30+AN33+AN36+AN39+AN42+AN45+AN48+AN51+AN54+AN57+AN60</f>
        <v>4086.5</v>
      </c>
      <c r="CR67" s="1"/>
    </row>
    <row r="68" spans="2:96" x14ac:dyDescent="0.2">
      <c r="D68"/>
      <c r="CR68" s="1"/>
    </row>
    <row r="69" spans="2:96" x14ac:dyDescent="0.2">
      <c r="D69" s="30"/>
      <c r="F69" s="30"/>
      <c r="H69" s="30"/>
      <c r="J69" s="30"/>
      <c r="L69" s="30"/>
      <c r="N69" s="30"/>
      <c r="P69" s="30"/>
      <c r="R69" s="30"/>
      <c r="T69" s="30" t="e">
        <f>+#REF!+#REF!+#REF!+#REF!+#REF!+#REF!+#REF!+#REF!+#REF!+#REF!+#REF!+T67</f>
        <v>#REF!</v>
      </c>
      <c r="V69" s="30" t="e">
        <f>+#REF!+#REF!+#REF!+#REF!+#REF!+#REF!+#REF!+#REF!+#REF!+#REF!+#REF!+V67</f>
        <v>#REF!</v>
      </c>
      <c r="X69" s="30" t="e">
        <f>+#REF!+#REF!+#REF!+#REF!+#REF!+#REF!+#REF!+#REF!+#REF!+#REF!+#REF!+X67</f>
        <v>#REF!</v>
      </c>
      <c r="Z69" s="30" t="e">
        <f>+#REF!+#REF!+#REF!+#REF!+#REF!+#REF!+#REF!+#REF!+#REF!+#REF!+#REF!+Z67</f>
        <v>#REF!</v>
      </c>
      <c r="AB69" s="30" t="e">
        <f>+#REF!+#REF!+#REF!+#REF!+#REF!+#REF!+#REF!+#REF!+#REF!+#REF!+#REF!+AB67</f>
        <v>#REF!</v>
      </c>
      <c r="AD69" s="30" t="e">
        <f>+#REF!+#REF!+#REF!+#REF!+#REF!+#REF!+#REF!+#REF!+#REF!+#REF!+#REF!+AD67</f>
        <v>#REF!</v>
      </c>
      <c r="AF69" s="30" t="e">
        <f>+#REF!+#REF!+#REF!+#REF!+#REF!+#REF!+#REF!+#REF!+#REF!+#REF!+#REF!+AF67</f>
        <v>#REF!</v>
      </c>
      <c r="AH69" s="30" t="e">
        <f>+#REF!+#REF!+#REF!+#REF!+#REF!+#REF!+#REF!+#REF!+#REF!+#REF!+#REF!+AH67</f>
        <v>#REF!</v>
      </c>
      <c r="AJ69" s="30" t="e">
        <f>+#REF!+#REF!+#REF!+#REF!+#REF!+#REF!+#REF!+#REF!+#REF!+#REF!+#REF!+AJ67</f>
        <v>#REF!</v>
      </c>
      <c r="AL69" s="30" t="e">
        <f>+#REF!+#REF!+#REF!+#REF!+#REF!+#REF!+#REF!+#REF!+#REF!+#REF!+#REF!+AL67</f>
        <v>#REF!</v>
      </c>
      <c r="CR69" s="1"/>
    </row>
    <row r="70" spans="2:96" x14ac:dyDescent="0.2">
      <c r="B70" s="3"/>
      <c r="C70" s="3"/>
      <c r="CR70" s="1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95" right="0.2" top="0.25" bottom="0.25" header="0.511811023622047" footer="0.511811023622047"/>
  <pageSetup scale="34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61</v>
      </c>
      <c r="B1" s="31">
        <v>44680</v>
      </c>
      <c r="C1" s="31">
        <v>44687</v>
      </c>
      <c r="D1" s="31">
        <v>44694</v>
      </c>
      <c r="E1" s="31">
        <v>44701</v>
      </c>
      <c r="F1" s="31">
        <v>44708</v>
      </c>
      <c r="G1" s="31">
        <v>44715</v>
      </c>
      <c r="H1" s="31">
        <v>44729</v>
      </c>
      <c r="I1" s="31">
        <v>44736</v>
      </c>
      <c r="J1" s="31">
        <v>44743</v>
      </c>
      <c r="K1" s="31">
        <v>44750</v>
      </c>
      <c r="L1" s="31">
        <v>44757</v>
      </c>
      <c r="M1" s="31">
        <v>44764</v>
      </c>
      <c r="N1" s="31">
        <v>44771</v>
      </c>
      <c r="O1" s="31">
        <v>44778</v>
      </c>
      <c r="P1" s="31">
        <v>44785</v>
      </c>
      <c r="Q1" s="31">
        <v>44792</v>
      </c>
      <c r="R1" s="31">
        <v>44799</v>
      </c>
      <c r="S1" s="31">
        <v>44806</v>
      </c>
      <c r="T1" s="31"/>
    </row>
    <row r="2" spans="1:20" x14ac:dyDescent="0.2">
      <c r="B2">
        <f>COUNT(#REF!)</f>
        <v>0</v>
      </c>
      <c r="C2">
        <f>COUNT(#REF!)</f>
        <v>0</v>
      </c>
      <c r="D2">
        <f>COUNT(#REF!)</f>
        <v>0</v>
      </c>
      <c r="E2">
        <f>COUNT(#REF!)</f>
        <v>0</v>
      </c>
      <c r="F2">
        <f>COUNT(#REF!)</f>
        <v>0</v>
      </c>
      <c r="G2">
        <f>COUNT(#REF!)</f>
        <v>0</v>
      </c>
      <c r="H2">
        <f>COUNT(#REF!)</f>
        <v>0</v>
      </c>
      <c r="I2">
        <f>COUNT(#REF!)</f>
        <v>0</v>
      </c>
      <c r="J2">
        <f>COUNT(#REF!)</f>
        <v>0</v>
      </c>
      <c r="K2">
        <f>COUNT(#REF!)</f>
        <v>0</v>
      </c>
      <c r="L2">
        <f>COUNT(#REF!)</f>
        <v>0</v>
      </c>
      <c r="M2">
        <f>COUNT(#REF!)</f>
        <v>0</v>
      </c>
      <c r="N2">
        <f>COUNT(#REF!)</f>
        <v>0</v>
      </c>
      <c r="O2">
        <f>COUNT(#REF!)</f>
        <v>0</v>
      </c>
      <c r="P2">
        <f>COUNT(#REF!)</f>
        <v>0</v>
      </c>
      <c r="Q2">
        <f>COUNT(#REF!)</f>
        <v>0</v>
      </c>
      <c r="R2">
        <f>COUNT(#REF!)</f>
        <v>0</v>
      </c>
      <c r="S2">
        <f>COUNT(#REF!)</f>
        <v>0</v>
      </c>
    </row>
    <row r="3" spans="1:20" x14ac:dyDescent="0.2">
      <c r="A3">
        <v>1</v>
      </c>
      <c r="B3">
        <f t="shared" ref="B3:S3" ca="1" si="0">OFFSET(B$2,0,0)</f>
        <v>0</v>
      </c>
      <c r="C3">
        <f t="shared" ca="1" si="0"/>
        <v>0</v>
      </c>
      <c r="D3">
        <f t="shared" ca="1" si="0"/>
        <v>0</v>
      </c>
      <c r="E3">
        <f t="shared" ca="1" si="0"/>
        <v>0</v>
      </c>
      <c r="F3">
        <f t="shared" ca="1" si="0"/>
        <v>0</v>
      </c>
      <c r="G3">
        <f t="shared" ca="1" si="0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0</v>
      </c>
      <c r="L3">
        <f t="shared" ca="1" si="0"/>
        <v>0</v>
      </c>
      <c r="M3">
        <f t="shared" ca="1" si="0"/>
        <v>0</v>
      </c>
      <c r="N3">
        <f t="shared" ca="1" si="0"/>
        <v>0</v>
      </c>
      <c r="O3">
        <f t="shared" ca="1" si="0"/>
        <v>0</v>
      </c>
      <c r="P3">
        <f t="shared" ca="1" si="0"/>
        <v>0</v>
      </c>
      <c r="Q3">
        <f t="shared" ca="1" si="0"/>
        <v>0</v>
      </c>
      <c r="R3">
        <f t="shared" ca="1" si="0"/>
        <v>0</v>
      </c>
      <c r="S3">
        <f t="shared" ca="1" si="0"/>
        <v>0</v>
      </c>
    </row>
    <row r="4" spans="1:20" x14ac:dyDescent="0.2">
      <c r="A4">
        <v>2</v>
      </c>
      <c r="B4">
        <f t="shared" ref="B4:S4" ca="1" si="1">OFFSET(B$2,0,0)-1</f>
        <v>-1</v>
      </c>
      <c r="C4">
        <f t="shared" ca="1" si="1"/>
        <v>-1</v>
      </c>
      <c r="D4">
        <f t="shared" ca="1" si="1"/>
        <v>-1</v>
      </c>
      <c r="E4">
        <f t="shared" ca="1" si="1"/>
        <v>-1</v>
      </c>
      <c r="F4">
        <f t="shared" ca="1" si="1"/>
        <v>-1</v>
      </c>
      <c r="G4">
        <f t="shared" ca="1" si="1"/>
        <v>-1</v>
      </c>
      <c r="H4">
        <f t="shared" ca="1" si="1"/>
        <v>-1</v>
      </c>
      <c r="I4">
        <f t="shared" ca="1" si="1"/>
        <v>-1</v>
      </c>
      <c r="J4">
        <f t="shared" ca="1" si="1"/>
        <v>-1</v>
      </c>
      <c r="K4">
        <f t="shared" ca="1" si="1"/>
        <v>-1</v>
      </c>
      <c r="L4">
        <f t="shared" ca="1" si="1"/>
        <v>-1</v>
      </c>
      <c r="M4">
        <f t="shared" ca="1" si="1"/>
        <v>-1</v>
      </c>
      <c r="N4">
        <f t="shared" ca="1" si="1"/>
        <v>-1</v>
      </c>
      <c r="O4">
        <f t="shared" ca="1" si="1"/>
        <v>-1</v>
      </c>
      <c r="P4">
        <f t="shared" ca="1" si="1"/>
        <v>-1</v>
      </c>
      <c r="Q4">
        <f t="shared" ca="1" si="1"/>
        <v>-1</v>
      </c>
      <c r="R4">
        <f t="shared" ca="1" si="1"/>
        <v>-1</v>
      </c>
      <c r="S4">
        <f t="shared" ca="1" si="1"/>
        <v>-1</v>
      </c>
    </row>
    <row r="5" spans="1:20" x14ac:dyDescent="0.2">
      <c r="A5">
        <v>3</v>
      </c>
      <c r="B5">
        <f t="shared" ref="B5:S5" ca="1" si="2">OFFSET(B$2,0,0)-2</f>
        <v>-2</v>
      </c>
      <c r="C5">
        <f t="shared" ca="1" si="2"/>
        <v>-2</v>
      </c>
      <c r="D5">
        <f t="shared" ca="1" si="2"/>
        <v>-2</v>
      </c>
      <c r="E5">
        <f t="shared" ca="1" si="2"/>
        <v>-2</v>
      </c>
      <c r="F5">
        <f t="shared" ca="1" si="2"/>
        <v>-2</v>
      </c>
      <c r="G5">
        <f t="shared" ca="1" si="2"/>
        <v>-2</v>
      </c>
      <c r="H5">
        <f t="shared" ca="1" si="2"/>
        <v>-2</v>
      </c>
      <c r="I5">
        <f t="shared" ca="1" si="2"/>
        <v>-2</v>
      </c>
      <c r="J5">
        <f t="shared" ca="1" si="2"/>
        <v>-2</v>
      </c>
      <c r="K5">
        <f t="shared" ca="1" si="2"/>
        <v>-2</v>
      </c>
      <c r="L5">
        <f t="shared" ca="1" si="2"/>
        <v>-2</v>
      </c>
      <c r="M5">
        <f t="shared" ca="1" si="2"/>
        <v>-2</v>
      </c>
      <c r="N5">
        <f t="shared" ca="1" si="2"/>
        <v>-2</v>
      </c>
      <c r="O5">
        <f t="shared" ca="1" si="2"/>
        <v>-2</v>
      </c>
      <c r="P5">
        <f t="shared" ca="1" si="2"/>
        <v>-2</v>
      </c>
      <c r="Q5">
        <f t="shared" ca="1" si="2"/>
        <v>-2</v>
      </c>
      <c r="R5">
        <f t="shared" ca="1" si="2"/>
        <v>-2</v>
      </c>
      <c r="S5">
        <f t="shared" ca="1" si="2"/>
        <v>-2</v>
      </c>
    </row>
    <row r="6" spans="1:20" x14ac:dyDescent="0.2">
      <c r="A6">
        <v>4</v>
      </c>
      <c r="B6">
        <f t="shared" ref="B6:S6" ca="1" si="3">OFFSET(B$2,0,0)-3</f>
        <v>-3</v>
      </c>
      <c r="C6">
        <f t="shared" ca="1" si="3"/>
        <v>-3</v>
      </c>
      <c r="D6">
        <f t="shared" ca="1" si="3"/>
        <v>-3</v>
      </c>
      <c r="E6">
        <f t="shared" ca="1" si="3"/>
        <v>-3</v>
      </c>
      <c r="F6">
        <f t="shared" ca="1" si="3"/>
        <v>-3</v>
      </c>
      <c r="G6">
        <f t="shared" ca="1" si="3"/>
        <v>-3</v>
      </c>
      <c r="H6">
        <f t="shared" ca="1" si="3"/>
        <v>-3</v>
      </c>
      <c r="I6">
        <f t="shared" ca="1" si="3"/>
        <v>-3</v>
      </c>
      <c r="J6">
        <f t="shared" ca="1" si="3"/>
        <v>-3</v>
      </c>
      <c r="K6">
        <f t="shared" ca="1" si="3"/>
        <v>-3</v>
      </c>
      <c r="L6">
        <f t="shared" ca="1" si="3"/>
        <v>-3</v>
      </c>
      <c r="M6">
        <f t="shared" ca="1" si="3"/>
        <v>-3</v>
      </c>
      <c r="N6">
        <f t="shared" ca="1" si="3"/>
        <v>-3</v>
      </c>
      <c r="O6">
        <f t="shared" ca="1" si="3"/>
        <v>-3</v>
      </c>
      <c r="P6">
        <f t="shared" ca="1" si="3"/>
        <v>-3</v>
      </c>
      <c r="Q6">
        <f t="shared" ca="1" si="3"/>
        <v>-3</v>
      </c>
      <c r="R6">
        <f t="shared" ca="1" si="3"/>
        <v>-3</v>
      </c>
      <c r="S6">
        <f t="shared" ca="1" si="3"/>
        <v>-3</v>
      </c>
    </row>
    <row r="7" spans="1:20" x14ac:dyDescent="0.2">
      <c r="A7">
        <v>5</v>
      </c>
      <c r="B7">
        <f t="shared" ref="B7:S7" ca="1" si="4">OFFSET(B$2,0,0)-4</f>
        <v>-4</v>
      </c>
      <c r="C7">
        <f t="shared" ca="1" si="4"/>
        <v>-4</v>
      </c>
      <c r="D7">
        <f t="shared" ca="1" si="4"/>
        <v>-4</v>
      </c>
      <c r="E7">
        <f t="shared" ca="1" si="4"/>
        <v>-4</v>
      </c>
      <c r="F7">
        <f t="shared" ca="1" si="4"/>
        <v>-4</v>
      </c>
      <c r="G7">
        <f t="shared" ca="1" si="4"/>
        <v>-4</v>
      </c>
      <c r="H7">
        <f t="shared" ca="1" si="4"/>
        <v>-4</v>
      </c>
      <c r="I7">
        <f t="shared" ca="1" si="4"/>
        <v>-4</v>
      </c>
      <c r="J7">
        <f t="shared" ca="1" si="4"/>
        <v>-4</v>
      </c>
      <c r="K7">
        <f t="shared" ca="1" si="4"/>
        <v>-4</v>
      </c>
      <c r="L7">
        <f t="shared" ca="1" si="4"/>
        <v>-4</v>
      </c>
      <c r="M7">
        <f t="shared" ca="1" si="4"/>
        <v>-4</v>
      </c>
      <c r="N7">
        <f t="shared" ca="1" si="4"/>
        <v>-4</v>
      </c>
      <c r="O7">
        <f t="shared" ca="1" si="4"/>
        <v>-4</v>
      </c>
      <c r="P7">
        <f t="shared" ca="1" si="4"/>
        <v>-4</v>
      </c>
      <c r="Q7">
        <f t="shared" ca="1" si="4"/>
        <v>-4</v>
      </c>
      <c r="R7">
        <f t="shared" ca="1" si="4"/>
        <v>-4</v>
      </c>
      <c r="S7">
        <f t="shared" ca="1" si="4"/>
        <v>-4</v>
      </c>
    </row>
    <row r="8" spans="1:20" x14ac:dyDescent="0.2">
      <c r="A8">
        <v>6</v>
      </c>
      <c r="B8">
        <f t="shared" ref="B8:S8" ca="1" si="5">OFFSET(B$2,0,0)-5</f>
        <v>-5</v>
      </c>
      <c r="C8">
        <f t="shared" ca="1" si="5"/>
        <v>-5</v>
      </c>
      <c r="D8">
        <f t="shared" ca="1" si="5"/>
        <v>-5</v>
      </c>
      <c r="E8">
        <f t="shared" ca="1" si="5"/>
        <v>-5</v>
      </c>
      <c r="F8">
        <f t="shared" ca="1" si="5"/>
        <v>-5</v>
      </c>
      <c r="G8">
        <f t="shared" ca="1" si="5"/>
        <v>-5</v>
      </c>
      <c r="H8">
        <f t="shared" ca="1" si="5"/>
        <v>-5</v>
      </c>
      <c r="I8">
        <f t="shared" ca="1" si="5"/>
        <v>-5</v>
      </c>
      <c r="J8">
        <f t="shared" ca="1" si="5"/>
        <v>-5</v>
      </c>
      <c r="K8">
        <f t="shared" ca="1" si="5"/>
        <v>-5</v>
      </c>
      <c r="L8">
        <f t="shared" ca="1" si="5"/>
        <v>-5</v>
      </c>
      <c r="M8">
        <f t="shared" ca="1" si="5"/>
        <v>-5</v>
      </c>
      <c r="N8">
        <f t="shared" ca="1" si="5"/>
        <v>-5</v>
      </c>
      <c r="O8">
        <f t="shared" ca="1" si="5"/>
        <v>-5</v>
      </c>
      <c r="P8">
        <f t="shared" ca="1" si="5"/>
        <v>-5</v>
      </c>
      <c r="Q8">
        <f t="shared" ca="1" si="5"/>
        <v>-5</v>
      </c>
      <c r="R8">
        <f t="shared" ca="1" si="5"/>
        <v>-5</v>
      </c>
      <c r="S8">
        <f t="shared" ca="1" si="5"/>
        <v>-5</v>
      </c>
    </row>
    <row r="9" spans="1:20" x14ac:dyDescent="0.2">
      <c r="A9">
        <v>7</v>
      </c>
      <c r="B9">
        <f t="shared" ref="B9:S9" ca="1" si="6">OFFSET(B$2,0,0)-6</f>
        <v>-6</v>
      </c>
      <c r="C9">
        <f t="shared" ca="1" si="6"/>
        <v>-6</v>
      </c>
      <c r="D9">
        <f t="shared" ca="1" si="6"/>
        <v>-6</v>
      </c>
      <c r="E9">
        <f t="shared" ca="1" si="6"/>
        <v>-6</v>
      </c>
      <c r="F9">
        <f t="shared" ca="1" si="6"/>
        <v>-6</v>
      </c>
      <c r="G9">
        <f t="shared" ca="1" si="6"/>
        <v>-6</v>
      </c>
      <c r="H9">
        <f t="shared" ca="1" si="6"/>
        <v>-6</v>
      </c>
      <c r="I9">
        <f t="shared" ca="1" si="6"/>
        <v>-6</v>
      </c>
      <c r="J9">
        <f t="shared" ca="1" si="6"/>
        <v>-6</v>
      </c>
      <c r="K9">
        <f t="shared" ca="1" si="6"/>
        <v>-6</v>
      </c>
      <c r="L9">
        <f t="shared" ca="1" si="6"/>
        <v>-6</v>
      </c>
      <c r="M9">
        <f t="shared" ca="1" si="6"/>
        <v>-6</v>
      </c>
      <c r="N9">
        <f t="shared" ca="1" si="6"/>
        <v>-6</v>
      </c>
      <c r="O9">
        <f t="shared" ca="1" si="6"/>
        <v>-6</v>
      </c>
      <c r="P9">
        <f t="shared" ca="1" si="6"/>
        <v>-6</v>
      </c>
      <c r="Q9">
        <f t="shared" ca="1" si="6"/>
        <v>-6</v>
      </c>
      <c r="R9">
        <f t="shared" ca="1" si="6"/>
        <v>-6</v>
      </c>
      <c r="S9">
        <f t="shared" ca="1" si="6"/>
        <v>-6</v>
      </c>
    </row>
    <row r="10" spans="1:20" x14ac:dyDescent="0.2">
      <c r="A10">
        <v>8</v>
      </c>
      <c r="B10">
        <f t="shared" ref="B10:S10" ca="1" si="7">OFFSET(B$2,0,0)-7</f>
        <v>-7</v>
      </c>
      <c r="C10">
        <f t="shared" ca="1" si="7"/>
        <v>-7</v>
      </c>
      <c r="D10">
        <f t="shared" ca="1" si="7"/>
        <v>-7</v>
      </c>
      <c r="E10">
        <f t="shared" ca="1" si="7"/>
        <v>-7</v>
      </c>
      <c r="F10">
        <f t="shared" ca="1" si="7"/>
        <v>-7</v>
      </c>
      <c r="G10">
        <f t="shared" ca="1" si="7"/>
        <v>-7</v>
      </c>
      <c r="H10">
        <f t="shared" ca="1" si="7"/>
        <v>-7</v>
      </c>
      <c r="I10">
        <f t="shared" ca="1" si="7"/>
        <v>-7</v>
      </c>
      <c r="J10">
        <f t="shared" ca="1" si="7"/>
        <v>-7</v>
      </c>
      <c r="K10">
        <f t="shared" ca="1" si="7"/>
        <v>-7</v>
      </c>
      <c r="L10">
        <f t="shared" ca="1" si="7"/>
        <v>-7</v>
      </c>
      <c r="M10">
        <f t="shared" ca="1" si="7"/>
        <v>-7</v>
      </c>
      <c r="N10">
        <f t="shared" ca="1" si="7"/>
        <v>-7</v>
      </c>
      <c r="O10">
        <f t="shared" ca="1" si="7"/>
        <v>-7</v>
      </c>
      <c r="P10">
        <f t="shared" ca="1" si="7"/>
        <v>-7</v>
      </c>
      <c r="Q10">
        <f t="shared" ca="1" si="7"/>
        <v>-7</v>
      </c>
      <c r="R10">
        <f t="shared" ca="1" si="7"/>
        <v>-7</v>
      </c>
      <c r="S10">
        <f t="shared" ca="1" si="7"/>
        <v>-7</v>
      </c>
    </row>
    <row r="11" spans="1:20" x14ac:dyDescent="0.2">
      <c r="A11">
        <v>9</v>
      </c>
      <c r="B11">
        <f t="shared" ref="B11:S11" ca="1" si="8">OFFSET(B$2,0,0)-8</f>
        <v>-8</v>
      </c>
      <c r="C11">
        <f t="shared" ca="1" si="8"/>
        <v>-8</v>
      </c>
      <c r="D11">
        <f t="shared" ca="1" si="8"/>
        <v>-8</v>
      </c>
      <c r="E11">
        <f t="shared" ca="1" si="8"/>
        <v>-8</v>
      </c>
      <c r="F11">
        <f t="shared" ca="1" si="8"/>
        <v>-8</v>
      </c>
      <c r="G11">
        <f t="shared" ca="1" si="8"/>
        <v>-8</v>
      </c>
      <c r="H11">
        <f t="shared" ca="1" si="8"/>
        <v>-8</v>
      </c>
      <c r="I11">
        <f t="shared" ca="1" si="8"/>
        <v>-8</v>
      </c>
      <c r="J11">
        <f t="shared" ca="1" si="8"/>
        <v>-8</v>
      </c>
      <c r="K11">
        <f t="shared" ca="1" si="8"/>
        <v>-8</v>
      </c>
      <c r="L11">
        <f t="shared" ca="1" si="8"/>
        <v>-8</v>
      </c>
      <c r="M11">
        <f t="shared" ca="1" si="8"/>
        <v>-8</v>
      </c>
      <c r="N11">
        <f t="shared" ca="1" si="8"/>
        <v>-8</v>
      </c>
      <c r="O11">
        <f t="shared" ca="1" si="8"/>
        <v>-8</v>
      </c>
      <c r="P11">
        <f t="shared" ca="1" si="8"/>
        <v>-8</v>
      </c>
      <c r="Q11">
        <f t="shared" ca="1" si="8"/>
        <v>-8</v>
      </c>
      <c r="R11">
        <f t="shared" ca="1" si="8"/>
        <v>-8</v>
      </c>
      <c r="S11">
        <f t="shared" ca="1" si="8"/>
        <v>-8</v>
      </c>
    </row>
    <row r="12" spans="1:20" x14ac:dyDescent="0.2">
      <c r="A12">
        <v>10</v>
      </c>
      <c r="B12">
        <f t="shared" ref="B12:S12" ca="1" si="9">OFFSET(B$2,0,0)-9</f>
        <v>-9</v>
      </c>
      <c r="C12">
        <f t="shared" ca="1" si="9"/>
        <v>-9</v>
      </c>
      <c r="D12">
        <f t="shared" ca="1" si="9"/>
        <v>-9</v>
      </c>
      <c r="E12">
        <f t="shared" ca="1" si="9"/>
        <v>-9</v>
      </c>
      <c r="F12">
        <f t="shared" ca="1" si="9"/>
        <v>-9</v>
      </c>
      <c r="G12">
        <f t="shared" ca="1" si="9"/>
        <v>-9</v>
      </c>
      <c r="H12">
        <f t="shared" ca="1" si="9"/>
        <v>-9</v>
      </c>
      <c r="I12">
        <f t="shared" ca="1" si="9"/>
        <v>-9</v>
      </c>
      <c r="J12">
        <f t="shared" ca="1" si="9"/>
        <v>-9</v>
      </c>
      <c r="K12">
        <f t="shared" ca="1" si="9"/>
        <v>-9</v>
      </c>
      <c r="L12">
        <f t="shared" ca="1" si="9"/>
        <v>-9</v>
      </c>
      <c r="M12">
        <f t="shared" ca="1" si="9"/>
        <v>-9</v>
      </c>
      <c r="N12">
        <f t="shared" ca="1" si="9"/>
        <v>-9</v>
      </c>
      <c r="O12">
        <f t="shared" ca="1" si="9"/>
        <v>-9</v>
      </c>
      <c r="P12">
        <f t="shared" ca="1" si="9"/>
        <v>-9</v>
      </c>
      <c r="Q12">
        <f t="shared" ca="1" si="9"/>
        <v>-9</v>
      </c>
      <c r="R12">
        <f t="shared" ca="1" si="9"/>
        <v>-9</v>
      </c>
      <c r="S12">
        <f t="shared" ca="1" si="9"/>
        <v>-9</v>
      </c>
    </row>
    <row r="13" spans="1:20" x14ac:dyDescent="0.2">
      <c r="A13">
        <v>11</v>
      </c>
      <c r="B13">
        <f t="shared" ref="B13:S13" ca="1" si="10">OFFSET(B$2,0,0)-10</f>
        <v>-10</v>
      </c>
      <c r="C13">
        <f t="shared" ca="1" si="10"/>
        <v>-10</v>
      </c>
      <c r="D13">
        <f t="shared" ca="1" si="10"/>
        <v>-10</v>
      </c>
      <c r="E13">
        <f t="shared" ca="1" si="10"/>
        <v>-10</v>
      </c>
      <c r="F13">
        <f t="shared" ca="1" si="10"/>
        <v>-10</v>
      </c>
      <c r="G13">
        <f t="shared" ca="1" si="10"/>
        <v>-10</v>
      </c>
      <c r="H13">
        <f t="shared" ca="1" si="10"/>
        <v>-10</v>
      </c>
      <c r="I13">
        <f t="shared" ca="1" si="10"/>
        <v>-10</v>
      </c>
      <c r="J13">
        <f t="shared" ca="1" si="10"/>
        <v>-10</v>
      </c>
      <c r="K13">
        <f t="shared" ca="1" si="10"/>
        <v>-10</v>
      </c>
      <c r="L13">
        <f t="shared" ca="1" si="10"/>
        <v>-10</v>
      </c>
      <c r="M13">
        <f t="shared" ca="1" si="10"/>
        <v>-10</v>
      </c>
      <c r="N13">
        <f t="shared" ca="1" si="10"/>
        <v>-10</v>
      </c>
      <c r="O13">
        <f t="shared" ca="1" si="10"/>
        <v>-10</v>
      </c>
      <c r="P13">
        <f t="shared" ca="1" si="10"/>
        <v>-10</v>
      </c>
      <c r="Q13">
        <f t="shared" ca="1" si="10"/>
        <v>-10</v>
      </c>
      <c r="R13">
        <f t="shared" ca="1" si="10"/>
        <v>-10</v>
      </c>
      <c r="S13">
        <f t="shared" ca="1" si="10"/>
        <v>-10</v>
      </c>
    </row>
    <row r="14" spans="1:20" x14ac:dyDescent="0.2">
      <c r="A14">
        <v>12</v>
      </c>
      <c r="B14">
        <f t="shared" ref="B14:S14" ca="1" si="11">OFFSET(B$2,0,0)-11</f>
        <v>-11</v>
      </c>
      <c r="C14">
        <f t="shared" ca="1" si="11"/>
        <v>-11</v>
      </c>
      <c r="D14">
        <f t="shared" ca="1" si="11"/>
        <v>-11</v>
      </c>
      <c r="E14">
        <f t="shared" ca="1" si="11"/>
        <v>-11</v>
      </c>
      <c r="F14">
        <f t="shared" ca="1" si="11"/>
        <v>-11</v>
      </c>
      <c r="G14">
        <f t="shared" ca="1" si="11"/>
        <v>-11</v>
      </c>
      <c r="H14">
        <f t="shared" ca="1" si="11"/>
        <v>-11</v>
      </c>
      <c r="I14">
        <f t="shared" ca="1" si="11"/>
        <v>-11</v>
      </c>
      <c r="J14">
        <f t="shared" ca="1" si="11"/>
        <v>-11</v>
      </c>
      <c r="K14">
        <f t="shared" ca="1" si="11"/>
        <v>-11</v>
      </c>
      <c r="L14">
        <f t="shared" ca="1" si="11"/>
        <v>-11</v>
      </c>
      <c r="M14">
        <f t="shared" ca="1" si="11"/>
        <v>-11</v>
      </c>
      <c r="N14">
        <f t="shared" ca="1" si="11"/>
        <v>-11</v>
      </c>
      <c r="O14">
        <f t="shared" ca="1" si="11"/>
        <v>-11</v>
      </c>
      <c r="P14">
        <f t="shared" ca="1" si="11"/>
        <v>-11</v>
      </c>
      <c r="Q14">
        <f t="shared" ca="1" si="11"/>
        <v>-11</v>
      </c>
      <c r="R14">
        <f t="shared" ca="1" si="11"/>
        <v>-11</v>
      </c>
      <c r="S14">
        <f t="shared" ca="1" si="11"/>
        <v>-11</v>
      </c>
    </row>
    <row r="15" spans="1:20" x14ac:dyDescent="0.2">
      <c r="A15">
        <v>13</v>
      </c>
      <c r="B15">
        <f t="shared" ref="B15:S15" ca="1" si="12">OFFSET(B$2,0,0)-12</f>
        <v>-12</v>
      </c>
      <c r="C15">
        <f t="shared" ca="1" si="12"/>
        <v>-12</v>
      </c>
      <c r="D15">
        <f t="shared" ca="1" si="12"/>
        <v>-12</v>
      </c>
      <c r="E15">
        <f t="shared" ca="1" si="12"/>
        <v>-12</v>
      </c>
      <c r="F15">
        <f t="shared" ca="1" si="12"/>
        <v>-12</v>
      </c>
      <c r="G15">
        <f t="shared" ca="1" si="12"/>
        <v>-12</v>
      </c>
      <c r="H15">
        <f t="shared" ca="1" si="12"/>
        <v>-12</v>
      </c>
      <c r="I15">
        <f t="shared" ca="1" si="12"/>
        <v>-12</v>
      </c>
      <c r="J15">
        <f t="shared" ca="1" si="12"/>
        <v>-12</v>
      </c>
      <c r="K15">
        <f t="shared" ca="1" si="12"/>
        <v>-12</v>
      </c>
      <c r="L15">
        <f t="shared" ca="1" si="12"/>
        <v>-12</v>
      </c>
      <c r="M15">
        <f t="shared" ca="1" si="12"/>
        <v>-12</v>
      </c>
      <c r="N15">
        <f t="shared" ca="1" si="12"/>
        <v>-12</v>
      </c>
      <c r="O15">
        <f t="shared" ca="1" si="12"/>
        <v>-12</v>
      </c>
      <c r="P15">
        <f t="shared" ca="1" si="12"/>
        <v>-12</v>
      </c>
      <c r="Q15">
        <f t="shared" ca="1" si="12"/>
        <v>-12</v>
      </c>
      <c r="R15">
        <f t="shared" ca="1" si="12"/>
        <v>-12</v>
      </c>
      <c r="S15">
        <f t="shared" ca="1" si="12"/>
        <v>-12</v>
      </c>
    </row>
    <row r="16" spans="1:20" x14ac:dyDescent="0.2">
      <c r="A16">
        <v>14</v>
      </c>
      <c r="B16">
        <f t="shared" ref="B16:S16" ca="1" si="13">OFFSET(B$2,0,0)-13</f>
        <v>-13</v>
      </c>
      <c r="C16">
        <f t="shared" ca="1" si="13"/>
        <v>-13</v>
      </c>
      <c r="D16">
        <f t="shared" ca="1" si="13"/>
        <v>-13</v>
      </c>
      <c r="E16">
        <f t="shared" ca="1" si="13"/>
        <v>-13</v>
      </c>
      <c r="F16">
        <f t="shared" ca="1" si="13"/>
        <v>-13</v>
      </c>
      <c r="G16">
        <f t="shared" ca="1" si="13"/>
        <v>-13</v>
      </c>
      <c r="H16">
        <f t="shared" ca="1" si="13"/>
        <v>-13</v>
      </c>
      <c r="I16">
        <f t="shared" ca="1" si="13"/>
        <v>-13</v>
      </c>
      <c r="J16">
        <f t="shared" ca="1" si="13"/>
        <v>-13</v>
      </c>
      <c r="K16">
        <f t="shared" ca="1" si="13"/>
        <v>-13</v>
      </c>
      <c r="L16">
        <f t="shared" ca="1" si="13"/>
        <v>-13</v>
      </c>
      <c r="M16">
        <f t="shared" ca="1" si="13"/>
        <v>-13</v>
      </c>
      <c r="N16">
        <f t="shared" ca="1" si="13"/>
        <v>-13</v>
      </c>
      <c r="O16">
        <f t="shared" ca="1" si="13"/>
        <v>-13</v>
      </c>
      <c r="P16">
        <f t="shared" ca="1" si="13"/>
        <v>-13</v>
      </c>
      <c r="Q16">
        <f t="shared" ca="1" si="13"/>
        <v>-13</v>
      </c>
      <c r="R16">
        <f t="shared" ca="1" si="13"/>
        <v>-13</v>
      </c>
      <c r="S16">
        <f t="shared" ca="1" si="13"/>
        <v>-13</v>
      </c>
    </row>
    <row r="17" spans="1:19" x14ac:dyDescent="0.2">
      <c r="A17">
        <v>15</v>
      </c>
      <c r="B17">
        <f t="shared" ref="B17:S17" ca="1" si="14">OFFSET(B$2,0,0)-14</f>
        <v>-14</v>
      </c>
      <c r="C17">
        <f t="shared" ca="1" si="14"/>
        <v>-14</v>
      </c>
      <c r="D17">
        <f t="shared" ca="1" si="14"/>
        <v>-14</v>
      </c>
      <c r="E17">
        <f t="shared" ca="1" si="14"/>
        <v>-14</v>
      </c>
      <c r="F17">
        <f t="shared" ca="1" si="14"/>
        <v>-14</v>
      </c>
      <c r="G17">
        <f t="shared" ca="1" si="14"/>
        <v>-14</v>
      </c>
      <c r="H17">
        <f t="shared" ca="1" si="14"/>
        <v>-14</v>
      </c>
      <c r="I17">
        <f t="shared" ca="1" si="14"/>
        <v>-14</v>
      </c>
      <c r="J17">
        <f t="shared" ca="1" si="14"/>
        <v>-14</v>
      </c>
      <c r="K17">
        <f t="shared" ca="1" si="14"/>
        <v>-14</v>
      </c>
      <c r="L17">
        <f t="shared" ca="1" si="14"/>
        <v>-14</v>
      </c>
      <c r="M17">
        <f t="shared" ca="1" si="14"/>
        <v>-14</v>
      </c>
      <c r="N17">
        <f t="shared" ca="1" si="14"/>
        <v>-14</v>
      </c>
      <c r="O17">
        <f t="shared" ca="1" si="14"/>
        <v>-14</v>
      </c>
      <c r="P17">
        <f t="shared" ca="1" si="14"/>
        <v>-14</v>
      </c>
      <c r="Q17">
        <f t="shared" ca="1" si="14"/>
        <v>-14</v>
      </c>
      <c r="R17">
        <f t="shared" ca="1" si="14"/>
        <v>-14</v>
      </c>
      <c r="S17">
        <f t="shared" ca="1" si="14"/>
        <v>-14</v>
      </c>
    </row>
    <row r="18" spans="1:19" x14ac:dyDescent="0.2">
      <c r="A18">
        <v>16</v>
      </c>
      <c r="B18">
        <f t="shared" ref="B18:S18" ca="1" si="15">OFFSET(B$2,0,0)-15</f>
        <v>-15</v>
      </c>
      <c r="C18">
        <f t="shared" ca="1" si="15"/>
        <v>-15</v>
      </c>
      <c r="D18">
        <f t="shared" ca="1" si="15"/>
        <v>-15</v>
      </c>
      <c r="E18">
        <f t="shared" ca="1" si="15"/>
        <v>-15</v>
      </c>
      <c r="F18">
        <f t="shared" ca="1" si="15"/>
        <v>-15</v>
      </c>
      <c r="G18">
        <f t="shared" ca="1" si="15"/>
        <v>-15</v>
      </c>
      <c r="H18">
        <f t="shared" ca="1" si="15"/>
        <v>-15</v>
      </c>
      <c r="I18">
        <f t="shared" ca="1" si="15"/>
        <v>-15</v>
      </c>
      <c r="J18">
        <f t="shared" ca="1" si="15"/>
        <v>-15</v>
      </c>
      <c r="K18">
        <f t="shared" ca="1" si="15"/>
        <v>-15</v>
      </c>
      <c r="L18">
        <f t="shared" ca="1" si="15"/>
        <v>-15</v>
      </c>
      <c r="M18">
        <f t="shared" ca="1" si="15"/>
        <v>-15</v>
      </c>
      <c r="N18">
        <f t="shared" ca="1" si="15"/>
        <v>-15</v>
      </c>
      <c r="O18">
        <f t="shared" ca="1" si="15"/>
        <v>-15</v>
      </c>
      <c r="P18">
        <f t="shared" ca="1" si="15"/>
        <v>-15</v>
      </c>
      <c r="Q18">
        <f t="shared" ca="1" si="15"/>
        <v>-15</v>
      </c>
      <c r="R18">
        <f t="shared" ca="1" si="15"/>
        <v>-15</v>
      </c>
      <c r="S18">
        <f t="shared" ca="1" si="15"/>
        <v>-15</v>
      </c>
    </row>
    <row r="19" spans="1:19" x14ac:dyDescent="0.2">
      <c r="A19">
        <v>17</v>
      </c>
      <c r="B19">
        <f t="shared" ref="B19:S19" ca="1" si="16">OFFSET(B$2,0,0)-16</f>
        <v>-16</v>
      </c>
      <c r="C19">
        <f t="shared" ca="1" si="16"/>
        <v>-16</v>
      </c>
      <c r="D19">
        <f t="shared" ca="1" si="16"/>
        <v>-16</v>
      </c>
      <c r="E19">
        <f t="shared" ca="1" si="16"/>
        <v>-16</v>
      </c>
      <c r="F19">
        <f t="shared" ca="1" si="16"/>
        <v>-16</v>
      </c>
      <c r="G19">
        <f t="shared" ca="1" si="16"/>
        <v>-16</v>
      </c>
      <c r="H19">
        <f t="shared" ca="1" si="16"/>
        <v>-16</v>
      </c>
      <c r="I19">
        <f t="shared" ca="1" si="16"/>
        <v>-16</v>
      </c>
      <c r="J19">
        <f t="shared" ca="1" si="16"/>
        <v>-16</v>
      </c>
      <c r="K19">
        <f t="shared" ca="1" si="16"/>
        <v>-16</v>
      </c>
      <c r="L19">
        <f t="shared" ca="1" si="16"/>
        <v>-16</v>
      </c>
      <c r="M19">
        <f t="shared" ca="1" si="16"/>
        <v>-16</v>
      </c>
      <c r="N19">
        <f t="shared" ca="1" si="16"/>
        <v>-16</v>
      </c>
      <c r="O19">
        <f t="shared" ca="1" si="16"/>
        <v>-16</v>
      </c>
      <c r="P19">
        <f t="shared" ca="1" si="16"/>
        <v>-16</v>
      </c>
      <c r="Q19">
        <f t="shared" ca="1" si="16"/>
        <v>-16</v>
      </c>
      <c r="R19">
        <f t="shared" ca="1" si="16"/>
        <v>-16</v>
      </c>
      <c r="S19">
        <f t="shared" ca="1" si="16"/>
        <v>-16</v>
      </c>
    </row>
    <row r="20" spans="1:19" x14ac:dyDescent="0.2">
      <c r="A20">
        <v>18</v>
      </c>
      <c r="B20">
        <f t="shared" ref="B20:S20" ca="1" si="17">OFFSET(B$2,0,0)-17</f>
        <v>-17</v>
      </c>
      <c r="C20">
        <f t="shared" ca="1" si="17"/>
        <v>-17</v>
      </c>
      <c r="D20">
        <f t="shared" ca="1" si="17"/>
        <v>-17</v>
      </c>
      <c r="E20">
        <f t="shared" ca="1" si="17"/>
        <v>-17</v>
      </c>
      <c r="F20">
        <f t="shared" ca="1" si="17"/>
        <v>-17</v>
      </c>
      <c r="G20">
        <f t="shared" ca="1" si="17"/>
        <v>-17</v>
      </c>
      <c r="H20">
        <f t="shared" ca="1" si="17"/>
        <v>-17</v>
      </c>
      <c r="I20">
        <f t="shared" ca="1" si="17"/>
        <v>-17</v>
      </c>
      <c r="J20">
        <f t="shared" ca="1" si="17"/>
        <v>-17</v>
      </c>
      <c r="K20">
        <f t="shared" ca="1" si="17"/>
        <v>-17</v>
      </c>
      <c r="L20">
        <f t="shared" ca="1" si="17"/>
        <v>-17</v>
      </c>
      <c r="M20">
        <f t="shared" ca="1" si="17"/>
        <v>-17</v>
      </c>
      <c r="N20">
        <f t="shared" ca="1" si="17"/>
        <v>-17</v>
      </c>
      <c r="O20">
        <f t="shared" ca="1" si="17"/>
        <v>-17</v>
      </c>
      <c r="P20">
        <f t="shared" ca="1" si="17"/>
        <v>-17</v>
      </c>
      <c r="Q20">
        <f t="shared" ca="1" si="17"/>
        <v>-17</v>
      </c>
      <c r="R20">
        <f t="shared" ca="1" si="17"/>
        <v>-17</v>
      </c>
      <c r="S20">
        <f t="shared" ca="1" si="17"/>
        <v>-17</v>
      </c>
    </row>
    <row r="21" spans="1:19" x14ac:dyDescent="0.2">
      <c r="A21">
        <v>19</v>
      </c>
      <c r="B21">
        <f t="shared" ref="B21:S21" ca="1" si="18">OFFSET(B$2,0,0)-18</f>
        <v>-18</v>
      </c>
      <c r="C21">
        <f t="shared" ca="1" si="18"/>
        <v>-18</v>
      </c>
      <c r="D21">
        <f t="shared" ca="1" si="18"/>
        <v>-18</v>
      </c>
      <c r="E21">
        <f t="shared" ca="1" si="18"/>
        <v>-18</v>
      </c>
      <c r="F21">
        <f t="shared" ca="1" si="18"/>
        <v>-18</v>
      </c>
      <c r="G21">
        <f t="shared" ca="1" si="18"/>
        <v>-18</v>
      </c>
      <c r="H21">
        <f t="shared" ca="1" si="18"/>
        <v>-18</v>
      </c>
      <c r="I21">
        <f t="shared" ca="1" si="18"/>
        <v>-18</v>
      </c>
      <c r="J21">
        <f t="shared" ca="1" si="18"/>
        <v>-18</v>
      </c>
      <c r="K21">
        <f t="shared" ca="1" si="18"/>
        <v>-18</v>
      </c>
      <c r="L21">
        <f t="shared" ca="1" si="18"/>
        <v>-18</v>
      </c>
      <c r="M21">
        <f t="shared" ca="1" si="18"/>
        <v>-18</v>
      </c>
      <c r="N21">
        <f t="shared" ca="1" si="18"/>
        <v>-18</v>
      </c>
      <c r="O21">
        <f t="shared" ca="1" si="18"/>
        <v>-18</v>
      </c>
      <c r="P21">
        <f t="shared" ca="1" si="18"/>
        <v>-18</v>
      </c>
      <c r="Q21">
        <f t="shared" ca="1" si="18"/>
        <v>-18</v>
      </c>
      <c r="R21">
        <f t="shared" ca="1" si="18"/>
        <v>-18</v>
      </c>
      <c r="S21">
        <f t="shared" ca="1" si="18"/>
        <v>-18</v>
      </c>
    </row>
    <row r="22" spans="1:19" x14ac:dyDescent="0.2">
      <c r="A22">
        <v>20</v>
      </c>
      <c r="B22">
        <f t="shared" ref="B22:S22" ca="1" si="19">OFFSET(B$2,0,0)-19</f>
        <v>-19</v>
      </c>
      <c r="C22">
        <f t="shared" ca="1" si="19"/>
        <v>-19</v>
      </c>
      <c r="D22">
        <f t="shared" ca="1" si="19"/>
        <v>-19</v>
      </c>
      <c r="E22">
        <f t="shared" ca="1" si="19"/>
        <v>-19</v>
      </c>
      <c r="F22">
        <f t="shared" ca="1" si="19"/>
        <v>-19</v>
      </c>
      <c r="G22">
        <f t="shared" ca="1" si="19"/>
        <v>-19</v>
      </c>
      <c r="H22">
        <f t="shared" ca="1" si="19"/>
        <v>-19</v>
      </c>
      <c r="I22">
        <f t="shared" ca="1" si="19"/>
        <v>-19</v>
      </c>
      <c r="J22">
        <f t="shared" ca="1" si="19"/>
        <v>-19</v>
      </c>
      <c r="K22">
        <f t="shared" ca="1" si="19"/>
        <v>-19</v>
      </c>
      <c r="L22">
        <f t="shared" ca="1" si="19"/>
        <v>-19</v>
      </c>
      <c r="M22">
        <f t="shared" ca="1" si="19"/>
        <v>-19</v>
      </c>
      <c r="N22">
        <f t="shared" ca="1" si="19"/>
        <v>-19</v>
      </c>
      <c r="O22">
        <f t="shared" ca="1" si="19"/>
        <v>-19</v>
      </c>
      <c r="P22">
        <f t="shared" ca="1" si="19"/>
        <v>-19</v>
      </c>
      <c r="Q22">
        <f t="shared" ca="1" si="19"/>
        <v>-19</v>
      </c>
      <c r="R22">
        <f t="shared" ca="1" si="19"/>
        <v>-19</v>
      </c>
      <c r="S22">
        <f t="shared" ca="1" si="19"/>
        <v>-19</v>
      </c>
    </row>
    <row r="23" spans="1:19" x14ac:dyDescent="0.2">
      <c r="A23">
        <v>21</v>
      </c>
      <c r="B23">
        <f t="shared" ref="B23:S23" ca="1" si="20">OFFSET(B$2,0,0)-20</f>
        <v>-20</v>
      </c>
      <c r="C23">
        <f t="shared" ca="1" si="20"/>
        <v>-20</v>
      </c>
      <c r="D23">
        <f t="shared" ca="1" si="20"/>
        <v>-20</v>
      </c>
      <c r="E23">
        <f t="shared" ca="1" si="20"/>
        <v>-20</v>
      </c>
      <c r="F23">
        <f t="shared" ca="1" si="20"/>
        <v>-20</v>
      </c>
      <c r="G23">
        <f t="shared" ca="1" si="20"/>
        <v>-20</v>
      </c>
      <c r="H23">
        <f t="shared" ca="1" si="20"/>
        <v>-20</v>
      </c>
      <c r="I23">
        <f t="shared" ca="1" si="20"/>
        <v>-20</v>
      </c>
      <c r="J23">
        <f t="shared" ca="1" si="20"/>
        <v>-20</v>
      </c>
      <c r="K23">
        <f t="shared" ca="1" si="20"/>
        <v>-20</v>
      </c>
      <c r="L23">
        <f t="shared" ca="1" si="20"/>
        <v>-20</v>
      </c>
      <c r="M23">
        <f t="shared" ca="1" si="20"/>
        <v>-20</v>
      </c>
      <c r="N23">
        <f t="shared" ca="1" si="20"/>
        <v>-20</v>
      </c>
      <c r="O23">
        <f t="shared" ca="1" si="20"/>
        <v>-20</v>
      </c>
      <c r="P23">
        <f t="shared" ca="1" si="20"/>
        <v>-20</v>
      </c>
      <c r="Q23">
        <f t="shared" ca="1" si="20"/>
        <v>-20</v>
      </c>
      <c r="R23">
        <f t="shared" ca="1" si="20"/>
        <v>-20</v>
      </c>
      <c r="S23">
        <f t="shared" ca="1" si="20"/>
        <v>-20</v>
      </c>
    </row>
    <row r="24" spans="1:19" x14ac:dyDescent="0.2">
      <c r="A24">
        <v>22</v>
      </c>
      <c r="B24">
        <f t="shared" ref="B24:S24" ca="1" si="21">OFFSET(B$2,0,0)-21</f>
        <v>-21</v>
      </c>
      <c r="C24">
        <f t="shared" ca="1" si="21"/>
        <v>-21</v>
      </c>
      <c r="D24">
        <f t="shared" ca="1" si="21"/>
        <v>-21</v>
      </c>
      <c r="E24">
        <f t="shared" ca="1" si="21"/>
        <v>-21</v>
      </c>
      <c r="F24">
        <f t="shared" ca="1" si="21"/>
        <v>-21</v>
      </c>
      <c r="G24">
        <f t="shared" ca="1" si="21"/>
        <v>-21</v>
      </c>
      <c r="H24">
        <f t="shared" ca="1" si="21"/>
        <v>-21</v>
      </c>
      <c r="I24">
        <f t="shared" ca="1" si="21"/>
        <v>-21</v>
      </c>
      <c r="J24">
        <f t="shared" ca="1" si="21"/>
        <v>-21</v>
      </c>
      <c r="K24">
        <f t="shared" ca="1" si="21"/>
        <v>-21</v>
      </c>
      <c r="L24">
        <f t="shared" ca="1" si="21"/>
        <v>-21</v>
      </c>
      <c r="M24">
        <f t="shared" ca="1" si="21"/>
        <v>-21</v>
      </c>
      <c r="N24">
        <f t="shared" ca="1" si="21"/>
        <v>-21</v>
      </c>
      <c r="O24">
        <f t="shared" ca="1" si="21"/>
        <v>-21</v>
      </c>
      <c r="P24">
        <f t="shared" ca="1" si="21"/>
        <v>-21</v>
      </c>
      <c r="Q24">
        <f t="shared" ca="1" si="21"/>
        <v>-21</v>
      </c>
      <c r="R24">
        <f t="shared" ca="1" si="21"/>
        <v>-21</v>
      </c>
      <c r="S24">
        <f t="shared" ca="1" si="21"/>
        <v>-21</v>
      </c>
    </row>
    <row r="25" spans="1:19" x14ac:dyDescent="0.2">
      <c r="A25">
        <v>23</v>
      </c>
      <c r="B25">
        <f t="shared" ref="B25:S25" ca="1" si="22">OFFSET(B$2,0,0)-22</f>
        <v>-22</v>
      </c>
      <c r="C25">
        <f t="shared" ca="1" si="22"/>
        <v>-22</v>
      </c>
      <c r="D25">
        <f t="shared" ca="1" si="22"/>
        <v>-22</v>
      </c>
      <c r="E25">
        <f t="shared" ca="1" si="22"/>
        <v>-22</v>
      </c>
      <c r="F25">
        <f t="shared" ca="1" si="22"/>
        <v>-22</v>
      </c>
      <c r="G25">
        <f t="shared" ca="1" si="22"/>
        <v>-22</v>
      </c>
      <c r="H25">
        <f t="shared" ca="1" si="22"/>
        <v>-22</v>
      </c>
      <c r="I25">
        <f t="shared" ca="1" si="22"/>
        <v>-22</v>
      </c>
      <c r="J25">
        <f t="shared" ca="1" si="22"/>
        <v>-22</v>
      </c>
      <c r="K25">
        <f t="shared" ca="1" si="22"/>
        <v>-22</v>
      </c>
      <c r="L25">
        <f t="shared" ca="1" si="22"/>
        <v>-22</v>
      </c>
      <c r="M25">
        <f t="shared" ca="1" si="22"/>
        <v>-22</v>
      </c>
      <c r="N25">
        <f t="shared" ca="1" si="22"/>
        <v>-22</v>
      </c>
      <c r="O25">
        <f t="shared" ca="1" si="22"/>
        <v>-22</v>
      </c>
      <c r="P25">
        <f t="shared" ca="1" si="22"/>
        <v>-22</v>
      </c>
      <c r="Q25">
        <f t="shared" ca="1" si="22"/>
        <v>-22</v>
      </c>
      <c r="R25">
        <f t="shared" ca="1" si="22"/>
        <v>-22</v>
      </c>
      <c r="S25">
        <f t="shared" ca="1" si="22"/>
        <v>-22</v>
      </c>
    </row>
    <row r="26" spans="1:19" x14ac:dyDescent="0.2">
      <c r="A26">
        <v>24</v>
      </c>
      <c r="B26">
        <f t="shared" ref="B26:S26" ca="1" si="23">OFFSET(B$2,0,0)-23</f>
        <v>-23</v>
      </c>
      <c r="C26">
        <f t="shared" ca="1" si="23"/>
        <v>-23</v>
      </c>
      <c r="D26">
        <f t="shared" ca="1" si="23"/>
        <v>-23</v>
      </c>
      <c r="E26">
        <f t="shared" ca="1" si="23"/>
        <v>-23</v>
      </c>
      <c r="F26">
        <f t="shared" ca="1" si="23"/>
        <v>-23</v>
      </c>
      <c r="G26">
        <f t="shared" ca="1" si="23"/>
        <v>-23</v>
      </c>
      <c r="H26">
        <f t="shared" ca="1" si="23"/>
        <v>-23</v>
      </c>
      <c r="I26">
        <f t="shared" ca="1" si="23"/>
        <v>-23</v>
      </c>
      <c r="J26">
        <f t="shared" ca="1" si="23"/>
        <v>-23</v>
      </c>
      <c r="K26">
        <f t="shared" ca="1" si="23"/>
        <v>-23</v>
      </c>
      <c r="L26">
        <f t="shared" ca="1" si="23"/>
        <v>-23</v>
      </c>
      <c r="M26">
        <f t="shared" ca="1" si="23"/>
        <v>-23</v>
      </c>
      <c r="N26">
        <f t="shared" ca="1" si="23"/>
        <v>-23</v>
      </c>
      <c r="O26">
        <f t="shared" ca="1" si="23"/>
        <v>-23</v>
      </c>
      <c r="P26">
        <f t="shared" ca="1" si="23"/>
        <v>-23</v>
      </c>
      <c r="Q26">
        <f t="shared" ca="1" si="23"/>
        <v>-23</v>
      </c>
      <c r="R26">
        <f t="shared" ca="1" si="23"/>
        <v>-23</v>
      </c>
      <c r="S26">
        <f t="shared" ca="1" si="23"/>
        <v>-23</v>
      </c>
    </row>
    <row r="27" spans="1:19" x14ac:dyDescent="0.2">
      <c r="A27">
        <v>25</v>
      </c>
      <c r="B27">
        <f t="shared" ref="B27:S27" ca="1" si="24">OFFSET(B$2,0,0)-24</f>
        <v>-24</v>
      </c>
      <c r="C27">
        <f t="shared" ca="1" si="24"/>
        <v>-24</v>
      </c>
      <c r="D27">
        <f t="shared" ca="1" si="24"/>
        <v>-24</v>
      </c>
      <c r="E27">
        <f t="shared" ca="1" si="24"/>
        <v>-24</v>
      </c>
      <c r="F27">
        <f t="shared" ca="1" si="24"/>
        <v>-24</v>
      </c>
      <c r="G27">
        <f t="shared" ca="1" si="24"/>
        <v>-24</v>
      </c>
      <c r="H27">
        <f t="shared" ca="1" si="24"/>
        <v>-24</v>
      </c>
      <c r="I27">
        <f t="shared" ca="1" si="24"/>
        <v>-24</v>
      </c>
      <c r="J27">
        <f t="shared" ca="1" si="24"/>
        <v>-24</v>
      </c>
      <c r="K27">
        <f t="shared" ca="1" si="24"/>
        <v>-24</v>
      </c>
      <c r="L27">
        <f t="shared" ca="1" si="24"/>
        <v>-24</v>
      </c>
      <c r="M27">
        <f t="shared" ca="1" si="24"/>
        <v>-24</v>
      </c>
      <c r="N27">
        <f t="shared" ca="1" si="24"/>
        <v>-24</v>
      </c>
      <c r="O27">
        <f t="shared" ca="1" si="24"/>
        <v>-24</v>
      </c>
      <c r="P27">
        <f t="shared" ca="1" si="24"/>
        <v>-24</v>
      </c>
      <c r="Q27">
        <f t="shared" ca="1" si="24"/>
        <v>-24</v>
      </c>
      <c r="R27">
        <f t="shared" ca="1" si="24"/>
        <v>-24</v>
      </c>
      <c r="S27">
        <f t="shared" ca="1" si="24"/>
        <v>-24</v>
      </c>
    </row>
    <row r="28" spans="1:19" x14ac:dyDescent="0.2">
      <c r="A28">
        <v>26</v>
      </c>
      <c r="B28">
        <f t="shared" ref="B28:S28" ca="1" si="25">OFFSET(B$2,0,0)-25</f>
        <v>-25</v>
      </c>
      <c r="C28">
        <f t="shared" ca="1" si="25"/>
        <v>-25</v>
      </c>
      <c r="D28">
        <f t="shared" ca="1" si="25"/>
        <v>-25</v>
      </c>
      <c r="E28">
        <f t="shared" ca="1" si="25"/>
        <v>-25</v>
      </c>
      <c r="F28">
        <f t="shared" ca="1" si="25"/>
        <v>-25</v>
      </c>
      <c r="G28">
        <f t="shared" ca="1" si="25"/>
        <v>-25</v>
      </c>
      <c r="H28">
        <f t="shared" ca="1" si="25"/>
        <v>-25</v>
      </c>
      <c r="I28">
        <f t="shared" ca="1" si="25"/>
        <v>-25</v>
      </c>
      <c r="J28">
        <f t="shared" ca="1" si="25"/>
        <v>-25</v>
      </c>
      <c r="K28">
        <f t="shared" ca="1" si="25"/>
        <v>-25</v>
      </c>
      <c r="L28">
        <f t="shared" ca="1" si="25"/>
        <v>-25</v>
      </c>
      <c r="M28">
        <f t="shared" ca="1" si="25"/>
        <v>-25</v>
      </c>
      <c r="N28">
        <f t="shared" ca="1" si="25"/>
        <v>-25</v>
      </c>
      <c r="O28">
        <f t="shared" ca="1" si="25"/>
        <v>-25</v>
      </c>
      <c r="P28">
        <f t="shared" ca="1" si="25"/>
        <v>-25</v>
      </c>
      <c r="Q28">
        <f t="shared" ca="1" si="25"/>
        <v>-25</v>
      </c>
      <c r="R28">
        <f t="shared" ca="1" si="25"/>
        <v>-25</v>
      </c>
      <c r="S28">
        <f t="shared" ca="1" si="25"/>
        <v>-25</v>
      </c>
    </row>
    <row r="29" spans="1:19" x14ac:dyDescent="0.2">
      <c r="A29">
        <v>27</v>
      </c>
      <c r="B29">
        <f t="shared" ref="B29:S29" ca="1" si="26">OFFSET(B$2,0,0)-26</f>
        <v>-26</v>
      </c>
      <c r="C29">
        <f t="shared" ca="1" si="26"/>
        <v>-26</v>
      </c>
      <c r="D29">
        <f t="shared" ca="1" si="26"/>
        <v>-26</v>
      </c>
      <c r="E29">
        <f t="shared" ca="1" si="26"/>
        <v>-26</v>
      </c>
      <c r="F29">
        <f t="shared" ca="1" si="26"/>
        <v>-26</v>
      </c>
      <c r="G29">
        <f t="shared" ca="1" si="26"/>
        <v>-26</v>
      </c>
      <c r="H29">
        <f t="shared" ca="1" si="26"/>
        <v>-26</v>
      </c>
      <c r="I29">
        <f t="shared" ca="1" si="26"/>
        <v>-26</v>
      </c>
      <c r="J29">
        <f t="shared" ca="1" si="26"/>
        <v>-26</v>
      </c>
      <c r="K29">
        <f t="shared" ca="1" si="26"/>
        <v>-26</v>
      </c>
      <c r="L29">
        <f t="shared" ca="1" si="26"/>
        <v>-26</v>
      </c>
      <c r="M29">
        <f t="shared" ca="1" si="26"/>
        <v>-26</v>
      </c>
      <c r="N29">
        <f t="shared" ca="1" si="26"/>
        <v>-26</v>
      </c>
      <c r="O29">
        <f t="shared" ca="1" si="26"/>
        <v>-26</v>
      </c>
      <c r="P29">
        <f t="shared" ca="1" si="26"/>
        <v>-26</v>
      </c>
      <c r="Q29">
        <f t="shared" ca="1" si="26"/>
        <v>-26</v>
      </c>
      <c r="R29">
        <f t="shared" ca="1" si="26"/>
        <v>-26</v>
      </c>
      <c r="S29">
        <f t="shared" ca="1" si="26"/>
        <v>-26</v>
      </c>
    </row>
    <row r="30" spans="1:19" x14ac:dyDescent="0.2">
      <c r="A30">
        <v>28</v>
      </c>
      <c r="B30">
        <f t="shared" ref="B30:S30" ca="1" si="27">OFFSET(B$2,0,0)-27</f>
        <v>-27</v>
      </c>
      <c r="C30">
        <f t="shared" ca="1" si="27"/>
        <v>-27</v>
      </c>
      <c r="D30">
        <f t="shared" ca="1" si="27"/>
        <v>-27</v>
      </c>
      <c r="E30">
        <f t="shared" ca="1" si="27"/>
        <v>-27</v>
      </c>
      <c r="F30">
        <f t="shared" ca="1" si="27"/>
        <v>-27</v>
      </c>
      <c r="G30">
        <f t="shared" ca="1" si="27"/>
        <v>-27</v>
      </c>
      <c r="H30">
        <f t="shared" ca="1" si="27"/>
        <v>-27</v>
      </c>
      <c r="I30">
        <f t="shared" ca="1" si="27"/>
        <v>-27</v>
      </c>
      <c r="J30">
        <f t="shared" ca="1" si="27"/>
        <v>-27</v>
      </c>
      <c r="K30">
        <f t="shared" ca="1" si="27"/>
        <v>-27</v>
      </c>
      <c r="L30">
        <f t="shared" ca="1" si="27"/>
        <v>-27</v>
      </c>
      <c r="M30">
        <f t="shared" ca="1" si="27"/>
        <v>-27</v>
      </c>
      <c r="N30">
        <f t="shared" ca="1" si="27"/>
        <v>-27</v>
      </c>
      <c r="O30">
        <f t="shared" ca="1" si="27"/>
        <v>-27</v>
      </c>
      <c r="P30">
        <f t="shared" ca="1" si="27"/>
        <v>-27</v>
      </c>
      <c r="Q30">
        <f t="shared" ca="1" si="27"/>
        <v>-27</v>
      </c>
      <c r="R30">
        <f t="shared" ca="1" si="27"/>
        <v>-27</v>
      </c>
      <c r="S30">
        <f t="shared" ca="1" si="27"/>
        <v>-27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Auto -  Printable</vt:lpstr>
      <vt:lpstr>Data - For Rank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2022-10-10T14:02:42Z</cp:lastPrinted>
  <dcterms:created xsi:type="dcterms:W3CDTF">2014-04-02T21:11:50Z</dcterms:created>
  <dcterms:modified xsi:type="dcterms:W3CDTF">2026-03-17T17:04:01Z</dcterms:modified>
  <dc:language>en-US</dc:language>
</cp:coreProperties>
</file>