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lf-Cup\reference\"/>
    </mc:Choice>
  </mc:AlternateContent>
  <xr:revisionPtr revIDLastSave="0" documentId="13_ncr:1_{B0F1AEBF-E87F-4EFF-AD4C-3C88C4A77454}" xr6:coauthVersionLast="47" xr6:coauthVersionMax="47" xr10:uidLastSave="{00000000-0000-0000-0000-000000000000}"/>
  <bookViews>
    <workbookView xWindow="1515" yWindow="5025" windowWidth="43200" windowHeight="25800" activeTab="2" xr2:uid="{00000000-000D-0000-FFFF-FFFF00000000}"/>
  </bookViews>
  <sheets>
    <sheet name="Auto -  Printable" sheetId="1" r:id="rId1"/>
    <sheet name="Playoffs" sheetId="7" r:id="rId2"/>
    <sheet name="Stats" sheetId="4" r:id="rId3"/>
    <sheet name="Pairings" sheetId="5" r:id="rId4"/>
  </sheets>
  <definedNames>
    <definedName name="_xlnm.Print_Area" localSheetId="2">Stats!$A$1:$H$28</definedName>
    <definedName name="Ranking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10" i="7" l="1"/>
  <c r="N10" i="7"/>
  <c r="P13" i="7"/>
  <c r="Q13" i="7" s="1"/>
  <c r="N13" i="7"/>
  <c r="P7" i="7"/>
  <c r="Q7" i="7" s="1"/>
  <c r="N7" i="7"/>
  <c r="P4" i="7"/>
  <c r="N4" i="7"/>
  <c r="Q10" i="7" l="1"/>
  <c r="Q4" i="7"/>
  <c r="E11" i="7"/>
  <c r="G10" i="7"/>
  <c r="E10" i="7"/>
  <c r="E20" i="7"/>
  <c r="G19" i="7"/>
  <c r="H19" i="7" s="1"/>
  <c r="E19" i="7"/>
  <c r="G16" i="7"/>
  <c r="E16" i="7"/>
  <c r="E14" i="7"/>
  <c r="G13" i="7"/>
  <c r="H13" i="7" s="1"/>
  <c r="E13" i="7"/>
  <c r="E31" i="7" s="1"/>
  <c r="G4" i="7"/>
  <c r="G29" i="7" s="1"/>
  <c r="E5" i="7"/>
  <c r="E4" i="7" s="1"/>
  <c r="H4" i="7" s="1"/>
  <c r="E7" i="7"/>
  <c r="G7" i="7"/>
  <c r="E8" i="7"/>
  <c r="G22" i="7"/>
  <c r="E22" i="7"/>
  <c r="G25" i="7"/>
  <c r="E25" i="7"/>
  <c r="H16" i="7" l="1"/>
  <c r="H10" i="7"/>
  <c r="E29" i="7"/>
  <c r="H25" i="7"/>
  <c r="H22" i="7"/>
  <c r="G31" i="7"/>
  <c r="H7" i="7"/>
  <c r="R1" i="1" l="1"/>
  <c r="P1" i="1"/>
  <c r="J1" i="1"/>
  <c r="L1" i="1" s="1"/>
  <c r="N1" i="1" s="1"/>
  <c r="F1" i="1" l="1"/>
  <c r="H1" i="1" s="1"/>
  <c r="T1" i="1" s="1"/>
  <c r="V1" i="1" s="1"/>
  <c r="X1" i="1" s="1"/>
  <c r="Z1" i="1" s="1"/>
  <c r="AB1" i="1" s="1"/>
  <c r="AD1" i="1" s="1"/>
  <c r="AF1" i="1" s="1"/>
  <c r="AH1" i="1" s="1"/>
  <c r="AJ1" i="1" s="1"/>
  <c r="AL1" i="1" s="1"/>
  <c r="BQ23" i="5" l="1"/>
  <c r="BR23" i="5" l="1"/>
  <c r="G25" i="4"/>
  <c r="B25" i="4"/>
  <c r="G24" i="4"/>
  <c r="B24" i="4"/>
  <c r="G23" i="4"/>
  <c r="B23" i="4"/>
  <c r="P48" i="4"/>
  <c r="G22" i="4"/>
  <c r="D22" i="4"/>
  <c r="C22" i="4"/>
  <c r="B22" i="4"/>
  <c r="P47" i="4"/>
  <c r="G21" i="4"/>
  <c r="D21" i="4"/>
  <c r="C21" i="4"/>
  <c r="B21" i="4"/>
  <c r="P46" i="4"/>
  <c r="G20" i="4"/>
  <c r="D20" i="4"/>
  <c r="C20" i="4"/>
  <c r="B20" i="4"/>
  <c r="P45" i="4"/>
  <c r="G19" i="4"/>
  <c r="D19" i="4"/>
  <c r="C19" i="4"/>
  <c r="B19" i="4"/>
  <c r="P44" i="4"/>
  <c r="G18" i="4"/>
  <c r="D18" i="4"/>
  <c r="C18" i="4"/>
  <c r="B18" i="4"/>
  <c r="P43" i="4"/>
  <c r="G17" i="4"/>
  <c r="D17" i="4"/>
  <c r="C17" i="4"/>
  <c r="B17" i="4"/>
  <c r="P42" i="4"/>
  <c r="G16" i="4"/>
  <c r="D16" i="4"/>
  <c r="C16" i="4"/>
  <c r="B16" i="4"/>
  <c r="P41" i="4"/>
  <c r="G15" i="4"/>
  <c r="D15" i="4"/>
  <c r="C15" i="4"/>
  <c r="B15" i="4"/>
  <c r="P40" i="4"/>
  <c r="G14" i="4"/>
  <c r="D14" i="4"/>
  <c r="C14" i="4"/>
  <c r="B14" i="4"/>
  <c r="P39" i="4"/>
  <c r="G13" i="4"/>
  <c r="D13" i="4"/>
  <c r="C13" i="4"/>
  <c r="B13" i="4"/>
  <c r="P38" i="4"/>
  <c r="G12" i="4"/>
  <c r="D12" i="4"/>
  <c r="C12" i="4"/>
  <c r="B12" i="4"/>
  <c r="P37" i="4"/>
  <c r="G11" i="4"/>
  <c r="D11" i="4"/>
  <c r="C11" i="4"/>
  <c r="B11" i="4"/>
  <c r="P36" i="4"/>
  <c r="G10" i="4"/>
  <c r="D10" i="4"/>
  <c r="C10" i="4"/>
  <c r="B10" i="4"/>
  <c r="P35" i="4"/>
  <c r="G9" i="4"/>
  <c r="D9" i="4"/>
  <c r="C9" i="4"/>
  <c r="B9" i="4"/>
  <c r="P34" i="4"/>
  <c r="G8" i="4"/>
  <c r="D8" i="4"/>
  <c r="C8" i="4"/>
  <c r="B8" i="4"/>
  <c r="P33" i="4"/>
  <c r="G7" i="4"/>
  <c r="D7" i="4"/>
  <c r="C7" i="4"/>
  <c r="B7" i="4"/>
  <c r="BX23" i="5" l="1"/>
  <c r="BS23" i="5"/>
  <c r="R65" i="1"/>
  <c r="AB65" i="1"/>
  <c r="T67" i="1"/>
  <c r="V65" i="1"/>
  <c r="Z67" i="1"/>
  <c r="Z65" i="1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CB23" i="5"/>
  <c r="CD23" i="5"/>
  <c r="BU23" i="5"/>
  <c r="BV23" i="5"/>
  <c r="CH23" i="5"/>
  <c r="CA23" i="5"/>
  <c r="BY23" i="5"/>
  <c r="CI23" i="5"/>
  <c r="CE23" i="5"/>
  <c r="BZ23" i="5"/>
  <c r="BW23" i="5"/>
  <c r="CC23" i="5"/>
  <c r="CG23" i="5"/>
  <c r="BT23" i="5"/>
  <c r="CF23" i="5"/>
  <c r="H65" i="1" l="1"/>
  <c r="AH69" i="1" l="1"/>
  <c r="AF69" i="1"/>
  <c r="AD69" i="1" l="1"/>
  <c r="AB69" i="1"/>
  <c r="V69" i="1"/>
  <c r="T69" i="1"/>
  <c r="AJ69" i="1"/>
  <c r="Z69" i="1"/>
  <c r="X69" i="1"/>
  <c r="D65" i="1" l="1"/>
  <c r="AL67" i="1"/>
  <c r="AL69" i="1" s="1"/>
  <c r="AL65" i="1"/>
  <c r="AM65" i="1" l="1"/>
  <c r="AM67" i="1"/>
</calcChain>
</file>

<file path=xl/sharedStrings.xml><?xml version="1.0" encoding="utf-8"?>
<sst xmlns="http://schemas.openxmlformats.org/spreadsheetml/2006/main" count="913" uniqueCount="147">
  <si>
    <t>WEEK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</si>
  <si>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</si>
  <si>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</si>
  <si>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</si>
  <si>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</si>
  <si>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</si>
  <si>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</si>
  <si>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</si>
  <si>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</si>
  <si>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CP</t>
  </si>
  <si>
    <t>TEES</t>
  </si>
  <si>
    <t>Blue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</si>
  <si>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</si>
  <si>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</si>
  <si>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</si>
  <si>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</si>
  <si>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</si>
  <si>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</si>
  <si>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</si>
  <si>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</si>
  <si>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</si>
  <si>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</si>
  <si>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</si>
  <si>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</si>
  <si>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</si>
  <si>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</si>
  <si>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</si>
  <si>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</si>
  <si>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</si>
  <si>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</si>
  <si>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</si>
  <si>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</si>
  <si>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</si>
  <si>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</si>
  <si>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</si>
  <si>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</si>
  <si>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MW</t>
  </si>
  <si>
    <t>RA</t>
  </si>
  <si>
    <t>JS</t>
  </si>
  <si>
    <t>JB</t>
  </si>
  <si>
    <t>CK</t>
  </si>
  <si>
    <t>AB</t>
  </si>
  <si>
    <t>AD</t>
  </si>
  <si>
    <t>SW</t>
  </si>
  <si>
    <t>Week</t>
  </si>
  <si>
    <t>Bobby Marshall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</si>
  <si>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</si>
  <si>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</si>
  <si>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</si>
  <si>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</si>
  <si>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</si>
  <si>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</si>
  <si>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</si>
  <si>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</si>
  <si>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</si>
  <si>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</si>
  <si>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</si>
  <si>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</si>
  <si>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</si>
  <si>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</si>
  <si>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</si>
  <si>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</si>
  <si>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</si>
  <si>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</si>
  <si>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</si>
  <si>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</si>
  <si>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</si>
  <si>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</si>
  <si>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</si>
  <si>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</si>
  <si>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Jason Moses</t>
  </si>
  <si>
    <t>Ronnie Adkins</t>
  </si>
  <si>
    <t>Jeff Bierderman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</si>
  <si>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</si>
  <si>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</si>
  <si>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</si>
  <si>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</si>
  <si>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</si>
  <si>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</si>
  <si>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</si>
  <si>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</si>
  <si>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</si>
  <si>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</si>
  <si>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</si>
  <si>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Copley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</si>
  <si>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</si>
  <si>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</si>
  <si>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</si>
  <si>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</si>
  <si>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</si>
  <si>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</si>
  <si>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</si>
  <si>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</si>
  <si>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</si>
  <si>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</si>
  <si>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>Pierson</t>
  </si>
  <si>
    <t>X</t>
  </si>
  <si>
    <t>McGinnis</t>
  </si>
  <si>
    <t>go aggressive on Subs early in the year and have 3 foursomes for the most part.  See if any of the subs become full timers</t>
  </si>
  <si>
    <t>Round</t>
  </si>
  <si>
    <t>FINAL</t>
  </si>
  <si>
    <t>PLAYOFFS</t>
  </si>
  <si>
    <t>Tim Biller</t>
  </si>
  <si>
    <t/>
  </si>
  <si>
    <t>Rounds [Min Points]</t>
  </si>
  <si>
    <t>Group E</t>
  </si>
  <si>
    <t>POINTS x3</t>
  </si>
  <si>
    <t>POINTS x8</t>
  </si>
  <si>
    <t>bonner</t>
  </si>
  <si>
    <t>Bagger, RA</t>
  </si>
  <si>
    <t>Wilson</t>
  </si>
  <si>
    <t>Dawson</t>
  </si>
  <si>
    <t>McCarthy</t>
  </si>
  <si>
    <t>Wellman</t>
  </si>
  <si>
    <t>Biederman</t>
  </si>
  <si>
    <t>Beasley</t>
  </si>
  <si>
    <t>Stoll</t>
  </si>
  <si>
    <t>Biller</t>
  </si>
  <si>
    <t>Patterson</t>
  </si>
  <si>
    <t>Cox</t>
  </si>
  <si>
    <t>Marshall</t>
  </si>
  <si>
    <t>CM, CP, RA, JSx2, SP</t>
  </si>
  <si>
    <t>Preston, Biederman</t>
  </si>
  <si>
    <t>Kluemper</t>
  </si>
  <si>
    <t>Hutchinson</t>
  </si>
  <si>
    <t>Kyle</t>
  </si>
  <si>
    <r>
      <rPr>
        <sz val="8"/>
        <color theme="1"/>
        <rFont val="Georgia"/>
        <family val="1"/>
      </rPr>
      <t>6-Pierson 7-Preston</t>
    </r>
    <r>
      <rPr>
        <sz val="8"/>
        <color rgb="FFFF0000"/>
        <rFont val="Georgia"/>
        <family val="1"/>
        <charset val="1"/>
      </rPr>
      <t xml:space="preserve"> 12-Copley 15-Patterson</t>
    </r>
  </si>
  <si>
    <t xml:space="preserve"> </t>
  </si>
  <si>
    <t>Corky</t>
  </si>
  <si>
    <t>Caleb Griffith</t>
  </si>
  <si>
    <r>
      <t xml:space="preserve">SPx2, </t>
    </r>
    <r>
      <rPr>
        <sz val="8"/>
        <color rgb="FFFF0000"/>
        <rFont val="Georgia"/>
        <family val="1"/>
      </rPr>
      <t>JP</t>
    </r>
    <r>
      <rPr>
        <sz val="8"/>
        <rFont val="Georgia"/>
        <family val="1"/>
        <charset val="1"/>
      </rPr>
      <t>, Moses</t>
    </r>
  </si>
  <si>
    <t>Misiti</t>
  </si>
  <si>
    <t>newfeld</t>
  </si>
  <si>
    <t>Chatteron</t>
  </si>
  <si>
    <t>6-KC     12-JS     15-KC</t>
  </si>
  <si>
    <t>Jaquint, CK, KC</t>
  </si>
  <si>
    <t>Jacobson</t>
  </si>
  <si>
    <t>Ellison</t>
  </si>
  <si>
    <t>McNeely</t>
  </si>
  <si>
    <r>
      <rPr>
        <sz val="8"/>
        <color rgb="FFFF0000"/>
        <rFont val="Georgia"/>
        <family val="1"/>
      </rPr>
      <t>6-Bonner                 7-Wilson</t>
    </r>
    <r>
      <rPr>
        <sz val="8"/>
        <rFont val="Georgia"/>
        <family val="1"/>
        <charset val="1"/>
      </rPr>
      <t xml:space="preserve"> 12-Stoll   15-Moses</t>
    </r>
  </si>
  <si>
    <t>Chatterton</t>
  </si>
  <si>
    <t>Newfeld</t>
  </si>
  <si>
    <t>Alex Smith</t>
  </si>
  <si>
    <r>
      <t>JS,</t>
    </r>
    <r>
      <rPr>
        <sz val="8"/>
        <color rgb="FFFF0000"/>
        <rFont val="Georgia"/>
        <family val="1"/>
      </rPr>
      <t xml:space="preserve"> CK</t>
    </r>
    <r>
      <rPr>
        <sz val="8"/>
        <color rgb="FF000000"/>
        <rFont val="Georgia"/>
        <family val="2"/>
        <charset val="1"/>
      </rPr>
      <t xml:space="preserve">, SP, </t>
    </r>
    <r>
      <rPr>
        <sz val="8"/>
        <rFont val="Georgia"/>
        <family val="1"/>
      </rPr>
      <t>NCx2</t>
    </r>
  </si>
  <si>
    <t>Adkins</t>
  </si>
  <si>
    <t>6-Bagger 7-Moses 12-Preston                 15-Madden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</si>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</sst>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$#,##0_);[Red]&quot;($&quot;#,##0\)"/>
    <numFmt numFmtId="166" formatCode="\$#,##0"/>
  </numFmts>
  <fonts count="25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1"/>
      <name val="Georgia"/>
      <family val="1"/>
    </font>
    <font>
      <sz val="10"/>
      <name val="Georgia"/>
      <family val="1"/>
    </font>
    <font>
      <sz val="8"/>
      <name val="Georgia"/>
      <family val="1"/>
    </font>
    <font>
      <b/>
      <sz val="9"/>
      <name val="Georgia"/>
      <family val="1"/>
    </font>
    <font>
      <sz val="8"/>
      <name val="Georgia"/>
      <family val="2"/>
      <charset val="1"/>
    </font>
    <font>
      <b/>
      <sz val="11"/>
      <color rgb="FF000000"/>
      <name val="Georgia"/>
      <family val="1"/>
    </font>
    <font>
      <b/>
      <sz val="10"/>
      <color rgb="FF000000"/>
      <name val="Georgia"/>
      <family val="1"/>
    </font>
    <font>
      <sz val="8"/>
      <color rgb="FFFF0000"/>
      <name val="Georgia"/>
      <family val="1"/>
    </font>
    <font>
      <sz val="8"/>
      <color rgb="FFFF0000"/>
      <name val="Georgia"/>
      <family val="1"/>
      <charset val="1"/>
    </font>
    <font>
      <sz val="8"/>
      <color theme="1"/>
      <name val="Georgia"/>
      <family val="1"/>
    </font>
  </fonts>
  <fills count="7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" fillId="0" borderId="0" xfId="0" applyFont="1"/>
    <xf numFmtId="164" fontId="5" fillId="0" borderId="0" xfId="0" applyNumberFormat="1" applyFont="1" applyAlignment="1">
      <alignment horizontal="center"/>
    </xf>
    <xf numFmtId="0" fontId="1" fillId="2" borderId="0" xfId="0" applyFont="1" applyFill="1"/>
    <xf numFmtId="0" fontId="6" fillId="3" borderId="0" xfId="0" applyFont="1" applyFill="1" applyProtection="1">
      <protection locked="0"/>
    </xf>
    <xf numFmtId="164" fontId="7" fillId="0" borderId="0" xfId="0" applyNumberFormat="1" applyFont="1"/>
    <xf numFmtId="164" fontId="2" fillId="0" borderId="0" xfId="0" applyNumberFormat="1" applyFont="1"/>
    <xf numFmtId="0" fontId="8" fillId="0" borderId="0" xfId="0" applyFont="1" applyAlignment="1">
      <alignment horizontal="center"/>
    </xf>
    <xf numFmtId="164" fontId="6" fillId="0" borderId="0" xfId="0" applyNumberFormat="1" applyFont="1"/>
    <xf numFmtId="164" fontId="1" fillId="0" borderId="0" xfId="0" applyNumberFormat="1" applyFont="1"/>
    <xf numFmtId="0" fontId="8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6" fillId="3" borderId="1" xfId="0" applyNumberFormat="1" applyFont="1" applyFill="1" applyBorder="1" applyProtection="1">
      <protection locked="0"/>
    </xf>
    <xf numFmtId="164" fontId="6" fillId="0" borderId="1" xfId="0" applyNumberFormat="1" applyFont="1" applyBorder="1"/>
    <xf numFmtId="166" fontId="9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6" fillId="0" borderId="0" xfId="0" applyFont="1"/>
    <xf numFmtId="0" fontId="0" fillId="0" borderId="1" xfId="0" applyBorder="1" applyAlignment="1">
      <alignment horizontal="right"/>
    </xf>
    <xf numFmtId="1" fontId="6" fillId="3" borderId="0" xfId="0" applyNumberFormat="1" applyFont="1" applyFill="1" applyProtection="1">
      <protection locked="0"/>
    </xf>
    <xf numFmtId="164" fontId="9" fillId="0" borderId="0" xfId="0" applyNumberFormat="1" applyFont="1" applyAlignment="1">
      <alignment horizontal="center"/>
    </xf>
    <xf numFmtId="0" fontId="9" fillId="0" borderId="0" xfId="0" applyFont="1"/>
    <xf numFmtId="164" fontId="0" fillId="0" borderId="0" xfId="0" applyNumberForma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0" fontId="0" fillId="0" borderId="0" xfId="0" applyAlignment="1">
      <alignment wrapText="1"/>
    </xf>
    <xf numFmtId="0" fontId="2" fillId="0" borderId="0" xfId="0" applyFont="1" applyAlignment="1">
      <alignment horizontal="center" wrapText="1"/>
    </xf>
    <xf numFmtId="0" fontId="11" fillId="0" borderId="0" xfId="0" applyFont="1"/>
    <xf numFmtId="0" fontId="0" fillId="0" borderId="0" xfId="0" applyAlignment="1">
      <alignment horizontal="right"/>
    </xf>
    <xf numFmtId="0" fontId="0" fillId="0" borderId="1" xfId="0" applyBorder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0" fillId="5" borderId="2" xfId="0" applyFill="1" applyBorder="1"/>
    <xf numFmtId="2" fontId="0" fillId="5" borderId="2" xfId="0" applyNumberFormat="1" applyFill="1" applyBorder="1" applyAlignment="1">
      <alignment horizontal="center"/>
    </xf>
    <xf numFmtId="0" fontId="0" fillId="0" borderId="2" xfId="0" applyBorder="1"/>
    <xf numFmtId="2" fontId="0" fillId="0" borderId="2" xfId="0" applyNumberFormat="1" applyBorder="1" applyAlignment="1">
      <alignment horizontal="center"/>
    </xf>
    <xf numFmtId="0" fontId="0" fillId="0" borderId="3" xfId="0" applyBorder="1"/>
    <xf numFmtId="0" fontId="0" fillId="5" borderId="3" xfId="0" applyFill="1" applyBorder="1"/>
    <xf numFmtId="0" fontId="9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9" fillId="0" borderId="4" xfId="0" applyFont="1" applyBorder="1"/>
    <xf numFmtId="165" fontId="9" fillId="0" borderId="4" xfId="0" applyNumberFormat="1" applyFont="1" applyBorder="1"/>
    <xf numFmtId="0" fontId="0" fillId="6" borderId="0" xfId="0" applyFill="1"/>
    <xf numFmtId="0" fontId="0" fillId="6" borderId="0" xfId="0" applyFill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9" fillId="0" borderId="1" xfId="0" applyFont="1" applyBorder="1"/>
    <xf numFmtId="164" fontId="14" fillId="0" borderId="0" xfId="0" applyNumberFormat="1" applyFont="1" applyAlignment="1">
      <alignment horizontal="center"/>
    </xf>
    <xf numFmtId="1" fontId="7" fillId="0" borderId="0" xfId="0" applyNumberFormat="1" applyFont="1"/>
    <xf numFmtId="164" fontId="11" fillId="0" borderId="0" xfId="0" applyNumberFormat="1" applyFont="1" applyAlignment="1">
      <alignment horizontal="center"/>
    </xf>
    <xf numFmtId="164" fontId="11" fillId="0" borderId="0" xfId="0" applyNumberFormat="1" applyFont="1"/>
    <xf numFmtId="164" fontId="9" fillId="0" borderId="0" xfId="0" applyNumberFormat="1" applyFont="1"/>
    <xf numFmtId="0" fontId="2" fillId="0" borderId="1" xfId="0" applyFont="1" applyBorder="1" applyAlignment="1">
      <alignment horizontal="center"/>
    </xf>
    <xf numFmtId="166" fontId="9" fillId="0" borderId="1" xfId="0" applyNumberFormat="1" applyFont="1" applyBorder="1"/>
    <xf numFmtId="164" fontId="9" fillId="0" borderId="1" xfId="0" applyNumberFormat="1" applyFont="1" applyBorder="1"/>
    <xf numFmtId="164" fontId="0" fillId="0" borderId="1" xfId="0" applyNumberFormat="1" applyBorder="1"/>
    <xf numFmtId="166" fontId="9" fillId="0" borderId="0" xfId="0" applyNumberFormat="1" applyFont="1"/>
    <xf numFmtId="166" fontId="0" fillId="0" borderId="0" xfId="0" applyNumberFormat="1"/>
    <xf numFmtId="0" fontId="15" fillId="0" borderId="0" xfId="0" applyFont="1"/>
    <xf numFmtId="0" fontId="16" fillId="0" borderId="0" xfId="0" applyFont="1" applyAlignment="1">
      <alignment wrapText="1"/>
    </xf>
    <xf numFmtId="0" fontId="17" fillId="0" borderId="0" xfId="0" applyFont="1" applyAlignment="1">
      <alignment wrapText="1"/>
    </xf>
    <xf numFmtId="0" fontId="16" fillId="0" borderId="0" xfId="0" applyFont="1" applyAlignment="1">
      <alignment horizontal="right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right"/>
    </xf>
    <xf numFmtId="164" fontId="18" fillId="0" borderId="0" xfId="0" applyNumberFormat="1" applyFont="1" applyAlignment="1">
      <alignment horizontal="center"/>
    </xf>
    <xf numFmtId="0" fontId="17" fillId="0" borderId="0" xfId="0" applyFont="1" applyAlignment="1">
      <alignment horizontal="right" vertic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0" fillId="0" borderId="0" xfId="0" applyFont="1"/>
    <xf numFmtId="0" fontId="1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center"/>
    </xf>
    <xf numFmtId="0" fontId="19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1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Alignment="1">
      <alignment horizontal="center" vertical="center" wrapText="1"/>
    </xf>
    <xf numFmtId="0" fontId="22" fillId="0" borderId="0" xfId="0" applyFont="1" applyAlignment="1" applyProtection="1">
      <alignment horizontal="center" vertical="center" wrapText="1"/>
      <protection locked="0"/>
    </xf>
    <xf numFmtId="0" fontId="23" fillId="0" borderId="0" xfId="0" applyFont="1" applyAlignment="1" applyProtection="1">
      <alignment horizontal="center" vertical="center" wrapText="1"/>
      <protection locked="0"/>
    </xf>
    <xf numFmtId="0" fontId="17" fillId="2" borderId="0" xfId="0" applyFont="1" applyFill="1" applyAlignment="1">
      <alignment horizontal="center" textRotation="180"/>
    </xf>
    <xf numFmtId="0" fontId="9" fillId="0" borderId="4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2" fillId="0" borderId="5" xfId="0" applyFont="1" applyBorder="1" applyAlignment="1">
      <alignment horizontal="right" wrapText="1"/>
    </xf>
    <xf numFmtId="0" fontId="20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H25" totalsRowShown="0">
  <autoFilter ref="A6:H25" xr:uid="{00000000-0009-0000-0100-000001000000}"/>
  <tableColumns count="8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Column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R70"/>
  <sheetViews>
    <sheetView view="pageLayout" zoomScale="84" zoomScaleNormal="100" zoomScalePageLayoutView="84" workbookViewId="0">
      <selection activeCell="D5" sqref="D5:E5"/>
    </sheetView>
  </sheetViews>
  <sheetFormatPr defaultColWidth="8.88671875" defaultRowHeight="14.25" x14ac:dyDescent="0.2"/>
  <cols>
    <col min="1" max="1" width="7" bestFit="1" customWidth="1"/>
    <col min="2" max="2" width="12.33203125" bestFit="1" customWidth="1"/>
    <col min="3" max="3" width="4.5546875" style="1" bestFit="1" customWidth="1"/>
    <col min="4" max="4" width="4.44140625" style="1" bestFit="1" customWidth="1"/>
    <col min="5" max="5" width="4.21875" bestFit="1" customWidth="1"/>
    <col min="6" max="6" width="4.44140625" bestFit="1" customWidth="1"/>
    <col min="7" max="7" width="4.33203125" bestFit="1" customWidth="1"/>
    <col min="8" max="8" width="4.44140625" bestFit="1" customWidth="1"/>
    <col min="9" max="9" width="4.33203125" bestFit="1" customWidth="1"/>
    <col min="10" max="10" width="4.44140625" bestFit="1" customWidth="1"/>
    <col min="11" max="11" width="4.33203125" bestFit="1" customWidth="1"/>
    <col min="12" max="12" width="4.44140625" bestFit="1" customWidth="1"/>
    <col min="13" max="13" width="4.33203125" bestFit="1" customWidth="1"/>
    <col min="14" max="14" width="4.44140625" bestFit="1" customWidth="1"/>
    <col min="15" max="15" width="4.21875" bestFit="1" customWidth="1"/>
    <col min="16" max="16" width="4.44140625" bestFit="1" customWidth="1"/>
    <col min="17" max="17" width="4.21875" bestFit="1" customWidth="1"/>
    <col min="18" max="18" width="4.44140625" bestFit="1" customWidth="1"/>
    <col min="19" max="19" width="4.33203125" bestFit="1" customWidth="1"/>
    <col min="20" max="20" width="8.33203125" bestFit="1" customWidth="1"/>
    <col min="21" max="21" width="4.33203125" bestFit="1" customWidth="1"/>
    <col min="22" max="22" width="8.33203125" bestFit="1" customWidth="1"/>
    <col min="23" max="23" width="4.21875" bestFit="1" customWidth="1"/>
    <col min="24" max="24" width="8.33203125" bestFit="1" customWidth="1"/>
    <col min="25" max="25" width="4.33203125" bestFit="1" customWidth="1"/>
    <col min="26" max="26" width="8.33203125" bestFit="1" customWidth="1"/>
    <col min="27" max="27" width="4.21875" bestFit="1" customWidth="1"/>
    <col min="28" max="28" width="8.33203125" bestFit="1" customWidth="1"/>
    <col min="29" max="29" width="4.21875" bestFit="1" customWidth="1"/>
    <col min="30" max="30" width="8.33203125" bestFit="1" customWidth="1"/>
    <col min="31" max="31" width="4.21875" bestFit="1" customWidth="1"/>
    <col min="32" max="32" width="8.33203125" bestFit="1" customWidth="1"/>
    <col min="33" max="33" width="4.21875" bestFit="1" customWidth="1"/>
    <col min="34" max="34" width="8.33203125" bestFit="1" customWidth="1"/>
    <col min="35" max="35" width="4.21875" bestFit="1" customWidth="1"/>
    <col min="36" max="36" width="8.33203125" bestFit="1" customWidth="1"/>
    <col min="37" max="37" width="4.21875" bestFit="1" customWidth="1"/>
    <col min="38" max="38" width="8.33203125" bestFit="1" customWidth="1"/>
    <col min="39" max="39" width="5.21875" bestFit="1" customWidth="1"/>
    <col min="40" max="40" width="6.33203125" bestFit="1" customWidth="1"/>
    <col min="41" max="41" width="3.88671875" bestFit="1" customWidth="1"/>
  </cols>
  <sheetData>
    <row r="1" spans="1:41" ht="14.25" customHeight="1" x14ac:dyDescent="0.2">
      <c r="A1" s="72"/>
      <c r="B1" s="73"/>
      <c r="C1" s="99" t="s">
        <v>104</v>
      </c>
      <c r="D1" s="88">
        <v>1</v>
      </c>
      <c r="E1" s="88"/>
      <c r="F1" s="88">
        <f>D1+1</f>
        <v>2</v>
      </c>
      <c r="G1" s="88"/>
      <c r="H1" s="88">
        <f>F1+1</f>
        <v>3</v>
      </c>
      <c r="I1" s="88"/>
      <c r="J1" s="88">
        <f>H1+1</f>
        <v>4</v>
      </c>
      <c r="K1" s="88"/>
      <c r="L1" s="88">
        <f>J1+1</f>
        <v>5</v>
      </c>
      <c r="M1" s="88"/>
      <c r="N1" s="88">
        <f>L1+1</f>
        <v>6</v>
      </c>
      <c r="O1" s="88"/>
      <c r="P1" s="88">
        <f>N1+1</f>
        <v>7</v>
      </c>
      <c r="Q1" s="88"/>
      <c r="R1" s="88">
        <f>P1+1</f>
        <v>8</v>
      </c>
      <c r="S1" s="88"/>
      <c r="T1" s="88">
        <f>R1+1</f>
        <v>9</v>
      </c>
      <c r="U1" s="88"/>
      <c r="V1" s="88">
        <f>T1+1</f>
        <v>10</v>
      </c>
      <c r="W1" s="88"/>
      <c r="X1" s="88">
        <f>V1+1</f>
        <v>11</v>
      </c>
      <c r="Y1" s="88"/>
      <c r="Z1" s="88">
        <f>X1+1</f>
        <v>12</v>
      </c>
      <c r="AA1" s="88"/>
      <c r="AB1" s="88">
        <f>Z1+1</f>
        <v>13</v>
      </c>
      <c r="AC1" s="88"/>
      <c r="AD1" s="88">
        <f>AB1+1</f>
        <v>14</v>
      </c>
      <c r="AE1" s="88"/>
      <c r="AF1" s="88">
        <f>AD1+1</f>
        <v>15</v>
      </c>
      <c r="AG1" s="88"/>
      <c r="AH1" s="88">
        <f>AF1+1</f>
        <v>16</v>
      </c>
      <c r="AI1" s="88"/>
      <c r="AJ1" s="88">
        <f>AH1+1</f>
        <v>17</v>
      </c>
      <c r="AK1" s="88"/>
      <c r="AL1" s="88">
        <f>AJ1+1</f>
        <v>18</v>
      </c>
      <c r="AM1" s="88"/>
      <c r="AN1" s="73"/>
      <c r="AO1" s="74"/>
    </row>
    <row r="2" spans="1:41" ht="14.25" customHeight="1" x14ac:dyDescent="0.2">
      <c r="A2" s="72"/>
      <c r="B2" s="75" t="s">
        <v>0</v>
      </c>
      <c r="C2" s="99"/>
      <c r="D2" s="93">
        <v>45044</v>
      </c>
      <c r="E2" s="94"/>
      <c r="F2" s="93">
        <v>45051</v>
      </c>
      <c r="G2" s="94"/>
      <c r="H2" s="93">
        <v>45058</v>
      </c>
      <c r="I2" s="94"/>
      <c r="J2" s="93">
        <v>45065</v>
      </c>
      <c r="K2" s="94"/>
      <c r="L2" s="93">
        <v>45072</v>
      </c>
      <c r="M2" s="94"/>
      <c r="N2" s="93">
        <v>45079</v>
      </c>
      <c r="O2" s="94"/>
      <c r="P2" s="93">
        <v>45093</v>
      </c>
      <c r="Q2" s="94"/>
      <c r="R2" s="93">
        <v>45100</v>
      </c>
      <c r="S2" s="94"/>
      <c r="T2" s="93">
        <v>45107</v>
      </c>
      <c r="U2" s="94"/>
      <c r="V2" s="93">
        <v>45114</v>
      </c>
      <c r="W2" s="94"/>
      <c r="X2" s="93">
        <v>45121</v>
      </c>
      <c r="Y2" s="94"/>
      <c r="Z2" s="93">
        <v>45128</v>
      </c>
      <c r="AA2" s="94"/>
      <c r="AB2" s="93">
        <v>45135</v>
      </c>
      <c r="AC2" s="94"/>
      <c r="AD2" s="93">
        <v>45142</v>
      </c>
      <c r="AE2" s="94"/>
      <c r="AF2" s="93">
        <v>45149</v>
      </c>
      <c r="AG2" s="94"/>
      <c r="AH2" s="93">
        <v>45156</v>
      </c>
      <c r="AI2" s="94"/>
      <c r="AJ2" s="93">
        <v>45163</v>
      </c>
      <c r="AK2" s="94"/>
      <c r="AL2" s="93">
        <v>45170</v>
      </c>
      <c r="AM2" s="94"/>
      <c r="AN2" s="76" t="s">
        <v>1</v>
      </c>
      <c r="AO2" s="77" t="s">
        <v>2</v>
      </c>
    </row>
    <row r="3" spans="1:41" ht="27.75" customHeight="1" x14ac:dyDescent="0.2">
      <c r="A3" s="72"/>
      <c r="B3" s="75" t="s">
        <v>3</v>
      </c>
      <c r="C3" s="99"/>
      <c r="D3" s="92" t="s">
        <v>6</v>
      </c>
      <c r="E3" s="92"/>
      <c r="F3" s="92" t="s">
        <v>7</v>
      </c>
      <c r="G3" s="92"/>
      <c r="H3" s="92" t="s">
        <v>5</v>
      </c>
      <c r="I3" s="92"/>
      <c r="J3" s="92" t="s">
        <v>4</v>
      </c>
      <c r="K3" s="92"/>
      <c r="L3" s="92" t="s">
        <v>6</v>
      </c>
      <c r="M3" s="92"/>
      <c r="N3" s="92" t="s">
        <v>7</v>
      </c>
      <c r="O3" s="92"/>
      <c r="P3" s="92" t="s">
        <v>5</v>
      </c>
      <c r="Q3" s="92"/>
      <c r="R3" s="92" t="s">
        <v>4</v>
      </c>
      <c r="S3" s="92"/>
      <c r="T3" s="92" t="s">
        <v>6</v>
      </c>
      <c r="U3" s="92"/>
      <c r="V3" s="92" t="s">
        <v>7</v>
      </c>
      <c r="W3" s="92"/>
      <c r="X3" s="92" t="s">
        <v>5</v>
      </c>
      <c r="Y3" s="92"/>
      <c r="Z3" s="92" t="s">
        <v>4</v>
      </c>
      <c r="AA3" s="92"/>
      <c r="AB3" s="92" t="s">
        <v>6</v>
      </c>
      <c r="AC3" s="92"/>
      <c r="AD3" s="92" t="s">
        <v>7</v>
      </c>
      <c r="AE3" s="92"/>
      <c r="AF3" s="92" t="s">
        <v>5</v>
      </c>
      <c r="AG3" s="92"/>
      <c r="AH3" s="92" t="s">
        <v>4</v>
      </c>
      <c r="AI3" s="92"/>
      <c r="AJ3" s="92" t="s">
        <v>6</v>
      </c>
      <c r="AK3" s="92"/>
      <c r="AL3" s="92" t="s">
        <v>7</v>
      </c>
      <c r="AM3" s="92"/>
      <c r="AN3" s="96"/>
      <c r="AO3" s="96"/>
    </row>
    <row r="4" spans="1:41" ht="45" customHeight="1" x14ac:dyDescent="0.2">
      <c r="A4" s="72"/>
      <c r="B4" s="78" t="s">
        <v>8</v>
      </c>
      <c r="C4" s="99"/>
      <c r="D4" s="87" t="s">
        <v>109</v>
      </c>
      <c r="E4" s="87"/>
      <c r="F4" s="87" t="s">
        <v>121</v>
      </c>
      <c r="G4" s="87"/>
      <c r="H4" s="91" t="s">
        <v>122</v>
      </c>
      <c r="I4" s="91"/>
      <c r="J4" s="97" t="s">
        <v>126</v>
      </c>
      <c r="K4" s="98"/>
      <c r="L4" s="91" t="s">
        <v>114</v>
      </c>
      <c r="M4" s="91"/>
      <c r="N4" s="91" t="s">
        <v>130</v>
      </c>
      <c r="O4" s="91"/>
      <c r="P4" s="90" t="s">
        <v>135</v>
      </c>
      <c r="Q4" s="90"/>
      <c r="R4" s="90" t="s">
        <v>134</v>
      </c>
      <c r="S4" s="90"/>
      <c r="T4" s="91" t="s">
        <v>92</v>
      </c>
      <c r="U4" s="91"/>
      <c r="V4" s="90"/>
      <c r="W4" s="90"/>
      <c r="X4" s="95" t="s">
        <v>82</v>
      </c>
      <c r="Y4" s="95"/>
      <c r="Z4" s="90" t="s">
        <v>139</v>
      </c>
      <c r="AA4" s="90"/>
      <c r="AB4" s="89" t="s">
        <v>92</v>
      </c>
      <c r="AC4" s="89"/>
      <c r="AD4" s="87" t="s">
        <v>143</v>
      </c>
      <c r="AE4" s="87"/>
      <c r="AF4" s="95" t="s">
        <v>118</v>
      </c>
      <c r="AG4" s="95"/>
      <c r="AH4" s="89" t="s">
        <v>145</v>
      </c>
      <c r="AI4" s="89"/>
      <c r="AJ4" s="87" t="s">
        <v>83</v>
      </c>
      <c r="AK4" s="87"/>
      <c r="AL4" s="87"/>
      <c r="AM4" s="87"/>
      <c r="AN4" s="79"/>
      <c r="AO4" s="77"/>
    </row>
    <row r="5" spans="1:41" ht="14.25" customHeight="1" x14ac:dyDescent="0.2">
      <c r="A5" s="72"/>
      <c r="B5" s="80" t="s">
        <v>10</v>
      </c>
      <c r="C5" s="80"/>
      <c r="D5" s="87" t="s">
        <v>11</v>
      </c>
      <c r="E5" s="87"/>
      <c r="F5" s="87" t="s">
        <v>12</v>
      </c>
      <c r="G5" s="87"/>
      <c r="H5" s="87" t="s">
        <v>13</v>
      </c>
      <c r="I5" s="87"/>
      <c r="J5" s="87" t="s">
        <v>11</v>
      </c>
      <c r="K5" s="87"/>
      <c r="L5" s="87" t="s">
        <v>12</v>
      </c>
      <c r="M5" s="87"/>
      <c r="N5" s="87" t="s">
        <v>13</v>
      </c>
      <c r="O5" s="87"/>
      <c r="P5" s="87" t="s">
        <v>11</v>
      </c>
      <c r="Q5" s="87"/>
      <c r="R5" s="87" t="s">
        <v>12</v>
      </c>
      <c r="S5" s="87"/>
      <c r="T5" s="87" t="s">
        <v>13</v>
      </c>
      <c r="U5" s="87"/>
      <c r="V5" s="87" t="s">
        <v>11</v>
      </c>
      <c r="W5" s="87"/>
      <c r="X5" s="87" t="s">
        <v>12</v>
      </c>
      <c r="Y5" s="87"/>
      <c r="Z5" s="87" t="s">
        <v>13</v>
      </c>
      <c r="AA5" s="87"/>
      <c r="AB5" s="87" t="s">
        <v>11</v>
      </c>
      <c r="AC5" s="87"/>
      <c r="AD5" s="87" t="s">
        <v>12</v>
      </c>
      <c r="AE5" s="87"/>
      <c r="AF5" s="87" t="s">
        <v>13</v>
      </c>
      <c r="AG5" s="87"/>
      <c r="AH5" s="87" t="s">
        <v>11</v>
      </c>
      <c r="AI5" s="87"/>
      <c r="AJ5" s="87" t="s">
        <v>12</v>
      </c>
      <c r="AK5" s="87"/>
      <c r="AL5" s="87" t="s">
        <v>13</v>
      </c>
      <c r="AM5" s="87"/>
      <c r="AN5" s="77"/>
      <c r="AO5" s="77"/>
    </row>
    <row r="6" spans="1:41" x14ac:dyDescent="0.2">
      <c r="A6" s="4">
        <v>1</v>
      </c>
      <c r="B6" s="21" t="s">
        <v>23</v>
      </c>
      <c r="C6" s="7">
        <v>14</v>
      </c>
      <c r="D6" s="8" t="s">
        <v>127</v>
      </c>
      <c r="E6" s="9">
        <v>26</v>
      </c>
      <c r="F6" s="8">
        <v>88</v>
      </c>
      <c r="G6" s="9">
        <v>31</v>
      </c>
      <c r="H6" s="8">
        <v>81</v>
      </c>
      <c r="I6" s="9">
        <v>29.5</v>
      </c>
      <c r="J6" s="8">
        <v>78</v>
      </c>
      <c r="K6" s="9">
        <v>31</v>
      </c>
      <c r="L6" s="8">
        <v>77</v>
      </c>
      <c r="M6" s="9">
        <v>27</v>
      </c>
      <c r="N6" s="8">
        <v>84</v>
      </c>
      <c r="O6" s="9">
        <v>15</v>
      </c>
      <c r="P6" s="8">
        <v>80</v>
      </c>
      <c r="Q6" s="9">
        <v>32</v>
      </c>
      <c r="R6" s="8"/>
      <c r="S6" s="9" t="s">
        <v>103</v>
      </c>
      <c r="T6" s="8">
        <v>81</v>
      </c>
      <c r="U6" s="9">
        <v>25</v>
      </c>
      <c r="V6" s="8">
        <v>80</v>
      </c>
      <c r="W6" s="9">
        <v>25.5</v>
      </c>
      <c r="X6" s="8">
        <v>88</v>
      </c>
      <c r="Y6" s="9">
        <v>10</v>
      </c>
      <c r="Z6" s="8">
        <v>81</v>
      </c>
      <c r="AA6" s="9">
        <v>13.5</v>
      </c>
      <c r="AB6" s="8"/>
      <c r="AC6" s="9" t="s">
        <v>103</v>
      </c>
      <c r="AD6" s="8"/>
      <c r="AE6" s="9" t="s">
        <v>103</v>
      </c>
      <c r="AF6" s="8"/>
      <c r="AG6" s="9" t="s">
        <v>103</v>
      </c>
      <c r="AH6" s="8">
        <v>87</v>
      </c>
      <c r="AI6" s="9">
        <v>12</v>
      </c>
      <c r="AJ6" s="8">
        <v>78</v>
      </c>
      <c r="AK6" s="9">
        <v>24</v>
      </c>
      <c r="AL6" s="8">
        <v>75</v>
      </c>
      <c r="AM6" s="9">
        <v>34.5</v>
      </c>
      <c r="AN6" s="6">
        <v>285.5</v>
      </c>
      <c r="AO6" s="10">
        <v>24</v>
      </c>
    </row>
    <row r="7" spans="1:41" x14ac:dyDescent="0.2">
      <c r="A7" s="11">
        <v>1.17</v>
      </c>
      <c r="B7" s="3" t="s">
        <v>15</v>
      </c>
      <c r="C7" s="23"/>
      <c r="D7" s="8">
        <v>34</v>
      </c>
      <c r="E7" s="12">
        <v>14</v>
      </c>
      <c r="F7" s="8">
        <v>32</v>
      </c>
      <c r="G7" s="12">
        <v>15</v>
      </c>
      <c r="H7" s="8">
        <v>35</v>
      </c>
      <c r="I7" s="12">
        <v>16</v>
      </c>
      <c r="J7" s="8">
        <v>42</v>
      </c>
      <c r="K7" s="12">
        <v>18</v>
      </c>
      <c r="L7" s="8">
        <v>43</v>
      </c>
      <c r="M7" s="12">
        <v>15.5</v>
      </c>
      <c r="N7" s="8">
        <v>29</v>
      </c>
      <c r="O7" s="12">
        <v>7</v>
      </c>
      <c r="P7" s="8">
        <v>36</v>
      </c>
      <c r="Q7" s="12">
        <v>14</v>
      </c>
      <c r="R7" s="8"/>
      <c r="S7" s="12" t="s">
        <v>103</v>
      </c>
      <c r="T7" s="8">
        <v>33</v>
      </c>
      <c r="U7" s="12">
        <v>10</v>
      </c>
      <c r="V7" s="8">
        <v>34</v>
      </c>
      <c r="W7" s="12">
        <v>13</v>
      </c>
      <c r="X7" s="8">
        <v>28</v>
      </c>
      <c r="Y7" s="12">
        <v>6</v>
      </c>
      <c r="Z7" s="8">
        <v>31</v>
      </c>
      <c r="AA7" s="12">
        <v>7.5</v>
      </c>
      <c r="AB7" s="8"/>
      <c r="AC7" s="12" t="s">
        <v>103</v>
      </c>
      <c r="AD7" s="8"/>
      <c r="AE7" s="12" t="s">
        <v>103</v>
      </c>
      <c r="AF7" s="8"/>
      <c r="AG7" s="12" t="s">
        <v>103</v>
      </c>
      <c r="AH7" s="8">
        <v>29</v>
      </c>
      <c r="AI7" s="12">
        <v>5</v>
      </c>
      <c r="AJ7" s="8">
        <v>40</v>
      </c>
      <c r="AK7" s="12">
        <v>14</v>
      </c>
      <c r="AL7" s="8">
        <v>38</v>
      </c>
      <c r="AM7" s="12">
        <v>16.5</v>
      </c>
      <c r="AN7" s="13">
        <v>34.571428571428569</v>
      </c>
      <c r="AO7" s="10">
        <v>12.25</v>
      </c>
    </row>
    <row r="8" spans="1:41" x14ac:dyDescent="0.2">
      <c r="A8" s="14">
        <v>1.0269999999999999</v>
      </c>
      <c r="B8" s="15" t="s">
        <v>16</v>
      </c>
      <c r="C8" s="16">
        <v>24</v>
      </c>
      <c r="D8" s="17">
        <v>4</v>
      </c>
      <c r="E8" s="18">
        <v>12</v>
      </c>
      <c r="F8" s="17">
        <v>17</v>
      </c>
      <c r="G8" s="18">
        <v>16</v>
      </c>
      <c r="H8" s="17">
        <v>12</v>
      </c>
      <c r="I8" s="18">
        <v>13.5</v>
      </c>
      <c r="J8" s="17">
        <v>4</v>
      </c>
      <c r="K8" s="18">
        <v>13</v>
      </c>
      <c r="L8" s="17">
        <v>6</v>
      </c>
      <c r="M8" s="18">
        <v>11.5</v>
      </c>
      <c r="N8" s="17">
        <v>-3</v>
      </c>
      <c r="O8" s="18">
        <v>8</v>
      </c>
      <c r="P8" s="17">
        <v>28</v>
      </c>
      <c r="Q8" s="18">
        <v>18</v>
      </c>
      <c r="R8" s="17"/>
      <c r="S8" s="18" t="s">
        <v>103</v>
      </c>
      <c r="T8" s="17">
        <v>4</v>
      </c>
      <c r="U8" s="18">
        <v>15</v>
      </c>
      <c r="V8" s="17">
        <v>6</v>
      </c>
      <c r="W8" s="18">
        <v>12.5</v>
      </c>
      <c r="X8" s="17">
        <v>-21</v>
      </c>
      <c r="Y8" s="18">
        <v>4</v>
      </c>
      <c r="Z8" s="17">
        <v>-9</v>
      </c>
      <c r="AA8" s="18">
        <v>6</v>
      </c>
      <c r="AB8" s="17"/>
      <c r="AC8" s="18" t="s">
        <v>103</v>
      </c>
      <c r="AD8" s="17"/>
      <c r="AE8" s="18" t="s">
        <v>103</v>
      </c>
      <c r="AF8" s="17"/>
      <c r="AG8" s="18" t="s">
        <v>103</v>
      </c>
      <c r="AH8" s="17">
        <v>-5</v>
      </c>
      <c r="AI8" s="18">
        <v>7</v>
      </c>
      <c r="AJ8" s="17">
        <v>-1</v>
      </c>
      <c r="AK8" s="18">
        <v>10</v>
      </c>
      <c r="AL8" s="17">
        <v>42</v>
      </c>
      <c r="AM8" s="18">
        <v>18</v>
      </c>
      <c r="AN8" s="19">
        <v>84</v>
      </c>
      <c r="AO8" s="20">
        <v>11.75</v>
      </c>
    </row>
    <row r="9" spans="1:41" x14ac:dyDescent="0.2">
      <c r="A9" s="4">
        <v>2</v>
      </c>
      <c r="B9" s="5" t="s">
        <v>21</v>
      </c>
      <c r="C9" s="7">
        <v>15</v>
      </c>
      <c r="D9" s="8">
        <v>82</v>
      </c>
      <c r="E9" s="9">
        <v>18.5</v>
      </c>
      <c r="F9" s="8">
        <v>81</v>
      </c>
      <c r="G9" s="9">
        <v>19</v>
      </c>
      <c r="H9" s="8">
        <v>84</v>
      </c>
      <c r="I9" s="9">
        <v>13</v>
      </c>
      <c r="J9" s="8">
        <v>78</v>
      </c>
      <c r="K9" s="9">
        <v>29</v>
      </c>
      <c r="L9" s="8"/>
      <c r="M9" s="9" t="s">
        <v>103</v>
      </c>
      <c r="N9" s="8"/>
      <c r="O9" s="9" t="s">
        <v>103</v>
      </c>
      <c r="P9" s="8">
        <v>81</v>
      </c>
      <c r="Q9" s="9">
        <v>20.5</v>
      </c>
      <c r="R9" s="8">
        <v>85</v>
      </c>
      <c r="S9" s="9">
        <v>23</v>
      </c>
      <c r="T9" s="8">
        <v>73</v>
      </c>
      <c r="U9" s="9">
        <v>39.5</v>
      </c>
      <c r="V9" s="8">
        <v>75</v>
      </c>
      <c r="W9" s="9">
        <v>32</v>
      </c>
      <c r="X9" s="8">
        <v>77</v>
      </c>
      <c r="Y9" s="9">
        <v>34</v>
      </c>
      <c r="Z9" s="8">
        <v>80</v>
      </c>
      <c r="AA9" s="9">
        <v>20.5</v>
      </c>
      <c r="AB9" s="8"/>
      <c r="AC9" s="9" t="s">
        <v>103</v>
      </c>
      <c r="AD9" s="8">
        <v>75</v>
      </c>
      <c r="AE9" s="9">
        <v>20.5</v>
      </c>
      <c r="AF9" s="8">
        <v>76</v>
      </c>
      <c r="AG9" s="9">
        <v>23.5</v>
      </c>
      <c r="AH9" s="8">
        <v>76</v>
      </c>
      <c r="AI9" s="9">
        <v>23.5</v>
      </c>
      <c r="AJ9" s="8">
        <v>74</v>
      </c>
      <c r="AK9" s="9">
        <v>28</v>
      </c>
      <c r="AL9" s="8">
        <v>78</v>
      </c>
      <c r="AM9" s="9">
        <v>12</v>
      </c>
      <c r="AN9" s="6">
        <v>273.5</v>
      </c>
      <c r="AO9" s="10">
        <v>23.766666666666666</v>
      </c>
    </row>
    <row r="10" spans="1:41" x14ac:dyDescent="0.2">
      <c r="A10" s="11">
        <v>2.1110000000000002</v>
      </c>
      <c r="B10" s="3" t="s">
        <v>15</v>
      </c>
      <c r="C10" s="3"/>
      <c r="D10" s="8">
        <v>31</v>
      </c>
      <c r="E10" s="12">
        <v>11</v>
      </c>
      <c r="F10" s="8">
        <v>32</v>
      </c>
      <c r="G10" s="12">
        <v>15</v>
      </c>
      <c r="H10" s="8">
        <v>28</v>
      </c>
      <c r="I10" s="12">
        <v>6</v>
      </c>
      <c r="J10" s="8">
        <v>36</v>
      </c>
      <c r="K10" s="12">
        <v>15</v>
      </c>
      <c r="L10" s="8"/>
      <c r="M10" s="12" t="s">
        <v>103</v>
      </c>
      <c r="N10" s="8"/>
      <c r="O10" s="12" t="s">
        <v>103</v>
      </c>
      <c r="P10" s="8">
        <v>33</v>
      </c>
      <c r="Q10" s="12">
        <v>7.5</v>
      </c>
      <c r="R10" s="8">
        <v>31</v>
      </c>
      <c r="S10" s="12">
        <v>8</v>
      </c>
      <c r="T10" s="8">
        <v>39</v>
      </c>
      <c r="U10" s="12">
        <v>19.5</v>
      </c>
      <c r="V10" s="8">
        <v>38</v>
      </c>
      <c r="W10" s="12">
        <v>17</v>
      </c>
      <c r="X10" s="8">
        <v>39</v>
      </c>
      <c r="Y10" s="12">
        <v>17</v>
      </c>
      <c r="Z10" s="8">
        <v>31</v>
      </c>
      <c r="AA10" s="12">
        <v>7.5</v>
      </c>
      <c r="AB10" s="8"/>
      <c r="AC10" s="12" t="s">
        <v>103</v>
      </c>
      <c r="AD10" s="8">
        <v>39</v>
      </c>
      <c r="AE10" s="12">
        <v>15.5</v>
      </c>
      <c r="AF10" s="8">
        <v>33</v>
      </c>
      <c r="AG10" s="12">
        <v>12</v>
      </c>
      <c r="AH10" s="8">
        <v>35</v>
      </c>
      <c r="AI10" s="12">
        <v>13.5</v>
      </c>
      <c r="AJ10" s="8">
        <v>39</v>
      </c>
      <c r="AK10" s="12">
        <v>13</v>
      </c>
      <c r="AL10" s="8">
        <v>30</v>
      </c>
      <c r="AM10" s="12">
        <v>8</v>
      </c>
      <c r="AN10" s="13">
        <v>34.266666666666666</v>
      </c>
      <c r="AO10" s="10">
        <v>12.366666666666667</v>
      </c>
    </row>
    <row r="11" spans="1:41" x14ac:dyDescent="0.2">
      <c r="A11" s="14">
        <v>2.0211000000000001</v>
      </c>
      <c r="B11" s="15" t="s">
        <v>16</v>
      </c>
      <c r="C11" s="16">
        <v>20.5</v>
      </c>
      <c r="D11" s="17">
        <v>-10</v>
      </c>
      <c r="E11" s="18">
        <v>7.5</v>
      </c>
      <c r="F11" s="17">
        <v>-32</v>
      </c>
      <c r="G11" s="18">
        <v>4</v>
      </c>
      <c r="H11" s="17">
        <v>-20</v>
      </c>
      <c r="I11" s="18">
        <v>7</v>
      </c>
      <c r="J11" s="17">
        <v>19</v>
      </c>
      <c r="K11" s="18">
        <v>14</v>
      </c>
      <c r="L11" s="17"/>
      <c r="M11" s="18" t="s">
        <v>103</v>
      </c>
      <c r="N11" s="17"/>
      <c r="O11" s="18" t="s">
        <v>103</v>
      </c>
      <c r="P11" s="17">
        <v>13</v>
      </c>
      <c r="Q11" s="18">
        <v>13</v>
      </c>
      <c r="R11" s="17">
        <v>23</v>
      </c>
      <c r="S11" s="18">
        <v>15</v>
      </c>
      <c r="T11" s="17">
        <v>48</v>
      </c>
      <c r="U11" s="18">
        <v>20</v>
      </c>
      <c r="V11" s="17">
        <v>13</v>
      </c>
      <c r="W11" s="18">
        <v>15</v>
      </c>
      <c r="X11" s="17">
        <v>27</v>
      </c>
      <c r="Y11" s="18">
        <v>17</v>
      </c>
      <c r="Z11" s="17">
        <v>7</v>
      </c>
      <c r="AA11" s="18">
        <v>13</v>
      </c>
      <c r="AB11" s="17"/>
      <c r="AC11" s="18" t="s">
        <v>103</v>
      </c>
      <c r="AD11" s="17">
        <v>-19</v>
      </c>
      <c r="AE11" s="18">
        <v>5</v>
      </c>
      <c r="AF11" s="17">
        <v>6</v>
      </c>
      <c r="AG11" s="18">
        <v>11.5</v>
      </c>
      <c r="AH11" s="17">
        <v>3</v>
      </c>
      <c r="AI11" s="18">
        <v>10</v>
      </c>
      <c r="AJ11" s="17">
        <v>22</v>
      </c>
      <c r="AK11" s="18">
        <v>15</v>
      </c>
      <c r="AL11" s="17">
        <v>-26</v>
      </c>
      <c r="AM11" s="18">
        <v>4</v>
      </c>
      <c r="AN11" s="19">
        <v>74</v>
      </c>
      <c r="AO11" s="20">
        <v>11.4</v>
      </c>
    </row>
    <row r="12" spans="1:41" x14ac:dyDescent="0.2">
      <c r="A12" s="4">
        <v>3</v>
      </c>
      <c r="B12" s="5" t="s">
        <v>18</v>
      </c>
      <c r="C12" s="7">
        <v>15</v>
      </c>
      <c r="D12" s="8">
        <v>76</v>
      </c>
      <c r="E12" s="9">
        <v>27.5</v>
      </c>
      <c r="F12" s="8">
        <v>83</v>
      </c>
      <c r="G12" s="9">
        <v>20.5</v>
      </c>
      <c r="H12" s="8">
        <v>79</v>
      </c>
      <c r="I12" s="9">
        <v>17.5</v>
      </c>
      <c r="J12" s="8">
        <v>79</v>
      </c>
      <c r="K12" s="9">
        <v>30</v>
      </c>
      <c r="L12" s="8">
        <v>81</v>
      </c>
      <c r="M12" s="9">
        <v>25.5</v>
      </c>
      <c r="N12" s="8">
        <v>79</v>
      </c>
      <c r="O12" s="9">
        <v>19.5</v>
      </c>
      <c r="P12" s="8"/>
      <c r="Q12" s="9" t="s">
        <v>103</v>
      </c>
      <c r="R12" s="8">
        <v>83</v>
      </c>
      <c r="S12" s="9">
        <v>17</v>
      </c>
      <c r="T12" s="8">
        <v>72</v>
      </c>
      <c r="U12" s="9">
        <v>35.5</v>
      </c>
      <c r="V12" s="8">
        <v>73</v>
      </c>
      <c r="W12" s="9">
        <v>32</v>
      </c>
      <c r="X12" s="8">
        <v>82</v>
      </c>
      <c r="Y12" s="9">
        <v>22</v>
      </c>
      <c r="Z12" s="8">
        <v>74</v>
      </c>
      <c r="AA12" s="9">
        <v>22</v>
      </c>
      <c r="AB12" s="8"/>
      <c r="AC12" s="9" t="s">
        <v>103</v>
      </c>
      <c r="AD12" s="8">
        <v>77</v>
      </c>
      <c r="AE12" s="9">
        <v>22</v>
      </c>
      <c r="AF12" s="8"/>
      <c r="AG12" s="9" t="s">
        <v>103</v>
      </c>
      <c r="AH12" s="8">
        <v>78</v>
      </c>
      <c r="AI12" s="9">
        <v>21</v>
      </c>
      <c r="AJ12" s="8">
        <v>83</v>
      </c>
      <c r="AK12" s="9">
        <v>13</v>
      </c>
      <c r="AL12" s="8">
        <v>71</v>
      </c>
      <c r="AM12" s="9">
        <v>32.5</v>
      </c>
      <c r="AN12" s="6">
        <v>270</v>
      </c>
      <c r="AO12" s="10">
        <v>23.833333333333332</v>
      </c>
    </row>
    <row r="13" spans="1:41" x14ac:dyDescent="0.2">
      <c r="A13" s="11">
        <v>3.12</v>
      </c>
      <c r="B13" s="3" t="s">
        <v>15</v>
      </c>
      <c r="C13" s="3"/>
      <c r="D13" s="8">
        <v>35</v>
      </c>
      <c r="E13" s="12">
        <v>15.5</v>
      </c>
      <c r="F13" s="8">
        <v>29</v>
      </c>
      <c r="G13" s="12">
        <v>11</v>
      </c>
      <c r="H13" s="8">
        <v>30</v>
      </c>
      <c r="I13" s="12">
        <v>7.5</v>
      </c>
      <c r="J13" s="8">
        <v>34</v>
      </c>
      <c r="K13" s="12">
        <v>12.5</v>
      </c>
      <c r="L13" s="8">
        <v>33</v>
      </c>
      <c r="M13" s="12">
        <v>12</v>
      </c>
      <c r="N13" s="8">
        <v>32</v>
      </c>
      <c r="O13" s="12">
        <v>8.5</v>
      </c>
      <c r="P13" s="8"/>
      <c r="Q13" s="12" t="s">
        <v>103</v>
      </c>
      <c r="R13" s="8">
        <v>32</v>
      </c>
      <c r="S13" s="12">
        <v>10.5</v>
      </c>
      <c r="T13" s="8">
        <v>39</v>
      </c>
      <c r="U13" s="12">
        <v>19.5</v>
      </c>
      <c r="V13" s="8">
        <v>39</v>
      </c>
      <c r="W13" s="12">
        <v>18</v>
      </c>
      <c r="X13" s="8">
        <v>31</v>
      </c>
      <c r="Y13" s="12">
        <v>10</v>
      </c>
      <c r="Z13" s="8">
        <v>34</v>
      </c>
      <c r="AA13" s="12">
        <v>12.5</v>
      </c>
      <c r="AB13" s="8"/>
      <c r="AC13" s="12" t="s">
        <v>103</v>
      </c>
      <c r="AD13" s="8">
        <v>35</v>
      </c>
      <c r="AE13" s="12">
        <v>9</v>
      </c>
      <c r="AF13" s="8"/>
      <c r="AG13" s="12" t="s">
        <v>103</v>
      </c>
      <c r="AH13" s="8">
        <v>34</v>
      </c>
      <c r="AI13" s="12">
        <v>12</v>
      </c>
      <c r="AJ13" s="8">
        <v>30</v>
      </c>
      <c r="AK13" s="12">
        <v>7</v>
      </c>
      <c r="AL13" s="8">
        <v>38</v>
      </c>
      <c r="AM13" s="12">
        <v>16.5</v>
      </c>
      <c r="AN13" s="13">
        <v>33.666666666666664</v>
      </c>
      <c r="AO13" s="10">
        <v>12.133333333333333</v>
      </c>
    </row>
    <row r="14" spans="1:41" x14ac:dyDescent="0.2">
      <c r="A14" s="14">
        <v>3.0219999999999998</v>
      </c>
      <c r="B14" s="15" t="s">
        <v>16</v>
      </c>
      <c r="C14" s="16">
        <v>21</v>
      </c>
      <c r="D14" s="17">
        <v>4</v>
      </c>
      <c r="E14" s="18">
        <v>12</v>
      </c>
      <c r="F14" s="17">
        <v>-1</v>
      </c>
      <c r="G14" s="18">
        <v>9.5</v>
      </c>
      <c r="H14" s="17">
        <v>5</v>
      </c>
      <c r="I14" s="18">
        <v>10</v>
      </c>
      <c r="J14" s="17">
        <v>36</v>
      </c>
      <c r="K14" s="18">
        <v>17.5</v>
      </c>
      <c r="L14" s="17">
        <v>14</v>
      </c>
      <c r="M14" s="18">
        <v>13.5</v>
      </c>
      <c r="N14" s="17">
        <v>3</v>
      </c>
      <c r="O14" s="18">
        <v>11</v>
      </c>
      <c r="P14" s="17"/>
      <c r="Q14" s="18" t="s">
        <v>103</v>
      </c>
      <c r="R14" s="17">
        <v>-25</v>
      </c>
      <c r="S14" s="18">
        <v>6.5</v>
      </c>
      <c r="T14" s="17">
        <v>12</v>
      </c>
      <c r="U14" s="18">
        <v>16</v>
      </c>
      <c r="V14" s="17">
        <v>8</v>
      </c>
      <c r="W14" s="18">
        <v>14</v>
      </c>
      <c r="X14" s="17">
        <v>3</v>
      </c>
      <c r="Y14" s="18">
        <v>12</v>
      </c>
      <c r="Z14" s="17">
        <v>-1</v>
      </c>
      <c r="AA14" s="18">
        <v>9.5</v>
      </c>
      <c r="AB14" s="17"/>
      <c r="AC14" s="18" t="s">
        <v>103</v>
      </c>
      <c r="AD14" s="17">
        <v>9</v>
      </c>
      <c r="AE14" s="18">
        <v>13</v>
      </c>
      <c r="AF14" s="17"/>
      <c r="AG14" s="18" t="s">
        <v>103</v>
      </c>
      <c r="AH14" s="17">
        <v>1</v>
      </c>
      <c r="AI14" s="18">
        <v>9</v>
      </c>
      <c r="AJ14" s="17">
        <v>-22</v>
      </c>
      <c r="AK14" s="18">
        <v>6</v>
      </c>
      <c r="AL14" s="17">
        <v>22</v>
      </c>
      <c r="AM14" s="18">
        <v>16</v>
      </c>
      <c r="AN14" s="19">
        <v>68</v>
      </c>
      <c r="AO14" s="20">
        <v>11.7</v>
      </c>
    </row>
    <row r="15" spans="1:41" x14ac:dyDescent="0.2">
      <c r="A15" s="4">
        <v>4</v>
      </c>
      <c r="B15" s="5" t="s">
        <v>27</v>
      </c>
      <c r="C15" s="7">
        <v>13</v>
      </c>
      <c r="D15" s="8">
        <v>88</v>
      </c>
      <c r="E15" s="9">
        <v>31.5</v>
      </c>
      <c r="F15" s="8">
        <v>95</v>
      </c>
      <c r="G15" s="9">
        <v>24.5</v>
      </c>
      <c r="H15" s="8">
        <v>93</v>
      </c>
      <c r="I15" s="9">
        <v>7</v>
      </c>
      <c r="J15" s="8">
        <v>86</v>
      </c>
      <c r="K15" s="9">
        <v>34</v>
      </c>
      <c r="L15" s="8"/>
      <c r="M15" s="9" t="s">
        <v>103</v>
      </c>
      <c r="N15" s="8">
        <v>88</v>
      </c>
      <c r="O15" s="9">
        <v>22.5</v>
      </c>
      <c r="P15" s="8">
        <v>86</v>
      </c>
      <c r="Q15" s="9">
        <v>25.5</v>
      </c>
      <c r="R15" s="8">
        <v>93</v>
      </c>
      <c r="S15" s="9">
        <v>17</v>
      </c>
      <c r="T15" s="8">
        <v>83</v>
      </c>
      <c r="U15" s="9">
        <v>34</v>
      </c>
      <c r="V15" s="8">
        <v>91</v>
      </c>
      <c r="W15" s="9">
        <v>29</v>
      </c>
      <c r="X15" s="8">
        <v>95</v>
      </c>
      <c r="Y15" s="9">
        <v>16</v>
      </c>
      <c r="Z15" s="8">
        <v>87</v>
      </c>
      <c r="AA15" s="9">
        <v>14.5</v>
      </c>
      <c r="AB15" s="8"/>
      <c r="AC15" s="9" t="s">
        <v>103</v>
      </c>
      <c r="AD15" s="8"/>
      <c r="AE15" s="9" t="s">
        <v>103</v>
      </c>
      <c r="AF15" s="8"/>
      <c r="AG15" s="9" t="s">
        <v>103</v>
      </c>
      <c r="AH15" s="8">
        <v>83</v>
      </c>
      <c r="AI15" s="9">
        <v>35</v>
      </c>
      <c r="AJ15" s="8"/>
      <c r="AK15" s="9" t="s">
        <v>103</v>
      </c>
      <c r="AL15" s="8">
        <v>94</v>
      </c>
      <c r="AM15" s="9">
        <v>12.5</v>
      </c>
      <c r="AN15" s="6">
        <v>269</v>
      </c>
      <c r="AO15" s="10">
        <v>23.307692307692307</v>
      </c>
    </row>
    <row r="16" spans="1:41" x14ac:dyDescent="0.2">
      <c r="A16" s="11">
        <v>4.1900000000000004</v>
      </c>
      <c r="B16" s="3" t="s">
        <v>15</v>
      </c>
      <c r="C16" s="3"/>
      <c r="D16" s="8">
        <v>35</v>
      </c>
      <c r="E16" s="12">
        <v>15.5</v>
      </c>
      <c r="F16" s="8">
        <v>30</v>
      </c>
      <c r="G16" s="12">
        <v>12.5</v>
      </c>
      <c r="H16" s="8">
        <v>27</v>
      </c>
      <c r="I16" s="12">
        <v>4</v>
      </c>
      <c r="J16" s="8">
        <v>37</v>
      </c>
      <c r="K16" s="12">
        <v>16.5</v>
      </c>
      <c r="L16" s="8"/>
      <c r="M16" s="12" t="s">
        <v>103</v>
      </c>
      <c r="N16" s="8">
        <v>33</v>
      </c>
      <c r="O16" s="12">
        <v>10.5</v>
      </c>
      <c r="P16" s="8">
        <v>36</v>
      </c>
      <c r="Q16" s="12">
        <v>14</v>
      </c>
      <c r="R16" s="8">
        <v>31</v>
      </c>
      <c r="S16" s="12">
        <v>8</v>
      </c>
      <c r="T16" s="8">
        <v>36</v>
      </c>
      <c r="U16" s="12">
        <v>16</v>
      </c>
      <c r="V16" s="8">
        <v>32</v>
      </c>
      <c r="W16" s="12">
        <v>11</v>
      </c>
      <c r="X16" s="8">
        <v>29</v>
      </c>
      <c r="Y16" s="12">
        <v>7</v>
      </c>
      <c r="Z16" s="8">
        <v>32</v>
      </c>
      <c r="AA16" s="12">
        <v>9.5</v>
      </c>
      <c r="AB16" s="8"/>
      <c r="AC16" s="12" t="s">
        <v>103</v>
      </c>
      <c r="AD16" s="8"/>
      <c r="AE16" s="12" t="s">
        <v>103</v>
      </c>
      <c r="AF16" s="8"/>
      <c r="AG16" s="12" t="s">
        <v>103</v>
      </c>
      <c r="AH16" s="8">
        <v>40</v>
      </c>
      <c r="AI16" s="12">
        <v>17</v>
      </c>
      <c r="AJ16" s="8"/>
      <c r="AK16" s="12" t="s">
        <v>103</v>
      </c>
      <c r="AL16" s="8">
        <v>26</v>
      </c>
      <c r="AM16" s="12">
        <v>4.5</v>
      </c>
      <c r="AN16" s="13">
        <v>32.615384615384613</v>
      </c>
      <c r="AO16" s="10">
        <v>11.23076923076923</v>
      </c>
    </row>
    <row r="17" spans="1:41" x14ac:dyDescent="0.2">
      <c r="A17" s="14">
        <v>4.0289999999999999</v>
      </c>
      <c r="B17" s="15" t="s">
        <v>16</v>
      </c>
      <c r="C17" s="16">
        <v>16</v>
      </c>
      <c r="D17" s="17">
        <v>44</v>
      </c>
      <c r="E17" s="18">
        <v>16</v>
      </c>
      <c r="F17" s="17">
        <v>7</v>
      </c>
      <c r="G17" s="18">
        <v>12</v>
      </c>
      <c r="H17" s="17">
        <v>-34</v>
      </c>
      <c r="I17" s="18">
        <v>3</v>
      </c>
      <c r="J17" s="17">
        <v>36</v>
      </c>
      <c r="K17" s="18">
        <v>17.5</v>
      </c>
      <c r="L17" s="17"/>
      <c r="M17" s="18" t="s">
        <v>103</v>
      </c>
      <c r="N17" s="17">
        <v>7</v>
      </c>
      <c r="O17" s="18">
        <v>12</v>
      </c>
      <c r="P17" s="17">
        <v>9</v>
      </c>
      <c r="Q17" s="18">
        <v>11.5</v>
      </c>
      <c r="R17" s="17">
        <v>-6</v>
      </c>
      <c r="S17" s="18">
        <v>9</v>
      </c>
      <c r="T17" s="17">
        <v>29</v>
      </c>
      <c r="U17" s="18">
        <v>18</v>
      </c>
      <c r="V17" s="17">
        <v>32</v>
      </c>
      <c r="W17" s="18">
        <v>18</v>
      </c>
      <c r="X17" s="17">
        <v>-3</v>
      </c>
      <c r="Y17" s="18">
        <v>9</v>
      </c>
      <c r="Z17" s="17">
        <v>-20</v>
      </c>
      <c r="AA17" s="18">
        <v>5</v>
      </c>
      <c r="AB17" s="17"/>
      <c r="AC17" s="18" t="s">
        <v>103</v>
      </c>
      <c r="AD17" s="17"/>
      <c r="AE17" s="18" t="s">
        <v>103</v>
      </c>
      <c r="AF17" s="17"/>
      <c r="AG17" s="18" t="s">
        <v>103</v>
      </c>
      <c r="AH17" s="17">
        <v>23</v>
      </c>
      <c r="AI17" s="18">
        <v>18</v>
      </c>
      <c r="AJ17" s="17"/>
      <c r="AK17" s="18" t="s">
        <v>103</v>
      </c>
      <c r="AL17" s="17">
        <v>-10</v>
      </c>
      <c r="AM17" s="18">
        <v>8</v>
      </c>
      <c r="AN17" s="19">
        <v>114</v>
      </c>
      <c r="AO17" s="20">
        <v>12.076923076923077</v>
      </c>
    </row>
    <row r="18" spans="1:41" x14ac:dyDescent="0.2">
      <c r="A18" s="4">
        <v>5</v>
      </c>
      <c r="B18" s="5" t="s">
        <v>30</v>
      </c>
      <c r="C18" s="7">
        <v>14</v>
      </c>
      <c r="D18" s="8"/>
      <c r="E18" s="9" t="s">
        <v>103</v>
      </c>
      <c r="F18" s="8">
        <v>104</v>
      </c>
      <c r="G18" s="9">
        <v>20</v>
      </c>
      <c r="H18" s="8">
        <v>91</v>
      </c>
      <c r="I18" s="9">
        <v>17.5</v>
      </c>
      <c r="J18" s="8">
        <v>98</v>
      </c>
      <c r="K18" s="9">
        <v>19.5</v>
      </c>
      <c r="L18" s="8">
        <v>99</v>
      </c>
      <c r="M18" s="9">
        <v>15.5</v>
      </c>
      <c r="N18" s="8"/>
      <c r="O18" s="9" t="s">
        <v>103</v>
      </c>
      <c r="P18" s="8">
        <v>93</v>
      </c>
      <c r="Q18" s="9">
        <v>24.5</v>
      </c>
      <c r="R18" s="8"/>
      <c r="S18" s="9" t="s">
        <v>103</v>
      </c>
      <c r="T18" s="8">
        <v>87</v>
      </c>
      <c r="U18" s="9">
        <v>29.5</v>
      </c>
      <c r="V18" s="8">
        <v>96</v>
      </c>
      <c r="W18" s="9">
        <v>16</v>
      </c>
      <c r="X18" s="8">
        <v>96</v>
      </c>
      <c r="Y18" s="9">
        <v>30.5</v>
      </c>
      <c r="Z18" s="8">
        <v>75</v>
      </c>
      <c r="AA18" s="9">
        <v>36</v>
      </c>
      <c r="AB18" s="8">
        <v>92</v>
      </c>
      <c r="AC18" s="9">
        <v>23</v>
      </c>
      <c r="AD18" s="8"/>
      <c r="AE18" s="9" t="s">
        <v>103</v>
      </c>
      <c r="AF18" s="8">
        <v>89</v>
      </c>
      <c r="AG18" s="9">
        <v>24</v>
      </c>
      <c r="AH18" s="8">
        <v>82</v>
      </c>
      <c r="AI18" s="9">
        <v>35</v>
      </c>
      <c r="AJ18" s="8">
        <v>89</v>
      </c>
      <c r="AK18" s="9">
        <v>24</v>
      </c>
      <c r="AL18" s="8">
        <v>86</v>
      </c>
      <c r="AM18" s="9">
        <v>21.5</v>
      </c>
      <c r="AN18" s="6">
        <v>268</v>
      </c>
      <c r="AO18" s="10">
        <v>24.035714285714285</v>
      </c>
    </row>
    <row r="19" spans="1:41" x14ac:dyDescent="0.2">
      <c r="A19" s="11">
        <v>5.1180000000000003</v>
      </c>
      <c r="B19" s="3" t="s">
        <v>15</v>
      </c>
      <c r="C19" s="3"/>
      <c r="D19" s="8"/>
      <c r="E19" s="12" t="s">
        <v>103</v>
      </c>
      <c r="F19" s="8">
        <v>20</v>
      </c>
      <c r="G19" s="12">
        <v>3</v>
      </c>
      <c r="H19" s="8">
        <v>31</v>
      </c>
      <c r="I19" s="12">
        <v>9.5</v>
      </c>
      <c r="J19" s="8">
        <v>28</v>
      </c>
      <c r="K19" s="12">
        <v>4.5</v>
      </c>
      <c r="L19" s="8">
        <v>28</v>
      </c>
      <c r="M19" s="12">
        <v>9</v>
      </c>
      <c r="N19" s="8"/>
      <c r="O19" s="12" t="s">
        <v>103</v>
      </c>
      <c r="P19" s="8">
        <v>34</v>
      </c>
      <c r="Q19" s="12">
        <v>10.5</v>
      </c>
      <c r="R19" s="8"/>
      <c r="S19" s="12" t="s">
        <v>103</v>
      </c>
      <c r="T19" s="8">
        <v>37</v>
      </c>
      <c r="U19" s="12">
        <v>17.5</v>
      </c>
      <c r="V19" s="8">
        <v>31</v>
      </c>
      <c r="W19" s="12">
        <v>8</v>
      </c>
      <c r="X19" s="8">
        <v>34</v>
      </c>
      <c r="Y19" s="12">
        <v>14.5</v>
      </c>
      <c r="Z19" s="8">
        <v>49</v>
      </c>
      <c r="AA19" s="12">
        <v>18</v>
      </c>
      <c r="AB19" s="8">
        <v>33</v>
      </c>
      <c r="AC19" s="12">
        <v>10</v>
      </c>
      <c r="AD19" s="8"/>
      <c r="AE19" s="12" t="s">
        <v>103</v>
      </c>
      <c r="AF19" s="8">
        <v>31</v>
      </c>
      <c r="AG19" s="12">
        <v>11</v>
      </c>
      <c r="AH19" s="8">
        <v>41</v>
      </c>
      <c r="AI19" s="12">
        <v>18</v>
      </c>
      <c r="AJ19" s="8">
        <v>34</v>
      </c>
      <c r="AK19" s="12">
        <v>10</v>
      </c>
      <c r="AL19" s="8">
        <v>33</v>
      </c>
      <c r="AM19" s="12">
        <v>11</v>
      </c>
      <c r="AN19" s="13">
        <v>33.142857142857146</v>
      </c>
      <c r="AO19" s="10">
        <v>11.035714285714286</v>
      </c>
    </row>
    <row r="20" spans="1:41" x14ac:dyDescent="0.2">
      <c r="A20" s="14">
        <v>5.0217999999999998</v>
      </c>
      <c r="B20" s="15" t="s">
        <v>16</v>
      </c>
      <c r="C20" s="16">
        <v>20</v>
      </c>
      <c r="D20" s="17"/>
      <c r="E20" s="18" t="s">
        <v>103</v>
      </c>
      <c r="F20" s="17">
        <v>18</v>
      </c>
      <c r="G20" s="18">
        <v>17</v>
      </c>
      <c r="H20" s="17">
        <v>-4</v>
      </c>
      <c r="I20" s="18">
        <v>8</v>
      </c>
      <c r="J20" s="17">
        <v>20</v>
      </c>
      <c r="K20" s="18">
        <v>15</v>
      </c>
      <c r="L20" s="17">
        <v>-24</v>
      </c>
      <c r="M20" s="18">
        <v>6.5</v>
      </c>
      <c r="N20" s="17"/>
      <c r="O20" s="18" t="s">
        <v>103</v>
      </c>
      <c r="P20" s="17">
        <v>15</v>
      </c>
      <c r="Q20" s="18">
        <v>14</v>
      </c>
      <c r="R20" s="17"/>
      <c r="S20" s="18" t="s">
        <v>103</v>
      </c>
      <c r="T20" s="17">
        <v>-3</v>
      </c>
      <c r="U20" s="18">
        <v>12</v>
      </c>
      <c r="V20" s="17">
        <v>-2</v>
      </c>
      <c r="W20" s="18">
        <v>8</v>
      </c>
      <c r="X20" s="17">
        <v>21</v>
      </c>
      <c r="Y20" s="18">
        <v>16</v>
      </c>
      <c r="Z20" s="17">
        <v>28</v>
      </c>
      <c r="AA20" s="18">
        <v>18</v>
      </c>
      <c r="AB20" s="17">
        <v>12</v>
      </c>
      <c r="AC20" s="18">
        <v>13</v>
      </c>
      <c r="AD20" s="17"/>
      <c r="AE20" s="18" t="s">
        <v>103</v>
      </c>
      <c r="AF20" s="17">
        <v>20</v>
      </c>
      <c r="AG20" s="18">
        <v>13</v>
      </c>
      <c r="AH20" s="17">
        <v>17</v>
      </c>
      <c r="AI20" s="18">
        <v>17</v>
      </c>
      <c r="AJ20" s="17">
        <v>12</v>
      </c>
      <c r="AK20" s="18">
        <v>14</v>
      </c>
      <c r="AL20" s="17">
        <v>-6</v>
      </c>
      <c r="AM20" s="18">
        <v>10.5</v>
      </c>
      <c r="AN20" s="19">
        <v>124</v>
      </c>
      <c r="AO20" s="20">
        <v>13</v>
      </c>
    </row>
    <row r="21" spans="1:41" x14ac:dyDescent="0.2">
      <c r="A21" s="4">
        <v>6</v>
      </c>
      <c r="B21" s="5" t="s">
        <v>24</v>
      </c>
      <c r="C21" s="7">
        <v>14</v>
      </c>
      <c r="D21" s="8"/>
      <c r="E21" s="9" t="s">
        <v>103</v>
      </c>
      <c r="F21" s="8">
        <v>87</v>
      </c>
      <c r="G21" s="9">
        <v>36</v>
      </c>
      <c r="H21" s="8"/>
      <c r="I21" s="9" t="s">
        <v>103</v>
      </c>
      <c r="J21" s="8">
        <v>85</v>
      </c>
      <c r="K21" s="9">
        <v>20.5</v>
      </c>
      <c r="L21" s="8">
        <v>95</v>
      </c>
      <c r="M21" s="9">
        <v>20</v>
      </c>
      <c r="N21" s="8">
        <v>98</v>
      </c>
      <c r="O21" s="9">
        <v>7</v>
      </c>
      <c r="P21" s="8">
        <v>89</v>
      </c>
      <c r="Q21" s="9">
        <v>17.5</v>
      </c>
      <c r="R21" s="8">
        <v>89</v>
      </c>
      <c r="S21" s="9">
        <v>24.5</v>
      </c>
      <c r="T21" s="8">
        <v>84</v>
      </c>
      <c r="U21" s="9">
        <v>26</v>
      </c>
      <c r="V21" s="8">
        <v>85</v>
      </c>
      <c r="W21" s="9">
        <v>33</v>
      </c>
      <c r="X21" s="8"/>
      <c r="Y21" s="9" t="s">
        <v>103</v>
      </c>
      <c r="Z21" s="8">
        <v>90</v>
      </c>
      <c r="AA21" s="9">
        <v>8.5</v>
      </c>
      <c r="AB21" s="8"/>
      <c r="AC21" s="9" t="s">
        <v>103</v>
      </c>
      <c r="AD21" s="8">
        <v>94</v>
      </c>
      <c r="AE21" s="9">
        <v>17</v>
      </c>
      <c r="AF21" s="8">
        <v>84</v>
      </c>
      <c r="AG21" s="9">
        <v>25.5</v>
      </c>
      <c r="AH21" s="8">
        <v>86</v>
      </c>
      <c r="AI21" s="9">
        <v>29</v>
      </c>
      <c r="AJ21" s="8">
        <v>84</v>
      </c>
      <c r="AK21" s="9">
        <v>31.5</v>
      </c>
      <c r="AL21" s="8">
        <v>93</v>
      </c>
      <c r="AM21" s="9">
        <v>15</v>
      </c>
      <c r="AN21" s="6">
        <v>263.5</v>
      </c>
      <c r="AO21" s="10">
        <v>22.214285714285715</v>
      </c>
    </row>
    <row r="22" spans="1:41" x14ac:dyDescent="0.2">
      <c r="A22" s="11">
        <v>6.1130000000000004</v>
      </c>
      <c r="B22" s="3" t="s">
        <v>15</v>
      </c>
      <c r="C22" s="3"/>
      <c r="D22" s="8"/>
      <c r="E22" s="12" t="s">
        <v>103</v>
      </c>
      <c r="F22" s="8">
        <v>37</v>
      </c>
      <c r="G22" s="12">
        <v>18</v>
      </c>
      <c r="H22" s="8"/>
      <c r="I22" s="12" t="s">
        <v>103</v>
      </c>
      <c r="J22" s="8">
        <v>37</v>
      </c>
      <c r="K22" s="12">
        <v>16.5</v>
      </c>
      <c r="L22" s="8">
        <v>29</v>
      </c>
      <c r="M22" s="12">
        <v>10</v>
      </c>
      <c r="N22" s="8">
        <v>23</v>
      </c>
      <c r="O22" s="12">
        <v>4</v>
      </c>
      <c r="P22" s="8">
        <v>33</v>
      </c>
      <c r="Q22" s="12">
        <v>7.5</v>
      </c>
      <c r="R22" s="8">
        <v>36</v>
      </c>
      <c r="S22" s="12">
        <v>13.5</v>
      </c>
      <c r="T22" s="8">
        <v>35</v>
      </c>
      <c r="U22" s="12">
        <v>14</v>
      </c>
      <c r="V22" s="8">
        <v>37</v>
      </c>
      <c r="W22" s="12">
        <v>16</v>
      </c>
      <c r="X22" s="8"/>
      <c r="Y22" s="12" t="s">
        <v>103</v>
      </c>
      <c r="Z22" s="8">
        <v>29</v>
      </c>
      <c r="AA22" s="12">
        <v>4.5</v>
      </c>
      <c r="AB22" s="8"/>
      <c r="AC22" s="12" t="s">
        <v>103</v>
      </c>
      <c r="AD22" s="8">
        <v>31</v>
      </c>
      <c r="AE22" s="12">
        <v>5</v>
      </c>
      <c r="AF22" s="8">
        <v>36</v>
      </c>
      <c r="AG22" s="12">
        <v>14</v>
      </c>
      <c r="AH22" s="8">
        <v>37</v>
      </c>
      <c r="AI22" s="12">
        <v>16</v>
      </c>
      <c r="AJ22" s="8">
        <v>41</v>
      </c>
      <c r="AK22" s="12">
        <v>15.5</v>
      </c>
      <c r="AL22" s="8">
        <v>26</v>
      </c>
      <c r="AM22" s="12">
        <v>4.5</v>
      </c>
      <c r="AN22" s="13">
        <v>33.357142857142854</v>
      </c>
      <c r="AO22" s="10">
        <v>11.357142857142858</v>
      </c>
    </row>
    <row r="23" spans="1:41" x14ac:dyDescent="0.2">
      <c r="A23" s="14">
        <v>6.0213000000000001</v>
      </c>
      <c r="B23" s="15" t="s">
        <v>16</v>
      </c>
      <c r="C23" s="16">
        <v>17.5</v>
      </c>
      <c r="D23" s="17"/>
      <c r="E23" s="18" t="s">
        <v>103</v>
      </c>
      <c r="F23" s="17">
        <v>33</v>
      </c>
      <c r="G23" s="18">
        <v>18</v>
      </c>
      <c r="H23" s="17"/>
      <c r="I23" s="18" t="s">
        <v>103</v>
      </c>
      <c r="J23" s="17">
        <v>-32</v>
      </c>
      <c r="K23" s="18">
        <v>4</v>
      </c>
      <c r="L23" s="17">
        <v>-4</v>
      </c>
      <c r="M23" s="18">
        <v>10</v>
      </c>
      <c r="N23" s="17">
        <v>-50</v>
      </c>
      <c r="O23" s="18">
        <v>3</v>
      </c>
      <c r="P23" s="17">
        <v>7</v>
      </c>
      <c r="Q23" s="18">
        <v>10</v>
      </c>
      <c r="R23" s="17">
        <v>-1</v>
      </c>
      <c r="S23" s="18">
        <v>11</v>
      </c>
      <c r="T23" s="17">
        <v>-3</v>
      </c>
      <c r="U23" s="18">
        <v>12</v>
      </c>
      <c r="V23" s="17">
        <v>20</v>
      </c>
      <c r="W23" s="18">
        <v>17</v>
      </c>
      <c r="X23" s="17"/>
      <c r="Y23" s="18" t="s">
        <v>103</v>
      </c>
      <c r="Z23" s="17">
        <v>-28</v>
      </c>
      <c r="AA23" s="18">
        <v>4</v>
      </c>
      <c r="AB23" s="17"/>
      <c r="AC23" s="18" t="s">
        <v>103</v>
      </c>
      <c r="AD23" s="17">
        <v>3</v>
      </c>
      <c r="AE23" s="18">
        <v>12</v>
      </c>
      <c r="AF23" s="17">
        <v>6</v>
      </c>
      <c r="AG23" s="18">
        <v>11.5</v>
      </c>
      <c r="AH23" s="17">
        <v>10</v>
      </c>
      <c r="AI23" s="18">
        <v>13</v>
      </c>
      <c r="AJ23" s="17">
        <v>35</v>
      </c>
      <c r="AK23" s="18">
        <v>16</v>
      </c>
      <c r="AL23" s="17">
        <v>-6</v>
      </c>
      <c r="AM23" s="18">
        <v>10.5</v>
      </c>
      <c r="AN23" s="19">
        <v>-10</v>
      </c>
      <c r="AO23" s="20">
        <v>10.857142857142858</v>
      </c>
    </row>
    <row r="24" spans="1:41" x14ac:dyDescent="0.2">
      <c r="A24" s="4">
        <v>7</v>
      </c>
      <c r="B24" s="5" t="s">
        <v>34</v>
      </c>
      <c r="C24" s="7">
        <v>14</v>
      </c>
      <c r="D24" s="8">
        <v>80</v>
      </c>
      <c r="E24" s="9">
        <v>20.5</v>
      </c>
      <c r="F24" s="8"/>
      <c r="G24" s="9" t="s">
        <v>103</v>
      </c>
      <c r="H24" s="8">
        <v>76</v>
      </c>
      <c r="I24" s="9">
        <v>31</v>
      </c>
      <c r="J24" s="8">
        <v>80</v>
      </c>
      <c r="K24" s="9">
        <v>22.5</v>
      </c>
      <c r="L24" s="8">
        <v>84</v>
      </c>
      <c r="M24" s="9">
        <v>22.5</v>
      </c>
      <c r="N24" s="8">
        <v>76</v>
      </c>
      <c r="O24" s="9">
        <v>25.5</v>
      </c>
      <c r="P24" s="8">
        <v>83</v>
      </c>
      <c r="Q24" s="9">
        <v>9.5</v>
      </c>
      <c r="R24" s="8">
        <v>77</v>
      </c>
      <c r="S24" s="9">
        <v>30</v>
      </c>
      <c r="T24" s="8">
        <v>76</v>
      </c>
      <c r="U24" s="9">
        <v>26</v>
      </c>
      <c r="V24" s="8">
        <v>82</v>
      </c>
      <c r="W24" s="9">
        <v>18</v>
      </c>
      <c r="X24" s="8"/>
      <c r="Y24" s="9" t="s">
        <v>103</v>
      </c>
      <c r="Z24" s="8">
        <v>70</v>
      </c>
      <c r="AA24" s="9">
        <v>31</v>
      </c>
      <c r="AB24" s="8"/>
      <c r="AC24" s="9" t="s">
        <v>103</v>
      </c>
      <c r="AD24" s="8">
        <v>79</v>
      </c>
      <c r="AE24" s="9">
        <v>18</v>
      </c>
      <c r="AF24" s="8">
        <v>82</v>
      </c>
      <c r="AG24" s="9">
        <v>18</v>
      </c>
      <c r="AH24" s="8">
        <v>77</v>
      </c>
      <c r="AI24" s="9">
        <v>28</v>
      </c>
      <c r="AJ24" s="8"/>
      <c r="AK24" s="9" t="s">
        <v>103</v>
      </c>
      <c r="AL24" s="8">
        <v>81</v>
      </c>
      <c r="AM24" s="9">
        <v>11.5</v>
      </c>
      <c r="AN24" s="6">
        <v>255</v>
      </c>
      <c r="AO24" s="10">
        <v>22.285714285714285</v>
      </c>
    </row>
    <row r="25" spans="1:41" x14ac:dyDescent="0.2">
      <c r="A25" s="11">
        <v>7.1210000000000004</v>
      </c>
      <c r="B25" s="3" t="s">
        <v>15</v>
      </c>
      <c r="C25" s="3"/>
      <c r="D25" s="8">
        <v>33</v>
      </c>
      <c r="E25" s="12">
        <v>13</v>
      </c>
      <c r="F25" s="8"/>
      <c r="G25" s="12" t="s">
        <v>103</v>
      </c>
      <c r="H25" s="8">
        <v>35</v>
      </c>
      <c r="I25" s="12">
        <v>16</v>
      </c>
      <c r="J25" s="8">
        <v>34</v>
      </c>
      <c r="K25" s="12">
        <v>12.5</v>
      </c>
      <c r="L25" s="8">
        <v>32</v>
      </c>
      <c r="M25" s="12">
        <v>11</v>
      </c>
      <c r="N25" s="8">
        <v>37</v>
      </c>
      <c r="O25" s="12">
        <v>15.5</v>
      </c>
      <c r="P25" s="8">
        <v>31</v>
      </c>
      <c r="Q25" s="12">
        <v>5.5</v>
      </c>
      <c r="R25" s="8">
        <v>39</v>
      </c>
      <c r="S25" s="12">
        <v>16</v>
      </c>
      <c r="T25" s="8">
        <v>35</v>
      </c>
      <c r="U25" s="12">
        <v>14</v>
      </c>
      <c r="V25" s="8">
        <v>31</v>
      </c>
      <c r="W25" s="12">
        <v>8</v>
      </c>
      <c r="X25" s="8"/>
      <c r="Y25" s="12" t="s">
        <v>103</v>
      </c>
      <c r="Z25" s="8">
        <v>40</v>
      </c>
      <c r="AA25" s="12">
        <v>17</v>
      </c>
      <c r="AB25" s="8"/>
      <c r="AC25" s="12" t="s">
        <v>103</v>
      </c>
      <c r="AD25" s="8">
        <v>35</v>
      </c>
      <c r="AE25" s="12">
        <v>9</v>
      </c>
      <c r="AF25" s="8">
        <v>27</v>
      </c>
      <c r="AG25" s="12">
        <v>8</v>
      </c>
      <c r="AH25" s="8">
        <v>35</v>
      </c>
      <c r="AI25" s="12">
        <v>13.5</v>
      </c>
      <c r="AJ25" s="8"/>
      <c r="AK25" s="12" t="s">
        <v>103</v>
      </c>
      <c r="AL25" s="8">
        <v>29</v>
      </c>
      <c r="AM25" s="12">
        <v>6.5</v>
      </c>
      <c r="AN25" s="13">
        <v>33.785714285714285</v>
      </c>
      <c r="AO25" s="10">
        <v>11.821428571428571</v>
      </c>
    </row>
    <row r="26" spans="1:41" x14ac:dyDescent="0.2">
      <c r="A26" s="14">
        <v>7.0221</v>
      </c>
      <c r="B26" s="15" t="s">
        <v>16</v>
      </c>
      <c r="C26" s="16">
        <v>18</v>
      </c>
      <c r="D26" s="17">
        <v>-10</v>
      </c>
      <c r="E26" s="18">
        <v>7.5</v>
      </c>
      <c r="F26" s="17"/>
      <c r="G26" s="18" t="s">
        <v>103</v>
      </c>
      <c r="H26" s="17">
        <v>14</v>
      </c>
      <c r="I26" s="18">
        <v>15</v>
      </c>
      <c r="J26" s="17">
        <v>0.1</v>
      </c>
      <c r="K26" s="18">
        <v>10</v>
      </c>
      <c r="L26" s="17">
        <v>6</v>
      </c>
      <c r="M26" s="18">
        <v>11.5</v>
      </c>
      <c r="N26" s="17">
        <v>-1</v>
      </c>
      <c r="O26" s="18">
        <v>10</v>
      </c>
      <c r="P26" s="17">
        <v>-41</v>
      </c>
      <c r="Q26" s="18">
        <v>4</v>
      </c>
      <c r="R26" s="17">
        <v>16</v>
      </c>
      <c r="S26" s="18">
        <v>14</v>
      </c>
      <c r="T26" s="17">
        <v>-3</v>
      </c>
      <c r="U26" s="18">
        <v>12</v>
      </c>
      <c r="V26" s="17">
        <v>3</v>
      </c>
      <c r="W26" s="18">
        <v>10</v>
      </c>
      <c r="X26" s="17"/>
      <c r="Y26" s="18" t="s">
        <v>103</v>
      </c>
      <c r="Z26" s="17">
        <v>10</v>
      </c>
      <c r="AA26" s="18">
        <v>14</v>
      </c>
      <c r="AB26" s="17"/>
      <c r="AC26" s="18" t="s">
        <v>103</v>
      </c>
      <c r="AD26" s="17">
        <v>-7</v>
      </c>
      <c r="AE26" s="18">
        <v>9</v>
      </c>
      <c r="AF26" s="17">
        <v>-2</v>
      </c>
      <c r="AG26" s="18">
        <v>10</v>
      </c>
      <c r="AH26" s="17">
        <v>13</v>
      </c>
      <c r="AI26" s="18">
        <v>14.5</v>
      </c>
      <c r="AJ26" s="17"/>
      <c r="AK26" s="18" t="s">
        <v>103</v>
      </c>
      <c r="AL26" s="17">
        <v>-24</v>
      </c>
      <c r="AM26" s="18">
        <v>5</v>
      </c>
      <c r="AN26" s="19">
        <v>-25.9</v>
      </c>
      <c r="AO26" s="20">
        <v>10.464285714285714</v>
      </c>
    </row>
    <row r="27" spans="1:41" x14ac:dyDescent="0.2">
      <c r="A27" s="4">
        <v>8</v>
      </c>
      <c r="B27" s="22" t="s">
        <v>19</v>
      </c>
      <c r="C27" s="7">
        <v>16</v>
      </c>
      <c r="D27" s="8">
        <v>108</v>
      </c>
      <c r="E27" s="9">
        <v>16</v>
      </c>
      <c r="F27" s="8">
        <v>106</v>
      </c>
      <c r="G27" s="9">
        <v>14</v>
      </c>
      <c r="H27" s="8">
        <v>91</v>
      </c>
      <c r="I27" s="9">
        <v>24.5</v>
      </c>
      <c r="J27" s="8">
        <v>94</v>
      </c>
      <c r="K27" s="9">
        <v>15.5</v>
      </c>
      <c r="L27" s="8">
        <v>107</v>
      </c>
      <c r="M27" s="9">
        <v>13.5</v>
      </c>
      <c r="N27" s="8">
        <v>86</v>
      </c>
      <c r="O27" s="9">
        <v>33.5</v>
      </c>
      <c r="P27" s="8">
        <v>91</v>
      </c>
      <c r="Q27" s="9">
        <v>17.5</v>
      </c>
      <c r="R27" s="8">
        <v>103</v>
      </c>
      <c r="S27" s="9">
        <v>13</v>
      </c>
      <c r="T27" s="8">
        <v>90</v>
      </c>
      <c r="U27" s="9">
        <v>9</v>
      </c>
      <c r="V27" s="8"/>
      <c r="W27" s="9" t="s">
        <v>103</v>
      </c>
      <c r="X27" s="8">
        <v>93</v>
      </c>
      <c r="Y27" s="9">
        <v>28</v>
      </c>
      <c r="Z27" s="8">
        <v>88</v>
      </c>
      <c r="AA27" s="9">
        <v>31</v>
      </c>
      <c r="AB27" s="8">
        <v>100</v>
      </c>
      <c r="AC27" s="9">
        <v>18</v>
      </c>
      <c r="AD27" s="8">
        <v>89</v>
      </c>
      <c r="AE27" s="9">
        <v>30.5</v>
      </c>
      <c r="AF27" s="8"/>
      <c r="AG27" s="9" t="s">
        <v>103</v>
      </c>
      <c r="AH27" s="8">
        <v>97</v>
      </c>
      <c r="AI27" s="9">
        <v>6</v>
      </c>
      <c r="AJ27" s="8">
        <v>91</v>
      </c>
      <c r="AK27" s="9">
        <v>23.5</v>
      </c>
      <c r="AL27" s="8">
        <v>86</v>
      </c>
      <c r="AM27" s="9">
        <v>30</v>
      </c>
      <c r="AN27" s="6">
        <v>252.5</v>
      </c>
      <c r="AO27" s="10">
        <v>20.21875</v>
      </c>
    </row>
    <row r="28" spans="1:41" x14ac:dyDescent="0.2">
      <c r="A28" s="11">
        <v>8.16</v>
      </c>
      <c r="B28" s="3" t="s">
        <v>15</v>
      </c>
      <c r="C28" s="3"/>
      <c r="D28" s="8">
        <v>22</v>
      </c>
      <c r="E28" s="12">
        <v>6</v>
      </c>
      <c r="F28" s="8">
        <v>25</v>
      </c>
      <c r="G28" s="12">
        <v>6.5</v>
      </c>
      <c r="H28" s="8">
        <v>33</v>
      </c>
      <c r="I28" s="12">
        <v>12.5</v>
      </c>
      <c r="J28" s="8">
        <v>33</v>
      </c>
      <c r="K28" s="12">
        <v>10.5</v>
      </c>
      <c r="L28" s="8">
        <v>22</v>
      </c>
      <c r="M28" s="12">
        <v>5</v>
      </c>
      <c r="N28" s="8">
        <v>37</v>
      </c>
      <c r="O28" s="12">
        <v>15.5</v>
      </c>
      <c r="P28" s="8">
        <v>34</v>
      </c>
      <c r="Q28" s="12">
        <v>10.5</v>
      </c>
      <c r="R28" s="8">
        <v>25</v>
      </c>
      <c r="S28" s="12">
        <v>5</v>
      </c>
      <c r="T28" s="8">
        <v>32</v>
      </c>
      <c r="U28" s="12">
        <v>8</v>
      </c>
      <c r="V28" s="8"/>
      <c r="W28" s="12" t="s">
        <v>103</v>
      </c>
      <c r="X28" s="8">
        <v>34</v>
      </c>
      <c r="Y28" s="12">
        <v>14.5</v>
      </c>
      <c r="Z28" s="8">
        <v>35</v>
      </c>
      <c r="AA28" s="12">
        <v>14.5</v>
      </c>
      <c r="AB28" s="8">
        <v>26</v>
      </c>
      <c r="AC28" s="12">
        <v>7</v>
      </c>
      <c r="AD28" s="8">
        <v>39</v>
      </c>
      <c r="AE28" s="12">
        <v>15.5</v>
      </c>
      <c r="AF28" s="8"/>
      <c r="AG28" s="12" t="s">
        <v>103</v>
      </c>
      <c r="AH28" s="8">
        <v>27</v>
      </c>
      <c r="AI28" s="12">
        <v>3</v>
      </c>
      <c r="AJ28" s="8">
        <v>35</v>
      </c>
      <c r="AK28" s="12">
        <v>11.5</v>
      </c>
      <c r="AL28" s="8">
        <v>35</v>
      </c>
      <c r="AM28" s="12">
        <v>13</v>
      </c>
      <c r="AN28" s="13">
        <v>30.875</v>
      </c>
      <c r="AO28" s="10">
        <v>9.90625</v>
      </c>
    </row>
    <row r="29" spans="1:41" x14ac:dyDescent="0.2">
      <c r="A29" s="14">
        <v>8.0259999999999998</v>
      </c>
      <c r="B29" s="15" t="s">
        <v>16</v>
      </c>
      <c r="C29" s="16">
        <v>16</v>
      </c>
      <c r="D29" s="17">
        <v>-2</v>
      </c>
      <c r="E29" s="18">
        <v>10</v>
      </c>
      <c r="F29" s="17">
        <v>-7</v>
      </c>
      <c r="G29" s="18">
        <v>7.5</v>
      </c>
      <c r="H29" s="17">
        <v>7</v>
      </c>
      <c r="I29" s="18">
        <v>12</v>
      </c>
      <c r="J29" s="17">
        <v>-25</v>
      </c>
      <c r="K29" s="18">
        <v>5</v>
      </c>
      <c r="L29" s="17">
        <v>-6</v>
      </c>
      <c r="M29" s="18">
        <v>8.5</v>
      </c>
      <c r="N29" s="17">
        <v>24</v>
      </c>
      <c r="O29" s="18">
        <v>18</v>
      </c>
      <c r="P29" s="17">
        <v>-17</v>
      </c>
      <c r="Q29" s="18">
        <v>7</v>
      </c>
      <c r="R29" s="17">
        <v>-8</v>
      </c>
      <c r="S29" s="18">
        <v>8</v>
      </c>
      <c r="T29" s="17">
        <v>-34</v>
      </c>
      <c r="U29" s="18">
        <v>1</v>
      </c>
      <c r="V29" s="17"/>
      <c r="W29" s="18" t="s">
        <v>103</v>
      </c>
      <c r="X29" s="17">
        <v>5</v>
      </c>
      <c r="Y29" s="18">
        <v>13.5</v>
      </c>
      <c r="Z29" s="17">
        <v>15</v>
      </c>
      <c r="AA29" s="18">
        <v>16.5</v>
      </c>
      <c r="AB29" s="17">
        <v>2</v>
      </c>
      <c r="AC29" s="18">
        <v>11</v>
      </c>
      <c r="AD29" s="17">
        <v>17</v>
      </c>
      <c r="AE29" s="18">
        <v>15</v>
      </c>
      <c r="AF29" s="17"/>
      <c r="AG29" s="18" t="s">
        <v>103</v>
      </c>
      <c r="AH29" s="17">
        <v>-39</v>
      </c>
      <c r="AI29" s="18">
        <v>3</v>
      </c>
      <c r="AJ29" s="17">
        <v>1</v>
      </c>
      <c r="AK29" s="18">
        <v>12</v>
      </c>
      <c r="AL29" s="17">
        <v>39</v>
      </c>
      <c r="AM29" s="18">
        <v>17</v>
      </c>
      <c r="AN29" s="19">
        <v>-28</v>
      </c>
      <c r="AO29" s="20">
        <v>10.3125</v>
      </c>
    </row>
    <row r="30" spans="1:41" x14ac:dyDescent="0.2">
      <c r="A30" s="4">
        <v>9</v>
      </c>
      <c r="B30" s="5" t="s">
        <v>20</v>
      </c>
      <c r="C30" s="7">
        <v>12</v>
      </c>
      <c r="D30" s="8">
        <v>87</v>
      </c>
      <c r="E30" s="9">
        <v>24</v>
      </c>
      <c r="F30" s="8">
        <v>87</v>
      </c>
      <c r="G30" s="9">
        <v>26</v>
      </c>
      <c r="H30" s="8">
        <v>79</v>
      </c>
      <c r="I30" s="9">
        <v>23</v>
      </c>
      <c r="J30" s="8">
        <v>81</v>
      </c>
      <c r="K30" s="9">
        <v>25.5</v>
      </c>
      <c r="L30" s="8"/>
      <c r="M30" s="9" t="s">
        <v>103</v>
      </c>
      <c r="N30" s="8">
        <v>79</v>
      </c>
      <c r="O30" s="9">
        <v>29</v>
      </c>
      <c r="P30" s="8"/>
      <c r="Q30" s="9" t="s">
        <v>103</v>
      </c>
      <c r="R30" s="8"/>
      <c r="S30" s="9" t="s">
        <v>103</v>
      </c>
      <c r="T30" s="8">
        <v>78</v>
      </c>
      <c r="U30" s="9">
        <v>20</v>
      </c>
      <c r="V30" s="8">
        <v>83</v>
      </c>
      <c r="W30" s="9">
        <v>15</v>
      </c>
      <c r="X30" s="8">
        <v>85</v>
      </c>
      <c r="Y30" s="9">
        <v>20</v>
      </c>
      <c r="Z30" s="8">
        <v>77</v>
      </c>
      <c r="AA30" s="9">
        <v>29.5</v>
      </c>
      <c r="AB30" s="8">
        <v>81</v>
      </c>
      <c r="AC30" s="9">
        <v>25</v>
      </c>
      <c r="AD30" s="8"/>
      <c r="AE30" s="9" t="s">
        <v>103</v>
      </c>
      <c r="AF30" s="8"/>
      <c r="AG30" s="9" t="s">
        <v>103</v>
      </c>
      <c r="AH30" s="8">
        <v>85</v>
      </c>
      <c r="AI30" s="9">
        <v>19.5</v>
      </c>
      <c r="AJ30" s="8"/>
      <c r="AK30" s="9" t="s">
        <v>103</v>
      </c>
      <c r="AL30" s="8">
        <v>80</v>
      </c>
      <c r="AM30" s="9">
        <v>22</v>
      </c>
      <c r="AN30" s="6">
        <v>244</v>
      </c>
      <c r="AO30" s="10">
        <v>23.208333333333332</v>
      </c>
    </row>
    <row r="31" spans="1:41" x14ac:dyDescent="0.2">
      <c r="A31" s="11">
        <v>9.15</v>
      </c>
      <c r="B31" s="3" t="s">
        <v>15</v>
      </c>
      <c r="C31" s="3"/>
      <c r="D31" s="8">
        <v>28</v>
      </c>
      <c r="E31" s="12">
        <v>10</v>
      </c>
      <c r="F31" s="8">
        <v>30</v>
      </c>
      <c r="G31" s="12">
        <v>12.5</v>
      </c>
      <c r="H31" s="8">
        <v>34</v>
      </c>
      <c r="I31" s="12">
        <v>14</v>
      </c>
      <c r="J31" s="8">
        <v>35</v>
      </c>
      <c r="K31" s="12">
        <v>14</v>
      </c>
      <c r="L31" s="8"/>
      <c r="M31" s="12" t="s">
        <v>103</v>
      </c>
      <c r="N31" s="8">
        <v>34</v>
      </c>
      <c r="O31" s="12">
        <v>13</v>
      </c>
      <c r="P31" s="8"/>
      <c r="Q31" s="12" t="s">
        <v>103</v>
      </c>
      <c r="R31" s="8"/>
      <c r="S31" s="12" t="s">
        <v>103</v>
      </c>
      <c r="T31" s="8">
        <v>33</v>
      </c>
      <c r="U31" s="12">
        <v>10</v>
      </c>
      <c r="V31" s="8">
        <v>31</v>
      </c>
      <c r="W31" s="12">
        <v>8</v>
      </c>
      <c r="X31" s="8">
        <v>32</v>
      </c>
      <c r="Y31" s="12">
        <v>12</v>
      </c>
      <c r="Z31" s="8">
        <v>35</v>
      </c>
      <c r="AA31" s="12">
        <v>14.5</v>
      </c>
      <c r="AB31" s="8">
        <v>34</v>
      </c>
      <c r="AC31" s="12">
        <v>11</v>
      </c>
      <c r="AD31" s="8"/>
      <c r="AE31" s="12" t="s">
        <v>103</v>
      </c>
      <c r="AF31" s="8"/>
      <c r="AG31" s="12" t="s">
        <v>103</v>
      </c>
      <c r="AH31" s="8">
        <v>30</v>
      </c>
      <c r="AI31" s="12">
        <v>7.5</v>
      </c>
      <c r="AJ31" s="8"/>
      <c r="AK31" s="12" t="s">
        <v>103</v>
      </c>
      <c r="AL31" s="8">
        <v>31</v>
      </c>
      <c r="AM31" s="12">
        <v>9</v>
      </c>
      <c r="AN31" s="13">
        <v>32.25</v>
      </c>
      <c r="AO31" s="10">
        <v>11.291666666666666</v>
      </c>
    </row>
    <row r="32" spans="1:41" x14ac:dyDescent="0.2">
      <c r="A32" s="14">
        <v>9.0250000000000004</v>
      </c>
      <c r="B32" s="15" t="s">
        <v>16</v>
      </c>
      <c r="C32" s="16">
        <v>20</v>
      </c>
      <c r="D32" s="17">
        <v>10</v>
      </c>
      <c r="E32" s="18">
        <v>14</v>
      </c>
      <c r="F32" s="17">
        <v>9</v>
      </c>
      <c r="G32" s="18">
        <v>13.5</v>
      </c>
      <c r="H32" s="17">
        <v>4</v>
      </c>
      <c r="I32" s="18">
        <v>9</v>
      </c>
      <c r="J32" s="17">
        <v>3</v>
      </c>
      <c r="K32" s="18">
        <v>11.5</v>
      </c>
      <c r="L32" s="17"/>
      <c r="M32" s="18" t="s">
        <v>103</v>
      </c>
      <c r="N32" s="17">
        <v>20</v>
      </c>
      <c r="O32" s="18">
        <v>16</v>
      </c>
      <c r="P32" s="17"/>
      <c r="Q32" s="18" t="s">
        <v>103</v>
      </c>
      <c r="R32" s="17"/>
      <c r="S32" s="18" t="s">
        <v>103</v>
      </c>
      <c r="T32" s="17">
        <v>-4</v>
      </c>
      <c r="U32" s="18">
        <v>10</v>
      </c>
      <c r="V32" s="17">
        <v>-6</v>
      </c>
      <c r="W32" s="18">
        <v>7</v>
      </c>
      <c r="X32" s="17">
        <v>-5</v>
      </c>
      <c r="Y32" s="18">
        <v>8</v>
      </c>
      <c r="Z32" s="17">
        <v>14</v>
      </c>
      <c r="AA32" s="18">
        <v>15</v>
      </c>
      <c r="AB32" s="17">
        <v>20</v>
      </c>
      <c r="AC32" s="18">
        <v>14</v>
      </c>
      <c r="AD32" s="17"/>
      <c r="AE32" s="18" t="s">
        <v>103</v>
      </c>
      <c r="AF32" s="17"/>
      <c r="AG32" s="18" t="s">
        <v>103</v>
      </c>
      <c r="AH32" s="17">
        <v>7</v>
      </c>
      <c r="AI32" s="18">
        <v>12</v>
      </c>
      <c r="AJ32" s="17"/>
      <c r="AK32" s="18" t="s">
        <v>103</v>
      </c>
      <c r="AL32" s="17">
        <v>13</v>
      </c>
      <c r="AM32" s="18">
        <v>13</v>
      </c>
      <c r="AN32" s="19">
        <v>85</v>
      </c>
      <c r="AO32" s="20">
        <v>11.916666666666666</v>
      </c>
    </row>
    <row r="33" spans="1:41" x14ac:dyDescent="0.2">
      <c r="A33" s="4">
        <v>10</v>
      </c>
      <c r="B33" s="5" t="s">
        <v>26</v>
      </c>
      <c r="C33" s="7">
        <v>12</v>
      </c>
      <c r="D33" s="8"/>
      <c r="E33" s="9" t="s">
        <v>103</v>
      </c>
      <c r="F33" s="8"/>
      <c r="G33" s="9" t="s">
        <v>103</v>
      </c>
      <c r="H33" s="8">
        <v>89</v>
      </c>
      <c r="I33" s="9">
        <v>29.5</v>
      </c>
      <c r="J33" s="8"/>
      <c r="K33" s="9" t="s">
        <v>103</v>
      </c>
      <c r="L33" s="8">
        <v>84</v>
      </c>
      <c r="M33" s="9">
        <v>30.5</v>
      </c>
      <c r="N33" s="8">
        <v>90</v>
      </c>
      <c r="O33" s="9">
        <v>14.5</v>
      </c>
      <c r="P33" s="8">
        <v>91</v>
      </c>
      <c r="Q33" s="9">
        <v>25.5</v>
      </c>
      <c r="R33" s="8">
        <v>95</v>
      </c>
      <c r="S33" s="9">
        <v>23.5</v>
      </c>
      <c r="T33" s="8">
        <v>94</v>
      </c>
      <c r="U33" s="9">
        <v>9</v>
      </c>
      <c r="V33" s="8"/>
      <c r="W33" s="9" t="s">
        <v>103</v>
      </c>
      <c r="X33" s="8">
        <v>99</v>
      </c>
      <c r="Y33" s="9">
        <v>17.5</v>
      </c>
      <c r="Z33" s="8"/>
      <c r="AA33" s="9" t="s">
        <v>103</v>
      </c>
      <c r="AB33" s="8"/>
      <c r="AC33" s="9" t="s">
        <v>103</v>
      </c>
      <c r="AD33" s="8">
        <v>89</v>
      </c>
      <c r="AE33" s="9">
        <v>28</v>
      </c>
      <c r="AF33" s="8">
        <v>93</v>
      </c>
      <c r="AG33" s="9">
        <v>16.5</v>
      </c>
      <c r="AH33" s="8">
        <v>87</v>
      </c>
      <c r="AI33" s="9">
        <v>26</v>
      </c>
      <c r="AJ33" s="8">
        <v>99</v>
      </c>
      <c r="AK33" s="9">
        <v>12</v>
      </c>
      <c r="AL33" s="8">
        <v>85</v>
      </c>
      <c r="AM33" s="9">
        <v>27.5</v>
      </c>
      <c r="AN33" s="6">
        <v>239</v>
      </c>
      <c r="AO33" s="10">
        <v>21.666666666666668</v>
      </c>
    </row>
    <row r="34" spans="1:41" x14ac:dyDescent="0.2">
      <c r="A34" s="11">
        <v>10.18</v>
      </c>
      <c r="B34" s="3" t="s">
        <v>15</v>
      </c>
      <c r="C34" s="3"/>
      <c r="D34" s="8"/>
      <c r="E34" s="12" t="s">
        <v>103</v>
      </c>
      <c r="F34" s="8"/>
      <c r="G34" s="12" t="s">
        <v>103</v>
      </c>
      <c r="H34" s="8">
        <v>35</v>
      </c>
      <c r="I34" s="12">
        <v>16</v>
      </c>
      <c r="J34" s="8"/>
      <c r="K34" s="12" t="s">
        <v>103</v>
      </c>
      <c r="L34" s="8">
        <v>43</v>
      </c>
      <c r="M34" s="12">
        <v>15.5</v>
      </c>
      <c r="N34" s="8">
        <v>32</v>
      </c>
      <c r="O34" s="12">
        <v>8.5</v>
      </c>
      <c r="P34" s="8">
        <v>34</v>
      </c>
      <c r="Q34" s="12">
        <v>10.5</v>
      </c>
      <c r="R34" s="8">
        <v>32</v>
      </c>
      <c r="S34" s="12">
        <v>10.5</v>
      </c>
      <c r="T34" s="8">
        <v>27</v>
      </c>
      <c r="U34" s="12">
        <v>2.5</v>
      </c>
      <c r="V34" s="8"/>
      <c r="W34" s="12" t="s">
        <v>103</v>
      </c>
      <c r="X34" s="8">
        <v>27</v>
      </c>
      <c r="Y34" s="12">
        <v>4</v>
      </c>
      <c r="Z34" s="8"/>
      <c r="AA34" s="12" t="s">
        <v>103</v>
      </c>
      <c r="AB34" s="8"/>
      <c r="AC34" s="12" t="s">
        <v>103</v>
      </c>
      <c r="AD34" s="8">
        <v>37</v>
      </c>
      <c r="AE34" s="12">
        <v>13</v>
      </c>
      <c r="AF34" s="8">
        <v>29</v>
      </c>
      <c r="AG34" s="12">
        <v>9.5</v>
      </c>
      <c r="AH34" s="8">
        <v>36</v>
      </c>
      <c r="AI34" s="12">
        <v>15</v>
      </c>
      <c r="AJ34" s="8">
        <v>26</v>
      </c>
      <c r="AK34" s="12">
        <v>5</v>
      </c>
      <c r="AL34" s="8">
        <v>35</v>
      </c>
      <c r="AM34" s="12">
        <v>13</v>
      </c>
      <c r="AN34" s="13">
        <v>32.75</v>
      </c>
      <c r="AO34" s="10">
        <v>10.25</v>
      </c>
    </row>
    <row r="35" spans="1:41" x14ac:dyDescent="0.2">
      <c r="A35" s="14">
        <v>10.028</v>
      </c>
      <c r="B35" s="15" t="s">
        <v>16</v>
      </c>
      <c r="C35" s="16">
        <v>14.5</v>
      </c>
      <c r="D35" s="17"/>
      <c r="E35" s="18" t="s">
        <v>103</v>
      </c>
      <c r="F35" s="17"/>
      <c r="G35" s="18" t="s">
        <v>103</v>
      </c>
      <c r="H35" s="17">
        <v>12</v>
      </c>
      <c r="I35" s="18">
        <v>13.5</v>
      </c>
      <c r="J35" s="17"/>
      <c r="K35" s="18" t="s">
        <v>103</v>
      </c>
      <c r="L35" s="17">
        <v>24</v>
      </c>
      <c r="M35" s="18">
        <v>15</v>
      </c>
      <c r="N35" s="17">
        <v>-9</v>
      </c>
      <c r="O35" s="18">
        <v>6</v>
      </c>
      <c r="P35" s="17">
        <v>21</v>
      </c>
      <c r="Q35" s="18">
        <v>15</v>
      </c>
      <c r="R35" s="17">
        <v>15</v>
      </c>
      <c r="S35" s="18">
        <v>13</v>
      </c>
      <c r="T35" s="17">
        <v>-8</v>
      </c>
      <c r="U35" s="18">
        <v>6.5</v>
      </c>
      <c r="V35" s="17"/>
      <c r="W35" s="18" t="s">
        <v>103</v>
      </c>
      <c r="X35" s="17">
        <v>5</v>
      </c>
      <c r="Y35" s="18">
        <v>13.5</v>
      </c>
      <c r="Z35" s="17"/>
      <c r="AA35" s="18" t="s">
        <v>103</v>
      </c>
      <c r="AB35" s="17"/>
      <c r="AC35" s="18" t="s">
        <v>103</v>
      </c>
      <c r="AD35" s="17">
        <v>17</v>
      </c>
      <c r="AE35" s="18">
        <v>15</v>
      </c>
      <c r="AF35" s="17">
        <v>-42</v>
      </c>
      <c r="AG35" s="18">
        <v>7</v>
      </c>
      <c r="AH35" s="17">
        <v>6</v>
      </c>
      <c r="AI35" s="18">
        <v>11</v>
      </c>
      <c r="AJ35" s="17">
        <v>-12</v>
      </c>
      <c r="AK35" s="18">
        <v>7</v>
      </c>
      <c r="AL35" s="17">
        <v>15</v>
      </c>
      <c r="AM35" s="18">
        <v>14.5</v>
      </c>
      <c r="AN35" s="19">
        <v>44</v>
      </c>
      <c r="AO35" s="20">
        <v>11.416666666666666</v>
      </c>
    </row>
    <row r="36" spans="1:41" x14ac:dyDescent="0.2">
      <c r="A36" s="4">
        <v>11</v>
      </c>
      <c r="B36" s="21" t="s">
        <v>28</v>
      </c>
      <c r="C36" s="7">
        <v>14</v>
      </c>
      <c r="D36" s="8">
        <v>97</v>
      </c>
      <c r="E36" s="9">
        <v>21</v>
      </c>
      <c r="F36" s="8">
        <v>95</v>
      </c>
      <c r="G36" s="9">
        <v>19</v>
      </c>
      <c r="H36" s="8"/>
      <c r="I36" s="9" t="s">
        <v>103</v>
      </c>
      <c r="J36" s="8"/>
      <c r="K36" s="9" t="s">
        <v>103</v>
      </c>
      <c r="L36" s="8">
        <v>87</v>
      </c>
      <c r="M36" s="9">
        <v>30</v>
      </c>
      <c r="N36" s="8">
        <v>85</v>
      </c>
      <c r="O36" s="9">
        <v>17</v>
      </c>
      <c r="P36" s="8">
        <v>85</v>
      </c>
      <c r="Q36" s="9">
        <v>24</v>
      </c>
      <c r="R36" s="8">
        <v>91</v>
      </c>
      <c r="S36" s="9">
        <v>24</v>
      </c>
      <c r="T36" s="8">
        <v>80</v>
      </c>
      <c r="U36" s="9">
        <v>31.5</v>
      </c>
      <c r="V36" s="8"/>
      <c r="W36" s="9" t="s">
        <v>103</v>
      </c>
      <c r="X36" s="8">
        <v>94</v>
      </c>
      <c r="Y36" s="9">
        <v>7</v>
      </c>
      <c r="Z36" s="8">
        <v>83</v>
      </c>
      <c r="AA36" s="9">
        <v>19.5</v>
      </c>
      <c r="AB36" s="8">
        <v>81</v>
      </c>
      <c r="AC36" s="9">
        <v>26</v>
      </c>
      <c r="AD36" s="8"/>
      <c r="AE36" s="9" t="s">
        <v>103</v>
      </c>
      <c r="AF36" s="8">
        <v>93</v>
      </c>
      <c r="AG36" s="9">
        <v>15</v>
      </c>
      <c r="AH36" s="8">
        <v>87</v>
      </c>
      <c r="AI36" s="9">
        <v>17.5</v>
      </c>
      <c r="AJ36" s="8">
        <v>89</v>
      </c>
      <c r="AK36" s="9">
        <v>19.5</v>
      </c>
      <c r="AL36" s="8">
        <v>82</v>
      </c>
      <c r="AM36" s="9">
        <v>16</v>
      </c>
      <c r="AN36" s="6">
        <v>232</v>
      </c>
      <c r="AO36" s="10">
        <v>20.5</v>
      </c>
    </row>
    <row r="37" spans="1:41" x14ac:dyDescent="0.2">
      <c r="A37" s="11">
        <v>11.112</v>
      </c>
      <c r="B37" s="3" t="s">
        <v>15</v>
      </c>
      <c r="C37" s="3"/>
      <c r="D37" s="8">
        <v>26</v>
      </c>
      <c r="E37" s="12">
        <v>9</v>
      </c>
      <c r="F37" s="8">
        <v>27</v>
      </c>
      <c r="G37" s="12">
        <v>8</v>
      </c>
      <c r="H37" s="8"/>
      <c r="I37" s="12" t="s">
        <v>103</v>
      </c>
      <c r="J37" s="8"/>
      <c r="K37" s="12" t="s">
        <v>103</v>
      </c>
      <c r="L37" s="8">
        <v>37</v>
      </c>
      <c r="M37" s="12">
        <v>14</v>
      </c>
      <c r="N37" s="8">
        <v>34</v>
      </c>
      <c r="O37" s="12">
        <v>13</v>
      </c>
      <c r="P37" s="8">
        <v>37</v>
      </c>
      <c r="Q37" s="12">
        <v>16</v>
      </c>
      <c r="R37" s="8">
        <v>31</v>
      </c>
      <c r="S37" s="12">
        <v>8</v>
      </c>
      <c r="T37" s="8">
        <v>37</v>
      </c>
      <c r="U37" s="12">
        <v>17.5</v>
      </c>
      <c r="V37" s="8"/>
      <c r="W37" s="12" t="s">
        <v>103</v>
      </c>
      <c r="X37" s="8">
        <v>27</v>
      </c>
      <c r="Y37" s="12">
        <v>4</v>
      </c>
      <c r="Z37" s="8">
        <v>34</v>
      </c>
      <c r="AA37" s="12">
        <v>12.5</v>
      </c>
      <c r="AB37" s="8">
        <v>38</v>
      </c>
      <c r="AC37" s="12">
        <v>14</v>
      </c>
      <c r="AD37" s="8"/>
      <c r="AE37" s="12" t="s">
        <v>103</v>
      </c>
      <c r="AF37" s="8">
        <v>23</v>
      </c>
      <c r="AG37" s="12">
        <v>7</v>
      </c>
      <c r="AH37" s="8">
        <v>31</v>
      </c>
      <c r="AI37" s="12">
        <v>9.5</v>
      </c>
      <c r="AJ37" s="8">
        <v>33</v>
      </c>
      <c r="AK37" s="12">
        <v>8.5</v>
      </c>
      <c r="AL37" s="8">
        <v>35</v>
      </c>
      <c r="AM37" s="12">
        <v>13</v>
      </c>
      <c r="AN37" s="13">
        <v>32.142857142857146</v>
      </c>
      <c r="AO37" s="10">
        <v>11</v>
      </c>
    </row>
    <row r="38" spans="1:41" x14ac:dyDescent="0.2">
      <c r="A38" s="14">
        <v>11.0212</v>
      </c>
      <c r="B38" s="24" t="s">
        <v>16</v>
      </c>
      <c r="C38" s="16">
        <v>17.5</v>
      </c>
      <c r="D38" s="17">
        <v>4</v>
      </c>
      <c r="E38" s="18">
        <v>12</v>
      </c>
      <c r="F38" s="17">
        <v>2</v>
      </c>
      <c r="G38" s="18">
        <v>11</v>
      </c>
      <c r="H38" s="17"/>
      <c r="I38" s="18" t="s">
        <v>103</v>
      </c>
      <c r="J38" s="17"/>
      <c r="K38" s="18" t="s">
        <v>103</v>
      </c>
      <c r="L38" s="17">
        <v>30</v>
      </c>
      <c r="M38" s="18">
        <v>16</v>
      </c>
      <c r="N38" s="17">
        <v>-30</v>
      </c>
      <c r="O38" s="18">
        <v>4</v>
      </c>
      <c r="P38" s="17">
        <v>-10</v>
      </c>
      <c r="Q38" s="18">
        <v>8</v>
      </c>
      <c r="R38" s="17">
        <v>37</v>
      </c>
      <c r="S38" s="18">
        <v>16</v>
      </c>
      <c r="T38" s="17">
        <v>1</v>
      </c>
      <c r="U38" s="18">
        <v>14</v>
      </c>
      <c r="V38" s="17"/>
      <c r="W38" s="18" t="s">
        <v>103</v>
      </c>
      <c r="X38" s="17">
        <v>-40</v>
      </c>
      <c r="Y38" s="18">
        <v>3</v>
      </c>
      <c r="Z38" s="17">
        <v>-6</v>
      </c>
      <c r="AA38" s="18">
        <v>7</v>
      </c>
      <c r="AB38" s="17">
        <v>10</v>
      </c>
      <c r="AC38" s="18">
        <v>12</v>
      </c>
      <c r="AD38" s="17"/>
      <c r="AE38" s="18" t="s">
        <v>103</v>
      </c>
      <c r="AF38" s="17">
        <v>-8</v>
      </c>
      <c r="AG38" s="18">
        <v>8</v>
      </c>
      <c r="AH38" s="17">
        <v>-1</v>
      </c>
      <c r="AI38" s="18">
        <v>8</v>
      </c>
      <c r="AJ38" s="17">
        <v>0.1</v>
      </c>
      <c r="AK38" s="18">
        <v>11</v>
      </c>
      <c r="AL38" s="17">
        <v>-37</v>
      </c>
      <c r="AM38" s="18">
        <v>3</v>
      </c>
      <c r="AN38" s="19">
        <v>-47.9</v>
      </c>
      <c r="AO38" s="20">
        <v>9.5</v>
      </c>
    </row>
    <row r="39" spans="1:41" x14ac:dyDescent="0.2">
      <c r="A39" s="4">
        <v>12</v>
      </c>
      <c r="B39" s="21" t="s">
        <v>17</v>
      </c>
      <c r="C39" s="7">
        <v>12</v>
      </c>
      <c r="D39" s="8">
        <v>83</v>
      </c>
      <c r="E39" s="9">
        <v>21</v>
      </c>
      <c r="F39" s="8">
        <v>84</v>
      </c>
      <c r="G39" s="9">
        <v>32</v>
      </c>
      <c r="H39" s="8"/>
      <c r="I39" s="9" t="s">
        <v>103</v>
      </c>
      <c r="J39" s="8">
        <v>83</v>
      </c>
      <c r="K39" s="9">
        <v>26.5</v>
      </c>
      <c r="L39" s="8"/>
      <c r="M39" s="9" t="s">
        <v>103</v>
      </c>
      <c r="N39" s="8"/>
      <c r="O39" s="9" t="s">
        <v>103</v>
      </c>
      <c r="P39" s="8">
        <v>77</v>
      </c>
      <c r="Q39" s="9">
        <v>26</v>
      </c>
      <c r="R39" s="8">
        <v>81</v>
      </c>
      <c r="S39" s="9">
        <v>25.5</v>
      </c>
      <c r="T39" s="8">
        <v>81</v>
      </c>
      <c r="U39" s="9">
        <v>22.5</v>
      </c>
      <c r="V39" s="8">
        <v>82</v>
      </c>
      <c r="W39" s="9">
        <v>17</v>
      </c>
      <c r="X39" s="8">
        <v>77</v>
      </c>
      <c r="Y39" s="9">
        <v>34</v>
      </c>
      <c r="Z39" s="8">
        <v>80</v>
      </c>
      <c r="AA39" s="9">
        <v>9</v>
      </c>
      <c r="AB39" s="8"/>
      <c r="AC39" s="9" t="s">
        <v>103</v>
      </c>
      <c r="AD39" s="8"/>
      <c r="AE39" s="9" t="s">
        <v>103</v>
      </c>
      <c r="AF39" s="8"/>
      <c r="AG39" s="9" t="s">
        <v>103</v>
      </c>
      <c r="AH39" s="8">
        <v>84</v>
      </c>
      <c r="AI39" s="9">
        <v>11</v>
      </c>
      <c r="AJ39" s="8">
        <v>82</v>
      </c>
      <c r="AK39" s="9">
        <v>13.5</v>
      </c>
      <c r="AL39" s="8">
        <v>84</v>
      </c>
      <c r="AM39" s="9">
        <v>13.5</v>
      </c>
      <c r="AN39" s="6">
        <v>231.5</v>
      </c>
      <c r="AO39" s="10">
        <v>20.958333333333332</v>
      </c>
    </row>
    <row r="40" spans="1:41" x14ac:dyDescent="0.2">
      <c r="A40" s="11">
        <v>12.13</v>
      </c>
      <c r="B40" s="3" t="s">
        <v>15</v>
      </c>
      <c r="C40" s="3"/>
      <c r="D40" s="8">
        <v>32</v>
      </c>
      <c r="E40" s="12">
        <v>12</v>
      </c>
      <c r="F40" s="8">
        <v>35</v>
      </c>
      <c r="G40" s="12">
        <v>17</v>
      </c>
      <c r="H40" s="8"/>
      <c r="I40" s="12" t="s">
        <v>103</v>
      </c>
      <c r="J40" s="8">
        <v>33</v>
      </c>
      <c r="K40" s="12">
        <v>10.5</v>
      </c>
      <c r="L40" s="8"/>
      <c r="M40" s="12" t="s">
        <v>103</v>
      </c>
      <c r="N40" s="8"/>
      <c r="O40" s="12" t="s">
        <v>103</v>
      </c>
      <c r="P40" s="8">
        <v>39</v>
      </c>
      <c r="Q40" s="12">
        <v>17</v>
      </c>
      <c r="R40" s="8">
        <v>36</v>
      </c>
      <c r="S40" s="12">
        <v>13.5</v>
      </c>
      <c r="T40" s="8">
        <v>30</v>
      </c>
      <c r="U40" s="12">
        <v>5.5</v>
      </c>
      <c r="V40" s="8">
        <v>32</v>
      </c>
      <c r="W40" s="12">
        <v>11</v>
      </c>
      <c r="X40" s="8">
        <v>38</v>
      </c>
      <c r="Y40" s="12">
        <v>16</v>
      </c>
      <c r="Z40" s="8">
        <v>30</v>
      </c>
      <c r="AA40" s="12">
        <v>6</v>
      </c>
      <c r="AB40" s="8"/>
      <c r="AC40" s="12" t="s">
        <v>103</v>
      </c>
      <c r="AD40" s="8"/>
      <c r="AE40" s="12" t="s">
        <v>103</v>
      </c>
      <c r="AF40" s="8"/>
      <c r="AG40" s="12" t="s">
        <v>103</v>
      </c>
      <c r="AH40" s="8">
        <v>29</v>
      </c>
      <c r="AI40" s="12">
        <v>5</v>
      </c>
      <c r="AJ40" s="8">
        <v>33</v>
      </c>
      <c r="AK40" s="12">
        <v>8.5</v>
      </c>
      <c r="AL40" s="8">
        <v>29</v>
      </c>
      <c r="AM40" s="12">
        <v>6.5</v>
      </c>
      <c r="AN40" s="13">
        <v>33</v>
      </c>
      <c r="AO40" s="10">
        <v>10.708333333333334</v>
      </c>
    </row>
    <row r="41" spans="1:41" x14ac:dyDescent="0.2">
      <c r="A41" s="14">
        <v>12.023</v>
      </c>
      <c r="B41" s="15" t="s">
        <v>16</v>
      </c>
      <c r="C41" s="16">
        <v>13.5</v>
      </c>
      <c r="D41" s="17">
        <v>-4</v>
      </c>
      <c r="E41" s="18">
        <v>9</v>
      </c>
      <c r="F41" s="17">
        <v>12</v>
      </c>
      <c r="G41" s="18">
        <v>15</v>
      </c>
      <c r="H41" s="17"/>
      <c r="I41" s="18" t="s">
        <v>103</v>
      </c>
      <c r="J41" s="17">
        <v>23</v>
      </c>
      <c r="K41" s="18">
        <v>16</v>
      </c>
      <c r="L41" s="17"/>
      <c r="M41" s="18" t="s">
        <v>103</v>
      </c>
      <c r="N41" s="17"/>
      <c r="O41" s="18" t="s">
        <v>103</v>
      </c>
      <c r="P41" s="17">
        <v>1</v>
      </c>
      <c r="Q41" s="18">
        <v>9</v>
      </c>
      <c r="R41" s="17">
        <v>3</v>
      </c>
      <c r="S41" s="18">
        <v>12</v>
      </c>
      <c r="T41" s="17">
        <v>22</v>
      </c>
      <c r="U41" s="18">
        <v>17</v>
      </c>
      <c r="V41" s="17">
        <v>-16</v>
      </c>
      <c r="W41" s="18">
        <v>6</v>
      </c>
      <c r="X41" s="17">
        <v>32</v>
      </c>
      <c r="Y41" s="18">
        <v>18</v>
      </c>
      <c r="Z41" s="17">
        <v>-29</v>
      </c>
      <c r="AA41" s="18">
        <v>3</v>
      </c>
      <c r="AB41" s="17"/>
      <c r="AC41" s="18" t="s">
        <v>103</v>
      </c>
      <c r="AD41" s="17"/>
      <c r="AE41" s="18" t="s">
        <v>103</v>
      </c>
      <c r="AF41" s="17"/>
      <c r="AG41" s="18" t="s">
        <v>103</v>
      </c>
      <c r="AH41" s="17">
        <v>-7</v>
      </c>
      <c r="AI41" s="18">
        <v>6</v>
      </c>
      <c r="AJ41" s="17">
        <v>-35</v>
      </c>
      <c r="AK41" s="18">
        <v>5</v>
      </c>
      <c r="AL41" s="17">
        <v>-15</v>
      </c>
      <c r="AM41" s="18">
        <v>7</v>
      </c>
      <c r="AN41" s="19">
        <v>-13</v>
      </c>
      <c r="AO41" s="20">
        <v>10.25</v>
      </c>
    </row>
    <row r="42" spans="1:41" x14ac:dyDescent="0.2">
      <c r="A42" s="4">
        <v>13</v>
      </c>
      <c r="B42" s="5" t="s">
        <v>32</v>
      </c>
      <c r="C42" s="7">
        <v>9</v>
      </c>
      <c r="D42" s="8"/>
      <c r="E42" s="9" t="s">
        <v>103</v>
      </c>
      <c r="F42" s="8">
        <v>95</v>
      </c>
      <c r="G42" s="9">
        <v>20.5</v>
      </c>
      <c r="H42" s="8">
        <v>95</v>
      </c>
      <c r="I42" s="9">
        <v>20</v>
      </c>
      <c r="J42" s="8">
        <v>95</v>
      </c>
      <c r="K42" s="9">
        <v>13.5</v>
      </c>
      <c r="L42" s="8"/>
      <c r="M42" s="9" t="s">
        <v>103</v>
      </c>
      <c r="N42" s="8">
        <v>82</v>
      </c>
      <c r="O42" s="9">
        <v>34</v>
      </c>
      <c r="P42" s="8"/>
      <c r="Q42" s="9" t="s">
        <v>103</v>
      </c>
      <c r="R42" s="8"/>
      <c r="S42" s="9" t="s">
        <v>103</v>
      </c>
      <c r="T42" s="8">
        <v>86</v>
      </c>
      <c r="U42" s="9">
        <v>31</v>
      </c>
      <c r="V42" s="8"/>
      <c r="W42" s="9" t="s">
        <v>103</v>
      </c>
      <c r="X42" s="8">
        <v>82</v>
      </c>
      <c r="Y42" s="9">
        <v>33</v>
      </c>
      <c r="Z42" s="8">
        <v>87</v>
      </c>
      <c r="AA42" s="9">
        <v>17.5</v>
      </c>
      <c r="AB42" s="8"/>
      <c r="AC42" s="9" t="s">
        <v>103</v>
      </c>
      <c r="AD42" s="8"/>
      <c r="AE42" s="9" t="s">
        <v>103</v>
      </c>
      <c r="AF42" s="8"/>
      <c r="AG42" s="9" t="s">
        <v>103</v>
      </c>
      <c r="AH42" s="8"/>
      <c r="AI42" s="9" t="s">
        <v>103</v>
      </c>
      <c r="AJ42" s="8">
        <v>99</v>
      </c>
      <c r="AK42" s="9">
        <v>19</v>
      </c>
      <c r="AL42" s="8">
        <v>83</v>
      </c>
      <c r="AM42" s="9">
        <v>27</v>
      </c>
      <c r="AN42" s="6">
        <v>215.5</v>
      </c>
      <c r="AO42" s="10">
        <v>23.944444444444443</v>
      </c>
    </row>
    <row r="43" spans="1:41" x14ac:dyDescent="0.2">
      <c r="A43" s="11">
        <v>13.117000000000001</v>
      </c>
      <c r="B43" s="3" t="s">
        <v>15</v>
      </c>
      <c r="C43" s="3"/>
      <c r="D43" s="8"/>
      <c r="E43" s="12" t="s">
        <v>103</v>
      </c>
      <c r="F43" s="8">
        <v>32</v>
      </c>
      <c r="G43" s="12">
        <v>15</v>
      </c>
      <c r="H43" s="8">
        <v>27</v>
      </c>
      <c r="I43" s="12">
        <v>4</v>
      </c>
      <c r="J43" s="8">
        <v>29</v>
      </c>
      <c r="K43" s="12">
        <v>6</v>
      </c>
      <c r="L43" s="8"/>
      <c r="M43" s="12" t="s">
        <v>103</v>
      </c>
      <c r="N43" s="8">
        <v>39</v>
      </c>
      <c r="O43" s="12">
        <v>17</v>
      </c>
      <c r="P43" s="8"/>
      <c r="Q43" s="12" t="s">
        <v>103</v>
      </c>
      <c r="R43" s="8"/>
      <c r="S43" s="12" t="s">
        <v>103</v>
      </c>
      <c r="T43" s="8">
        <v>34</v>
      </c>
      <c r="U43" s="12">
        <v>12</v>
      </c>
      <c r="V43" s="8"/>
      <c r="W43" s="12" t="s">
        <v>103</v>
      </c>
      <c r="X43" s="8">
        <v>43</v>
      </c>
      <c r="Y43" s="12">
        <v>18</v>
      </c>
      <c r="Z43" s="8">
        <v>32</v>
      </c>
      <c r="AA43" s="12">
        <v>9.5</v>
      </c>
      <c r="AB43" s="8"/>
      <c r="AC43" s="12" t="s">
        <v>103</v>
      </c>
      <c r="AD43" s="8"/>
      <c r="AE43" s="12" t="s">
        <v>103</v>
      </c>
      <c r="AF43" s="8"/>
      <c r="AG43" s="12" t="s">
        <v>103</v>
      </c>
      <c r="AH43" s="8"/>
      <c r="AI43" s="12" t="s">
        <v>103</v>
      </c>
      <c r="AJ43" s="8">
        <v>27</v>
      </c>
      <c r="AK43" s="12">
        <v>6</v>
      </c>
      <c r="AL43" s="8">
        <v>36</v>
      </c>
      <c r="AM43" s="12">
        <v>15</v>
      </c>
      <c r="AN43" s="13">
        <v>33.222222222222221</v>
      </c>
      <c r="AO43" s="10">
        <v>11.388888888888889</v>
      </c>
    </row>
    <row r="44" spans="1:41" x14ac:dyDescent="0.2">
      <c r="A44" s="14">
        <v>13.021699999999999</v>
      </c>
      <c r="B44" s="15" t="s">
        <v>16</v>
      </c>
      <c r="C44" s="16">
        <v>13.5</v>
      </c>
      <c r="D44" s="17"/>
      <c r="E44" s="18" t="s">
        <v>103</v>
      </c>
      <c r="F44" s="17">
        <v>-9</v>
      </c>
      <c r="G44" s="18">
        <v>5.5</v>
      </c>
      <c r="H44" s="17">
        <v>17</v>
      </c>
      <c r="I44" s="18">
        <v>16</v>
      </c>
      <c r="J44" s="17">
        <v>-11</v>
      </c>
      <c r="K44" s="18">
        <v>7.5</v>
      </c>
      <c r="L44" s="17"/>
      <c r="M44" s="18" t="s">
        <v>103</v>
      </c>
      <c r="N44" s="17">
        <v>21</v>
      </c>
      <c r="O44" s="18">
        <v>17</v>
      </c>
      <c r="P44" s="17"/>
      <c r="Q44" s="18" t="s">
        <v>103</v>
      </c>
      <c r="R44" s="17"/>
      <c r="S44" s="18" t="s">
        <v>103</v>
      </c>
      <c r="T44" s="17">
        <v>31</v>
      </c>
      <c r="U44" s="18">
        <v>19</v>
      </c>
      <c r="V44" s="17"/>
      <c r="W44" s="18" t="s">
        <v>103</v>
      </c>
      <c r="X44" s="17">
        <v>16</v>
      </c>
      <c r="Y44" s="18">
        <v>15</v>
      </c>
      <c r="Z44" s="17">
        <v>-2</v>
      </c>
      <c r="AA44" s="18">
        <v>8</v>
      </c>
      <c r="AB44" s="17"/>
      <c r="AC44" s="18" t="s">
        <v>103</v>
      </c>
      <c r="AD44" s="17"/>
      <c r="AE44" s="18" t="s">
        <v>103</v>
      </c>
      <c r="AF44" s="17"/>
      <c r="AG44" s="18" t="s">
        <v>103</v>
      </c>
      <c r="AH44" s="17"/>
      <c r="AI44" s="18" t="s">
        <v>103</v>
      </c>
      <c r="AJ44" s="17">
        <v>6</v>
      </c>
      <c r="AK44" s="18">
        <v>13</v>
      </c>
      <c r="AL44" s="17">
        <v>8</v>
      </c>
      <c r="AM44" s="18">
        <v>12</v>
      </c>
      <c r="AN44" s="19">
        <v>77</v>
      </c>
      <c r="AO44" s="20">
        <v>12.555555555555555</v>
      </c>
    </row>
    <row r="45" spans="1:41" x14ac:dyDescent="0.2">
      <c r="A45" s="4">
        <v>14</v>
      </c>
      <c r="B45" s="21" t="s">
        <v>22</v>
      </c>
      <c r="C45" s="7">
        <v>12</v>
      </c>
      <c r="D45" s="8"/>
      <c r="E45" s="9" t="s">
        <v>103</v>
      </c>
      <c r="F45" s="8"/>
      <c r="G45" s="9" t="s">
        <v>103</v>
      </c>
      <c r="H45" s="8">
        <v>81</v>
      </c>
      <c r="I45" s="9">
        <v>29.5</v>
      </c>
      <c r="J45" s="8"/>
      <c r="K45" s="9" t="s">
        <v>103</v>
      </c>
      <c r="L45" s="8">
        <v>93</v>
      </c>
      <c r="M45" s="9">
        <v>12.5</v>
      </c>
      <c r="N45" s="8">
        <v>82</v>
      </c>
      <c r="O45" s="9">
        <v>28</v>
      </c>
      <c r="P45" s="8">
        <v>85</v>
      </c>
      <c r="Q45" s="9">
        <v>8.5</v>
      </c>
      <c r="R45" s="8">
        <v>85</v>
      </c>
      <c r="S45" s="9">
        <v>18.5</v>
      </c>
      <c r="T45" s="8">
        <v>84</v>
      </c>
      <c r="U45" s="9">
        <v>10</v>
      </c>
      <c r="V45" s="8">
        <v>82</v>
      </c>
      <c r="W45" s="9">
        <v>30.5</v>
      </c>
      <c r="X45" s="8">
        <v>93</v>
      </c>
      <c r="Y45" s="9">
        <v>14.5</v>
      </c>
      <c r="Z45" s="8">
        <v>88</v>
      </c>
      <c r="AA45" s="9">
        <v>12.5</v>
      </c>
      <c r="AB45" s="8"/>
      <c r="AC45" s="9" t="s">
        <v>103</v>
      </c>
      <c r="AD45" s="8">
        <v>85</v>
      </c>
      <c r="AE45" s="9">
        <v>17.5</v>
      </c>
      <c r="AF45" s="8"/>
      <c r="AG45" s="9" t="s">
        <v>103</v>
      </c>
      <c r="AH45" s="8">
        <v>84</v>
      </c>
      <c r="AI45" s="9">
        <v>16</v>
      </c>
      <c r="AJ45" s="8">
        <v>84</v>
      </c>
      <c r="AK45" s="9">
        <v>19.5</v>
      </c>
      <c r="AL45" s="8"/>
      <c r="AM45" s="9" t="s">
        <v>103</v>
      </c>
      <c r="AN45" s="6">
        <v>199</v>
      </c>
      <c r="AO45" s="10">
        <v>18.125</v>
      </c>
    </row>
    <row r="46" spans="1:41" x14ac:dyDescent="0.2">
      <c r="A46" s="11">
        <v>14.14</v>
      </c>
      <c r="B46" s="3" t="s">
        <v>15</v>
      </c>
      <c r="C46" s="3"/>
      <c r="D46" s="8"/>
      <c r="E46" s="12" t="s">
        <v>103</v>
      </c>
      <c r="F46" s="8"/>
      <c r="G46" s="12" t="s">
        <v>103</v>
      </c>
      <c r="H46" s="8">
        <v>33</v>
      </c>
      <c r="I46" s="12">
        <v>12.5</v>
      </c>
      <c r="J46" s="8"/>
      <c r="K46" s="12" t="s">
        <v>103</v>
      </c>
      <c r="L46" s="8">
        <v>26</v>
      </c>
      <c r="M46" s="12">
        <v>7.5</v>
      </c>
      <c r="N46" s="8">
        <v>34</v>
      </c>
      <c r="O46" s="12">
        <v>13</v>
      </c>
      <c r="P46" s="8">
        <v>31</v>
      </c>
      <c r="Q46" s="12">
        <v>5.5</v>
      </c>
      <c r="R46" s="8">
        <v>34</v>
      </c>
      <c r="S46" s="12">
        <v>12</v>
      </c>
      <c r="T46" s="8">
        <v>30</v>
      </c>
      <c r="U46" s="12">
        <v>5.5</v>
      </c>
      <c r="V46" s="8">
        <v>35</v>
      </c>
      <c r="W46" s="12">
        <v>14.5</v>
      </c>
      <c r="X46" s="8">
        <v>27</v>
      </c>
      <c r="Y46" s="12">
        <v>4</v>
      </c>
      <c r="Z46" s="8">
        <v>26</v>
      </c>
      <c r="AA46" s="12">
        <v>3</v>
      </c>
      <c r="AB46" s="8"/>
      <c r="AC46" s="12" t="s">
        <v>103</v>
      </c>
      <c r="AD46" s="8">
        <v>34</v>
      </c>
      <c r="AE46" s="12">
        <v>7</v>
      </c>
      <c r="AF46" s="8"/>
      <c r="AG46" s="12" t="s">
        <v>103</v>
      </c>
      <c r="AH46" s="8">
        <v>33</v>
      </c>
      <c r="AI46" s="12">
        <v>11</v>
      </c>
      <c r="AJ46" s="8">
        <v>35</v>
      </c>
      <c r="AK46" s="12">
        <v>11.5</v>
      </c>
      <c r="AL46" s="8"/>
      <c r="AM46" s="12" t="s">
        <v>103</v>
      </c>
      <c r="AN46" s="13">
        <v>31.5</v>
      </c>
      <c r="AO46" s="10">
        <v>8.9166666666666661</v>
      </c>
    </row>
    <row r="47" spans="1:41" x14ac:dyDescent="0.2">
      <c r="A47" s="14">
        <v>14.023999999999999</v>
      </c>
      <c r="B47" s="15" t="s">
        <v>16</v>
      </c>
      <c r="C47" s="16">
        <v>12.5</v>
      </c>
      <c r="D47" s="17"/>
      <c r="E47" s="18" t="s">
        <v>103</v>
      </c>
      <c r="F47" s="17"/>
      <c r="G47" s="18" t="s">
        <v>103</v>
      </c>
      <c r="H47" s="17">
        <v>26</v>
      </c>
      <c r="I47" s="18">
        <v>17</v>
      </c>
      <c r="J47" s="17"/>
      <c r="K47" s="18" t="s">
        <v>103</v>
      </c>
      <c r="L47" s="17">
        <v>-30</v>
      </c>
      <c r="M47" s="18">
        <v>5</v>
      </c>
      <c r="N47" s="17">
        <v>14</v>
      </c>
      <c r="O47" s="18">
        <v>15</v>
      </c>
      <c r="P47" s="17">
        <v>-44</v>
      </c>
      <c r="Q47" s="18">
        <v>3</v>
      </c>
      <c r="R47" s="17">
        <v>-25</v>
      </c>
      <c r="S47" s="18">
        <v>6.5</v>
      </c>
      <c r="T47" s="17">
        <v>-10</v>
      </c>
      <c r="U47" s="18">
        <v>4.5</v>
      </c>
      <c r="V47" s="17">
        <v>17</v>
      </c>
      <c r="W47" s="18">
        <v>16</v>
      </c>
      <c r="X47" s="17">
        <v>-1</v>
      </c>
      <c r="Y47" s="18">
        <v>10.5</v>
      </c>
      <c r="Z47" s="17">
        <v>-1</v>
      </c>
      <c r="AA47" s="18">
        <v>9.5</v>
      </c>
      <c r="AB47" s="17"/>
      <c r="AC47" s="18" t="s">
        <v>103</v>
      </c>
      <c r="AD47" s="17">
        <v>1</v>
      </c>
      <c r="AE47" s="18">
        <v>10.5</v>
      </c>
      <c r="AF47" s="17"/>
      <c r="AG47" s="18" t="s">
        <v>103</v>
      </c>
      <c r="AH47" s="17">
        <v>-25</v>
      </c>
      <c r="AI47" s="18">
        <v>5</v>
      </c>
      <c r="AJ47" s="17">
        <v>-4</v>
      </c>
      <c r="AK47" s="18">
        <v>8</v>
      </c>
      <c r="AL47" s="17"/>
      <c r="AM47" s="18" t="s">
        <v>103</v>
      </c>
      <c r="AN47" s="19">
        <v>-82</v>
      </c>
      <c r="AO47" s="20">
        <v>9.2083333333333339</v>
      </c>
    </row>
    <row r="48" spans="1:41" x14ac:dyDescent="0.2">
      <c r="A48" s="4">
        <v>15</v>
      </c>
      <c r="B48" s="5" t="s">
        <v>14</v>
      </c>
      <c r="C48" s="7">
        <v>10</v>
      </c>
      <c r="D48" s="8">
        <v>92</v>
      </c>
      <c r="E48" s="9">
        <v>13.5</v>
      </c>
      <c r="F48" s="8"/>
      <c r="G48" s="9" t="s">
        <v>103</v>
      </c>
      <c r="H48" s="8">
        <v>83</v>
      </c>
      <c r="I48" s="9">
        <v>15.5</v>
      </c>
      <c r="J48" s="8"/>
      <c r="K48" s="9" t="s">
        <v>103</v>
      </c>
      <c r="L48" s="8">
        <v>82</v>
      </c>
      <c r="M48" s="9">
        <v>26.5</v>
      </c>
      <c r="N48" s="8"/>
      <c r="O48" s="9" t="s">
        <v>103</v>
      </c>
      <c r="P48" s="8"/>
      <c r="Q48" s="9" t="s">
        <v>103</v>
      </c>
      <c r="R48" s="8">
        <v>81</v>
      </c>
      <c r="S48" s="9">
        <v>25</v>
      </c>
      <c r="T48" s="8"/>
      <c r="U48" s="9" t="s">
        <v>103</v>
      </c>
      <c r="V48" s="8">
        <v>89</v>
      </c>
      <c r="W48" s="9">
        <v>16</v>
      </c>
      <c r="X48" s="8"/>
      <c r="Y48" s="9" t="s">
        <v>103</v>
      </c>
      <c r="Z48" s="8">
        <v>85</v>
      </c>
      <c r="AA48" s="9">
        <v>15.5</v>
      </c>
      <c r="AB48" s="8"/>
      <c r="AC48" s="9" t="s">
        <v>103</v>
      </c>
      <c r="AD48" s="8">
        <v>81</v>
      </c>
      <c r="AE48" s="9">
        <v>17.5</v>
      </c>
      <c r="AF48" s="8"/>
      <c r="AG48" s="9" t="s">
        <v>103</v>
      </c>
      <c r="AH48" s="8">
        <v>84</v>
      </c>
      <c r="AI48" s="9">
        <v>25.5</v>
      </c>
      <c r="AJ48" s="8">
        <v>76</v>
      </c>
      <c r="AK48" s="9">
        <v>24.5</v>
      </c>
      <c r="AL48" s="8">
        <v>79</v>
      </c>
      <c r="AM48" s="9">
        <v>19</v>
      </c>
      <c r="AN48" s="6">
        <v>198.5</v>
      </c>
      <c r="AO48" s="10">
        <v>19.850000000000001</v>
      </c>
    </row>
    <row r="49" spans="1:41" x14ac:dyDescent="0.2">
      <c r="A49" s="11">
        <v>15.11</v>
      </c>
      <c r="B49" s="3" t="s">
        <v>15</v>
      </c>
      <c r="C49" s="3"/>
      <c r="D49" s="8">
        <v>25</v>
      </c>
      <c r="E49" s="12">
        <v>7.5</v>
      </c>
      <c r="F49" s="8"/>
      <c r="G49" s="12" t="s">
        <v>103</v>
      </c>
      <c r="H49" s="8">
        <v>31</v>
      </c>
      <c r="I49" s="12">
        <v>9.5</v>
      </c>
      <c r="J49" s="8"/>
      <c r="K49" s="12" t="s">
        <v>103</v>
      </c>
      <c r="L49" s="8">
        <v>36</v>
      </c>
      <c r="M49" s="12">
        <v>13</v>
      </c>
      <c r="N49" s="8"/>
      <c r="O49" s="12" t="s">
        <v>103</v>
      </c>
      <c r="P49" s="8"/>
      <c r="Q49" s="12" t="s">
        <v>103</v>
      </c>
      <c r="R49" s="8">
        <v>37</v>
      </c>
      <c r="S49" s="12">
        <v>15</v>
      </c>
      <c r="T49" s="8"/>
      <c r="U49" s="12" t="s">
        <v>103</v>
      </c>
      <c r="V49" s="8">
        <v>28</v>
      </c>
      <c r="W49" s="12">
        <v>5</v>
      </c>
      <c r="X49" s="8"/>
      <c r="Y49" s="12" t="s">
        <v>103</v>
      </c>
      <c r="Z49" s="8">
        <v>29</v>
      </c>
      <c r="AA49" s="12">
        <v>4.5</v>
      </c>
      <c r="AB49" s="8"/>
      <c r="AC49" s="12" t="s">
        <v>103</v>
      </c>
      <c r="AD49" s="8">
        <v>36</v>
      </c>
      <c r="AE49" s="12">
        <v>11.5</v>
      </c>
      <c r="AF49" s="8"/>
      <c r="AG49" s="12" t="s">
        <v>103</v>
      </c>
      <c r="AH49" s="8">
        <v>31</v>
      </c>
      <c r="AI49" s="12">
        <v>9.5</v>
      </c>
      <c r="AJ49" s="8">
        <v>41</v>
      </c>
      <c r="AK49" s="12">
        <v>15.5</v>
      </c>
      <c r="AL49" s="8">
        <v>32</v>
      </c>
      <c r="AM49" s="12">
        <v>10</v>
      </c>
      <c r="AN49" s="13">
        <v>32.6</v>
      </c>
      <c r="AO49" s="10">
        <v>10.1</v>
      </c>
    </row>
    <row r="50" spans="1:41" x14ac:dyDescent="0.2">
      <c r="A50" s="14">
        <v>15.021000000000001</v>
      </c>
      <c r="B50" s="15" t="s">
        <v>16</v>
      </c>
      <c r="C50" s="16">
        <v>13.5</v>
      </c>
      <c r="D50" s="17">
        <v>-16</v>
      </c>
      <c r="E50" s="18">
        <v>6</v>
      </c>
      <c r="F50" s="17"/>
      <c r="G50" s="18" t="s">
        <v>103</v>
      </c>
      <c r="H50" s="17">
        <v>-22</v>
      </c>
      <c r="I50" s="18">
        <v>6</v>
      </c>
      <c r="J50" s="17"/>
      <c r="K50" s="18" t="s">
        <v>103</v>
      </c>
      <c r="L50" s="17">
        <v>14</v>
      </c>
      <c r="M50" s="18">
        <v>13.5</v>
      </c>
      <c r="N50" s="17"/>
      <c r="O50" s="18" t="s">
        <v>103</v>
      </c>
      <c r="P50" s="17"/>
      <c r="Q50" s="18" t="s">
        <v>103</v>
      </c>
      <c r="R50" s="17">
        <v>-2</v>
      </c>
      <c r="S50" s="18">
        <v>10</v>
      </c>
      <c r="T50" s="17"/>
      <c r="U50" s="18" t="s">
        <v>103</v>
      </c>
      <c r="V50" s="17">
        <v>4</v>
      </c>
      <c r="W50" s="18">
        <v>11</v>
      </c>
      <c r="X50" s="17"/>
      <c r="Y50" s="18" t="s">
        <v>103</v>
      </c>
      <c r="Z50" s="17">
        <v>3</v>
      </c>
      <c r="AA50" s="18">
        <v>11</v>
      </c>
      <c r="AB50" s="17"/>
      <c r="AC50" s="18" t="s">
        <v>103</v>
      </c>
      <c r="AD50" s="17">
        <v>-15</v>
      </c>
      <c r="AE50" s="18">
        <v>6</v>
      </c>
      <c r="AF50" s="17"/>
      <c r="AG50" s="18" t="s">
        <v>103</v>
      </c>
      <c r="AH50" s="17">
        <v>14</v>
      </c>
      <c r="AI50" s="18">
        <v>16</v>
      </c>
      <c r="AJ50" s="17">
        <v>-2</v>
      </c>
      <c r="AK50" s="18">
        <v>9</v>
      </c>
      <c r="AL50" s="17">
        <v>-7</v>
      </c>
      <c r="AM50" s="18">
        <v>9</v>
      </c>
      <c r="AN50" s="19">
        <v>-29</v>
      </c>
      <c r="AO50" s="20">
        <v>9.75</v>
      </c>
    </row>
    <row r="51" spans="1:41" x14ac:dyDescent="0.2">
      <c r="A51" s="4">
        <v>16</v>
      </c>
      <c r="B51" s="5" t="s">
        <v>33</v>
      </c>
      <c r="C51" s="7">
        <v>8</v>
      </c>
      <c r="D51" s="8"/>
      <c r="E51" s="9" t="s">
        <v>103</v>
      </c>
      <c r="F51" s="8">
        <v>100</v>
      </c>
      <c r="G51" s="9">
        <v>12</v>
      </c>
      <c r="H51" s="8">
        <v>90</v>
      </c>
      <c r="I51" s="9">
        <v>12.5</v>
      </c>
      <c r="J51" s="8"/>
      <c r="K51" s="9" t="s">
        <v>103</v>
      </c>
      <c r="L51" s="8"/>
      <c r="M51" s="9" t="s">
        <v>103</v>
      </c>
      <c r="N51" s="8">
        <v>93</v>
      </c>
      <c r="O51" s="9">
        <v>11</v>
      </c>
      <c r="P51" s="8"/>
      <c r="Q51" s="9" t="s">
        <v>103</v>
      </c>
      <c r="R51" s="8"/>
      <c r="S51" s="9" t="s">
        <v>103</v>
      </c>
      <c r="T51" s="8">
        <v>90</v>
      </c>
      <c r="U51" s="9">
        <v>9</v>
      </c>
      <c r="V51" s="8">
        <v>90</v>
      </c>
      <c r="W51" s="9">
        <v>19.5</v>
      </c>
      <c r="X51" s="8">
        <v>99</v>
      </c>
      <c r="Y51" s="9">
        <v>13.5</v>
      </c>
      <c r="Z51" s="8">
        <v>90</v>
      </c>
      <c r="AA51" s="9">
        <v>27.5</v>
      </c>
      <c r="AB51" s="8"/>
      <c r="AC51" s="9" t="s">
        <v>103</v>
      </c>
      <c r="AD51" s="8"/>
      <c r="AE51" s="9" t="s">
        <v>103</v>
      </c>
      <c r="AF51" s="8">
        <v>88</v>
      </c>
      <c r="AG51" s="9">
        <v>27</v>
      </c>
      <c r="AH51" s="8"/>
      <c r="AI51" s="9" t="s">
        <v>103</v>
      </c>
      <c r="AJ51" s="8"/>
      <c r="AK51" s="9" t="s">
        <v>103</v>
      </c>
      <c r="AL51" s="8"/>
      <c r="AM51" s="9" t="s">
        <v>103</v>
      </c>
      <c r="AN51" s="6">
        <v>132</v>
      </c>
      <c r="AO51" s="10">
        <v>16.5</v>
      </c>
    </row>
    <row r="52" spans="1:41" x14ac:dyDescent="0.2">
      <c r="A52" s="11">
        <v>16.190000000000001</v>
      </c>
      <c r="B52" s="3" t="s">
        <v>15</v>
      </c>
      <c r="C52" s="3"/>
      <c r="D52" s="8"/>
      <c r="E52" s="12" t="s">
        <v>103</v>
      </c>
      <c r="F52" s="8">
        <v>25</v>
      </c>
      <c r="G52" s="12">
        <v>6.5</v>
      </c>
      <c r="H52" s="8">
        <v>30</v>
      </c>
      <c r="I52" s="12">
        <v>7.5</v>
      </c>
      <c r="J52" s="8"/>
      <c r="K52" s="12" t="s">
        <v>103</v>
      </c>
      <c r="L52" s="8"/>
      <c r="M52" s="12" t="s">
        <v>103</v>
      </c>
      <c r="N52" s="8">
        <v>27</v>
      </c>
      <c r="O52" s="12">
        <v>5</v>
      </c>
      <c r="P52" s="8"/>
      <c r="Q52" s="12" t="s">
        <v>103</v>
      </c>
      <c r="R52" s="8"/>
      <c r="S52" s="12" t="s">
        <v>103</v>
      </c>
      <c r="T52" s="8">
        <v>31</v>
      </c>
      <c r="U52" s="12">
        <v>7</v>
      </c>
      <c r="V52" s="8">
        <v>35</v>
      </c>
      <c r="W52" s="12">
        <v>14.5</v>
      </c>
      <c r="X52" s="8">
        <v>30</v>
      </c>
      <c r="Y52" s="12">
        <v>8</v>
      </c>
      <c r="Z52" s="8">
        <v>33</v>
      </c>
      <c r="AA52" s="12">
        <v>11</v>
      </c>
      <c r="AB52" s="8"/>
      <c r="AC52" s="12" t="s">
        <v>103</v>
      </c>
      <c r="AD52" s="8"/>
      <c r="AE52" s="12" t="s">
        <v>103</v>
      </c>
      <c r="AF52" s="8">
        <v>34</v>
      </c>
      <c r="AG52" s="12">
        <v>13</v>
      </c>
      <c r="AH52" s="8"/>
      <c r="AI52" s="12" t="s">
        <v>103</v>
      </c>
      <c r="AJ52" s="8"/>
      <c r="AK52" s="12" t="s">
        <v>103</v>
      </c>
      <c r="AL52" s="8"/>
      <c r="AM52" s="12" t="s">
        <v>103</v>
      </c>
      <c r="AN52" s="13">
        <v>30.625</v>
      </c>
      <c r="AO52" s="10">
        <v>9.0625</v>
      </c>
    </row>
    <row r="53" spans="1:41" x14ac:dyDescent="0.2">
      <c r="A53" s="14">
        <v>16.021899999999999</v>
      </c>
      <c r="B53" s="15" t="s">
        <v>16</v>
      </c>
      <c r="C53" s="16">
        <v>9</v>
      </c>
      <c r="D53" s="17"/>
      <c r="E53" s="18" t="s">
        <v>103</v>
      </c>
      <c r="F53" s="17">
        <v>-9</v>
      </c>
      <c r="G53" s="18">
        <v>5.5</v>
      </c>
      <c r="H53" s="17">
        <v>-28</v>
      </c>
      <c r="I53" s="18">
        <v>5</v>
      </c>
      <c r="J53" s="17"/>
      <c r="K53" s="18" t="s">
        <v>103</v>
      </c>
      <c r="L53" s="17"/>
      <c r="M53" s="18" t="s">
        <v>103</v>
      </c>
      <c r="N53" s="17">
        <v>-9</v>
      </c>
      <c r="O53" s="18">
        <v>6</v>
      </c>
      <c r="P53" s="17"/>
      <c r="Q53" s="18" t="s">
        <v>103</v>
      </c>
      <c r="R53" s="17"/>
      <c r="S53" s="18" t="s">
        <v>103</v>
      </c>
      <c r="T53" s="17">
        <v>-27</v>
      </c>
      <c r="U53" s="18">
        <v>2</v>
      </c>
      <c r="V53" s="17">
        <v>-22</v>
      </c>
      <c r="W53" s="18">
        <v>5</v>
      </c>
      <c r="X53" s="17">
        <v>-15</v>
      </c>
      <c r="Y53" s="18">
        <v>5.5</v>
      </c>
      <c r="Z53" s="17">
        <v>15</v>
      </c>
      <c r="AA53" s="18">
        <v>16.5</v>
      </c>
      <c r="AB53" s="17"/>
      <c r="AC53" s="18" t="s">
        <v>103</v>
      </c>
      <c r="AD53" s="17"/>
      <c r="AE53" s="18" t="s">
        <v>103</v>
      </c>
      <c r="AF53" s="17">
        <v>24</v>
      </c>
      <c r="AG53" s="18">
        <v>14</v>
      </c>
      <c r="AH53" s="17"/>
      <c r="AI53" s="18" t="s">
        <v>103</v>
      </c>
      <c r="AJ53" s="17"/>
      <c r="AK53" s="18" t="s">
        <v>103</v>
      </c>
      <c r="AL53" s="17"/>
      <c r="AM53" s="18" t="s">
        <v>103</v>
      </c>
      <c r="AN53" s="19">
        <v>-71</v>
      </c>
      <c r="AO53" s="20">
        <v>7.4375</v>
      </c>
    </row>
    <row r="54" spans="1:41" x14ac:dyDescent="0.2">
      <c r="A54" s="4">
        <v>17</v>
      </c>
      <c r="B54" s="22" t="s">
        <v>29</v>
      </c>
      <c r="C54" s="7">
        <v>13</v>
      </c>
      <c r="D54" s="8">
        <v>113</v>
      </c>
      <c r="E54" s="9">
        <v>10</v>
      </c>
      <c r="F54" s="8">
        <v>106</v>
      </c>
      <c r="G54" s="9">
        <v>12.5</v>
      </c>
      <c r="H54" s="8"/>
      <c r="I54" s="9" t="s">
        <v>103</v>
      </c>
      <c r="J54" s="8">
        <v>105</v>
      </c>
      <c r="K54" s="9">
        <v>14.5</v>
      </c>
      <c r="L54" s="8">
        <v>104</v>
      </c>
      <c r="M54" s="9">
        <v>16</v>
      </c>
      <c r="N54" s="8"/>
      <c r="O54" s="9" t="s">
        <v>103</v>
      </c>
      <c r="P54" s="8">
        <v>100</v>
      </c>
      <c r="Q54" s="9">
        <v>8</v>
      </c>
      <c r="R54" s="8">
        <v>100</v>
      </c>
      <c r="S54" s="9">
        <v>11</v>
      </c>
      <c r="T54" s="8">
        <v>102</v>
      </c>
      <c r="U54" s="9">
        <v>4</v>
      </c>
      <c r="V54" s="8">
        <v>104</v>
      </c>
      <c r="W54" s="9">
        <v>8</v>
      </c>
      <c r="X54" s="8">
        <v>101</v>
      </c>
      <c r="Y54" s="9">
        <v>15.5</v>
      </c>
      <c r="Z54" s="8"/>
      <c r="AA54" s="9" t="s">
        <v>103</v>
      </c>
      <c r="AB54" s="8">
        <v>100</v>
      </c>
      <c r="AC54" s="9">
        <v>17</v>
      </c>
      <c r="AD54" s="8">
        <v>100</v>
      </c>
      <c r="AE54" s="9">
        <v>16.5</v>
      </c>
      <c r="AF54" s="8"/>
      <c r="AG54" s="9" t="s">
        <v>103</v>
      </c>
      <c r="AH54" s="8">
        <v>102</v>
      </c>
      <c r="AI54" s="9">
        <v>9</v>
      </c>
      <c r="AJ54" s="8"/>
      <c r="AK54" s="9" t="s">
        <v>103</v>
      </c>
      <c r="AL54" s="8">
        <v>106</v>
      </c>
      <c r="AM54" s="9">
        <v>9</v>
      </c>
      <c r="AN54" s="6">
        <v>131</v>
      </c>
      <c r="AO54" s="10">
        <v>11.615384615384615</v>
      </c>
    </row>
    <row r="55" spans="1:41" x14ac:dyDescent="0.2">
      <c r="A55" s="11">
        <v>17.114000000000001</v>
      </c>
      <c r="B55" s="3" t="s">
        <v>15</v>
      </c>
      <c r="C55" s="3"/>
      <c r="D55" s="8">
        <v>14</v>
      </c>
      <c r="E55" s="12">
        <v>5</v>
      </c>
      <c r="F55" s="8">
        <v>24</v>
      </c>
      <c r="G55" s="12">
        <v>5</v>
      </c>
      <c r="H55" s="8"/>
      <c r="I55" s="12" t="s">
        <v>103</v>
      </c>
      <c r="J55" s="8">
        <v>22</v>
      </c>
      <c r="K55" s="12">
        <v>3</v>
      </c>
      <c r="L55" s="8">
        <v>26</v>
      </c>
      <c r="M55" s="12">
        <v>7.5</v>
      </c>
      <c r="N55" s="8"/>
      <c r="O55" s="12" t="s">
        <v>103</v>
      </c>
      <c r="P55" s="8">
        <v>27</v>
      </c>
      <c r="Q55" s="12">
        <v>3</v>
      </c>
      <c r="R55" s="8">
        <v>30</v>
      </c>
      <c r="S55" s="12">
        <v>6</v>
      </c>
      <c r="T55" s="8">
        <v>22</v>
      </c>
      <c r="U55" s="12">
        <v>1</v>
      </c>
      <c r="V55" s="8">
        <v>23</v>
      </c>
      <c r="W55" s="12">
        <v>4</v>
      </c>
      <c r="X55" s="8">
        <v>31</v>
      </c>
      <c r="Y55" s="12">
        <v>10</v>
      </c>
      <c r="Z55" s="8"/>
      <c r="AA55" s="12" t="s">
        <v>103</v>
      </c>
      <c r="AB55" s="8">
        <v>30</v>
      </c>
      <c r="AC55" s="12">
        <v>8</v>
      </c>
      <c r="AD55" s="8">
        <v>32</v>
      </c>
      <c r="AE55" s="12">
        <v>6</v>
      </c>
      <c r="AF55" s="8"/>
      <c r="AG55" s="12" t="s">
        <v>103</v>
      </c>
      <c r="AH55" s="8">
        <v>29</v>
      </c>
      <c r="AI55" s="12">
        <v>5</v>
      </c>
      <c r="AJ55" s="8"/>
      <c r="AK55" s="12" t="s">
        <v>103</v>
      </c>
      <c r="AL55" s="8">
        <v>22</v>
      </c>
      <c r="AM55" s="12">
        <v>3</v>
      </c>
      <c r="AN55" s="13">
        <v>25.53846153846154</v>
      </c>
      <c r="AO55" s="10">
        <v>5.115384615384615</v>
      </c>
    </row>
    <row r="56" spans="1:41" x14ac:dyDescent="0.2">
      <c r="A56" s="14">
        <v>17.0214</v>
      </c>
      <c r="B56" s="15" t="s">
        <v>16</v>
      </c>
      <c r="C56" s="16">
        <v>9</v>
      </c>
      <c r="D56" s="17">
        <v>-38</v>
      </c>
      <c r="E56" s="18">
        <v>5</v>
      </c>
      <c r="F56" s="17">
        <v>-7</v>
      </c>
      <c r="G56" s="18">
        <v>7.5</v>
      </c>
      <c r="H56" s="17"/>
      <c r="I56" s="18" t="s">
        <v>103</v>
      </c>
      <c r="J56" s="17">
        <v>3</v>
      </c>
      <c r="K56" s="18">
        <v>11.5</v>
      </c>
      <c r="L56" s="17">
        <v>-6</v>
      </c>
      <c r="M56" s="18">
        <v>8.5</v>
      </c>
      <c r="N56" s="17"/>
      <c r="O56" s="18" t="s">
        <v>103</v>
      </c>
      <c r="P56" s="17">
        <v>-21</v>
      </c>
      <c r="Q56" s="18">
        <v>5</v>
      </c>
      <c r="R56" s="17">
        <v>-27</v>
      </c>
      <c r="S56" s="18">
        <v>5</v>
      </c>
      <c r="T56" s="17">
        <v>-25</v>
      </c>
      <c r="U56" s="18">
        <v>3</v>
      </c>
      <c r="V56" s="17">
        <v>-32</v>
      </c>
      <c r="W56" s="18">
        <v>4</v>
      </c>
      <c r="X56" s="17">
        <v>-15</v>
      </c>
      <c r="Y56" s="18">
        <v>5.5</v>
      </c>
      <c r="Z56" s="17"/>
      <c r="AA56" s="18" t="s">
        <v>103</v>
      </c>
      <c r="AB56" s="17">
        <v>-8</v>
      </c>
      <c r="AC56" s="18">
        <v>9</v>
      </c>
      <c r="AD56" s="17">
        <v>1</v>
      </c>
      <c r="AE56" s="18">
        <v>10.5</v>
      </c>
      <c r="AF56" s="17"/>
      <c r="AG56" s="18" t="s">
        <v>103</v>
      </c>
      <c r="AH56" s="17">
        <v>-30</v>
      </c>
      <c r="AI56" s="18">
        <v>4</v>
      </c>
      <c r="AJ56" s="17"/>
      <c r="AK56" s="18" t="s">
        <v>103</v>
      </c>
      <c r="AL56" s="17">
        <v>-23</v>
      </c>
      <c r="AM56" s="18">
        <v>6</v>
      </c>
      <c r="AN56" s="19">
        <v>-228</v>
      </c>
      <c r="AO56" s="20">
        <v>6.5</v>
      </c>
    </row>
    <row r="57" spans="1:41" x14ac:dyDescent="0.2">
      <c r="A57" s="4">
        <v>18</v>
      </c>
      <c r="B57" s="21" t="s">
        <v>25</v>
      </c>
      <c r="C57" s="7">
        <v>7</v>
      </c>
      <c r="D57" s="8"/>
      <c r="E57" s="9" t="s">
        <v>103</v>
      </c>
      <c r="F57" s="8">
        <v>88</v>
      </c>
      <c r="G57" s="9">
        <v>19</v>
      </c>
      <c r="H57" s="8"/>
      <c r="I57" s="9" t="s">
        <v>103</v>
      </c>
      <c r="J57" s="8">
        <v>83</v>
      </c>
      <c r="K57" s="9">
        <v>13.5</v>
      </c>
      <c r="L57" s="8">
        <v>91</v>
      </c>
      <c r="M57" s="9">
        <v>12.5</v>
      </c>
      <c r="N57" s="8">
        <v>79</v>
      </c>
      <c r="O57" s="9">
        <v>19.5</v>
      </c>
      <c r="P57" s="8">
        <v>84</v>
      </c>
      <c r="Q57" s="9">
        <v>10</v>
      </c>
      <c r="R57" s="8"/>
      <c r="S57" s="9" t="s">
        <v>103</v>
      </c>
      <c r="T57" s="8">
        <v>79</v>
      </c>
      <c r="U57" s="9">
        <v>18.5</v>
      </c>
      <c r="V57" s="8"/>
      <c r="W57" s="9" t="s">
        <v>103</v>
      </c>
      <c r="X57" s="8"/>
      <c r="Y57" s="9" t="s">
        <v>103</v>
      </c>
      <c r="Z57" s="8"/>
      <c r="AA57" s="9" t="s">
        <v>103</v>
      </c>
      <c r="AB57" s="8"/>
      <c r="AC57" s="9" t="s">
        <v>103</v>
      </c>
      <c r="AD57" s="8"/>
      <c r="AE57" s="9" t="s">
        <v>103</v>
      </c>
      <c r="AF57" s="8">
        <v>83</v>
      </c>
      <c r="AG57" s="9">
        <v>18.5</v>
      </c>
      <c r="AH57" s="8"/>
      <c r="AI57" s="9" t="s">
        <v>103</v>
      </c>
      <c r="AJ57" s="8"/>
      <c r="AK57" s="9" t="s">
        <v>103</v>
      </c>
      <c r="AL57" s="8"/>
      <c r="AM57" s="9" t="s">
        <v>103</v>
      </c>
      <c r="AN57" s="6">
        <v>111.5</v>
      </c>
      <c r="AO57" s="10">
        <v>15.928571428571429</v>
      </c>
    </row>
    <row r="58" spans="1:41" x14ac:dyDescent="0.2">
      <c r="A58" s="11">
        <v>18.114999999999998</v>
      </c>
      <c r="B58" s="3" t="s">
        <v>15</v>
      </c>
      <c r="C58" s="3"/>
      <c r="D58" s="8"/>
      <c r="E58" s="12" t="s">
        <v>103</v>
      </c>
      <c r="F58" s="8">
        <v>28</v>
      </c>
      <c r="G58" s="12">
        <v>9.5</v>
      </c>
      <c r="H58" s="8"/>
      <c r="I58" s="12" t="s">
        <v>103</v>
      </c>
      <c r="J58" s="8">
        <v>31</v>
      </c>
      <c r="K58" s="12">
        <v>7.5</v>
      </c>
      <c r="L58" s="8">
        <v>25</v>
      </c>
      <c r="M58" s="12">
        <v>6</v>
      </c>
      <c r="N58" s="8">
        <v>33</v>
      </c>
      <c r="O58" s="12">
        <v>10.5</v>
      </c>
      <c r="P58" s="8">
        <v>30</v>
      </c>
      <c r="Q58" s="12">
        <v>4</v>
      </c>
      <c r="R58" s="8"/>
      <c r="S58" s="12" t="s">
        <v>103</v>
      </c>
      <c r="T58" s="8">
        <v>33</v>
      </c>
      <c r="U58" s="12">
        <v>10</v>
      </c>
      <c r="V58" s="8"/>
      <c r="W58" s="12" t="s">
        <v>103</v>
      </c>
      <c r="X58" s="8"/>
      <c r="Y58" s="12" t="s">
        <v>103</v>
      </c>
      <c r="Z58" s="8"/>
      <c r="AA58" s="12" t="s">
        <v>103</v>
      </c>
      <c r="AB58" s="8"/>
      <c r="AC58" s="12" t="s">
        <v>103</v>
      </c>
      <c r="AD58" s="8"/>
      <c r="AE58" s="12" t="s">
        <v>103</v>
      </c>
      <c r="AF58" s="8">
        <v>29</v>
      </c>
      <c r="AG58" s="12">
        <v>9.5</v>
      </c>
      <c r="AH58" s="8"/>
      <c r="AI58" s="12" t="s">
        <v>103</v>
      </c>
      <c r="AJ58" s="8"/>
      <c r="AK58" s="12" t="s">
        <v>103</v>
      </c>
      <c r="AL58" s="8"/>
      <c r="AM58" s="12" t="s">
        <v>103</v>
      </c>
      <c r="AN58" s="13">
        <v>29.857142857142858</v>
      </c>
      <c r="AO58" s="10">
        <v>8.1428571428571423</v>
      </c>
    </row>
    <row r="59" spans="1:41" x14ac:dyDescent="0.2">
      <c r="A59" s="14">
        <v>18.0215</v>
      </c>
      <c r="B59" s="15" t="s">
        <v>16</v>
      </c>
      <c r="C59" s="16">
        <v>10</v>
      </c>
      <c r="D59" s="17"/>
      <c r="E59" s="18" t="s">
        <v>103</v>
      </c>
      <c r="F59" s="17">
        <v>-1</v>
      </c>
      <c r="G59" s="18">
        <v>9.5</v>
      </c>
      <c r="H59" s="17"/>
      <c r="I59" s="18" t="s">
        <v>103</v>
      </c>
      <c r="J59" s="17">
        <v>-24</v>
      </c>
      <c r="K59" s="18">
        <v>6</v>
      </c>
      <c r="L59" s="17">
        <v>-24</v>
      </c>
      <c r="M59" s="18">
        <v>6.5</v>
      </c>
      <c r="N59" s="17">
        <v>-2</v>
      </c>
      <c r="O59" s="18">
        <v>9</v>
      </c>
      <c r="P59" s="17">
        <v>-19</v>
      </c>
      <c r="Q59" s="18">
        <v>6</v>
      </c>
      <c r="R59" s="17"/>
      <c r="S59" s="18" t="s">
        <v>103</v>
      </c>
      <c r="T59" s="17">
        <v>-6</v>
      </c>
      <c r="U59" s="18">
        <v>8.5</v>
      </c>
      <c r="V59" s="17"/>
      <c r="W59" s="18" t="s">
        <v>103</v>
      </c>
      <c r="X59" s="17"/>
      <c r="Y59" s="18" t="s">
        <v>103</v>
      </c>
      <c r="Z59" s="17"/>
      <c r="AA59" s="18" t="s">
        <v>103</v>
      </c>
      <c r="AB59" s="17"/>
      <c r="AC59" s="18" t="s">
        <v>103</v>
      </c>
      <c r="AD59" s="17"/>
      <c r="AE59" s="18" t="s">
        <v>103</v>
      </c>
      <c r="AF59" s="17">
        <v>-4</v>
      </c>
      <c r="AG59" s="18">
        <v>9</v>
      </c>
      <c r="AH59" s="17"/>
      <c r="AI59" s="18" t="s">
        <v>103</v>
      </c>
      <c r="AJ59" s="17"/>
      <c r="AK59" s="18" t="s">
        <v>103</v>
      </c>
      <c r="AL59" s="17"/>
      <c r="AM59" s="18" t="s">
        <v>103</v>
      </c>
      <c r="AN59" s="19">
        <v>-80</v>
      </c>
      <c r="AO59" s="20">
        <v>7.7857142857142856</v>
      </c>
    </row>
    <row r="60" spans="1:41" x14ac:dyDescent="0.2">
      <c r="A60" s="4">
        <v>19</v>
      </c>
      <c r="B60" s="21" t="s">
        <v>31</v>
      </c>
      <c r="C60" s="7">
        <v>3</v>
      </c>
      <c r="D60" s="8"/>
      <c r="E60" s="9" t="s">
        <v>103</v>
      </c>
      <c r="F60" s="8">
        <v>108</v>
      </c>
      <c r="G60" s="9">
        <v>7</v>
      </c>
      <c r="H60" s="8"/>
      <c r="I60" s="9" t="s">
        <v>103</v>
      </c>
      <c r="J60" s="8"/>
      <c r="K60" s="9" t="s">
        <v>103</v>
      </c>
      <c r="L60" s="8"/>
      <c r="M60" s="9" t="s">
        <v>103</v>
      </c>
      <c r="N60" s="8">
        <v>94</v>
      </c>
      <c r="O60" s="9">
        <v>19.5</v>
      </c>
      <c r="P60" s="8"/>
      <c r="Q60" s="9" t="s">
        <v>103</v>
      </c>
      <c r="R60" s="8"/>
      <c r="S60" s="9" t="s">
        <v>103</v>
      </c>
      <c r="T60" s="8"/>
      <c r="U60" s="9" t="s">
        <v>103</v>
      </c>
      <c r="V60" s="8">
        <v>103</v>
      </c>
      <c r="W60" s="9">
        <v>6</v>
      </c>
      <c r="X60" s="8"/>
      <c r="Y60" s="9" t="s">
        <v>103</v>
      </c>
      <c r="Z60" s="8"/>
      <c r="AA60" s="9" t="s">
        <v>103</v>
      </c>
      <c r="AB60" s="8"/>
      <c r="AC60" s="9" t="s">
        <v>103</v>
      </c>
      <c r="AD60" s="8"/>
      <c r="AE60" s="9" t="s">
        <v>103</v>
      </c>
      <c r="AF60" s="8"/>
      <c r="AG60" s="9" t="s">
        <v>103</v>
      </c>
      <c r="AH60" s="8"/>
      <c r="AI60" s="9" t="s">
        <v>103</v>
      </c>
      <c r="AJ60" s="8"/>
      <c r="AK60" s="9" t="s">
        <v>103</v>
      </c>
      <c r="AL60" s="8"/>
      <c r="AM60" s="9" t="s">
        <v>103</v>
      </c>
      <c r="AN60" s="6">
        <v>32.5</v>
      </c>
      <c r="AO60" s="10">
        <v>10.833333333333334</v>
      </c>
    </row>
    <row r="61" spans="1:41" x14ac:dyDescent="0.2">
      <c r="A61" s="11">
        <v>19.116</v>
      </c>
      <c r="B61" s="3" t="s">
        <v>15</v>
      </c>
      <c r="C61" s="3"/>
      <c r="D61" s="8"/>
      <c r="E61" s="12" t="s">
        <v>103</v>
      </c>
      <c r="F61" s="8">
        <v>22</v>
      </c>
      <c r="G61" s="12">
        <v>4</v>
      </c>
      <c r="H61" s="25"/>
      <c r="I61" s="12" t="s">
        <v>103</v>
      </c>
      <c r="J61" s="8"/>
      <c r="K61" s="12" t="s">
        <v>103</v>
      </c>
      <c r="L61" s="8"/>
      <c r="M61" s="12" t="s">
        <v>103</v>
      </c>
      <c r="N61" s="8">
        <v>28</v>
      </c>
      <c r="O61" s="12">
        <v>6</v>
      </c>
      <c r="P61" s="8"/>
      <c r="Q61" s="12" t="s">
        <v>103</v>
      </c>
      <c r="R61" s="8"/>
      <c r="S61" s="12" t="s">
        <v>103</v>
      </c>
      <c r="T61" s="8"/>
      <c r="U61" s="12" t="s">
        <v>103</v>
      </c>
      <c r="V61" s="8">
        <v>22</v>
      </c>
      <c r="W61" s="12">
        <v>3</v>
      </c>
      <c r="X61" s="8"/>
      <c r="Y61" s="12" t="s">
        <v>103</v>
      </c>
      <c r="Z61" s="8"/>
      <c r="AA61" s="12" t="s">
        <v>103</v>
      </c>
      <c r="AB61" s="8"/>
      <c r="AC61" s="12" t="s">
        <v>103</v>
      </c>
      <c r="AD61" s="8"/>
      <c r="AE61" s="12" t="s">
        <v>103</v>
      </c>
      <c r="AF61" s="8"/>
      <c r="AG61" s="12" t="s">
        <v>103</v>
      </c>
      <c r="AH61" s="8"/>
      <c r="AI61" s="12" t="s">
        <v>103</v>
      </c>
      <c r="AJ61" s="8"/>
      <c r="AK61" s="12" t="s">
        <v>103</v>
      </c>
      <c r="AL61" s="8"/>
      <c r="AM61" s="12" t="s">
        <v>103</v>
      </c>
      <c r="AN61" s="13">
        <v>24</v>
      </c>
      <c r="AO61" s="10">
        <v>4.333333333333333</v>
      </c>
    </row>
    <row r="62" spans="1:41" x14ac:dyDescent="0.2">
      <c r="A62" s="14">
        <v>19.021599999999999</v>
      </c>
      <c r="B62" s="24" t="s">
        <v>16</v>
      </c>
      <c r="C62" s="16">
        <v>6</v>
      </c>
      <c r="D62" s="17"/>
      <c r="E62" s="18" t="s">
        <v>103</v>
      </c>
      <c r="F62" s="17">
        <v>-41</v>
      </c>
      <c r="G62" s="18">
        <v>3</v>
      </c>
      <c r="H62" s="17"/>
      <c r="I62" s="18" t="s">
        <v>103</v>
      </c>
      <c r="J62" s="17"/>
      <c r="K62" s="18" t="s">
        <v>103</v>
      </c>
      <c r="L62" s="17"/>
      <c r="M62" s="18" t="s">
        <v>103</v>
      </c>
      <c r="N62" s="17">
        <v>12</v>
      </c>
      <c r="O62" s="18">
        <v>13.5</v>
      </c>
      <c r="P62" s="17"/>
      <c r="Q62" s="18" t="s">
        <v>103</v>
      </c>
      <c r="R62" s="17"/>
      <c r="S62" s="18" t="s">
        <v>103</v>
      </c>
      <c r="T62" s="17"/>
      <c r="U62" s="18" t="s">
        <v>103</v>
      </c>
      <c r="V62" s="17">
        <v>-33</v>
      </c>
      <c r="W62" s="18">
        <v>3</v>
      </c>
      <c r="X62" s="17"/>
      <c r="Y62" s="18" t="s">
        <v>103</v>
      </c>
      <c r="Z62" s="17"/>
      <c r="AA62" s="18" t="s">
        <v>103</v>
      </c>
      <c r="AB62" s="17"/>
      <c r="AC62" s="18" t="s">
        <v>103</v>
      </c>
      <c r="AD62" s="17"/>
      <c r="AE62" s="18" t="s">
        <v>103</v>
      </c>
      <c r="AF62" s="17"/>
      <c r="AG62" s="18" t="s">
        <v>103</v>
      </c>
      <c r="AH62" s="17"/>
      <c r="AI62" s="18" t="s">
        <v>103</v>
      </c>
      <c r="AJ62" s="17"/>
      <c r="AK62" s="18" t="s">
        <v>103</v>
      </c>
      <c r="AL62" s="17"/>
      <c r="AM62" s="18" t="s">
        <v>103</v>
      </c>
      <c r="AN62" s="19">
        <v>-62</v>
      </c>
      <c r="AO62" s="20">
        <v>6.5</v>
      </c>
    </row>
    <row r="65" spans="2:96" x14ac:dyDescent="0.2">
      <c r="B65" t="s">
        <v>35</v>
      </c>
      <c r="C65"/>
      <c r="D65" s="26">
        <f>AVERAGE(E6,E9,E12,E15,E18,E21,E24,E27,E30,E33,E36,E39,E42,E45,E48,E51,E54,E57,E60)</f>
        <v>20.863636363636363</v>
      </c>
      <c r="E65" s="27"/>
      <c r="F65" s="26">
        <f>AVERAGE(G6,G9,G12,G15,G18,G21,G24,G27,G30,G33,G36,G39,G42,G45,G48,G51,G54,G57,G60)</f>
        <v>20.866666666666667</v>
      </c>
      <c r="G65" s="27"/>
      <c r="H65" s="26">
        <f>AVERAGE(I6,I9,I12,I15,I18,I21,I24,I27,I30,I33,I36,I39,I42,I45,I48,I51,I54,I57,I60)</f>
        <v>20.76923076923077</v>
      </c>
      <c r="I65" s="27"/>
      <c r="J65" s="26">
        <f>AVERAGE(K6,K9,K12,K15,K18,K21,K24,K27,K30,K33,K36,K39,K42,K45,K48,K51,K54,K57,K60)</f>
        <v>22.73076923076923</v>
      </c>
      <c r="K65" s="27"/>
      <c r="L65" s="26">
        <f>AVERAGE(M6,M9,M12,M15,M18,M21,M24,M27,M30,M33,M36,M39,M42,M45,M48,M51,M54,M57,M60)</f>
        <v>21</v>
      </c>
      <c r="M65" s="27"/>
      <c r="N65" s="26">
        <f>AVERAGE(O6,O9,O12,O15,O18,O21,O24,O27,O30,O33,O36,O39,O42,O45,O48,O51,O54,O57,O60)</f>
        <v>21.107142857142858</v>
      </c>
      <c r="O65" s="27"/>
      <c r="P65" s="26">
        <f>AVERAGE(Q6,Q9,Q12,Q15,Q18,Q21,Q24,Q27,Q30,Q33,Q36,Q39,Q42,Q45,Q48,Q51,Q54,Q57,Q60)</f>
        <v>19.153846153846153</v>
      </c>
      <c r="Q65" s="27"/>
      <c r="R65" s="26">
        <f>AVERAGE(S6,S9,S12,S15,S18,S21,S24,S27,S30,S33,S36,S39,S42,S45,S48,S51,S54,S57,S60)</f>
        <v>21</v>
      </c>
      <c r="S65" s="27"/>
      <c r="T65" s="26">
        <f>AVERAGE(U6,U9,U12,U15,U18,U21,U24,U27,U30,U33,U36,U39,U42,U45,U48,U51,U54,U57,U60)</f>
        <v>22.352941176470587</v>
      </c>
      <c r="U65" s="27"/>
      <c r="V65" s="26">
        <f>AVERAGE(W6,W9,W12,W15,W18,W21,W24,W27,W30,W33,W36,W39,W42,W45,W48,W51,W54,W57,W60)</f>
        <v>21.25</v>
      </c>
      <c r="W65" s="27"/>
      <c r="X65" s="26">
        <f>AVERAGE(Y6,Y9,Y12,Y15,Y18,Y21,Y24,Y27,Y30,Y33,Y36,Y39,Y42,Y45,Y48,Y51,Y54,Y57,Y60)</f>
        <v>21.107142857142858</v>
      </c>
      <c r="Y65" s="27"/>
      <c r="Z65" s="26">
        <f>AVERAGE(AA6,AA9,AA12,AA15,AA18,AA21,AA24,AA27,AA30,AA33,AA36,AA39,AA42,AA45,AA48,AA51,AA54,AA57,AA60)</f>
        <v>20.533333333333335</v>
      </c>
      <c r="AA65" s="27"/>
      <c r="AB65" s="26">
        <f>AVERAGE(AC6,AC9,AC12,AC15,AC18,AC21,AC24,AC27,AC30,AC33,AC36,AC39,AC42,AC45,AC48,AC51,AC54,AC57,AC60)</f>
        <v>21.8</v>
      </c>
      <c r="AC65" s="27"/>
      <c r="AD65" s="26">
        <f>AVERAGE(AE6,AE9,AE12,AE15,AE18,AE21,AE24,AE27,AE30,AE33,AE36,AE39,AE42,AE45,AE48,AE51,AE54,AE57,AE60)</f>
        <v>20.833333333333332</v>
      </c>
      <c r="AE65" s="27"/>
      <c r="AF65" s="26">
        <f>AVERAGE(AG6,AG9,AG12,AG15,AG18,AG21,AG24,AG27,AG30,AG33,AG36,AG39,AG42,AG45,AG48,AG51,AG54,AG57,AG60)</f>
        <v>21</v>
      </c>
      <c r="AG65" s="27"/>
      <c r="AH65" s="26">
        <f>AVERAGE(AI6,AI9,AI12,AI15,AI18,AI21,AI24,AI27,AI30,AI33,AI36,AI39,AI42,AI45,AI48,AI51,AI54,AI57,AI60)</f>
        <v>20.933333333333334</v>
      </c>
      <c r="AI65" s="27"/>
      <c r="AJ65" s="26">
        <f>AVERAGE(AK6,AK9,AK12,AK15,AK18,AK21,AK24,AK27,AK30,AK33,AK36,AK39,AK42,AK45,AK48,AK51,AK54,AK57,AK60)</f>
        <v>21</v>
      </c>
      <c r="AK65" s="27"/>
      <c r="AL65" s="26">
        <f>AVERAGE(AM6,AM9,AM12,AM15,AM18,AM21,AM24,AM27,AM30,AM33,AM36,AM39,AM42,AM45,AM48,AM51,AM54,AM57,AM60)</f>
        <v>20.233333333333334</v>
      </c>
      <c r="AM65" s="28">
        <f>AVERAGE(AN6,AN9,AN12,AN15,AN18,AN21,AN24,AN27,AN30,AN33,AN39,AN42,AN45,AN48,AN51,AN54,AN57,AN60)</f>
        <v>215.08333333333334</v>
      </c>
    </row>
    <row r="66" spans="2:96" x14ac:dyDescent="0.2">
      <c r="C66"/>
      <c r="D66"/>
      <c r="CR66" s="1"/>
    </row>
    <row r="67" spans="2:96" x14ac:dyDescent="0.2">
      <c r="D67" s="29"/>
      <c r="F67" s="29"/>
      <c r="H67" s="29"/>
      <c r="J67" s="29"/>
      <c r="L67" s="29"/>
      <c r="N67" s="29"/>
      <c r="P67" s="29"/>
      <c r="R67" s="29"/>
      <c r="T67" s="29" t="e">
        <f>U6+U9+U12+U15+U18+U21+U24+U27+U30+U33+U36+U39+U42+U45+U48+U51+U54+U57+U60</f>
        <v>#VALUE!</v>
      </c>
      <c r="V67" s="29" t="e">
        <f>W6+W9+W12+W15+W18+W21+W24+W27+W30+W33+W36+W39+W42+W45+W48+W51+W54+W57+W60</f>
        <v>#VALUE!</v>
      </c>
      <c r="X67" s="29" t="e">
        <f>Y6+Y9+Y12+Y15+Y18+Y21+Y24+Y27+Y30+Y33+Y36+Y39+Y42+Y45+Y48+Y51+Y54+Y57+Y60</f>
        <v>#VALUE!</v>
      </c>
      <c r="Z67" s="29" t="e">
        <f>AA6+AA9+AA12+AA15+AA18+AA21+AA24+AA27+AA30+AA33+AA36+AA39+AA42+AA45+AA48+AA51+AA54+AA57+AA60</f>
        <v>#VALUE!</v>
      </c>
      <c r="AB67" s="29" t="e">
        <f>AC6+AC9+AC12+AC15+AC18+AC21+AC24+AC27+AC30+AC33+AC36+AC39+AC42+AC45+AC48+AC51+AC54+AC57+AC60</f>
        <v>#VALUE!</v>
      </c>
      <c r="AD67" s="29" t="e">
        <f>AE6+AE9+AE12+AE15+AE18+AE21+AE24+AE27+AE30+AE33+AE36+AE39+AE42+AE45+AE48+AE51+AE54+AE57+AE60</f>
        <v>#VALUE!</v>
      </c>
      <c r="AF67" s="29" t="e">
        <f>AG6+AG9+AG12+AG15+AG18+AG21+AG24+AG27+AG30+AG33+AG36+AG39+AG42+AG45+AG48+AG51+AG54+AG57+AG60</f>
        <v>#VALUE!</v>
      </c>
      <c r="AH67" s="29" t="e">
        <f>AI6+AI9+AI12+AI15+AI18+AI21+AI24+AI27+AI30+AI33+AI36+AI39+AI42+AI45+AI48+AI51+AI54+AI57+AI60</f>
        <v>#VALUE!</v>
      </c>
      <c r="AJ67" s="29" t="e">
        <f>AK6+AK9+AK12+AK15+AK18+AK21+AK24+AK27+AK30+AK33+AK36+AK39+AK42+AK45+AK48+AK51+AK54+AK57+AK60</f>
        <v>#VALUE!</v>
      </c>
      <c r="AL67" s="29" t="e">
        <f>AM6+AM9+AM12+AM15+AM18+AM21+AM24+AM27+AM30+AM33+AM36+AM39+AM42+AM45+AM48+AM51+AM54+AM57+AM60</f>
        <v>#VALUE!</v>
      </c>
      <c r="AM67" s="30">
        <f>AN6+AN9+AN12+AN15+AN18+AN21+AN24+AN27+AN30+AN33+AN36+AN39+AN42+AN45+AN48+AN51+AN54+AN57+AN60</f>
        <v>4103.5</v>
      </c>
      <c r="CR67" s="1"/>
    </row>
    <row r="68" spans="2:96" x14ac:dyDescent="0.2">
      <c r="D68"/>
      <c r="CR68" s="1"/>
    </row>
    <row r="69" spans="2:96" x14ac:dyDescent="0.2">
      <c r="D69" s="31"/>
      <c r="F69" s="31"/>
      <c r="H69" s="31"/>
      <c r="J69" s="31"/>
      <c r="L69" s="31"/>
      <c r="N69" s="31"/>
      <c r="P69" s="31"/>
      <c r="R69" s="31"/>
      <c r="T69" s="31" t="e">
        <f>+#REF!+#REF!+#REF!+#REF!+#REF!+#REF!+#REF!+#REF!+#REF!+#REF!+#REF!+T67</f>
        <v>#REF!</v>
      </c>
      <c r="V69" s="31" t="e">
        <f>+#REF!+#REF!+#REF!+#REF!+#REF!+#REF!+#REF!+#REF!+#REF!+#REF!+#REF!+V67</f>
        <v>#REF!</v>
      </c>
      <c r="X69" s="31" t="e">
        <f>+#REF!+#REF!+#REF!+#REF!+#REF!+#REF!+#REF!+#REF!+#REF!+#REF!+#REF!+X67</f>
        <v>#REF!</v>
      </c>
      <c r="Z69" s="31" t="e">
        <f>+#REF!+#REF!+#REF!+#REF!+#REF!+#REF!+#REF!+#REF!+#REF!+#REF!+#REF!+Z67</f>
        <v>#REF!</v>
      </c>
      <c r="AB69" s="31" t="e">
        <f>+#REF!+#REF!+#REF!+#REF!+#REF!+#REF!+#REF!+#REF!+#REF!+#REF!+#REF!+AB67</f>
        <v>#REF!</v>
      </c>
      <c r="AD69" s="31" t="e">
        <f>+#REF!+#REF!+#REF!+#REF!+#REF!+#REF!+#REF!+#REF!+#REF!+#REF!+#REF!+AD67</f>
        <v>#REF!</v>
      </c>
      <c r="AF69" s="31" t="e">
        <f>+#REF!+#REF!+#REF!+#REF!+#REF!+#REF!+#REF!+#REF!+#REF!+#REF!+#REF!+AF67</f>
        <v>#REF!</v>
      </c>
      <c r="AH69" s="31" t="e">
        <f>+#REF!+#REF!+#REF!+#REF!+#REF!+#REF!+#REF!+#REF!+#REF!+#REF!+#REF!+AH67</f>
        <v>#REF!</v>
      </c>
      <c r="AJ69" s="31" t="e">
        <f>+#REF!+#REF!+#REF!+#REF!+#REF!+#REF!+#REF!+#REF!+#REF!+#REF!+#REF!+AJ67</f>
        <v>#REF!</v>
      </c>
      <c r="AL69" s="31" t="e">
        <f>+#REF!+#REF!+#REF!+#REF!+#REF!+#REF!+#REF!+#REF!+#REF!+#REF!+#REF!+AL67</f>
        <v>#REF!</v>
      </c>
      <c r="CR69" s="1"/>
    </row>
    <row r="70" spans="2:96" x14ac:dyDescent="0.2">
      <c r="B70" s="4"/>
      <c r="C70" s="4"/>
      <c r="CR70" s="1"/>
    </row>
  </sheetData>
  <mergeCells count="92">
    <mergeCell ref="C1:C4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AJ2:AK2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4:AM4"/>
    <mergeCell ref="D5:E5"/>
    <mergeCell ref="H5:I5"/>
    <mergeCell ref="AB4:AC4"/>
    <mergeCell ref="AD4:AE4"/>
    <mergeCell ref="AF4:AG4"/>
    <mergeCell ref="AH4:AI4"/>
    <mergeCell ref="AJ4:AK4"/>
    <mergeCell ref="F5:G5"/>
    <mergeCell ref="J5:K5"/>
    <mergeCell ref="L5:M5"/>
    <mergeCell ref="N5:O5"/>
    <mergeCell ref="P5:Q5"/>
    <mergeCell ref="R5:S5"/>
    <mergeCell ref="T5:U5"/>
    <mergeCell ref="V5:W5"/>
    <mergeCell ref="AH5:AI5"/>
    <mergeCell ref="AJ5:AK5"/>
    <mergeCell ref="AL5:AM5"/>
    <mergeCell ref="X5:Y5"/>
    <mergeCell ref="Z5:AA5"/>
    <mergeCell ref="AB5:AC5"/>
    <mergeCell ref="AD5:AE5"/>
    <mergeCell ref="AF5:AG5"/>
  </mergeCells>
  <pageMargins left="0.95" right="0.2" top="0.25" bottom="0.25" header="0.511811023622047" footer="0.511811023622047"/>
  <pageSetup scale="34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47"/>
  <sheetViews>
    <sheetView zoomScaleNormal="100" zoomScalePageLayoutView="60" workbookViewId="0">
      <selection activeCell="G52" sqref="G52"/>
    </sheetView>
  </sheetViews>
  <sheetFormatPr defaultColWidth="8.88671875" defaultRowHeight="14.25" outlineLevelRow="1" x14ac:dyDescent="0.2"/>
  <cols>
    <col min="1" max="1" width="1.6640625" style="4" customWidth="1"/>
    <col min="2" max="2" width="12.109375" customWidth="1"/>
    <col min="3" max="3" width="6.109375" customWidth="1"/>
    <col min="4" max="4" width="3.77734375" customWidth="1"/>
    <col min="5" max="5" width="4.21875" customWidth="1"/>
    <col min="6" max="6" width="3.5546875" customWidth="1"/>
    <col min="7" max="7" width="4.21875" customWidth="1"/>
    <col min="8" max="8" width="6.21875" customWidth="1"/>
    <col min="9" max="9" width="2.77734375" customWidth="1"/>
    <col min="10" max="10" width="2" customWidth="1"/>
    <col min="11" max="11" width="12.109375" customWidth="1"/>
    <col min="12" max="12" width="6.44140625" customWidth="1"/>
    <col min="13" max="13" width="3.5546875" customWidth="1"/>
    <col min="14" max="14" width="4.21875" customWidth="1"/>
    <col min="15" max="15" width="3.5546875" customWidth="1"/>
    <col min="16" max="16" width="4.33203125" customWidth="1"/>
    <col min="17" max="17" width="6.21875" customWidth="1"/>
  </cols>
  <sheetData>
    <row r="1" spans="1:17" x14ac:dyDescent="0.2">
      <c r="D1" s="103" t="s">
        <v>106</v>
      </c>
      <c r="E1" s="103"/>
      <c r="F1" s="103"/>
      <c r="G1" s="103"/>
      <c r="H1" s="103"/>
      <c r="M1" s="85" t="s">
        <v>107</v>
      </c>
      <c r="N1" s="85"/>
      <c r="O1" s="85"/>
      <c r="P1" s="85"/>
      <c r="Q1" s="85"/>
    </row>
    <row r="2" spans="1:17" s="32" customFormat="1" ht="14.25" customHeight="1" x14ac:dyDescent="0.2">
      <c r="A2" s="33"/>
      <c r="B2" s="2"/>
      <c r="D2" s="104" t="s">
        <v>99</v>
      </c>
      <c r="E2" s="104"/>
      <c r="F2" s="104" t="s">
        <v>99</v>
      </c>
      <c r="G2" s="104"/>
      <c r="H2" s="54" t="s">
        <v>1</v>
      </c>
      <c r="L2" s="54" t="s">
        <v>1</v>
      </c>
      <c r="M2" s="86" t="s">
        <v>99</v>
      </c>
      <c r="N2" s="86"/>
      <c r="O2" s="86" t="s">
        <v>99</v>
      </c>
      <c r="P2" s="86"/>
      <c r="Q2" s="54" t="s">
        <v>100</v>
      </c>
    </row>
    <row r="3" spans="1:17" x14ac:dyDescent="0.2">
      <c r="B3" s="3" t="s">
        <v>101</v>
      </c>
      <c r="C3" t="s">
        <v>1</v>
      </c>
      <c r="D3" s="88">
        <v>1</v>
      </c>
      <c r="E3" s="88"/>
      <c r="F3" s="88">
        <v>2</v>
      </c>
      <c r="G3" s="88"/>
      <c r="M3" s="84">
        <v>3</v>
      </c>
      <c r="N3" s="84"/>
      <c r="O3" s="84">
        <v>4</v>
      </c>
      <c r="P3" s="84"/>
    </row>
    <row r="4" spans="1:17" x14ac:dyDescent="0.2">
      <c r="A4" s="4">
        <v>1</v>
      </c>
      <c r="B4" s="81" t="s">
        <v>83</v>
      </c>
      <c r="C4" s="61">
        <v>285.5</v>
      </c>
      <c r="D4" s="27">
        <v>76</v>
      </c>
      <c r="E4" s="62">
        <f>E5+E6</f>
        <v>45</v>
      </c>
      <c r="F4" s="27">
        <v>83</v>
      </c>
      <c r="G4" s="62">
        <f>G5+G6</f>
        <v>15</v>
      </c>
      <c r="H4" s="61">
        <f>G4+E4+C4</f>
        <v>345.5</v>
      </c>
      <c r="J4" s="4">
        <v>1</v>
      </c>
      <c r="K4" s="81" t="s">
        <v>84</v>
      </c>
      <c r="L4" s="63">
        <v>335</v>
      </c>
      <c r="M4" s="27">
        <v>76</v>
      </c>
      <c r="N4" s="62">
        <f>N5+N6</f>
        <v>32</v>
      </c>
      <c r="O4" s="27">
        <v>77</v>
      </c>
      <c r="P4" s="62">
        <f>P5+P6</f>
        <v>64</v>
      </c>
      <c r="Q4" s="64">
        <f>P4+N4+L4</f>
        <v>431</v>
      </c>
    </row>
    <row r="5" spans="1:17" outlineLevel="1" x14ac:dyDescent="0.2">
      <c r="B5" s="3" t="s">
        <v>15</v>
      </c>
      <c r="C5" s="29"/>
      <c r="D5" s="27">
        <v>40</v>
      </c>
      <c r="E5" s="65">
        <f>8*3</f>
        <v>24</v>
      </c>
      <c r="F5" s="27">
        <v>31</v>
      </c>
      <c r="G5" s="27">
        <v>9</v>
      </c>
      <c r="H5" s="29"/>
      <c r="J5" s="4"/>
      <c r="K5" s="3" t="s">
        <v>15</v>
      </c>
      <c r="L5" s="1"/>
      <c r="M5" s="27">
        <v>33</v>
      </c>
      <c r="N5" s="27">
        <v>16</v>
      </c>
      <c r="O5" s="27">
        <v>32</v>
      </c>
      <c r="P5" s="27">
        <v>32</v>
      </c>
    </row>
    <row r="6" spans="1:17" outlineLevel="1" x14ac:dyDescent="0.2">
      <c r="A6" s="66"/>
      <c r="B6" s="15" t="s">
        <v>16</v>
      </c>
      <c r="C6" s="29"/>
      <c r="D6" s="67">
        <v>29</v>
      </c>
      <c r="E6" s="68">
        <v>21</v>
      </c>
      <c r="F6" s="67">
        <v>-26</v>
      </c>
      <c r="G6" s="60">
        <v>6</v>
      </c>
      <c r="H6" s="69"/>
      <c r="J6" s="66"/>
      <c r="K6" s="15" t="s">
        <v>16</v>
      </c>
      <c r="L6" s="1"/>
      <c r="M6" s="70">
        <v>-5</v>
      </c>
      <c r="N6" s="27">
        <v>16</v>
      </c>
      <c r="O6" s="70">
        <v>9</v>
      </c>
      <c r="P6" s="27">
        <v>32</v>
      </c>
    </row>
    <row r="7" spans="1:17" x14ac:dyDescent="0.2">
      <c r="A7" s="4">
        <v>2</v>
      </c>
      <c r="B7" s="81" t="s">
        <v>85</v>
      </c>
      <c r="C7" s="61">
        <v>270</v>
      </c>
      <c r="D7" s="27">
        <v>75</v>
      </c>
      <c r="E7" s="62">
        <f>E8+E9</f>
        <v>45</v>
      </c>
      <c r="F7" s="27">
        <v>78</v>
      </c>
      <c r="G7" s="62">
        <f>G8+G9</f>
        <v>27</v>
      </c>
      <c r="H7" s="61">
        <f>G7+E7+C7</f>
        <v>342</v>
      </c>
      <c r="J7" s="4">
        <v>2</v>
      </c>
      <c r="K7" s="81" t="s">
        <v>83</v>
      </c>
      <c r="L7" s="63">
        <v>345.5</v>
      </c>
      <c r="M7" s="27">
        <v>78</v>
      </c>
      <c r="N7" s="62">
        <f>N8+N9</f>
        <v>48</v>
      </c>
      <c r="O7" s="27">
        <v>82</v>
      </c>
      <c r="P7" s="62">
        <f>P8+P9</f>
        <v>36</v>
      </c>
      <c r="Q7" s="64">
        <f>P7+N7+L7</f>
        <v>429.5</v>
      </c>
    </row>
    <row r="8" spans="1:17" outlineLevel="1" x14ac:dyDescent="0.2">
      <c r="B8" s="3" t="s">
        <v>15</v>
      </c>
      <c r="D8" s="27">
        <v>37</v>
      </c>
      <c r="E8" s="65">
        <f>7*3</f>
        <v>21</v>
      </c>
      <c r="F8" s="27">
        <v>35</v>
      </c>
      <c r="G8" s="27">
        <v>13.5</v>
      </c>
      <c r="J8" s="4"/>
      <c r="K8" s="3" t="s">
        <v>15</v>
      </c>
      <c r="L8" s="1"/>
      <c r="M8" s="27">
        <v>35</v>
      </c>
      <c r="N8" s="27">
        <v>24</v>
      </c>
      <c r="O8" s="27">
        <v>31</v>
      </c>
      <c r="P8" s="27">
        <v>20</v>
      </c>
    </row>
    <row r="9" spans="1:17" outlineLevel="1" x14ac:dyDescent="0.2">
      <c r="A9" s="66"/>
      <c r="B9" s="15" t="s">
        <v>16</v>
      </c>
      <c r="C9" s="29"/>
      <c r="D9" s="67">
        <v>45</v>
      </c>
      <c r="E9" s="68">
        <v>24</v>
      </c>
      <c r="F9" s="67">
        <v>6</v>
      </c>
      <c r="G9" s="60">
        <v>13.5</v>
      </c>
      <c r="H9" s="69"/>
      <c r="J9" s="66"/>
      <c r="K9" s="15" t="s">
        <v>16</v>
      </c>
      <c r="L9" s="1"/>
      <c r="M9" s="67">
        <v>3</v>
      </c>
      <c r="N9" s="60">
        <v>24</v>
      </c>
      <c r="O9" s="67">
        <v>5</v>
      </c>
      <c r="P9" s="60">
        <v>16</v>
      </c>
    </row>
    <row r="10" spans="1:17" x14ac:dyDescent="0.2">
      <c r="A10" s="4">
        <v>3</v>
      </c>
      <c r="B10" s="81" t="s">
        <v>116</v>
      </c>
      <c r="C10" s="61">
        <v>263.5</v>
      </c>
      <c r="D10" s="27">
        <v>85</v>
      </c>
      <c r="E10" s="9">
        <f>E11+E12</f>
        <v>34.5</v>
      </c>
      <c r="F10" s="27">
        <v>85</v>
      </c>
      <c r="G10" s="62">
        <f>G11+G12</f>
        <v>43.5</v>
      </c>
      <c r="H10" s="61">
        <f>G10+E10+C10</f>
        <v>341.5</v>
      </c>
      <c r="J10" s="4">
        <v>3</v>
      </c>
      <c r="K10" s="81" t="s">
        <v>85</v>
      </c>
      <c r="L10" s="63">
        <v>342</v>
      </c>
      <c r="M10" s="27">
        <v>75</v>
      </c>
      <c r="N10" s="62">
        <f>N11+N12</f>
        <v>64</v>
      </c>
      <c r="O10" s="27">
        <v>82</v>
      </c>
      <c r="P10" s="62">
        <f>P11+P12</f>
        <v>16</v>
      </c>
      <c r="Q10" s="64">
        <f>P10+N10+L10</f>
        <v>422</v>
      </c>
    </row>
    <row r="11" spans="1:17" outlineLevel="1" x14ac:dyDescent="0.2">
      <c r="B11" s="3" t="s">
        <v>15</v>
      </c>
      <c r="C11" s="29"/>
      <c r="D11" s="27">
        <v>36</v>
      </c>
      <c r="E11" s="65">
        <f>11*3/2</f>
        <v>16.5</v>
      </c>
      <c r="F11" s="27">
        <v>36</v>
      </c>
      <c r="G11" s="27">
        <v>19.5</v>
      </c>
      <c r="H11" s="29"/>
      <c r="J11" s="4"/>
      <c r="K11" s="3" t="s">
        <v>15</v>
      </c>
      <c r="M11" s="27">
        <v>38</v>
      </c>
      <c r="N11" s="27">
        <v>32</v>
      </c>
      <c r="O11" s="27">
        <v>30</v>
      </c>
      <c r="P11" s="27">
        <v>8</v>
      </c>
    </row>
    <row r="12" spans="1:17" outlineLevel="1" x14ac:dyDescent="0.2">
      <c r="A12" s="66"/>
      <c r="B12" s="15" t="s">
        <v>16</v>
      </c>
      <c r="C12" s="29"/>
      <c r="D12" s="67">
        <v>21</v>
      </c>
      <c r="E12" s="68">
        <v>18</v>
      </c>
      <c r="F12" s="67">
        <v>24</v>
      </c>
      <c r="G12" s="60">
        <v>24</v>
      </c>
      <c r="H12" s="69"/>
      <c r="J12" s="66"/>
      <c r="K12" s="15" t="s">
        <v>16</v>
      </c>
      <c r="M12" s="67">
        <v>9</v>
      </c>
      <c r="N12" s="60">
        <v>32</v>
      </c>
      <c r="O12" s="67">
        <v>-21</v>
      </c>
      <c r="P12" s="60">
        <v>8</v>
      </c>
    </row>
    <row r="13" spans="1:17" x14ac:dyDescent="0.2">
      <c r="A13" s="4">
        <v>4</v>
      </c>
      <c r="B13" s="81" t="s">
        <v>84</v>
      </c>
      <c r="C13" s="61">
        <v>273.5</v>
      </c>
      <c r="D13" s="27">
        <v>74</v>
      </c>
      <c r="E13" s="62">
        <f>E14+E15</f>
        <v>21</v>
      </c>
      <c r="F13" s="27">
        <v>73</v>
      </c>
      <c r="G13" s="62">
        <f>G14+G15</f>
        <v>40.5</v>
      </c>
      <c r="H13" s="61">
        <f>G13+E13+C13</f>
        <v>335</v>
      </c>
      <c r="J13" s="4">
        <v>4</v>
      </c>
      <c r="K13" s="81" t="s">
        <v>116</v>
      </c>
      <c r="L13" s="63">
        <v>341.5</v>
      </c>
      <c r="M13" s="27">
        <v>97</v>
      </c>
      <c r="N13" s="62">
        <f>N14+N15</f>
        <v>16</v>
      </c>
      <c r="O13" s="27">
        <v>90</v>
      </c>
      <c r="P13" s="62">
        <f>P14+P15</f>
        <v>44</v>
      </c>
      <c r="Q13" s="64">
        <f>P13+N13+L13</f>
        <v>401.5</v>
      </c>
    </row>
    <row r="14" spans="1:17" outlineLevel="1" x14ac:dyDescent="0.2">
      <c r="B14" s="3" t="s">
        <v>15</v>
      </c>
      <c r="C14" s="29"/>
      <c r="D14" s="27">
        <v>35</v>
      </c>
      <c r="E14" s="65">
        <f>4*3</f>
        <v>12</v>
      </c>
      <c r="F14" s="27">
        <v>36</v>
      </c>
      <c r="G14" s="27">
        <v>19.5</v>
      </c>
      <c r="H14" s="29"/>
      <c r="K14" s="3" t="s">
        <v>15</v>
      </c>
      <c r="L14" s="1"/>
      <c r="M14" s="27">
        <v>24</v>
      </c>
      <c r="N14" s="27">
        <v>8</v>
      </c>
      <c r="O14" s="27">
        <v>31</v>
      </c>
      <c r="P14" s="27">
        <v>20</v>
      </c>
      <c r="Q14" s="34"/>
    </row>
    <row r="15" spans="1:17" outlineLevel="1" x14ac:dyDescent="0.2">
      <c r="A15" s="66"/>
      <c r="B15" s="15" t="s">
        <v>16</v>
      </c>
      <c r="C15" s="29"/>
      <c r="D15" s="67">
        <v>-19</v>
      </c>
      <c r="E15" s="68">
        <v>9</v>
      </c>
      <c r="F15" s="67">
        <v>20</v>
      </c>
      <c r="G15" s="60">
        <v>21</v>
      </c>
      <c r="H15" s="69"/>
      <c r="J15" s="66"/>
      <c r="K15" s="15" t="s">
        <v>16</v>
      </c>
      <c r="L15" s="1"/>
      <c r="M15" s="67">
        <v>-7</v>
      </c>
      <c r="N15" s="60">
        <v>8</v>
      </c>
      <c r="O15" s="67">
        <v>7</v>
      </c>
      <c r="P15" s="60">
        <v>24</v>
      </c>
    </row>
    <row r="16" spans="1:17" x14ac:dyDescent="0.2">
      <c r="A16" s="4">
        <v>5</v>
      </c>
      <c r="B16" s="81" t="s">
        <v>81</v>
      </c>
      <c r="C16" s="61">
        <v>269</v>
      </c>
      <c r="D16" s="27">
        <v>97</v>
      </c>
      <c r="E16" s="62">
        <f>E17+E18</f>
        <v>15</v>
      </c>
      <c r="F16" s="27">
        <v>88</v>
      </c>
      <c r="G16" s="62">
        <f>G17+G18</f>
        <v>31.5</v>
      </c>
      <c r="H16" s="61">
        <f>G16+E16+C16</f>
        <v>315.5</v>
      </c>
      <c r="L16" s="29"/>
      <c r="M16" s="27"/>
      <c r="N16" s="65"/>
      <c r="O16" s="27"/>
      <c r="P16" s="65"/>
    </row>
    <row r="17" spans="1:16" outlineLevel="1" x14ac:dyDescent="0.2">
      <c r="B17" s="3" t="s">
        <v>15</v>
      </c>
      <c r="C17" s="29"/>
      <c r="D17" s="27">
        <v>26</v>
      </c>
      <c r="E17" s="65">
        <v>3</v>
      </c>
      <c r="F17" s="27">
        <v>35</v>
      </c>
      <c r="G17" s="27">
        <v>13.5</v>
      </c>
      <c r="M17" s="27"/>
      <c r="N17" s="27"/>
      <c r="O17" s="27"/>
      <c r="P17" s="27"/>
    </row>
    <row r="18" spans="1:16" outlineLevel="1" x14ac:dyDescent="0.2">
      <c r="A18" s="66"/>
      <c r="B18" s="15" t="s">
        <v>16</v>
      </c>
      <c r="C18" s="29"/>
      <c r="D18" s="67">
        <v>-11</v>
      </c>
      <c r="E18" s="68">
        <v>12</v>
      </c>
      <c r="F18" s="67">
        <v>12</v>
      </c>
      <c r="G18" s="60">
        <v>18</v>
      </c>
      <c r="H18" s="36"/>
      <c r="M18" s="70"/>
      <c r="N18" s="27"/>
      <c r="O18" s="70"/>
      <c r="P18" s="27"/>
    </row>
    <row r="19" spans="1:16" x14ac:dyDescent="0.2">
      <c r="A19" s="4">
        <v>6</v>
      </c>
      <c r="B19" s="81" t="s">
        <v>93</v>
      </c>
      <c r="C19" s="61">
        <v>268</v>
      </c>
      <c r="D19" s="27">
        <v>85</v>
      </c>
      <c r="E19" s="9">
        <f>E20+E21</f>
        <v>31.5</v>
      </c>
      <c r="F19" s="27">
        <v>96</v>
      </c>
      <c r="G19" s="62">
        <f>G20+G21</f>
        <v>6</v>
      </c>
      <c r="H19" s="61">
        <f>G19+E19+C19</f>
        <v>305.5</v>
      </c>
      <c r="L19" s="29"/>
      <c r="M19" s="27"/>
      <c r="N19" s="65"/>
      <c r="O19" s="27"/>
      <c r="P19" s="65"/>
    </row>
    <row r="20" spans="1:16" outlineLevel="1" x14ac:dyDescent="0.2">
      <c r="B20" s="3" t="s">
        <v>15</v>
      </c>
      <c r="D20" s="27">
        <v>36</v>
      </c>
      <c r="E20" s="65">
        <f>11*3/2</f>
        <v>16.5</v>
      </c>
      <c r="F20" s="27">
        <v>25</v>
      </c>
      <c r="G20" s="27">
        <v>3</v>
      </c>
      <c r="M20" s="27"/>
      <c r="N20" s="27"/>
      <c r="O20" s="27"/>
      <c r="P20" s="27"/>
    </row>
    <row r="21" spans="1:16" outlineLevel="1" x14ac:dyDescent="0.2">
      <c r="A21" s="66"/>
      <c r="B21" s="15" t="s">
        <v>16</v>
      </c>
      <c r="D21" s="67">
        <v>19</v>
      </c>
      <c r="E21" s="68">
        <v>15</v>
      </c>
      <c r="F21" s="67">
        <v>-32</v>
      </c>
      <c r="G21" s="60">
        <v>3</v>
      </c>
      <c r="H21" s="36"/>
      <c r="M21" s="70"/>
      <c r="N21" s="27"/>
      <c r="O21" s="70"/>
      <c r="P21" s="27"/>
    </row>
    <row r="22" spans="1:16" x14ac:dyDescent="0.2">
      <c r="A22" s="4">
        <v>7</v>
      </c>
      <c r="B22" s="82" t="s">
        <v>95</v>
      </c>
      <c r="C22" s="61">
        <v>252.5</v>
      </c>
      <c r="D22" s="27">
        <v>97</v>
      </c>
      <c r="E22" s="62">
        <f>E23+E24</f>
        <v>12</v>
      </c>
      <c r="F22" s="27">
        <v>87</v>
      </c>
      <c r="G22" s="62">
        <f>G23+G24</f>
        <v>33</v>
      </c>
      <c r="H22" s="61">
        <f>G22+E22+C22</f>
        <v>297.5</v>
      </c>
      <c r="L22" s="29"/>
      <c r="M22" s="27"/>
      <c r="N22" s="65"/>
      <c r="O22" s="27"/>
      <c r="P22" s="65"/>
    </row>
    <row r="23" spans="1:16" outlineLevel="1" x14ac:dyDescent="0.2">
      <c r="B23" s="3" t="s">
        <v>15</v>
      </c>
      <c r="C23" s="29"/>
      <c r="D23" s="27">
        <v>27</v>
      </c>
      <c r="E23" s="65">
        <v>6</v>
      </c>
      <c r="F23" s="27">
        <v>37</v>
      </c>
      <c r="G23" s="27">
        <v>24</v>
      </c>
      <c r="H23" s="29"/>
      <c r="M23" s="27"/>
      <c r="N23" s="27"/>
      <c r="O23" s="27"/>
      <c r="P23" s="27"/>
    </row>
    <row r="24" spans="1:16" outlineLevel="1" x14ac:dyDescent="0.2">
      <c r="A24" s="66"/>
      <c r="B24" s="15" t="s">
        <v>16</v>
      </c>
      <c r="C24" s="29"/>
      <c r="D24" s="67">
        <v>-39</v>
      </c>
      <c r="E24" s="68">
        <v>6</v>
      </c>
      <c r="F24" s="67">
        <v>-10</v>
      </c>
      <c r="G24" s="60">
        <v>9</v>
      </c>
      <c r="H24" s="69"/>
      <c r="M24" s="70"/>
      <c r="N24" s="27"/>
      <c r="O24" s="70"/>
      <c r="P24" s="27"/>
    </row>
    <row r="25" spans="1:16" x14ac:dyDescent="0.2">
      <c r="A25" s="4">
        <v>8</v>
      </c>
      <c r="B25" s="81" t="s">
        <v>34</v>
      </c>
      <c r="C25" s="61">
        <v>255</v>
      </c>
      <c r="D25" s="27">
        <v>83</v>
      </c>
      <c r="E25" s="62">
        <f>E26+E27</f>
        <v>12</v>
      </c>
      <c r="F25" s="27">
        <v>86</v>
      </c>
      <c r="G25" s="62">
        <f>G26+G27</f>
        <v>19.5</v>
      </c>
      <c r="H25" s="61">
        <f>G25+E25+C25</f>
        <v>286.5</v>
      </c>
      <c r="L25" s="29"/>
      <c r="M25" s="27"/>
      <c r="N25" s="65"/>
      <c r="O25" s="27"/>
      <c r="P25" s="65"/>
    </row>
    <row r="26" spans="1:16" outlineLevel="1" x14ac:dyDescent="0.2">
      <c r="B26" s="3" t="s">
        <v>15</v>
      </c>
      <c r="D26" s="27">
        <v>29</v>
      </c>
      <c r="E26" s="65">
        <v>9</v>
      </c>
      <c r="F26" s="27">
        <v>28</v>
      </c>
      <c r="G26" s="27">
        <v>6</v>
      </c>
      <c r="M26" s="27"/>
      <c r="N26" s="27"/>
      <c r="O26" s="27"/>
      <c r="P26" s="27"/>
    </row>
    <row r="27" spans="1:16" outlineLevel="1" x14ac:dyDescent="0.2">
      <c r="A27" s="66"/>
      <c r="B27" s="15" t="s">
        <v>16</v>
      </c>
      <c r="D27" s="67">
        <v>-45</v>
      </c>
      <c r="E27" s="68">
        <v>3</v>
      </c>
      <c r="F27" s="67">
        <v>6</v>
      </c>
      <c r="G27" s="60">
        <v>13.5</v>
      </c>
      <c r="H27" s="36"/>
      <c r="M27" s="70"/>
      <c r="N27" s="27"/>
      <c r="O27" s="70"/>
      <c r="P27" s="27"/>
    </row>
    <row r="28" spans="1:16" ht="5.25" customHeight="1" x14ac:dyDescent="0.2">
      <c r="B28" s="35"/>
      <c r="D28" s="27"/>
      <c r="E28" s="27"/>
      <c r="F28" s="27"/>
      <c r="G28" s="27"/>
      <c r="M28" s="27"/>
      <c r="N28" s="27"/>
      <c r="O28" s="27"/>
      <c r="P28" s="27"/>
    </row>
    <row r="29" spans="1:16" x14ac:dyDescent="0.2">
      <c r="B29" t="s">
        <v>35</v>
      </c>
      <c r="E29" s="28">
        <f>AVERAGE(E4,E16,E7,E19,E10,E13,E22,E25)</f>
        <v>27</v>
      </c>
      <c r="G29" s="28">
        <f>AVERAGE(G4,G16,G7,G19,G10,G13,G22,G25)</f>
        <v>27</v>
      </c>
      <c r="N29" s="28"/>
      <c r="P29" s="28"/>
    </row>
    <row r="30" spans="1:16" ht="6" customHeight="1" x14ac:dyDescent="0.2">
      <c r="D30" s="1"/>
    </row>
    <row r="31" spans="1:16" x14ac:dyDescent="0.2">
      <c r="B31" t="s">
        <v>1</v>
      </c>
      <c r="D31" s="1"/>
      <c r="E31" s="30">
        <f>E13+E22+E25+E10+E19+E7+E16+E4</f>
        <v>216</v>
      </c>
      <c r="F31" s="71"/>
      <c r="G31" s="30">
        <f>G13+G22+G25+G10+G19+G7+G16+G4</f>
        <v>216</v>
      </c>
      <c r="N31" s="30"/>
      <c r="P31" s="30"/>
    </row>
    <row r="32" spans="1:16" x14ac:dyDescent="0.2">
      <c r="D32" s="1"/>
    </row>
    <row r="47" spans="2:2" x14ac:dyDescent="0.2">
      <c r="B47" s="5"/>
    </row>
  </sheetData>
  <mergeCells count="5">
    <mergeCell ref="D3:E3"/>
    <mergeCell ref="F3:G3"/>
    <mergeCell ref="D1:H1"/>
    <mergeCell ref="D2:E2"/>
    <mergeCell ref="F2:G2"/>
  </mergeCells>
  <pageMargins left="0.7" right="0.2" top="1.375" bottom="0.25" header="0.3" footer="0.511811023622047"/>
  <pageSetup pageOrder="overThenDown" orientation="landscape" verticalDpi="300" r:id="rId1"/>
  <headerFooter>
    <oddHeader>&amp;C&amp;20 2023 Wolf Cup Playoffs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P51"/>
  <sheetViews>
    <sheetView tabSelected="1" zoomScaleNormal="100" zoomScalePageLayoutView="60" workbookViewId="0">
      <selection activeCell="H58" sqref="H58"/>
    </sheetView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1" width="17.5546875" customWidth="1"/>
    <col min="13" max="13" width="9.77734375" customWidth="1"/>
    <col min="14" max="18" width="9.5546875" customWidth="1"/>
    <col min="25" max="25" width="9.109375" customWidth="1"/>
  </cols>
  <sheetData>
    <row r="1" spans="1:9" ht="18" x14ac:dyDescent="0.25">
      <c r="A1" s="37" t="s">
        <v>46</v>
      </c>
      <c r="B1" s="38">
        <v>2022</v>
      </c>
    </row>
    <row r="3" spans="1:9" x14ac:dyDescent="0.2">
      <c r="A3" s="39" t="s">
        <v>47</v>
      </c>
      <c r="B3" s="34" t="s">
        <v>48</v>
      </c>
    </row>
    <row r="5" spans="1:9" x14ac:dyDescent="0.2">
      <c r="B5" s="40" t="s">
        <v>50</v>
      </c>
      <c r="C5" s="40" t="s">
        <v>51</v>
      </c>
      <c r="D5" s="40" t="s">
        <v>51</v>
      </c>
      <c r="E5" s="40" t="s">
        <v>52</v>
      </c>
      <c r="F5" s="41">
        <v>44676</v>
      </c>
      <c r="G5" s="41"/>
      <c r="H5" s="40"/>
      <c r="I5" s="40"/>
    </row>
    <row r="6" spans="1:9" x14ac:dyDescent="0.2">
      <c r="A6" s="34" t="s">
        <v>56</v>
      </c>
      <c r="B6" s="42" t="s">
        <v>57</v>
      </c>
      <c r="C6" s="42" t="s">
        <v>58</v>
      </c>
      <c r="D6" s="42" t="s">
        <v>59</v>
      </c>
      <c r="E6" s="42" t="s">
        <v>60</v>
      </c>
      <c r="F6" s="42" t="s">
        <v>61</v>
      </c>
      <c r="G6" s="42" t="s">
        <v>62</v>
      </c>
      <c r="H6" t="s">
        <v>146</v>
      </c>
      <c r="I6" s="42"/>
    </row>
    <row r="7" spans="1:9" x14ac:dyDescent="0.2">
      <c r="A7" t="s">
        <v>17</v>
      </c>
      <c r="B7" s="1">
        <f>MIN(C33:I33)</f>
        <v>1</v>
      </c>
      <c r="C7" s="44">
        <f>AVERAGE(J33:L33)</f>
        <v>13.333333333333334</v>
      </c>
      <c r="D7" s="45">
        <f>AVERAGE(M33:O33)</f>
        <v>16.166666666666668</v>
      </c>
      <c r="E7" s="45">
        <v>8.1999999999999993</v>
      </c>
      <c r="F7" s="45">
        <v>9.6</v>
      </c>
      <c r="G7" s="45">
        <f>Table1[[#This Row],[Current Hdcp]]-Table1[[#This Row],[Lowest Hdcp]]</f>
        <v>1.4000000000000004</v>
      </c>
      <c r="H7" s="46"/>
      <c r="I7" s="45"/>
    </row>
    <row r="8" spans="1:9" x14ac:dyDescent="0.2">
      <c r="A8" t="s">
        <v>70</v>
      </c>
      <c r="B8" s="1">
        <f>MIN(C34:I34)</f>
        <v>1</v>
      </c>
      <c r="C8" s="44">
        <f>AVERAGE(J34:L34)</f>
        <v>13.666666666666666</v>
      </c>
      <c r="D8" s="45">
        <f>AVERAGE(M34:O34)</f>
        <v>15.966666666666669</v>
      </c>
      <c r="E8" s="45">
        <v>4.0999999999999996</v>
      </c>
      <c r="F8" s="45">
        <v>4.0999999999999996</v>
      </c>
      <c r="G8" s="45">
        <f>Table1[[#This Row],[Current Hdcp]]-Table1[[#This Row],[Lowest Hdcp]]</f>
        <v>0</v>
      </c>
      <c r="H8" s="1"/>
      <c r="I8" s="45"/>
    </row>
    <row r="9" spans="1:9" x14ac:dyDescent="0.2">
      <c r="A9" t="s">
        <v>25</v>
      </c>
      <c r="B9" s="1">
        <f>MIN(C35:I35)</f>
        <v>2</v>
      </c>
      <c r="C9" s="44">
        <f>AVERAGE(J35:L35)</f>
        <v>16</v>
      </c>
      <c r="D9" s="45">
        <f>AVERAGE(M35:O35)</f>
        <v>13.766666666666666</v>
      </c>
      <c r="E9" s="45">
        <v>8.1999999999999993</v>
      </c>
      <c r="F9" s="45">
        <v>8.5</v>
      </c>
      <c r="G9" s="45">
        <f>Table1[[#This Row],[Current Hdcp]]-Table1[[#This Row],[Lowest Hdcp]]</f>
        <v>0.30000000000000071</v>
      </c>
      <c r="H9" s="46"/>
      <c r="I9" s="45"/>
    </row>
    <row r="10" spans="1:9" x14ac:dyDescent="0.2">
      <c r="A10" t="s">
        <v>18</v>
      </c>
      <c r="B10" s="1">
        <f>MIN(C36:I36)</f>
        <v>1</v>
      </c>
      <c r="C10" s="44">
        <f>AVERAGE(J36:L36)</f>
        <v>13.666666666666666</v>
      </c>
      <c r="D10" s="45">
        <f>AVERAGE(M36:O36)</f>
        <v>16.433333333333334</v>
      </c>
      <c r="E10" s="45">
        <v>2.6</v>
      </c>
      <c r="F10" s="45">
        <v>5</v>
      </c>
      <c r="G10" s="45">
        <f>Table1[[#This Row],[Current Hdcp]]-Table1[[#This Row],[Lowest Hdcp]]</f>
        <v>2.4</v>
      </c>
      <c r="H10" s="46"/>
      <c r="I10" s="45"/>
    </row>
    <row r="11" spans="1:9" x14ac:dyDescent="0.2">
      <c r="A11" t="s">
        <v>71</v>
      </c>
      <c r="B11" s="1">
        <f>MIN(C37:I37)</f>
        <v>5</v>
      </c>
      <c r="C11" s="44">
        <f>AVERAGE(J37:L37)</f>
        <v>9.6666666666666661</v>
      </c>
      <c r="D11" s="45">
        <f>AVERAGE(M37:O37)</f>
        <v>15.866666666666665</v>
      </c>
      <c r="E11" s="45">
        <v>5.7</v>
      </c>
      <c r="F11" s="45">
        <v>9.8000000000000007</v>
      </c>
      <c r="G11" s="45">
        <f>Table1[[#This Row],[Current Hdcp]]-Table1[[#This Row],[Lowest Hdcp]]</f>
        <v>4.1000000000000005</v>
      </c>
      <c r="H11" s="46"/>
      <c r="I11" s="45"/>
    </row>
    <row r="12" spans="1:9" x14ac:dyDescent="0.2">
      <c r="A12" t="s">
        <v>27</v>
      </c>
      <c r="B12" s="1">
        <f>MIN(C38:I38)</f>
        <v>1</v>
      </c>
      <c r="C12" s="44">
        <f>AVERAGE(J38:L38)</f>
        <v>12.333333333333334</v>
      </c>
      <c r="D12" s="45">
        <f>AVERAGE(M38:O38)</f>
        <v>16.7</v>
      </c>
      <c r="E12" s="45">
        <v>13.5</v>
      </c>
      <c r="F12" s="45">
        <v>17.600000000000001</v>
      </c>
      <c r="G12" s="45">
        <f>Table1[[#This Row],[Current Hdcp]]-Table1[[#This Row],[Lowest Hdcp]]</f>
        <v>4.1000000000000014</v>
      </c>
      <c r="H12" s="1"/>
      <c r="I12" s="45"/>
    </row>
    <row r="13" spans="1:9" x14ac:dyDescent="0.2">
      <c r="A13" t="s">
        <v>33</v>
      </c>
      <c r="B13" s="1">
        <f>MIN(C39:I39)</f>
        <v>2</v>
      </c>
      <c r="C13" s="44">
        <f>AVERAGE(J39:L39)</f>
        <v>11.666666666666666</v>
      </c>
      <c r="D13" s="45">
        <f>AVERAGE(M39:O39)</f>
        <v>15.566666666666665</v>
      </c>
      <c r="E13" s="45">
        <v>15.9</v>
      </c>
      <c r="F13" s="45">
        <v>15.9</v>
      </c>
      <c r="G13" s="45">
        <f>Table1[[#This Row],[Current Hdcp]]-Table1[[#This Row],[Lowest Hdcp]]</f>
        <v>0</v>
      </c>
      <c r="H13" s="1"/>
      <c r="I13" s="45"/>
    </row>
    <row r="14" spans="1:9" x14ac:dyDescent="0.2">
      <c r="A14" t="s">
        <v>22</v>
      </c>
      <c r="B14" s="1">
        <f>MIN(C40:I40)</f>
        <v>8</v>
      </c>
      <c r="C14" s="44">
        <f>AVERAGE(J40:L40)</f>
        <v>14.5</v>
      </c>
      <c r="D14" s="45">
        <f>AVERAGE(M40:O40)</f>
        <v>15.5</v>
      </c>
      <c r="E14" s="45">
        <v>7.1</v>
      </c>
      <c r="F14" s="45">
        <v>9.1999999999999993</v>
      </c>
      <c r="G14" s="45">
        <f>Table1[[#This Row],[Current Hdcp]]-Table1[[#This Row],[Lowest Hdcp]]</f>
        <v>2.0999999999999996</v>
      </c>
      <c r="H14" s="46"/>
      <c r="I14" s="45"/>
    </row>
    <row r="15" spans="1:9" x14ac:dyDescent="0.2">
      <c r="A15" t="s">
        <v>28</v>
      </c>
      <c r="B15" s="1">
        <f>MIN(C41:I41)</f>
        <v>9</v>
      </c>
      <c r="C15" s="44">
        <f>AVERAGE(J41:L41)</f>
        <v>12</v>
      </c>
      <c r="D15" s="45">
        <f>AVERAGE(M41:O41)</f>
        <v>18</v>
      </c>
      <c r="E15" s="45">
        <v>11.7</v>
      </c>
      <c r="F15" s="45">
        <v>14.9</v>
      </c>
      <c r="G15" s="45">
        <f>Table1[[#This Row],[Current Hdcp]]-Table1[[#This Row],[Lowest Hdcp]]</f>
        <v>3.2000000000000011</v>
      </c>
      <c r="H15" s="1"/>
      <c r="I15" s="45"/>
    </row>
    <row r="16" spans="1:9" x14ac:dyDescent="0.2">
      <c r="A16" t="s">
        <v>24</v>
      </c>
      <c r="B16" s="1">
        <f>MIN(C42:I42)</f>
        <v>4</v>
      </c>
      <c r="C16" s="44">
        <f>AVERAGE(J42:L42)</f>
        <v>14.5</v>
      </c>
      <c r="D16" s="45">
        <f>AVERAGE(M42:O42)</f>
        <v>14.9</v>
      </c>
      <c r="E16" s="45">
        <v>11.2</v>
      </c>
      <c r="F16" s="45">
        <v>16.100000000000001</v>
      </c>
      <c r="G16" s="45">
        <f>Table1[[#This Row],[Current Hdcp]]-Table1[[#This Row],[Lowest Hdcp]]</f>
        <v>4.9000000000000021</v>
      </c>
      <c r="H16" s="1"/>
      <c r="I16" s="45"/>
    </row>
    <row r="17" spans="1:16" x14ac:dyDescent="0.2">
      <c r="A17" t="s">
        <v>32</v>
      </c>
      <c r="B17" s="1">
        <f>MIN(C43:I43)</f>
        <v>3</v>
      </c>
      <c r="C17" s="44">
        <f>AVERAGE(J43:L43)</f>
        <v>10</v>
      </c>
      <c r="D17" s="45">
        <f>AVERAGE(M43:O43)</f>
        <v>14.733333333333334</v>
      </c>
      <c r="E17" s="45">
        <v>18.2</v>
      </c>
      <c r="F17" s="45">
        <v>18.2</v>
      </c>
      <c r="G17" s="45">
        <f>Table1[[#This Row],[Current Hdcp]]-Table1[[#This Row],[Lowest Hdcp]]</f>
        <v>0</v>
      </c>
      <c r="H17" s="1"/>
      <c r="I17" s="45"/>
    </row>
    <row r="18" spans="1:16" x14ac:dyDescent="0.2">
      <c r="A18" t="s">
        <v>21</v>
      </c>
      <c r="B18" s="1">
        <f>MIN(C44:I44)</f>
        <v>12</v>
      </c>
      <c r="C18" s="44">
        <f>AVERAGE(J44:L44)</f>
        <v>11</v>
      </c>
      <c r="D18" s="45">
        <f>AVERAGE(M44:O44)</f>
        <v>14.9</v>
      </c>
      <c r="E18" s="45">
        <v>7.1</v>
      </c>
      <c r="F18" s="45">
        <v>10.1</v>
      </c>
      <c r="G18" s="45">
        <f>Table1[[#This Row],[Current Hdcp]]-Table1[[#This Row],[Lowest Hdcp]]</f>
        <v>3</v>
      </c>
      <c r="H18" s="1"/>
      <c r="I18" s="45"/>
    </row>
    <row r="19" spans="1:16" x14ac:dyDescent="0.2">
      <c r="A19" t="s">
        <v>26</v>
      </c>
      <c r="B19" s="1">
        <f>MIN(C45:I45)</f>
        <v>13</v>
      </c>
      <c r="C19" s="44">
        <f>AVERAGE(J45:L45)</f>
        <v>10</v>
      </c>
      <c r="D19" s="45">
        <f>AVERAGE(M45:O45)</f>
        <v>15.4</v>
      </c>
      <c r="E19" s="45">
        <v>14.7</v>
      </c>
      <c r="F19" s="45">
        <v>14.7</v>
      </c>
      <c r="G19" s="45">
        <f>Table1[[#This Row],[Current Hdcp]]-Table1[[#This Row],[Lowest Hdcp]]</f>
        <v>0</v>
      </c>
      <c r="H19" s="1"/>
      <c r="I19" s="45"/>
    </row>
    <row r="20" spans="1:16" x14ac:dyDescent="0.2">
      <c r="A20" t="s">
        <v>31</v>
      </c>
      <c r="B20" s="1">
        <f>MIN(C46:I46)</f>
        <v>14</v>
      </c>
      <c r="C20" s="44">
        <f>AVERAGE(J46:L46)</f>
        <v>9</v>
      </c>
      <c r="D20" s="45">
        <f>AVERAGE(M46:O46)</f>
        <v>12.9</v>
      </c>
      <c r="E20" s="45">
        <v>15.9</v>
      </c>
      <c r="F20" s="45">
        <v>15.9</v>
      </c>
      <c r="G20" s="45">
        <f>Table1[[#This Row],[Current Hdcp]]-Table1[[#This Row],[Lowest Hdcp]]</f>
        <v>0</v>
      </c>
      <c r="H20" s="1"/>
      <c r="I20" s="45"/>
    </row>
    <row r="21" spans="1:16" x14ac:dyDescent="0.2">
      <c r="A21" t="s">
        <v>14</v>
      </c>
      <c r="B21" s="1">
        <f>MIN(C47:I47)</f>
        <v>3</v>
      </c>
      <c r="C21" s="44">
        <f>AVERAGE(J47:L47)</f>
        <v>7.333333333333333</v>
      </c>
      <c r="D21" s="45">
        <f>AVERAGE(M47:O47)</f>
        <v>11.966666666666667</v>
      </c>
      <c r="E21" s="45">
        <v>9</v>
      </c>
      <c r="F21" s="45">
        <v>10</v>
      </c>
      <c r="G21" s="45">
        <f>Table1[[#This Row],[Current Hdcp]]-Table1[[#This Row],[Lowest Hdcp]]</f>
        <v>1</v>
      </c>
      <c r="H21" s="1"/>
      <c r="I21" s="45"/>
    </row>
    <row r="22" spans="1:16" x14ac:dyDescent="0.2">
      <c r="A22" t="s">
        <v>29</v>
      </c>
      <c r="B22" s="1">
        <f>MIN(C48:I48)</f>
        <v>3</v>
      </c>
      <c r="C22" s="44">
        <f>AVERAGE(J48:L48)</f>
        <v>12.333333333333334</v>
      </c>
      <c r="D22" s="45">
        <f>AVERAGE(M48:O48)</f>
        <v>8.7333333333333343</v>
      </c>
      <c r="E22" s="45">
        <v>20.2</v>
      </c>
      <c r="F22" s="45">
        <v>20.3</v>
      </c>
      <c r="G22" s="45">
        <f>Table1[[#This Row],[Current Hdcp]]-Table1[[#This Row],[Lowest Hdcp]]</f>
        <v>0.10000000000000142</v>
      </c>
      <c r="H22" s="1"/>
      <c r="I22" s="45"/>
    </row>
    <row r="23" spans="1:16" x14ac:dyDescent="0.2">
      <c r="A23" t="s">
        <v>30</v>
      </c>
      <c r="B23" s="1">
        <f>MIN(C49:I49)</f>
        <v>1</v>
      </c>
      <c r="C23" s="44" t="s">
        <v>73</v>
      </c>
      <c r="D23" s="45" t="s">
        <v>73</v>
      </c>
      <c r="E23" s="45"/>
      <c r="F23" s="45">
        <v>9.5</v>
      </c>
      <c r="G23" s="45">
        <f>Table1[[#This Row],[Current Hdcp]]-Table1[[#This Row],[Lowest Hdcp]]</f>
        <v>9.5</v>
      </c>
      <c r="H23" s="1"/>
      <c r="I23" s="45"/>
    </row>
    <row r="24" spans="1:16" x14ac:dyDescent="0.2">
      <c r="A24" t="s">
        <v>74</v>
      </c>
      <c r="B24" s="1">
        <f>MIN(C50:I50)</f>
        <v>0</v>
      </c>
      <c r="C24" s="44" t="s">
        <v>73</v>
      </c>
      <c r="D24" s="45" t="s">
        <v>73</v>
      </c>
      <c r="E24" s="45">
        <v>14.9</v>
      </c>
      <c r="F24" s="45">
        <v>19.899999999999999</v>
      </c>
      <c r="G24" s="45">
        <f>Table1[[#This Row],[Current Hdcp]]-Table1[[#This Row],[Lowest Hdcp]]</f>
        <v>4.9999999999999982</v>
      </c>
      <c r="H24" s="1"/>
    </row>
    <row r="25" spans="1:16" x14ac:dyDescent="0.2">
      <c r="A25" t="s">
        <v>20</v>
      </c>
      <c r="B25" s="1">
        <f>MIN(C51:I51)</f>
        <v>0</v>
      </c>
      <c r="C25" s="44" t="s">
        <v>73</v>
      </c>
      <c r="D25" s="45" t="s">
        <v>73</v>
      </c>
      <c r="E25" s="45">
        <v>5.5</v>
      </c>
      <c r="F25" s="45">
        <v>7.3</v>
      </c>
      <c r="G25" s="45">
        <f>Table1[[#This Row],[Current Hdcp]]-Table1[[#This Row],[Lowest Hdcp]]</f>
        <v>1.7999999999999998</v>
      </c>
      <c r="H25" s="1"/>
    </row>
    <row r="30" spans="1:16" x14ac:dyDescent="0.2">
      <c r="J30" s="83" t="s">
        <v>49</v>
      </c>
    </row>
    <row r="31" spans="1:16" x14ac:dyDescent="0.2">
      <c r="A31" s="40"/>
      <c r="B31" s="40" t="s">
        <v>53</v>
      </c>
      <c r="J31" s="83" t="s">
        <v>54</v>
      </c>
      <c r="M31" s="83">
        <v>2021</v>
      </c>
      <c r="N31" s="83">
        <v>2020</v>
      </c>
      <c r="O31" s="83">
        <v>2019</v>
      </c>
    </row>
    <row r="32" spans="1:16" x14ac:dyDescent="0.2">
      <c r="A32" s="42" t="s">
        <v>56</v>
      </c>
      <c r="B32" s="43">
        <v>44676</v>
      </c>
      <c r="C32" s="83" t="s">
        <v>63</v>
      </c>
      <c r="D32" s="83" t="s">
        <v>64</v>
      </c>
      <c r="E32" s="83" t="s">
        <v>65</v>
      </c>
      <c r="F32" s="83" t="s">
        <v>66</v>
      </c>
      <c r="G32" s="83" t="s">
        <v>67</v>
      </c>
      <c r="H32" s="83" t="s">
        <v>68</v>
      </c>
      <c r="I32" s="83" t="s">
        <v>69</v>
      </c>
      <c r="J32" s="83">
        <v>2021</v>
      </c>
      <c r="K32" s="85">
        <v>2020</v>
      </c>
      <c r="L32" s="85">
        <v>2019</v>
      </c>
      <c r="M32" s="85" t="s">
        <v>59</v>
      </c>
      <c r="N32" s="85" t="s">
        <v>59</v>
      </c>
      <c r="O32" s="85" t="s">
        <v>59</v>
      </c>
      <c r="P32" s="85" t="s">
        <v>55</v>
      </c>
    </row>
    <row r="33" spans="1:16" x14ac:dyDescent="0.2">
      <c r="A33" s="47" t="s">
        <v>17</v>
      </c>
      <c r="B33" s="48">
        <v>9.6</v>
      </c>
      <c r="C33">
        <v>1</v>
      </c>
      <c r="D33">
        <v>7</v>
      </c>
      <c r="E33">
        <v>6</v>
      </c>
      <c r="F33">
        <v>2</v>
      </c>
      <c r="G33">
        <v>8</v>
      </c>
      <c r="H33">
        <v>5</v>
      </c>
      <c r="J33">
        <v>15</v>
      </c>
      <c r="K33" s="1">
        <v>14</v>
      </c>
      <c r="L33" s="1">
        <v>11</v>
      </c>
      <c r="M33" s="1">
        <v>19</v>
      </c>
      <c r="N33" s="1">
        <v>14.3</v>
      </c>
      <c r="O33" s="1">
        <v>15.2</v>
      </c>
      <c r="P33" s="45">
        <f t="shared" ref="P33:P48" si="0">AVERAGE(M33:O33)</f>
        <v>16.166666666666668</v>
      </c>
    </row>
    <row r="34" spans="1:16" x14ac:dyDescent="0.2">
      <c r="A34" s="49" t="s">
        <v>70</v>
      </c>
      <c r="B34" s="50">
        <v>4.0999999999999996</v>
      </c>
      <c r="C34">
        <v>2</v>
      </c>
      <c r="E34">
        <v>3</v>
      </c>
      <c r="F34">
        <v>7</v>
      </c>
      <c r="G34">
        <v>7</v>
      </c>
      <c r="H34">
        <v>1</v>
      </c>
      <c r="I34">
        <v>2</v>
      </c>
      <c r="J34">
        <v>16</v>
      </c>
      <c r="K34" s="1">
        <v>13</v>
      </c>
      <c r="L34" s="1">
        <v>12</v>
      </c>
      <c r="M34" s="1">
        <v>20.7</v>
      </c>
      <c r="N34" s="1">
        <v>11.5</v>
      </c>
      <c r="O34" s="1">
        <v>15.7</v>
      </c>
      <c r="P34" s="45">
        <f t="shared" si="0"/>
        <v>15.966666666666669</v>
      </c>
    </row>
    <row r="35" spans="1:16" x14ac:dyDescent="0.2">
      <c r="A35" s="47" t="s">
        <v>25</v>
      </c>
      <c r="B35" s="48">
        <v>8.5</v>
      </c>
      <c r="C35">
        <v>3</v>
      </c>
      <c r="D35">
        <v>4</v>
      </c>
      <c r="E35">
        <v>2</v>
      </c>
      <c r="F35">
        <v>5</v>
      </c>
      <c r="G35">
        <v>6</v>
      </c>
      <c r="J35">
        <v>17</v>
      </c>
      <c r="K35" s="1">
        <v>18</v>
      </c>
      <c r="L35" s="1">
        <v>13</v>
      </c>
      <c r="M35" s="1">
        <v>16.5</v>
      </c>
      <c r="N35" s="1">
        <v>11.7</v>
      </c>
      <c r="O35" s="1">
        <v>13.1</v>
      </c>
      <c r="P35" s="45">
        <f t="shared" si="0"/>
        <v>13.766666666666666</v>
      </c>
    </row>
    <row r="36" spans="1:16" x14ac:dyDescent="0.2">
      <c r="A36" s="49" t="s">
        <v>18</v>
      </c>
      <c r="B36" s="50">
        <v>5</v>
      </c>
      <c r="C36">
        <v>4</v>
      </c>
      <c r="D36">
        <v>1</v>
      </c>
      <c r="E36">
        <v>5</v>
      </c>
      <c r="F36">
        <v>1</v>
      </c>
      <c r="G36">
        <v>1</v>
      </c>
      <c r="H36">
        <v>4</v>
      </c>
      <c r="I36">
        <v>5</v>
      </c>
      <c r="J36">
        <v>14</v>
      </c>
      <c r="K36" s="1">
        <v>15</v>
      </c>
      <c r="L36" s="1">
        <v>12</v>
      </c>
      <c r="M36" s="1">
        <v>20.7</v>
      </c>
      <c r="N36" s="1">
        <v>14.6</v>
      </c>
      <c r="O36" s="1">
        <v>14</v>
      </c>
      <c r="P36" s="45">
        <f t="shared" si="0"/>
        <v>16.433333333333334</v>
      </c>
    </row>
    <row r="37" spans="1:16" x14ac:dyDescent="0.2">
      <c r="A37" s="47" t="s">
        <v>71</v>
      </c>
      <c r="B37" s="48">
        <v>9.8000000000000007</v>
      </c>
      <c r="C37">
        <v>5</v>
      </c>
      <c r="D37">
        <v>5</v>
      </c>
      <c r="F37">
        <v>6</v>
      </c>
      <c r="J37">
        <v>14</v>
      </c>
      <c r="K37" s="1">
        <v>12</v>
      </c>
      <c r="L37" s="1">
        <v>3</v>
      </c>
      <c r="M37" s="1">
        <v>16.8</v>
      </c>
      <c r="N37" s="1">
        <v>17</v>
      </c>
      <c r="O37" s="1">
        <v>13.8</v>
      </c>
      <c r="P37" s="45">
        <f t="shared" si="0"/>
        <v>15.866666666666665</v>
      </c>
    </row>
    <row r="38" spans="1:16" x14ac:dyDescent="0.2">
      <c r="A38" s="49" t="s">
        <v>27</v>
      </c>
      <c r="B38" s="50">
        <v>17.600000000000001</v>
      </c>
      <c r="C38">
        <v>6</v>
      </c>
      <c r="E38">
        <v>1</v>
      </c>
      <c r="H38">
        <v>8</v>
      </c>
      <c r="I38">
        <v>7</v>
      </c>
      <c r="J38">
        <v>14</v>
      </c>
      <c r="K38" s="1">
        <v>13</v>
      </c>
      <c r="L38" s="1">
        <v>10</v>
      </c>
      <c r="M38" s="1">
        <v>19.7</v>
      </c>
      <c r="N38" s="1">
        <v>13</v>
      </c>
      <c r="O38" s="1">
        <v>17.399999999999999</v>
      </c>
      <c r="P38" s="45">
        <f t="shared" si="0"/>
        <v>16.7</v>
      </c>
    </row>
    <row r="39" spans="1:16" x14ac:dyDescent="0.2">
      <c r="A39" s="47" t="s">
        <v>33</v>
      </c>
      <c r="B39" s="48">
        <v>15.9</v>
      </c>
      <c r="C39">
        <v>7</v>
      </c>
      <c r="D39">
        <v>2</v>
      </c>
      <c r="E39">
        <v>7</v>
      </c>
      <c r="J39">
        <v>10</v>
      </c>
      <c r="K39" s="1">
        <v>14</v>
      </c>
      <c r="L39" s="1">
        <v>11</v>
      </c>
      <c r="M39" s="1">
        <v>21.4</v>
      </c>
      <c r="N39" s="1">
        <v>12.9</v>
      </c>
      <c r="O39" s="1">
        <v>12.4</v>
      </c>
      <c r="P39" s="45">
        <f t="shared" si="0"/>
        <v>15.566666666666665</v>
      </c>
    </row>
    <row r="40" spans="1:16" x14ac:dyDescent="0.2">
      <c r="A40" s="49" t="s">
        <v>22</v>
      </c>
      <c r="B40" s="50">
        <v>9.1999999999999993</v>
      </c>
      <c r="C40">
        <v>8</v>
      </c>
      <c r="D40">
        <v>8</v>
      </c>
      <c r="J40">
        <v>15</v>
      </c>
      <c r="K40" s="1">
        <v>14</v>
      </c>
      <c r="L40" s="1"/>
      <c r="M40" s="1">
        <v>17.8</v>
      </c>
      <c r="N40" s="1">
        <v>13.2</v>
      </c>
      <c r="O40" s="1"/>
      <c r="P40" s="45">
        <f t="shared" si="0"/>
        <v>15.5</v>
      </c>
    </row>
    <row r="41" spans="1:16" x14ac:dyDescent="0.2">
      <c r="A41" s="47" t="s">
        <v>28</v>
      </c>
      <c r="B41" s="48">
        <v>14.9</v>
      </c>
      <c r="C41">
        <v>9</v>
      </c>
      <c r="J41">
        <v>12</v>
      </c>
      <c r="K41" s="1"/>
      <c r="L41" s="1"/>
      <c r="M41" s="1">
        <v>18</v>
      </c>
      <c r="N41" s="1"/>
      <c r="O41" s="1"/>
      <c r="P41" s="45">
        <f t="shared" si="0"/>
        <v>18</v>
      </c>
    </row>
    <row r="42" spans="1:16" x14ac:dyDescent="0.2">
      <c r="A42" s="49" t="s">
        <v>24</v>
      </c>
      <c r="B42" s="50">
        <v>16.100000000000001</v>
      </c>
      <c r="C42">
        <v>10</v>
      </c>
      <c r="D42">
        <v>6</v>
      </c>
      <c r="E42">
        <v>4</v>
      </c>
      <c r="F42">
        <v>4</v>
      </c>
      <c r="I42">
        <v>8</v>
      </c>
      <c r="J42">
        <v>13</v>
      </c>
      <c r="K42" s="1">
        <v>16</v>
      </c>
      <c r="L42" s="1"/>
      <c r="M42" s="1">
        <v>16.5</v>
      </c>
      <c r="N42" s="1">
        <v>12.6</v>
      </c>
      <c r="O42" s="1">
        <v>15.6</v>
      </c>
      <c r="P42" s="45">
        <f t="shared" si="0"/>
        <v>14.9</v>
      </c>
    </row>
    <row r="43" spans="1:16" x14ac:dyDescent="0.2">
      <c r="A43" s="47" t="s">
        <v>32</v>
      </c>
      <c r="B43" s="48">
        <v>18.2</v>
      </c>
      <c r="C43">
        <v>11</v>
      </c>
      <c r="D43">
        <v>3</v>
      </c>
      <c r="G43">
        <v>3</v>
      </c>
      <c r="J43">
        <v>12</v>
      </c>
      <c r="K43" s="1">
        <v>13</v>
      </c>
      <c r="L43" s="1">
        <v>5</v>
      </c>
      <c r="M43" s="1">
        <v>15.2</v>
      </c>
      <c r="N43" s="1">
        <v>16</v>
      </c>
      <c r="O43" s="1">
        <v>13</v>
      </c>
      <c r="P43" s="45">
        <f t="shared" si="0"/>
        <v>14.733333333333334</v>
      </c>
    </row>
    <row r="44" spans="1:16" x14ac:dyDescent="0.2">
      <c r="A44" s="49" t="s">
        <v>21</v>
      </c>
      <c r="B44" s="50">
        <v>10.1</v>
      </c>
      <c r="C44">
        <v>12</v>
      </c>
      <c r="J44">
        <v>11</v>
      </c>
      <c r="K44" s="1"/>
      <c r="L44" s="1"/>
      <c r="M44" s="1">
        <v>14.9</v>
      </c>
      <c r="N44" s="1"/>
      <c r="O44" s="1"/>
      <c r="P44" s="45">
        <f t="shared" si="0"/>
        <v>14.9</v>
      </c>
    </row>
    <row r="45" spans="1:16" x14ac:dyDescent="0.2">
      <c r="A45" s="47" t="s">
        <v>72</v>
      </c>
      <c r="B45" s="48">
        <v>14.7</v>
      </c>
      <c r="C45">
        <v>13</v>
      </c>
      <c r="J45">
        <v>10</v>
      </c>
      <c r="K45" s="1"/>
      <c r="L45" s="1"/>
      <c r="M45" s="1">
        <v>15.4</v>
      </c>
      <c r="N45" s="1"/>
      <c r="O45" s="1"/>
      <c r="P45" s="45">
        <f t="shared" si="0"/>
        <v>15.4</v>
      </c>
    </row>
    <row r="46" spans="1:16" x14ac:dyDescent="0.2">
      <c r="A46" s="49" t="s">
        <v>31</v>
      </c>
      <c r="B46" s="50">
        <v>15.9</v>
      </c>
      <c r="C46">
        <v>14</v>
      </c>
      <c r="J46">
        <v>9</v>
      </c>
      <c r="K46" s="1"/>
      <c r="L46" s="1"/>
      <c r="M46" s="1">
        <v>12.9</v>
      </c>
      <c r="N46" s="1"/>
      <c r="O46" s="1"/>
      <c r="P46" s="45">
        <f t="shared" si="0"/>
        <v>12.9</v>
      </c>
    </row>
    <row r="47" spans="1:16" x14ac:dyDescent="0.2">
      <c r="A47" s="47" t="s">
        <v>14</v>
      </c>
      <c r="B47" s="48">
        <v>10</v>
      </c>
      <c r="C47">
        <v>15</v>
      </c>
      <c r="G47">
        <v>4</v>
      </c>
      <c r="H47">
        <v>3</v>
      </c>
      <c r="I47">
        <v>3</v>
      </c>
      <c r="J47">
        <v>6</v>
      </c>
      <c r="K47" s="1">
        <v>9</v>
      </c>
      <c r="L47" s="1">
        <v>7</v>
      </c>
      <c r="M47" s="1">
        <v>13</v>
      </c>
      <c r="N47" s="1">
        <v>9.8000000000000007</v>
      </c>
      <c r="O47" s="1">
        <v>13.1</v>
      </c>
      <c r="P47" s="45">
        <f t="shared" si="0"/>
        <v>11.966666666666667</v>
      </c>
    </row>
    <row r="48" spans="1:16" x14ac:dyDescent="0.2">
      <c r="A48" s="49" t="s">
        <v>29</v>
      </c>
      <c r="B48" s="50">
        <v>20.3</v>
      </c>
      <c r="C48">
        <v>16</v>
      </c>
      <c r="F48">
        <v>3</v>
      </c>
      <c r="I48">
        <v>6</v>
      </c>
      <c r="J48">
        <v>10</v>
      </c>
      <c r="K48" s="1">
        <v>15</v>
      </c>
      <c r="L48" s="1">
        <v>12</v>
      </c>
      <c r="M48" s="1">
        <v>7.5</v>
      </c>
      <c r="N48" s="1">
        <v>9.8000000000000007</v>
      </c>
      <c r="O48" s="1">
        <v>8.9</v>
      </c>
      <c r="P48" s="45">
        <f t="shared" si="0"/>
        <v>8.7333333333333343</v>
      </c>
    </row>
    <row r="49" spans="1:9" x14ac:dyDescent="0.2">
      <c r="A49" s="47" t="s">
        <v>30</v>
      </c>
      <c r="B49" s="48">
        <v>9.5</v>
      </c>
      <c r="F49">
        <v>8</v>
      </c>
      <c r="G49">
        <v>2</v>
      </c>
      <c r="H49">
        <v>2</v>
      </c>
      <c r="I49">
        <v>1</v>
      </c>
    </row>
    <row r="50" spans="1:9" x14ac:dyDescent="0.2">
      <c r="A50" s="51" t="s">
        <v>75</v>
      </c>
      <c r="B50" s="50">
        <v>19.899999999999999</v>
      </c>
    </row>
    <row r="51" spans="1:9" x14ac:dyDescent="0.2">
      <c r="A51" s="52" t="s">
        <v>20</v>
      </c>
      <c r="B51" s="48">
        <v>7.3</v>
      </c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CI42"/>
  <sheetViews>
    <sheetView zoomScale="90" zoomScaleNormal="90" zoomScalePageLayoutView="60" workbookViewId="0">
      <selection activeCell="CG22" sqref="CG22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27" customWidth="1"/>
    <col min="4" max="4" width="4.33203125" style="27" customWidth="1"/>
    <col min="5" max="5" width="2.77734375" style="27" customWidth="1"/>
    <col min="6" max="6" width="3.77734375" style="27" customWidth="1"/>
    <col min="7" max="7" width="4.44140625" style="27" customWidth="1"/>
    <col min="8" max="9" width="3.77734375" style="27" customWidth="1"/>
    <col min="10" max="10" width="4.33203125" style="27" customWidth="1"/>
    <col min="11" max="12" width="3.77734375" style="27" customWidth="1"/>
    <col min="13" max="13" width="4.88671875" style="27" bestFit="1" customWidth="1"/>
    <col min="14" max="16" width="3.77734375" style="27" customWidth="1"/>
    <col min="17" max="17" width="4.33203125" style="27" customWidth="1"/>
    <col min="18" max="19" width="3.77734375" style="27" customWidth="1"/>
    <col min="20" max="20" width="4.44140625" style="27" customWidth="1"/>
    <col min="21" max="21" width="4.33203125" style="27" customWidth="1"/>
    <col min="22" max="22" width="3.77734375" style="27" customWidth="1"/>
    <col min="23" max="23" width="4.44140625" style="27" customWidth="1"/>
    <col min="24" max="24" width="4.33203125" style="27" customWidth="1"/>
    <col min="25" max="25" width="3.77734375" style="27" customWidth="1"/>
    <col min="26" max="26" width="5" style="27" customWidth="1"/>
    <col min="27" max="27" width="4.33203125" style="27" customWidth="1"/>
    <col min="28" max="28" width="2.5546875" customWidth="1"/>
    <col min="29" max="29" width="3.77734375" style="27" customWidth="1"/>
    <col min="30" max="30" width="5" style="27" customWidth="1"/>
    <col min="31" max="32" width="3.77734375" style="27" customWidth="1"/>
    <col min="33" max="33" width="4.88671875" style="27" customWidth="1"/>
    <col min="34" max="34" width="4.33203125" style="27" customWidth="1"/>
    <col min="35" max="35" width="3.77734375" style="27" customWidth="1"/>
    <col min="36" max="37" width="4.33203125" style="27" customWidth="1"/>
    <col min="38" max="38" width="3.77734375" style="27" customWidth="1"/>
    <col min="39" max="41" width="4.33203125" style="27" customWidth="1"/>
    <col min="42" max="42" width="3.77734375" style="27" customWidth="1"/>
    <col min="43" max="43" width="4.44140625" style="27" customWidth="1"/>
    <col min="44" max="45" width="3.77734375" style="27" customWidth="1"/>
    <col min="46" max="47" width="4.33203125" style="27" customWidth="1"/>
    <col min="48" max="48" width="3.77734375" style="27" customWidth="1"/>
    <col min="49" max="50" width="4.33203125" style="27" customWidth="1"/>
    <col min="51" max="51" width="3.77734375" style="27" customWidth="1"/>
    <col min="52" max="54" width="4.33203125" style="27" customWidth="1"/>
    <col min="55" max="55" width="3.77734375" style="27" customWidth="1"/>
    <col min="56" max="56" width="4.44140625" style="27" customWidth="1"/>
    <col min="57" max="58" width="3.77734375" style="27" customWidth="1"/>
    <col min="59" max="60" width="4.33203125" style="27" customWidth="1"/>
    <col min="61" max="61" width="3.77734375" style="27" customWidth="1"/>
    <col min="62" max="63" width="4.33203125" style="27" customWidth="1"/>
    <col min="64" max="64" width="3.77734375" style="27" customWidth="1"/>
    <col min="65" max="67" width="4.33203125" style="27" customWidth="1"/>
    <col min="68" max="68" width="6.44140625" customWidth="1"/>
    <col min="69" max="69" width="3.33203125" customWidth="1"/>
    <col min="70" max="70" width="4.21875" customWidth="1"/>
    <col min="71" max="71" width="5" customWidth="1"/>
    <col min="72" max="72" width="4.88671875" customWidth="1"/>
    <col min="73" max="73" width="3.109375" customWidth="1"/>
    <col min="74" max="74" width="6.21875" customWidth="1"/>
    <col min="75" max="75" width="3.33203125" customWidth="1"/>
    <col min="76" max="76" width="2.77734375" customWidth="1"/>
    <col min="77" max="77" width="3.21875" customWidth="1"/>
    <col min="78" max="78" width="4.21875" customWidth="1"/>
    <col min="79" max="79" width="3.5546875" style="1" customWidth="1"/>
    <col min="80" max="80" width="5.21875" customWidth="1"/>
    <col min="81" max="81" width="3.77734375" customWidth="1"/>
    <col min="82" max="82" width="3" style="1" customWidth="1"/>
    <col min="83" max="83" width="5.21875" customWidth="1"/>
    <col min="84" max="84" width="6.6640625" customWidth="1"/>
    <col min="85" max="85" width="6.88671875" customWidth="1"/>
    <col min="86" max="86" width="6" customWidth="1"/>
    <col min="87" max="87" width="3.88671875" customWidth="1"/>
  </cols>
  <sheetData>
    <row r="1" spans="1:87" x14ac:dyDescent="0.2">
      <c r="B1" t="s">
        <v>44</v>
      </c>
      <c r="C1" s="101" t="s">
        <v>76</v>
      </c>
      <c r="D1" s="101"/>
      <c r="E1" s="101"/>
      <c r="F1" s="101"/>
      <c r="G1" s="101"/>
      <c r="H1" s="101"/>
      <c r="I1" s="101"/>
      <c r="J1" s="101"/>
      <c r="K1" s="101"/>
      <c r="L1" s="101"/>
      <c r="M1" s="53"/>
      <c r="N1" s="53"/>
      <c r="P1" s="101" t="s">
        <v>77</v>
      </c>
      <c r="Q1" s="101"/>
      <c r="R1" s="101"/>
      <c r="S1" s="101"/>
      <c r="T1" s="101"/>
      <c r="U1" s="101"/>
      <c r="V1" s="101"/>
      <c r="W1" s="101"/>
      <c r="X1" s="101"/>
      <c r="Y1" s="101"/>
      <c r="AC1" s="101" t="s">
        <v>78</v>
      </c>
      <c r="AD1" s="101"/>
      <c r="AE1" s="101"/>
      <c r="AF1" s="101"/>
      <c r="AG1" s="101"/>
      <c r="AH1" s="101"/>
      <c r="AI1" s="101"/>
      <c r="AJ1" s="101"/>
      <c r="AK1" s="101"/>
      <c r="AL1" s="101"/>
      <c r="AP1" s="101" t="s">
        <v>79</v>
      </c>
      <c r="AQ1" s="101"/>
      <c r="AR1" s="101"/>
      <c r="AS1" s="101"/>
      <c r="AT1" s="101"/>
      <c r="AU1" s="101"/>
      <c r="AV1" s="101"/>
      <c r="AW1" s="101"/>
      <c r="AX1" s="101"/>
      <c r="AY1" s="101"/>
      <c r="BC1" s="101" t="s">
        <v>105</v>
      </c>
      <c r="BD1" s="101"/>
      <c r="BE1" s="101"/>
      <c r="BF1" s="101"/>
      <c r="BG1" s="101"/>
      <c r="BH1" s="101"/>
      <c r="BI1" s="101"/>
      <c r="BJ1" s="101"/>
      <c r="BK1" s="101"/>
      <c r="BL1" s="101"/>
    </row>
    <row r="2" spans="1:87" ht="12" customHeight="1" x14ac:dyDescent="0.2">
      <c r="A2" s="54"/>
      <c r="B2" s="1">
        <v>1</v>
      </c>
      <c r="C2" s="100" t="s">
        <v>85</v>
      </c>
      <c r="D2" s="100"/>
      <c r="E2" s="100"/>
      <c r="F2" s="100" t="s">
        <v>80</v>
      </c>
      <c r="G2" s="100"/>
      <c r="H2" s="100"/>
      <c r="I2" s="100" t="s">
        <v>97</v>
      </c>
      <c r="J2" s="100"/>
      <c r="K2" s="100"/>
      <c r="L2" s="100" t="s">
        <v>34</v>
      </c>
      <c r="M2" s="100"/>
      <c r="N2" s="100"/>
      <c r="P2" s="100" t="s">
        <v>95</v>
      </c>
      <c r="Q2" s="100"/>
      <c r="R2" s="100"/>
      <c r="S2" s="100" t="s">
        <v>108</v>
      </c>
      <c r="T2" s="100"/>
      <c r="U2" s="100"/>
      <c r="V2" s="100" t="s">
        <v>102</v>
      </c>
      <c r="W2" s="100"/>
      <c r="X2" s="100"/>
      <c r="Y2" s="100" t="s">
        <v>14</v>
      </c>
      <c r="Z2" s="100"/>
      <c r="AA2" s="100"/>
      <c r="AC2" s="100" t="s">
        <v>82</v>
      </c>
      <c r="AD2" s="100"/>
      <c r="AE2" s="100"/>
      <c r="AF2" s="100" t="s">
        <v>84</v>
      </c>
      <c r="AG2" s="100"/>
      <c r="AH2" s="100"/>
      <c r="AI2" s="100" t="s">
        <v>81</v>
      </c>
      <c r="AJ2" s="100"/>
      <c r="AK2" s="100"/>
      <c r="AL2" s="100" t="s">
        <v>83</v>
      </c>
      <c r="AM2" s="100"/>
      <c r="AN2" s="100"/>
      <c r="AO2" s="53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53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53"/>
    </row>
    <row r="3" spans="1:87" ht="12" customHeight="1" x14ac:dyDescent="0.2">
      <c r="A3" s="102" t="s">
        <v>87</v>
      </c>
      <c r="B3" s="102"/>
      <c r="C3" s="55">
        <v>76</v>
      </c>
      <c r="D3" s="56">
        <v>4</v>
      </c>
      <c r="E3" s="55">
        <v>35</v>
      </c>
      <c r="F3" s="55">
        <v>83</v>
      </c>
      <c r="G3" s="56">
        <v>-4</v>
      </c>
      <c r="H3" s="55">
        <v>32</v>
      </c>
      <c r="I3" s="55">
        <v>87</v>
      </c>
      <c r="J3" s="56">
        <v>10</v>
      </c>
      <c r="K3" s="55">
        <v>28</v>
      </c>
      <c r="L3" s="55">
        <v>80</v>
      </c>
      <c r="M3" s="56">
        <v>-10</v>
      </c>
      <c r="N3" s="55">
        <v>33</v>
      </c>
      <c r="P3" s="55">
        <v>108</v>
      </c>
      <c r="Q3" s="56">
        <v>-2</v>
      </c>
      <c r="R3" s="55">
        <v>22</v>
      </c>
      <c r="S3" s="55">
        <v>97</v>
      </c>
      <c r="T3" s="56">
        <v>4</v>
      </c>
      <c r="U3" s="55">
        <v>26</v>
      </c>
      <c r="V3" s="55">
        <v>92</v>
      </c>
      <c r="W3" s="56">
        <v>14</v>
      </c>
      <c r="X3" s="55">
        <v>25</v>
      </c>
      <c r="Y3" s="55">
        <v>92</v>
      </c>
      <c r="Z3" s="56">
        <v>-16</v>
      </c>
      <c r="AA3" s="55">
        <v>25</v>
      </c>
      <c r="AC3" s="55">
        <v>113</v>
      </c>
      <c r="AD3" s="56">
        <v>-38</v>
      </c>
      <c r="AE3" s="55">
        <v>14</v>
      </c>
      <c r="AF3" s="55">
        <v>82</v>
      </c>
      <c r="AG3" s="56">
        <v>-10</v>
      </c>
      <c r="AH3" s="55">
        <v>31</v>
      </c>
      <c r="AI3" s="55">
        <v>88</v>
      </c>
      <c r="AJ3" s="56">
        <v>44</v>
      </c>
      <c r="AK3" s="55">
        <v>35</v>
      </c>
      <c r="AL3" s="55">
        <v>84</v>
      </c>
      <c r="AM3" s="56">
        <v>4</v>
      </c>
      <c r="AN3" s="55">
        <v>34</v>
      </c>
      <c r="AP3" s="55"/>
      <c r="AQ3" s="56"/>
      <c r="AR3" s="55"/>
      <c r="AS3" s="55"/>
      <c r="AT3" s="56"/>
      <c r="AU3" s="55"/>
      <c r="AV3" s="55"/>
      <c r="AW3" s="56"/>
      <c r="AX3" s="55"/>
      <c r="AY3" s="55"/>
      <c r="AZ3" s="56"/>
      <c r="BA3" s="55"/>
      <c r="BC3" s="55"/>
      <c r="BD3" s="56"/>
      <c r="BE3" s="55"/>
      <c r="BF3" s="55"/>
      <c r="BG3" s="56"/>
      <c r="BH3" s="55"/>
      <c r="BI3" s="55"/>
      <c r="BJ3" s="56"/>
      <c r="BK3" s="55"/>
      <c r="BL3" s="55"/>
      <c r="BM3" s="56"/>
      <c r="BN3" s="55"/>
      <c r="BQ3" t="s">
        <v>37</v>
      </c>
      <c r="BR3" t="s">
        <v>36</v>
      </c>
      <c r="BS3" t="s">
        <v>88</v>
      </c>
      <c r="BT3" t="s">
        <v>89</v>
      </c>
      <c r="BU3" t="s">
        <v>9</v>
      </c>
      <c r="BV3" t="s">
        <v>81</v>
      </c>
      <c r="BW3" t="s">
        <v>42</v>
      </c>
      <c r="BX3" t="s">
        <v>38</v>
      </c>
      <c r="BY3" t="s">
        <v>40</v>
      </c>
      <c r="BZ3" t="s">
        <v>90</v>
      </c>
      <c r="CA3" s="1" t="s">
        <v>43</v>
      </c>
      <c r="CB3" t="s">
        <v>91</v>
      </c>
      <c r="CC3" t="s">
        <v>41</v>
      </c>
      <c r="CD3" s="1" t="s">
        <v>39</v>
      </c>
      <c r="CE3" t="s">
        <v>84</v>
      </c>
      <c r="CF3" t="s">
        <v>92</v>
      </c>
      <c r="CG3" t="s">
        <v>93</v>
      </c>
      <c r="CH3" t="s">
        <v>94</v>
      </c>
      <c r="CI3" t="s">
        <v>86</v>
      </c>
    </row>
    <row r="4" spans="1:87" ht="12" customHeight="1" x14ac:dyDescent="0.2">
      <c r="A4" s="54"/>
      <c r="B4" s="1">
        <v>2</v>
      </c>
      <c r="C4" s="100" t="s">
        <v>111</v>
      </c>
      <c r="D4" s="100"/>
      <c r="E4" s="100"/>
      <c r="F4" s="100" t="s">
        <v>115</v>
      </c>
      <c r="G4" s="100"/>
      <c r="H4" s="100"/>
      <c r="I4" s="100" t="s">
        <v>83</v>
      </c>
      <c r="J4" s="100"/>
      <c r="K4" s="100"/>
      <c r="L4" s="100" t="s">
        <v>116</v>
      </c>
      <c r="M4" s="100"/>
      <c r="N4" s="100"/>
      <c r="P4" s="100" t="s">
        <v>82</v>
      </c>
      <c r="Q4" s="100"/>
      <c r="R4" s="100"/>
      <c r="S4" s="100" t="s">
        <v>85</v>
      </c>
      <c r="T4" s="100"/>
      <c r="U4" s="100"/>
      <c r="V4" s="100" t="s">
        <v>117</v>
      </c>
      <c r="W4" s="100"/>
      <c r="X4" s="100"/>
      <c r="Y4" s="100" t="s">
        <v>118</v>
      </c>
      <c r="Z4" s="100"/>
      <c r="AA4" s="100"/>
      <c r="AC4" s="100" t="s">
        <v>110</v>
      </c>
      <c r="AD4" s="100"/>
      <c r="AE4" s="100"/>
      <c r="AF4" s="100" t="s">
        <v>95</v>
      </c>
      <c r="AG4" s="100"/>
      <c r="AH4" s="100"/>
      <c r="AI4" s="100" t="s">
        <v>81</v>
      </c>
      <c r="AJ4" s="100"/>
      <c r="AK4" s="100"/>
      <c r="AL4" s="100" t="s">
        <v>97</v>
      </c>
      <c r="AM4" s="100"/>
      <c r="AN4" s="100"/>
      <c r="AO4" s="53"/>
      <c r="AP4" s="100" t="s">
        <v>84</v>
      </c>
      <c r="AQ4" s="100"/>
      <c r="AR4" s="100"/>
      <c r="AS4" s="100" t="s">
        <v>80</v>
      </c>
      <c r="AT4" s="100"/>
      <c r="AU4" s="100"/>
      <c r="AV4" s="100" t="s">
        <v>92</v>
      </c>
      <c r="AW4" s="100"/>
      <c r="AX4" s="100"/>
      <c r="AY4" s="100" t="s">
        <v>93</v>
      </c>
      <c r="AZ4" s="100"/>
      <c r="BA4" s="100"/>
      <c r="BB4" s="53"/>
      <c r="BC4" s="100"/>
      <c r="BD4" s="100"/>
      <c r="BE4" s="100"/>
      <c r="BF4" s="100"/>
      <c r="BG4" s="100"/>
      <c r="BH4" s="100"/>
      <c r="BI4" s="100"/>
      <c r="BJ4" s="100"/>
      <c r="BK4" s="100"/>
      <c r="BL4" s="100"/>
      <c r="BM4" s="100"/>
      <c r="BN4" s="100"/>
      <c r="BO4" s="53"/>
      <c r="BP4" s="57" t="s">
        <v>37</v>
      </c>
      <c r="BQ4" s="58" t="s">
        <v>96</v>
      </c>
      <c r="BR4" s="58">
        <v>2</v>
      </c>
      <c r="BS4" s="58">
        <v>3</v>
      </c>
      <c r="BT4" s="58">
        <v>2</v>
      </c>
      <c r="BU4" s="58">
        <v>3</v>
      </c>
      <c r="BV4" s="58">
        <v>1</v>
      </c>
      <c r="BW4" s="58">
        <v>2</v>
      </c>
      <c r="BX4" s="58">
        <v>2</v>
      </c>
      <c r="BY4" s="58">
        <v>1</v>
      </c>
      <c r="BZ4" s="58">
        <v>2</v>
      </c>
      <c r="CA4" s="58">
        <v>1</v>
      </c>
      <c r="CB4" s="58">
        <v>2</v>
      </c>
      <c r="CC4" s="58">
        <v>1</v>
      </c>
      <c r="CD4" s="58">
        <v>2</v>
      </c>
      <c r="CE4" s="58">
        <v>2</v>
      </c>
      <c r="CF4" s="58">
        <v>2</v>
      </c>
      <c r="CG4" s="58">
        <v>2</v>
      </c>
      <c r="CH4" s="58">
        <v>3</v>
      </c>
      <c r="CI4" s="58">
        <v>2</v>
      </c>
    </row>
    <row r="5" spans="1:87" ht="12" customHeight="1" x14ac:dyDescent="0.2">
      <c r="A5" s="102" t="s">
        <v>87</v>
      </c>
      <c r="B5" s="102"/>
      <c r="C5" s="55">
        <v>95</v>
      </c>
      <c r="D5" s="56">
        <v>-9</v>
      </c>
      <c r="E5" s="55">
        <v>32</v>
      </c>
      <c r="F5" s="55">
        <v>108</v>
      </c>
      <c r="G5" s="56">
        <v>-41</v>
      </c>
      <c r="H5" s="55">
        <v>22</v>
      </c>
      <c r="I5" s="55">
        <v>88</v>
      </c>
      <c r="J5" s="56">
        <v>17</v>
      </c>
      <c r="K5" s="55">
        <v>32</v>
      </c>
      <c r="L5" s="55">
        <v>87</v>
      </c>
      <c r="M5" s="56">
        <v>33</v>
      </c>
      <c r="N5" s="55">
        <v>37</v>
      </c>
      <c r="P5" s="55">
        <v>106</v>
      </c>
      <c r="Q5" s="56">
        <v>-7</v>
      </c>
      <c r="R5" s="55">
        <v>24</v>
      </c>
      <c r="S5" s="55">
        <v>83</v>
      </c>
      <c r="T5" s="56">
        <v>-1</v>
      </c>
      <c r="U5" s="55">
        <v>29</v>
      </c>
      <c r="V5" s="55">
        <v>90</v>
      </c>
      <c r="W5" s="56">
        <v>9</v>
      </c>
      <c r="X5" s="55">
        <v>28</v>
      </c>
      <c r="Y5" s="55">
        <v>88</v>
      </c>
      <c r="Z5" s="56">
        <v>-1</v>
      </c>
      <c r="AA5" s="55">
        <v>28</v>
      </c>
      <c r="AC5" s="55">
        <v>100</v>
      </c>
      <c r="AD5" s="56">
        <v>-9</v>
      </c>
      <c r="AE5" s="55">
        <v>25</v>
      </c>
      <c r="AF5" s="55">
        <v>106</v>
      </c>
      <c r="AG5" s="56">
        <v>-7</v>
      </c>
      <c r="AH5" s="55">
        <v>25</v>
      </c>
      <c r="AI5" s="55">
        <v>95</v>
      </c>
      <c r="AJ5" s="56">
        <v>7</v>
      </c>
      <c r="AK5" s="55">
        <v>30</v>
      </c>
      <c r="AL5" s="55">
        <v>87</v>
      </c>
      <c r="AM5" s="56">
        <v>9</v>
      </c>
      <c r="AN5" s="55">
        <v>30</v>
      </c>
      <c r="AP5" s="55">
        <v>81</v>
      </c>
      <c r="AQ5" s="56">
        <v>-32</v>
      </c>
      <c r="AR5" s="55">
        <v>32</v>
      </c>
      <c r="AS5" s="55">
        <v>84</v>
      </c>
      <c r="AT5" s="56">
        <v>12</v>
      </c>
      <c r="AU5" s="55">
        <v>35</v>
      </c>
      <c r="AV5" s="55">
        <v>95</v>
      </c>
      <c r="AW5" s="56">
        <v>2</v>
      </c>
      <c r="AX5" s="55">
        <v>27</v>
      </c>
      <c r="AY5" s="55">
        <v>104</v>
      </c>
      <c r="AZ5" s="56">
        <v>18</v>
      </c>
      <c r="BA5" s="55">
        <v>20</v>
      </c>
      <c r="BC5" s="55"/>
      <c r="BD5" s="56"/>
      <c r="BE5" s="55"/>
      <c r="BF5" s="55"/>
      <c r="BG5" s="56"/>
      <c r="BH5" s="55"/>
      <c r="BI5" s="55"/>
      <c r="BJ5" s="56"/>
      <c r="BK5" s="55"/>
      <c r="BL5" s="55"/>
      <c r="BM5" s="56"/>
      <c r="BN5" s="55"/>
      <c r="BP5" t="s">
        <v>36</v>
      </c>
      <c r="BQ5" s="1">
        <v>2</v>
      </c>
      <c r="BR5" s="1" t="s">
        <v>96</v>
      </c>
      <c r="BS5" s="1">
        <v>0</v>
      </c>
      <c r="BT5" s="1">
        <v>1</v>
      </c>
      <c r="BU5" s="1">
        <v>2</v>
      </c>
      <c r="BV5" s="1">
        <v>1</v>
      </c>
      <c r="BW5" s="1">
        <v>1</v>
      </c>
      <c r="BX5" s="1">
        <v>3</v>
      </c>
      <c r="BY5" s="1">
        <v>1</v>
      </c>
      <c r="BZ5" s="1">
        <v>0</v>
      </c>
      <c r="CA5" s="1">
        <v>1</v>
      </c>
      <c r="CB5" s="1">
        <v>1</v>
      </c>
      <c r="CC5" s="1">
        <v>0</v>
      </c>
      <c r="CD5" s="1">
        <v>2</v>
      </c>
      <c r="CE5" s="1">
        <v>2</v>
      </c>
      <c r="CF5" s="1">
        <v>2</v>
      </c>
      <c r="CG5" s="1">
        <v>2</v>
      </c>
      <c r="CH5" s="1">
        <v>2</v>
      </c>
      <c r="CI5" s="1">
        <v>1</v>
      </c>
    </row>
    <row r="6" spans="1:87" ht="12" customHeight="1" x14ac:dyDescent="0.2">
      <c r="A6" s="54"/>
      <c r="B6" s="1">
        <v>3</v>
      </c>
      <c r="C6" s="100" t="s">
        <v>113</v>
      </c>
      <c r="D6" s="100"/>
      <c r="E6" s="100"/>
      <c r="F6" s="100" t="s">
        <v>13</v>
      </c>
      <c r="G6" s="100"/>
      <c r="H6" s="100"/>
      <c r="I6" s="100" t="s">
        <v>83</v>
      </c>
      <c r="J6" s="100"/>
      <c r="K6" s="100"/>
      <c r="L6" s="100" t="s">
        <v>97</v>
      </c>
      <c r="M6" s="100"/>
      <c r="N6" s="100"/>
      <c r="P6" s="100" t="s">
        <v>93</v>
      </c>
      <c r="Q6" s="100"/>
      <c r="R6" s="100"/>
      <c r="S6" s="100" t="s">
        <v>81</v>
      </c>
      <c r="T6" s="100"/>
      <c r="U6" s="100"/>
      <c r="V6" s="100" t="s">
        <v>119</v>
      </c>
      <c r="W6" s="100"/>
      <c r="X6" s="100"/>
      <c r="Y6" s="100" t="s">
        <v>114</v>
      </c>
      <c r="Z6" s="100"/>
      <c r="AA6" s="100"/>
      <c r="AC6" s="100" t="s">
        <v>95</v>
      </c>
      <c r="AD6" s="100"/>
      <c r="AE6" s="100"/>
      <c r="AF6" s="100" t="s">
        <v>112</v>
      </c>
      <c r="AG6" s="100"/>
      <c r="AH6" s="100"/>
      <c r="AI6" s="100" t="s">
        <v>85</v>
      </c>
      <c r="AJ6" s="100"/>
      <c r="AK6" s="100"/>
      <c r="AL6" s="100" t="s">
        <v>111</v>
      </c>
      <c r="AM6" s="100"/>
      <c r="AN6" s="100"/>
      <c r="AO6" s="53"/>
      <c r="AP6" s="100" t="s">
        <v>84</v>
      </c>
      <c r="AQ6" s="100"/>
      <c r="AR6" s="100"/>
      <c r="AS6" s="100" t="s">
        <v>34</v>
      </c>
      <c r="AT6" s="100"/>
      <c r="AU6" s="100"/>
      <c r="AV6" s="100" t="s">
        <v>120</v>
      </c>
      <c r="AW6" s="100"/>
      <c r="AX6" s="100"/>
      <c r="AY6" s="100" t="s">
        <v>110</v>
      </c>
      <c r="AZ6" s="100"/>
      <c r="BA6" s="100"/>
      <c r="BB6" s="53"/>
      <c r="BC6" s="100"/>
      <c r="BD6" s="100"/>
      <c r="BE6" s="100"/>
      <c r="BF6" s="100"/>
      <c r="BG6" s="100"/>
      <c r="BH6" s="100"/>
      <c r="BI6" s="100"/>
      <c r="BJ6" s="100"/>
      <c r="BK6" s="100"/>
      <c r="BL6" s="100"/>
      <c r="BM6" s="100"/>
      <c r="BN6" s="100"/>
      <c r="BO6" s="53"/>
      <c r="BP6" s="57" t="s">
        <v>88</v>
      </c>
      <c r="BQ6" s="58">
        <v>3</v>
      </c>
      <c r="BR6" s="58"/>
      <c r="BS6" s="58" t="s">
        <v>96</v>
      </c>
      <c r="BT6" s="58">
        <v>2</v>
      </c>
      <c r="BU6" s="58">
        <v>2</v>
      </c>
      <c r="BV6" s="58">
        <v>1</v>
      </c>
      <c r="BW6" s="58">
        <v>1</v>
      </c>
      <c r="BX6" s="58">
        <v>2</v>
      </c>
      <c r="BY6" s="58">
        <v>1</v>
      </c>
      <c r="BZ6" s="58">
        <v>1</v>
      </c>
      <c r="CA6" s="58">
        <v>1</v>
      </c>
      <c r="CB6" s="58">
        <v>2</v>
      </c>
      <c r="CC6" s="58">
        <v>0</v>
      </c>
      <c r="CD6" s="58">
        <v>1</v>
      </c>
      <c r="CE6" s="58">
        <v>2</v>
      </c>
      <c r="CF6" s="58">
        <v>3</v>
      </c>
      <c r="CG6" s="58">
        <v>1</v>
      </c>
      <c r="CH6" s="58">
        <v>3</v>
      </c>
      <c r="CI6" s="58">
        <v>2</v>
      </c>
    </row>
    <row r="7" spans="1:87" ht="12" customHeight="1" x14ac:dyDescent="0.2">
      <c r="A7" s="102" t="s">
        <v>87</v>
      </c>
      <c r="B7" s="102"/>
      <c r="C7" s="55">
        <v>80</v>
      </c>
      <c r="D7" s="56">
        <v>6</v>
      </c>
      <c r="E7" s="55">
        <v>32</v>
      </c>
      <c r="F7" s="55">
        <v>83</v>
      </c>
      <c r="G7" s="56">
        <v>-22</v>
      </c>
      <c r="H7" s="55">
        <v>31</v>
      </c>
      <c r="I7" s="55">
        <v>81</v>
      </c>
      <c r="J7" s="56">
        <v>12</v>
      </c>
      <c r="K7" s="55">
        <v>35</v>
      </c>
      <c r="L7" s="55">
        <v>79</v>
      </c>
      <c r="M7" s="56">
        <v>4</v>
      </c>
      <c r="N7" s="55">
        <v>34</v>
      </c>
      <c r="P7" s="55">
        <v>91</v>
      </c>
      <c r="Q7" s="56">
        <v>-4</v>
      </c>
      <c r="R7" s="55">
        <v>31</v>
      </c>
      <c r="S7" s="55">
        <v>93</v>
      </c>
      <c r="T7" s="56">
        <v>-34</v>
      </c>
      <c r="U7" s="55">
        <v>27</v>
      </c>
      <c r="V7" s="55">
        <v>81</v>
      </c>
      <c r="W7" s="56">
        <v>26</v>
      </c>
      <c r="X7" s="55">
        <v>33</v>
      </c>
      <c r="Y7" s="55">
        <v>89</v>
      </c>
      <c r="Z7" s="56">
        <v>12</v>
      </c>
      <c r="AA7" s="55">
        <v>35</v>
      </c>
      <c r="AC7" s="55">
        <v>91</v>
      </c>
      <c r="AD7" s="56">
        <v>7</v>
      </c>
      <c r="AE7" s="55">
        <v>33</v>
      </c>
      <c r="AF7" s="55">
        <v>99</v>
      </c>
      <c r="AG7" s="56">
        <v>-29</v>
      </c>
      <c r="AH7" s="55">
        <v>27</v>
      </c>
      <c r="AI7" s="55">
        <v>79</v>
      </c>
      <c r="AJ7" s="56">
        <v>5</v>
      </c>
      <c r="AK7" s="55">
        <v>30</v>
      </c>
      <c r="AL7" s="55">
        <v>95</v>
      </c>
      <c r="AM7" s="56">
        <v>17</v>
      </c>
      <c r="AN7" s="55">
        <v>27</v>
      </c>
      <c r="AP7" s="55">
        <v>84</v>
      </c>
      <c r="AQ7" s="56">
        <v>-20</v>
      </c>
      <c r="AR7" s="55">
        <v>28</v>
      </c>
      <c r="AS7" s="55">
        <v>76</v>
      </c>
      <c r="AT7" s="56">
        <v>14</v>
      </c>
      <c r="AU7" s="55">
        <v>35</v>
      </c>
      <c r="AV7" s="55">
        <v>84</v>
      </c>
      <c r="AW7" s="56">
        <v>34</v>
      </c>
      <c r="AX7" s="55">
        <v>38</v>
      </c>
      <c r="AY7" s="55">
        <v>90</v>
      </c>
      <c r="AZ7" s="56">
        <v>-28</v>
      </c>
      <c r="BA7" s="55">
        <v>30</v>
      </c>
      <c r="BC7" s="55"/>
      <c r="BD7" s="56"/>
      <c r="BE7" s="55"/>
      <c r="BF7" s="55"/>
      <c r="BG7" s="56"/>
      <c r="BH7" s="55"/>
      <c r="BI7" s="55"/>
      <c r="BJ7" s="56"/>
      <c r="BK7" s="55"/>
      <c r="BL7" s="55"/>
      <c r="BM7" s="56"/>
      <c r="BN7" s="55"/>
      <c r="BP7" t="s">
        <v>89</v>
      </c>
      <c r="BQ7" s="1">
        <v>2</v>
      </c>
      <c r="BR7" s="1">
        <v>1</v>
      </c>
      <c r="BS7" s="1">
        <v>2</v>
      </c>
      <c r="BT7" s="1" t="s">
        <v>96</v>
      </c>
      <c r="BU7" s="1">
        <v>2</v>
      </c>
      <c r="BV7" s="1">
        <v>2</v>
      </c>
      <c r="BW7" s="1">
        <v>1</v>
      </c>
      <c r="BX7" s="1">
        <v>3</v>
      </c>
      <c r="BY7" s="1">
        <v>2</v>
      </c>
      <c r="BZ7" s="1">
        <v>1</v>
      </c>
      <c r="CA7" s="1">
        <v>2</v>
      </c>
      <c r="CB7" s="1">
        <v>2</v>
      </c>
      <c r="CC7" s="1">
        <v>1</v>
      </c>
      <c r="CD7" s="1">
        <v>2</v>
      </c>
      <c r="CE7" s="1">
        <v>3</v>
      </c>
      <c r="CF7" s="1">
        <v>2</v>
      </c>
      <c r="CG7" s="1">
        <v>3</v>
      </c>
      <c r="CH7" s="1">
        <v>2</v>
      </c>
      <c r="CI7" s="1">
        <v>2</v>
      </c>
    </row>
    <row r="8" spans="1:87" ht="12" customHeight="1" x14ac:dyDescent="0.2">
      <c r="A8" s="54"/>
      <c r="B8" s="1">
        <v>4</v>
      </c>
      <c r="C8" s="100" t="s">
        <v>84</v>
      </c>
      <c r="D8" s="100"/>
      <c r="E8" s="100"/>
      <c r="F8" s="100" t="s">
        <v>123</v>
      </c>
      <c r="G8" s="100"/>
      <c r="H8" s="100"/>
      <c r="I8" s="100" t="s">
        <v>111</v>
      </c>
      <c r="J8" s="100"/>
      <c r="K8" s="100"/>
      <c r="L8" s="100" t="s">
        <v>97</v>
      </c>
      <c r="M8" s="100"/>
      <c r="N8" s="100"/>
      <c r="P8" s="100" t="s">
        <v>81</v>
      </c>
      <c r="Q8" s="100"/>
      <c r="R8" s="100"/>
      <c r="S8" s="100" t="s">
        <v>45</v>
      </c>
      <c r="T8" s="100"/>
      <c r="U8" s="100"/>
      <c r="V8" s="100" t="s">
        <v>85</v>
      </c>
      <c r="W8" s="100"/>
      <c r="X8" s="100"/>
      <c r="Y8" s="100" t="s">
        <v>116</v>
      </c>
      <c r="Z8" s="100"/>
      <c r="AA8" s="100"/>
      <c r="AC8" s="100" t="s">
        <v>34</v>
      </c>
      <c r="AD8" s="100"/>
      <c r="AE8" s="100"/>
      <c r="AF8" s="100" t="s">
        <v>93</v>
      </c>
      <c r="AG8" s="100"/>
      <c r="AH8" s="100"/>
      <c r="AI8" s="100" t="s">
        <v>83</v>
      </c>
      <c r="AJ8" s="100"/>
      <c r="AK8" s="100"/>
      <c r="AL8" s="100" t="s">
        <v>118</v>
      </c>
      <c r="AM8" s="100"/>
      <c r="AN8" s="100"/>
      <c r="AO8" s="53"/>
      <c r="AP8" s="100" t="s">
        <v>95</v>
      </c>
      <c r="AQ8" s="100"/>
      <c r="AR8" s="100"/>
      <c r="AS8" s="100" t="s">
        <v>80</v>
      </c>
      <c r="AT8" s="100"/>
      <c r="AU8" s="100"/>
      <c r="AV8" s="100" t="s">
        <v>82</v>
      </c>
      <c r="AW8" s="100"/>
      <c r="AX8" s="100"/>
      <c r="AY8" s="100" t="s">
        <v>124</v>
      </c>
      <c r="AZ8" s="100"/>
      <c r="BA8" s="100"/>
      <c r="BB8" s="53"/>
      <c r="BC8" s="100"/>
      <c r="BD8" s="100"/>
      <c r="BE8" s="100"/>
      <c r="BF8" s="100"/>
      <c r="BG8" s="100"/>
      <c r="BH8" s="100"/>
      <c r="BI8" s="100"/>
      <c r="BJ8" s="100"/>
      <c r="BK8" s="100"/>
      <c r="BL8" s="100"/>
      <c r="BM8" s="100"/>
      <c r="BN8" s="100"/>
      <c r="BO8" s="53"/>
      <c r="BP8" s="57" t="s">
        <v>9</v>
      </c>
      <c r="BQ8" s="58">
        <v>3</v>
      </c>
      <c r="BR8" s="58">
        <v>2</v>
      </c>
      <c r="BS8" s="58">
        <v>2</v>
      </c>
      <c r="BT8" s="58">
        <v>3</v>
      </c>
      <c r="BU8" s="58" t="s">
        <v>96</v>
      </c>
      <c r="BV8" s="58">
        <v>2</v>
      </c>
      <c r="BW8" s="58">
        <v>1</v>
      </c>
      <c r="BX8" s="58">
        <v>2</v>
      </c>
      <c r="BY8" s="58">
        <v>4</v>
      </c>
      <c r="BZ8" s="58">
        <v>1</v>
      </c>
      <c r="CA8" s="58">
        <v>1</v>
      </c>
      <c r="CB8" s="58">
        <v>3</v>
      </c>
      <c r="CC8" s="58">
        <v>0</v>
      </c>
      <c r="CD8" s="58">
        <v>2</v>
      </c>
      <c r="CE8" s="58">
        <v>3</v>
      </c>
      <c r="CF8" s="58">
        <v>1</v>
      </c>
      <c r="CG8" s="58">
        <v>3</v>
      </c>
      <c r="CH8" s="58">
        <v>1</v>
      </c>
      <c r="CI8" s="58">
        <v>2</v>
      </c>
    </row>
    <row r="9" spans="1:87" ht="12" customHeight="1" x14ac:dyDescent="0.2">
      <c r="A9" s="102" t="s">
        <v>87</v>
      </c>
      <c r="B9" s="102"/>
      <c r="C9" s="55">
        <v>78</v>
      </c>
      <c r="D9" s="56">
        <v>19</v>
      </c>
      <c r="E9" s="55">
        <v>36</v>
      </c>
      <c r="F9" s="55">
        <v>95</v>
      </c>
      <c r="G9" s="56">
        <v>-11</v>
      </c>
      <c r="H9" s="55">
        <v>32</v>
      </c>
      <c r="I9" s="55">
        <v>95</v>
      </c>
      <c r="J9" s="56">
        <v>-11</v>
      </c>
      <c r="K9" s="55">
        <v>29</v>
      </c>
      <c r="L9" s="55">
        <v>81</v>
      </c>
      <c r="M9" s="56">
        <v>3</v>
      </c>
      <c r="N9" s="55">
        <v>35</v>
      </c>
      <c r="P9" s="55">
        <v>86</v>
      </c>
      <c r="Q9" s="56">
        <v>36</v>
      </c>
      <c r="R9" s="55">
        <v>37</v>
      </c>
      <c r="S9" s="55">
        <v>96</v>
      </c>
      <c r="T9" s="56">
        <v>-40</v>
      </c>
      <c r="U9" s="55">
        <v>28</v>
      </c>
      <c r="V9" s="55">
        <v>79</v>
      </c>
      <c r="W9" s="56">
        <v>36</v>
      </c>
      <c r="X9" s="55">
        <v>34</v>
      </c>
      <c r="Y9" s="55">
        <v>85</v>
      </c>
      <c r="Z9" s="56">
        <v>-32</v>
      </c>
      <c r="AA9" s="55">
        <v>37</v>
      </c>
      <c r="AC9" s="55">
        <v>80</v>
      </c>
      <c r="AD9" s="56">
        <v>0</v>
      </c>
      <c r="AE9" s="55">
        <v>34</v>
      </c>
      <c r="AF9" s="55">
        <v>98</v>
      </c>
      <c r="AG9" s="56">
        <v>20</v>
      </c>
      <c r="AH9" s="55">
        <v>28</v>
      </c>
      <c r="AI9" s="55">
        <v>78</v>
      </c>
      <c r="AJ9" s="56">
        <v>4</v>
      </c>
      <c r="AK9" s="55">
        <v>42</v>
      </c>
      <c r="AL9" s="55">
        <v>83</v>
      </c>
      <c r="AM9" s="56">
        <v>-24</v>
      </c>
      <c r="AN9" s="55">
        <v>31</v>
      </c>
      <c r="AP9" s="55">
        <v>94</v>
      </c>
      <c r="AQ9" s="56">
        <v>-25</v>
      </c>
      <c r="AR9" s="55">
        <v>33</v>
      </c>
      <c r="AS9" s="55">
        <v>83</v>
      </c>
      <c r="AT9" s="56">
        <v>23</v>
      </c>
      <c r="AU9" s="55">
        <v>33</v>
      </c>
      <c r="AV9" s="55">
        <v>105</v>
      </c>
      <c r="AW9" s="56">
        <v>3</v>
      </c>
      <c r="AX9" s="55">
        <v>22</v>
      </c>
      <c r="AY9" s="55">
        <v>95</v>
      </c>
      <c r="AZ9" s="56">
        <v>-1</v>
      </c>
      <c r="BA9" s="55">
        <v>31</v>
      </c>
      <c r="BC9" s="55"/>
      <c r="BD9" s="56"/>
      <c r="BE9" s="55"/>
      <c r="BF9" s="55"/>
      <c r="BG9" s="56"/>
      <c r="BH9" s="55"/>
      <c r="BI9" s="55"/>
      <c r="BJ9" s="56"/>
      <c r="BK9" s="55"/>
      <c r="BL9" s="55"/>
      <c r="BM9" s="56"/>
      <c r="BN9" s="55"/>
      <c r="BP9" t="s">
        <v>81</v>
      </c>
      <c r="BQ9" s="1">
        <v>2</v>
      </c>
      <c r="BR9" s="1">
        <v>1</v>
      </c>
      <c r="BS9" s="1">
        <v>1</v>
      </c>
      <c r="BT9" s="1">
        <v>2</v>
      </c>
      <c r="BU9" s="1">
        <v>2</v>
      </c>
      <c r="BV9" s="1" t="s">
        <v>96</v>
      </c>
      <c r="BW9" s="1">
        <v>1</v>
      </c>
      <c r="BX9" s="1">
        <v>2</v>
      </c>
      <c r="BY9" s="1">
        <v>2</v>
      </c>
      <c r="BZ9" s="1">
        <v>1</v>
      </c>
      <c r="CA9" s="1">
        <v>2</v>
      </c>
      <c r="CB9" s="1">
        <v>2</v>
      </c>
      <c r="CC9" s="1">
        <v>0</v>
      </c>
      <c r="CD9" s="1">
        <v>2</v>
      </c>
      <c r="CE9" s="1">
        <v>2</v>
      </c>
      <c r="CF9" s="1">
        <v>2</v>
      </c>
      <c r="CG9" s="1">
        <v>2</v>
      </c>
      <c r="CH9" s="1">
        <v>3</v>
      </c>
      <c r="CI9" s="1">
        <v>2</v>
      </c>
    </row>
    <row r="10" spans="1:87" ht="12" customHeight="1" x14ac:dyDescent="0.2">
      <c r="A10" s="54"/>
      <c r="B10" s="1">
        <v>5</v>
      </c>
      <c r="C10" s="100" t="s">
        <v>114</v>
      </c>
      <c r="D10" s="100"/>
      <c r="E10" s="100"/>
      <c r="F10" s="100" t="s">
        <v>118</v>
      </c>
      <c r="G10" s="100"/>
      <c r="H10" s="100"/>
      <c r="I10" s="100" t="s">
        <v>95</v>
      </c>
      <c r="J10" s="100"/>
      <c r="K10" s="100"/>
      <c r="L10" s="100" t="s">
        <v>83</v>
      </c>
      <c r="M10" s="100"/>
      <c r="N10" s="100"/>
      <c r="P10" s="100" t="s">
        <v>116</v>
      </c>
      <c r="Q10" s="100"/>
      <c r="R10" s="100"/>
      <c r="S10" s="100" t="s">
        <v>14</v>
      </c>
      <c r="T10" s="100"/>
      <c r="U10" s="100"/>
      <c r="V10" s="100" t="s">
        <v>93</v>
      </c>
      <c r="W10" s="100"/>
      <c r="X10" s="100"/>
      <c r="Y10" s="100" t="s">
        <v>85</v>
      </c>
      <c r="Z10" s="100"/>
      <c r="AA10" s="100"/>
      <c r="AC10" s="100" t="s">
        <v>125</v>
      </c>
      <c r="AD10" s="100"/>
      <c r="AE10" s="100"/>
      <c r="AF10" s="100" t="s">
        <v>92</v>
      </c>
      <c r="AG10" s="100"/>
      <c r="AH10" s="100"/>
      <c r="AI10" s="100" t="s">
        <v>82</v>
      </c>
      <c r="AJ10" s="100"/>
      <c r="AK10" s="100"/>
      <c r="AL10" s="100" t="s">
        <v>34</v>
      </c>
      <c r="AM10" s="100"/>
      <c r="AN10" s="100"/>
      <c r="AO10" s="53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  <c r="BA10" s="100"/>
      <c r="BB10" s="53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53"/>
      <c r="BP10" s="57" t="s">
        <v>42</v>
      </c>
      <c r="BQ10" s="58">
        <v>2</v>
      </c>
      <c r="BR10" s="58">
        <v>1</v>
      </c>
      <c r="BS10" s="58">
        <v>1</v>
      </c>
      <c r="BT10" s="58">
        <v>2</v>
      </c>
      <c r="BU10" s="58">
        <v>2</v>
      </c>
      <c r="BV10" s="58">
        <v>1</v>
      </c>
      <c r="BW10" s="58" t="s">
        <v>96</v>
      </c>
      <c r="BX10" s="58">
        <v>1</v>
      </c>
      <c r="BY10" s="58">
        <v>1</v>
      </c>
      <c r="BZ10" s="58">
        <v>0</v>
      </c>
      <c r="CA10" s="58">
        <v>1</v>
      </c>
      <c r="CB10" s="58">
        <v>1</v>
      </c>
      <c r="CC10" s="58">
        <v>1</v>
      </c>
      <c r="CD10" s="58">
        <v>1</v>
      </c>
      <c r="CE10" s="58">
        <v>1</v>
      </c>
      <c r="CF10" s="58">
        <v>3</v>
      </c>
      <c r="CG10" s="58">
        <v>2</v>
      </c>
      <c r="CH10" s="58">
        <v>1</v>
      </c>
      <c r="CI10" s="58">
        <v>1</v>
      </c>
    </row>
    <row r="11" spans="1:87" ht="12" customHeight="1" x14ac:dyDescent="0.2">
      <c r="A11" s="102" t="s">
        <v>87</v>
      </c>
      <c r="B11" s="102"/>
      <c r="C11" s="55">
        <v>84</v>
      </c>
      <c r="D11" s="56">
        <v>24</v>
      </c>
      <c r="E11" s="55">
        <v>43</v>
      </c>
      <c r="F11" s="55">
        <v>91</v>
      </c>
      <c r="G11" s="56">
        <v>-24</v>
      </c>
      <c r="H11" s="55">
        <v>25</v>
      </c>
      <c r="I11" s="55">
        <v>107</v>
      </c>
      <c r="J11" s="56">
        <v>-6</v>
      </c>
      <c r="K11" s="55">
        <v>22</v>
      </c>
      <c r="L11" s="55">
        <v>77</v>
      </c>
      <c r="M11" s="56">
        <v>6</v>
      </c>
      <c r="N11" s="55">
        <v>43</v>
      </c>
      <c r="P11" s="55">
        <v>95</v>
      </c>
      <c r="Q11" s="56">
        <v>-4</v>
      </c>
      <c r="R11" s="55">
        <v>29</v>
      </c>
      <c r="S11" s="55">
        <v>82</v>
      </c>
      <c r="T11" s="56">
        <v>14</v>
      </c>
      <c r="U11" s="55">
        <v>36</v>
      </c>
      <c r="V11" s="55">
        <v>99</v>
      </c>
      <c r="W11" s="59">
        <v>-24</v>
      </c>
      <c r="X11" s="55">
        <v>28</v>
      </c>
      <c r="Y11" s="55">
        <v>81</v>
      </c>
      <c r="Z11" s="56">
        <v>14</v>
      </c>
      <c r="AA11" s="55">
        <v>33</v>
      </c>
      <c r="AC11" s="55">
        <v>93</v>
      </c>
      <c r="AD11" s="56">
        <v>-30</v>
      </c>
      <c r="AE11" s="55">
        <v>26</v>
      </c>
      <c r="AF11" s="55">
        <v>87</v>
      </c>
      <c r="AG11" s="56">
        <v>30</v>
      </c>
      <c r="AH11" s="55">
        <v>37</v>
      </c>
      <c r="AI11" s="55">
        <v>104</v>
      </c>
      <c r="AJ11" s="56">
        <v>-6</v>
      </c>
      <c r="AK11" s="55">
        <v>26</v>
      </c>
      <c r="AL11" s="55">
        <v>84</v>
      </c>
      <c r="AM11" s="56">
        <v>6</v>
      </c>
      <c r="AN11" s="55">
        <v>32</v>
      </c>
      <c r="AP11" s="55"/>
      <c r="AQ11" s="56"/>
      <c r="AR11" s="55"/>
      <c r="AS11" s="55"/>
      <c r="AT11" s="56"/>
      <c r="AU11" s="55"/>
      <c r="AV11" s="55"/>
      <c r="AW11" s="56"/>
      <c r="AX11" s="55"/>
      <c r="AY11" s="55"/>
      <c r="AZ11" s="56"/>
      <c r="BA11" s="55"/>
      <c r="BC11" s="55"/>
      <c r="BD11" s="56"/>
      <c r="BE11" s="55"/>
      <c r="BF11" s="55"/>
      <c r="BG11" s="56"/>
      <c r="BH11" s="55"/>
      <c r="BI11" s="55"/>
      <c r="BJ11" s="56"/>
      <c r="BK11" s="55"/>
      <c r="BL11" s="55"/>
      <c r="BM11" s="56"/>
      <c r="BN11" s="55"/>
      <c r="BP11" t="s">
        <v>38</v>
      </c>
      <c r="BQ11" s="1">
        <v>2</v>
      </c>
      <c r="BR11" s="1">
        <v>3</v>
      </c>
      <c r="BS11" s="1">
        <v>2</v>
      </c>
      <c r="BT11" s="1">
        <v>4</v>
      </c>
      <c r="BU11" s="1">
        <v>3</v>
      </c>
      <c r="BV11" s="1">
        <v>2</v>
      </c>
      <c r="BW11" s="1">
        <v>2</v>
      </c>
      <c r="BX11" s="1" t="s">
        <v>96</v>
      </c>
      <c r="BY11" s="1">
        <v>1</v>
      </c>
      <c r="BZ11" s="1">
        <v>1</v>
      </c>
      <c r="CA11" s="1">
        <v>2</v>
      </c>
      <c r="CB11" s="1">
        <v>2</v>
      </c>
      <c r="CC11" s="1">
        <v>1</v>
      </c>
      <c r="CD11" s="1">
        <v>2</v>
      </c>
      <c r="CE11" s="1">
        <v>3</v>
      </c>
      <c r="CF11" s="1">
        <v>2</v>
      </c>
      <c r="CG11" s="1">
        <v>2</v>
      </c>
      <c r="CH11" s="1">
        <v>3</v>
      </c>
      <c r="CI11" s="1">
        <v>1</v>
      </c>
    </row>
    <row r="12" spans="1:87" ht="12" customHeight="1" x14ac:dyDescent="0.2">
      <c r="A12" s="54"/>
      <c r="B12" s="1">
        <v>6</v>
      </c>
      <c r="C12" s="100" t="s">
        <v>110</v>
      </c>
      <c r="D12" s="100"/>
      <c r="E12" s="100"/>
      <c r="F12" s="100" t="s">
        <v>83</v>
      </c>
      <c r="G12" s="100"/>
      <c r="H12" s="100"/>
      <c r="I12" s="100" t="s">
        <v>111</v>
      </c>
      <c r="J12" s="100"/>
      <c r="K12" s="100"/>
      <c r="L12" s="100" t="s">
        <v>114</v>
      </c>
      <c r="M12" s="100"/>
      <c r="N12" s="100"/>
      <c r="P12" s="100" t="s">
        <v>116</v>
      </c>
      <c r="Q12" s="100"/>
      <c r="R12" s="100"/>
      <c r="S12" s="100" t="s">
        <v>95</v>
      </c>
      <c r="T12" s="100"/>
      <c r="U12" s="100"/>
      <c r="V12" s="100" t="s">
        <v>125</v>
      </c>
      <c r="W12" s="100"/>
      <c r="X12" s="100"/>
      <c r="Y12" s="100" t="s">
        <v>128</v>
      </c>
      <c r="Z12" s="100"/>
      <c r="AA12" s="100"/>
      <c r="AC12" s="100" t="s">
        <v>118</v>
      </c>
      <c r="AD12" s="100"/>
      <c r="AE12" s="100"/>
      <c r="AF12" s="100" t="s">
        <v>97</v>
      </c>
      <c r="AG12" s="100"/>
      <c r="AH12" s="100"/>
      <c r="AI12" s="100" t="s">
        <v>92</v>
      </c>
      <c r="AJ12" s="100"/>
      <c r="AK12" s="100"/>
      <c r="AL12" s="100" t="s">
        <v>115</v>
      </c>
      <c r="AM12" s="100"/>
      <c r="AN12" s="100"/>
      <c r="AO12" s="53"/>
      <c r="AP12" s="100" t="s">
        <v>129</v>
      </c>
      <c r="AQ12" s="100"/>
      <c r="AR12" s="100"/>
      <c r="AS12" s="100" t="s">
        <v>81</v>
      </c>
      <c r="AT12" s="100"/>
      <c r="AU12" s="100"/>
      <c r="AV12" s="100" t="s">
        <v>34</v>
      </c>
      <c r="AW12" s="100"/>
      <c r="AX12" s="100"/>
      <c r="AY12" s="100" t="s">
        <v>85</v>
      </c>
      <c r="AZ12" s="100"/>
      <c r="BA12" s="100"/>
      <c r="BB12" s="53"/>
      <c r="BC12" s="100"/>
      <c r="BD12" s="100"/>
      <c r="BE12" s="100"/>
      <c r="BF12" s="100"/>
      <c r="BG12" s="100"/>
      <c r="BH12" s="100"/>
      <c r="BI12" s="100"/>
      <c r="BJ12" s="100"/>
      <c r="BK12" s="100"/>
      <c r="BL12" s="100"/>
      <c r="BM12" s="100"/>
      <c r="BN12" s="100"/>
      <c r="BO12" s="53"/>
      <c r="BP12" s="57" t="s">
        <v>40</v>
      </c>
      <c r="BQ12" s="58">
        <v>1</v>
      </c>
      <c r="BR12" s="58">
        <v>2</v>
      </c>
      <c r="BS12" s="58">
        <v>1</v>
      </c>
      <c r="BT12" s="58">
        <v>2</v>
      </c>
      <c r="BU12" s="58">
        <v>4</v>
      </c>
      <c r="BV12" s="58">
        <v>2</v>
      </c>
      <c r="BW12" s="58">
        <v>1</v>
      </c>
      <c r="BX12" s="58">
        <v>1</v>
      </c>
      <c r="BY12" s="58" t="s">
        <v>96</v>
      </c>
      <c r="BZ12" s="58">
        <v>1</v>
      </c>
      <c r="CA12" s="58">
        <v>1</v>
      </c>
      <c r="CB12" s="58">
        <v>2</v>
      </c>
      <c r="CC12" s="58">
        <v>0</v>
      </c>
      <c r="CD12" s="58">
        <v>2</v>
      </c>
      <c r="CE12" s="58">
        <v>2</v>
      </c>
      <c r="CF12" s="58">
        <v>3</v>
      </c>
      <c r="CG12" s="58">
        <v>2</v>
      </c>
      <c r="CH12" s="58">
        <v>2</v>
      </c>
      <c r="CI12" s="58">
        <v>2</v>
      </c>
    </row>
    <row r="13" spans="1:87" ht="12" customHeight="1" x14ac:dyDescent="0.2">
      <c r="A13" s="102" t="s">
        <v>87</v>
      </c>
      <c r="B13" s="102"/>
      <c r="C13" s="55">
        <v>93</v>
      </c>
      <c r="D13" s="56">
        <v>-9</v>
      </c>
      <c r="E13" s="55">
        <v>27</v>
      </c>
      <c r="F13" s="55">
        <v>84</v>
      </c>
      <c r="G13" s="56">
        <v>-3</v>
      </c>
      <c r="H13" s="55">
        <v>29</v>
      </c>
      <c r="I13" s="55">
        <v>82</v>
      </c>
      <c r="J13" s="56">
        <v>21</v>
      </c>
      <c r="K13" s="55">
        <v>39</v>
      </c>
      <c r="L13" s="55">
        <v>90</v>
      </c>
      <c r="M13" s="56">
        <v>-9</v>
      </c>
      <c r="N13" s="55">
        <v>32</v>
      </c>
      <c r="P13" s="55">
        <v>98</v>
      </c>
      <c r="Q13" s="56">
        <v>-50</v>
      </c>
      <c r="R13" s="55">
        <v>23</v>
      </c>
      <c r="S13" s="55">
        <v>86</v>
      </c>
      <c r="T13" s="56">
        <v>24</v>
      </c>
      <c r="U13" s="55">
        <v>37</v>
      </c>
      <c r="V13" s="55">
        <v>81</v>
      </c>
      <c r="W13" s="56">
        <v>14</v>
      </c>
      <c r="X13" s="55">
        <v>34</v>
      </c>
      <c r="Y13" s="55">
        <v>79</v>
      </c>
      <c r="Z13" s="56">
        <v>12</v>
      </c>
      <c r="AA13" s="55">
        <v>40</v>
      </c>
      <c r="AC13" s="55">
        <v>79</v>
      </c>
      <c r="AD13" s="56">
        <v>-2</v>
      </c>
      <c r="AE13" s="55">
        <v>33</v>
      </c>
      <c r="AF13" s="55">
        <v>79</v>
      </c>
      <c r="AG13" s="56">
        <v>20</v>
      </c>
      <c r="AH13" s="55">
        <v>34</v>
      </c>
      <c r="AI13" s="55">
        <v>85</v>
      </c>
      <c r="AJ13" s="56">
        <v>-30</v>
      </c>
      <c r="AK13" s="55">
        <v>34</v>
      </c>
      <c r="AL13" s="55">
        <v>94</v>
      </c>
      <c r="AM13" s="56">
        <v>12</v>
      </c>
      <c r="AN13" s="55">
        <v>28</v>
      </c>
      <c r="AP13" s="55">
        <v>114</v>
      </c>
      <c r="AQ13" s="56">
        <v>-9</v>
      </c>
      <c r="AR13" s="55">
        <v>21</v>
      </c>
      <c r="AS13" s="55">
        <v>88</v>
      </c>
      <c r="AT13" s="56">
        <v>7</v>
      </c>
      <c r="AU13" s="55">
        <v>33</v>
      </c>
      <c r="AV13" s="55">
        <v>76</v>
      </c>
      <c r="AW13" s="56">
        <v>-1</v>
      </c>
      <c r="AX13" s="55">
        <v>37</v>
      </c>
      <c r="AY13" s="55">
        <v>79</v>
      </c>
      <c r="AZ13" s="56">
        <v>3</v>
      </c>
      <c r="BA13" s="55">
        <v>32</v>
      </c>
      <c r="BC13" s="55"/>
      <c r="BD13" s="56"/>
      <c r="BE13" s="55"/>
      <c r="BF13" s="55"/>
      <c r="BG13" s="56"/>
      <c r="BH13" s="55"/>
      <c r="BI13" s="55"/>
      <c r="BJ13" s="56"/>
      <c r="BK13" s="55"/>
      <c r="BL13" s="55"/>
      <c r="BM13" s="56"/>
      <c r="BN13" s="55"/>
      <c r="BP13" t="s">
        <v>90</v>
      </c>
      <c r="BQ13" s="1">
        <v>2</v>
      </c>
      <c r="BR13" s="1"/>
      <c r="BS13" s="1">
        <v>1</v>
      </c>
      <c r="BT13" s="1">
        <v>1</v>
      </c>
      <c r="BU13" s="1">
        <v>1</v>
      </c>
      <c r="BV13" s="1">
        <v>1</v>
      </c>
      <c r="BW13" s="1"/>
      <c r="BX13" s="1">
        <v>1</v>
      </c>
      <c r="BY13" s="1">
        <v>1</v>
      </c>
      <c r="BZ13" s="1" t="s">
        <v>96</v>
      </c>
      <c r="CA13" s="1">
        <v>0</v>
      </c>
      <c r="CB13" s="1">
        <v>0</v>
      </c>
      <c r="CC13" s="1">
        <v>1</v>
      </c>
      <c r="CD13" s="1">
        <v>1</v>
      </c>
      <c r="CE13" s="1">
        <v>2</v>
      </c>
      <c r="CF13" s="1">
        <v>2</v>
      </c>
      <c r="CG13" s="1">
        <v>1</v>
      </c>
      <c r="CH13" s="1">
        <v>2</v>
      </c>
      <c r="CI13" s="1">
        <v>1</v>
      </c>
    </row>
    <row r="14" spans="1:87" ht="12" customHeight="1" x14ac:dyDescent="0.2">
      <c r="A14" s="54"/>
      <c r="B14" s="1">
        <v>7</v>
      </c>
      <c r="C14" s="100" t="s">
        <v>132</v>
      </c>
      <c r="D14" s="100"/>
      <c r="E14" s="100"/>
      <c r="F14" s="100" t="s">
        <v>83</v>
      </c>
      <c r="G14" s="100"/>
      <c r="H14" s="100"/>
      <c r="I14" s="100" t="s">
        <v>125</v>
      </c>
      <c r="J14" s="100"/>
      <c r="K14" s="100"/>
      <c r="L14" s="100" t="s">
        <v>92</v>
      </c>
      <c r="M14" s="100"/>
      <c r="N14" s="100"/>
      <c r="P14" s="100" t="s">
        <v>82</v>
      </c>
      <c r="Q14" s="100"/>
      <c r="R14" s="100"/>
      <c r="S14" s="100" t="s">
        <v>93</v>
      </c>
      <c r="T14" s="100"/>
      <c r="U14" s="100"/>
      <c r="V14" s="100" t="s">
        <v>95</v>
      </c>
      <c r="W14" s="100"/>
      <c r="X14" s="100"/>
      <c r="Y14" s="100" t="s">
        <v>133</v>
      </c>
      <c r="Z14" s="100"/>
      <c r="AA14" s="100"/>
      <c r="AC14" s="100" t="s">
        <v>34</v>
      </c>
      <c r="AD14" s="100"/>
      <c r="AE14" s="100"/>
      <c r="AF14" s="100" t="s">
        <v>116</v>
      </c>
      <c r="AG14" s="100"/>
      <c r="AH14" s="100"/>
      <c r="AI14" s="100" t="s">
        <v>114</v>
      </c>
      <c r="AJ14" s="100"/>
      <c r="AK14" s="100"/>
      <c r="AL14" s="100" t="s">
        <v>84</v>
      </c>
      <c r="AM14" s="100"/>
      <c r="AN14" s="100"/>
      <c r="AO14" s="53"/>
      <c r="AP14" s="100" t="s">
        <v>81</v>
      </c>
      <c r="AQ14" s="100"/>
      <c r="AR14" s="100"/>
      <c r="AS14" s="100" t="s">
        <v>131</v>
      </c>
      <c r="AT14" s="100"/>
      <c r="AU14" s="100"/>
      <c r="AV14" s="100" t="s">
        <v>80</v>
      </c>
      <c r="AW14" s="100"/>
      <c r="AX14" s="100"/>
      <c r="AY14" s="100" t="s">
        <v>118</v>
      </c>
      <c r="AZ14" s="100"/>
      <c r="BA14" s="100"/>
      <c r="BB14" s="53"/>
      <c r="BC14" s="100"/>
      <c r="BD14" s="100"/>
      <c r="BE14" s="100"/>
      <c r="BF14" s="100"/>
      <c r="BG14" s="100"/>
      <c r="BH14" s="100"/>
      <c r="BI14" s="100"/>
      <c r="BJ14" s="100"/>
      <c r="BK14" s="100"/>
      <c r="BL14" s="100"/>
      <c r="BM14" s="100"/>
      <c r="BN14" s="100"/>
      <c r="BO14" s="53"/>
      <c r="BP14" s="57" t="s">
        <v>43</v>
      </c>
      <c r="BQ14" s="58">
        <v>1</v>
      </c>
      <c r="BR14" s="58">
        <v>1</v>
      </c>
      <c r="BS14" s="58">
        <v>1</v>
      </c>
      <c r="BT14" s="58">
        <v>2</v>
      </c>
      <c r="BU14" s="58">
        <v>1</v>
      </c>
      <c r="BV14" s="58">
        <v>2</v>
      </c>
      <c r="BW14" s="58">
        <v>1</v>
      </c>
      <c r="BX14" s="58">
        <v>2</v>
      </c>
      <c r="BY14" s="58">
        <v>1</v>
      </c>
      <c r="BZ14" s="58"/>
      <c r="CA14" s="58" t="s">
        <v>96</v>
      </c>
      <c r="CB14" s="58">
        <v>1</v>
      </c>
      <c r="CC14" s="58">
        <v>0</v>
      </c>
      <c r="CD14" s="58">
        <v>2</v>
      </c>
      <c r="CE14" s="58">
        <v>2</v>
      </c>
      <c r="CF14" s="58">
        <v>1</v>
      </c>
      <c r="CG14" s="58">
        <v>1</v>
      </c>
      <c r="CH14" s="58">
        <v>2</v>
      </c>
      <c r="CI14" s="58">
        <v>1</v>
      </c>
    </row>
    <row r="15" spans="1:87" ht="12" customHeight="1" x14ac:dyDescent="0.2">
      <c r="A15" s="102" t="s">
        <v>87</v>
      </c>
      <c r="B15" s="102"/>
      <c r="C15" s="55">
        <v>79</v>
      </c>
      <c r="D15" s="56">
        <v>26</v>
      </c>
      <c r="E15" s="55">
        <v>36</v>
      </c>
      <c r="F15" s="55">
        <v>80</v>
      </c>
      <c r="G15" s="56">
        <v>28</v>
      </c>
      <c r="H15" s="55">
        <v>36</v>
      </c>
      <c r="I15" s="55">
        <v>85</v>
      </c>
      <c r="J15" s="56">
        <v>-44</v>
      </c>
      <c r="K15" s="55">
        <v>31</v>
      </c>
      <c r="L15" s="55">
        <v>85</v>
      </c>
      <c r="M15" s="56">
        <v>-10</v>
      </c>
      <c r="N15" s="55">
        <v>37</v>
      </c>
      <c r="P15" s="55">
        <v>100</v>
      </c>
      <c r="Q15" s="56">
        <v>-21</v>
      </c>
      <c r="R15" s="55">
        <v>27</v>
      </c>
      <c r="S15" s="55">
        <v>93</v>
      </c>
      <c r="T15" s="56">
        <v>15</v>
      </c>
      <c r="U15" s="55">
        <v>34</v>
      </c>
      <c r="V15" s="55">
        <v>91</v>
      </c>
      <c r="W15" s="56">
        <v>-17</v>
      </c>
      <c r="X15" s="55">
        <v>34</v>
      </c>
      <c r="Y15" s="55">
        <v>79</v>
      </c>
      <c r="Z15" s="56">
        <v>23</v>
      </c>
      <c r="AA15" s="55">
        <v>42</v>
      </c>
      <c r="AC15" s="55">
        <v>83</v>
      </c>
      <c r="AD15" s="56">
        <v>-41</v>
      </c>
      <c r="AE15" s="55">
        <v>31</v>
      </c>
      <c r="AF15" s="55">
        <v>89</v>
      </c>
      <c r="AG15" s="56">
        <v>7</v>
      </c>
      <c r="AH15" s="55">
        <v>33</v>
      </c>
      <c r="AI15" s="55">
        <v>91</v>
      </c>
      <c r="AJ15" s="56">
        <v>21</v>
      </c>
      <c r="AK15" s="55">
        <v>34</v>
      </c>
      <c r="AL15" s="55">
        <v>81</v>
      </c>
      <c r="AM15" s="56">
        <v>13</v>
      </c>
      <c r="AN15" s="55">
        <v>33</v>
      </c>
      <c r="AP15" s="55">
        <v>86</v>
      </c>
      <c r="AQ15" s="56">
        <v>9</v>
      </c>
      <c r="AR15" s="55">
        <v>36</v>
      </c>
      <c r="AS15" s="55">
        <v>101</v>
      </c>
      <c r="AT15" s="56">
        <v>9</v>
      </c>
      <c r="AU15" s="55">
        <v>34</v>
      </c>
      <c r="AV15" s="55">
        <v>77</v>
      </c>
      <c r="AW15" s="56">
        <v>1</v>
      </c>
      <c r="AX15" s="55">
        <v>39</v>
      </c>
      <c r="AY15" s="55">
        <v>84</v>
      </c>
      <c r="AZ15" s="56">
        <v>-19</v>
      </c>
      <c r="BA15" s="55">
        <v>30</v>
      </c>
      <c r="BC15" s="55"/>
      <c r="BD15" s="56"/>
      <c r="BE15" s="55"/>
      <c r="BF15" s="55"/>
      <c r="BG15" s="56"/>
      <c r="BH15" s="55"/>
      <c r="BI15" s="55"/>
      <c r="BJ15" s="56"/>
      <c r="BK15" s="55"/>
      <c r="BL15" s="55"/>
      <c r="BM15" s="56"/>
      <c r="BN15" s="55"/>
      <c r="BP15" t="s">
        <v>91</v>
      </c>
      <c r="BQ15" s="1">
        <v>2</v>
      </c>
      <c r="BR15" s="1">
        <v>1</v>
      </c>
      <c r="BS15" s="1">
        <v>2</v>
      </c>
      <c r="BT15" s="1">
        <v>2</v>
      </c>
      <c r="BU15" s="1">
        <v>3</v>
      </c>
      <c r="BV15" s="1">
        <v>2</v>
      </c>
      <c r="BW15" s="1">
        <v>1</v>
      </c>
      <c r="BX15" s="1">
        <v>2</v>
      </c>
      <c r="BY15" s="1">
        <v>2</v>
      </c>
      <c r="BZ15" s="1"/>
      <c r="CA15" s="1">
        <v>1</v>
      </c>
      <c r="CB15" s="1" t="s">
        <v>96</v>
      </c>
      <c r="CC15" s="1">
        <v>1</v>
      </c>
      <c r="CD15" s="1">
        <v>2</v>
      </c>
      <c r="CE15" s="1">
        <v>2</v>
      </c>
      <c r="CF15" s="1">
        <v>3</v>
      </c>
      <c r="CG15" s="1">
        <v>2</v>
      </c>
      <c r="CH15" s="1">
        <v>2</v>
      </c>
      <c r="CI15" s="1">
        <v>1</v>
      </c>
    </row>
    <row r="16" spans="1:87" ht="12" customHeight="1" x14ac:dyDescent="0.2">
      <c r="A16" s="54"/>
      <c r="B16" s="1">
        <v>8</v>
      </c>
      <c r="C16" s="100" t="s">
        <v>92</v>
      </c>
      <c r="D16" s="100"/>
      <c r="E16" s="100"/>
      <c r="F16" s="100" t="s">
        <v>85</v>
      </c>
      <c r="G16" s="100"/>
      <c r="H16" s="100"/>
      <c r="I16" s="100" t="s">
        <v>114</v>
      </c>
      <c r="J16" s="100"/>
      <c r="K16" s="100"/>
      <c r="L16" s="100" t="s">
        <v>82</v>
      </c>
      <c r="M16" s="100"/>
      <c r="N16" s="100"/>
      <c r="P16" s="100" t="s">
        <v>80</v>
      </c>
      <c r="Q16" s="100"/>
      <c r="R16" s="100"/>
      <c r="S16" s="100" t="s">
        <v>84</v>
      </c>
      <c r="T16" s="100"/>
      <c r="U16" s="100"/>
      <c r="V16" s="100" t="s">
        <v>125</v>
      </c>
      <c r="W16" s="100"/>
      <c r="X16" s="100"/>
      <c r="Y16" s="100" t="s">
        <v>116</v>
      </c>
      <c r="Z16" s="100"/>
      <c r="AA16" s="100"/>
      <c r="AC16" s="100" t="s">
        <v>34</v>
      </c>
      <c r="AD16" s="100"/>
      <c r="AE16" s="100"/>
      <c r="AF16" s="100" t="s">
        <v>81</v>
      </c>
      <c r="AG16" s="100"/>
      <c r="AH16" s="100"/>
      <c r="AI16" s="100" t="s">
        <v>13</v>
      </c>
      <c r="AJ16" s="100"/>
      <c r="AK16" s="100"/>
      <c r="AL16" s="100" t="s">
        <v>94</v>
      </c>
      <c r="AM16" s="100"/>
      <c r="AN16" s="100"/>
      <c r="AO16" s="53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53"/>
      <c r="BC16" s="100"/>
      <c r="BD16" s="100"/>
      <c r="BE16" s="100"/>
      <c r="BF16" s="100"/>
      <c r="BG16" s="100"/>
      <c r="BH16" s="100"/>
      <c r="BI16" s="100"/>
      <c r="BJ16" s="100"/>
      <c r="BK16" s="100"/>
      <c r="BL16" s="100"/>
      <c r="BM16" s="100"/>
      <c r="BN16" s="100"/>
      <c r="BO16" s="53"/>
      <c r="BP16" s="57" t="s">
        <v>41</v>
      </c>
      <c r="BQ16" s="58">
        <v>1</v>
      </c>
      <c r="BR16" s="58"/>
      <c r="BS16" s="58"/>
      <c r="BT16" s="58">
        <v>1</v>
      </c>
      <c r="BU16" s="58"/>
      <c r="BV16" s="58"/>
      <c r="BW16" s="58">
        <v>1</v>
      </c>
      <c r="BX16" s="58">
        <v>1</v>
      </c>
      <c r="BY16" s="58"/>
      <c r="BZ16" s="58">
        <v>1</v>
      </c>
      <c r="CA16" s="58"/>
      <c r="CB16" s="58">
        <v>1</v>
      </c>
      <c r="CC16" s="58" t="s">
        <v>96</v>
      </c>
      <c r="CD16" s="58">
        <v>0</v>
      </c>
      <c r="CE16" s="58">
        <v>1</v>
      </c>
      <c r="CF16" s="58">
        <v>1</v>
      </c>
      <c r="CG16" s="58">
        <v>0</v>
      </c>
      <c r="CH16" s="58">
        <v>0</v>
      </c>
      <c r="CI16" s="58">
        <v>1</v>
      </c>
    </row>
    <row r="17" spans="1:87" ht="12" customHeight="1" x14ac:dyDescent="0.2">
      <c r="A17" s="102" t="s">
        <v>87</v>
      </c>
      <c r="B17" s="102"/>
      <c r="C17" s="55">
        <v>91</v>
      </c>
      <c r="D17" s="56">
        <v>37</v>
      </c>
      <c r="E17" s="55">
        <v>31</v>
      </c>
      <c r="F17" s="55">
        <v>83</v>
      </c>
      <c r="G17" s="56">
        <v>-25</v>
      </c>
      <c r="H17" s="55">
        <v>32</v>
      </c>
      <c r="I17" s="55">
        <v>95</v>
      </c>
      <c r="J17" s="56">
        <v>15</v>
      </c>
      <c r="K17" s="55">
        <v>32</v>
      </c>
      <c r="L17" s="55">
        <v>100</v>
      </c>
      <c r="M17" s="56">
        <v>-27</v>
      </c>
      <c r="N17" s="55">
        <v>30</v>
      </c>
      <c r="P17" s="55">
        <v>81</v>
      </c>
      <c r="Q17" s="56">
        <v>3</v>
      </c>
      <c r="R17" s="55">
        <v>36</v>
      </c>
      <c r="S17" s="55">
        <v>85</v>
      </c>
      <c r="T17" s="56">
        <v>23</v>
      </c>
      <c r="U17" s="55">
        <v>31</v>
      </c>
      <c r="V17" s="55">
        <v>85</v>
      </c>
      <c r="W17" s="56">
        <v>-25</v>
      </c>
      <c r="X17" s="55">
        <v>34</v>
      </c>
      <c r="Y17" s="55">
        <v>89</v>
      </c>
      <c r="Z17" s="56">
        <v>-1</v>
      </c>
      <c r="AA17" s="55">
        <v>36</v>
      </c>
      <c r="AC17" s="55">
        <v>77</v>
      </c>
      <c r="AD17" s="56">
        <v>16</v>
      </c>
      <c r="AE17" s="55">
        <v>39</v>
      </c>
      <c r="AF17" s="55">
        <v>93</v>
      </c>
      <c r="AG17" s="56">
        <v>-6</v>
      </c>
      <c r="AH17" s="55">
        <v>31</v>
      </c>
      <c r="AI17" s="55">
        <v>81</v>
      </c>
      <c r="AJ17" s="56">
        <v>-2</v>
      </c>
      <c r="AK17" s="55">
        <v>37</v>
      </c>
      <c r="AL17" s="55">
        <v>103</v>
      </c>
      <c r="AM17" s="56">
        <v>-8</v>
      </c>
      <c r="AN17" s="55">
        <v>25</v>
      </c>
      <c r="AP17" s="55"/>
      <c r="AQ17" s="56"/>
      <c r="AR17" s="55"/>
      <c r="AS17" s="55"/>
      <c r="AT17" s="56"/>
      <c r="AU17" s="55"/>
      <c r="AV17" s="55"/>
      <c r="AW17" s="56"/>
      <c r="AX17" s="55"/>
      <c r="AY17" s="55"/>
      <c r="AZ17" s="56"/>
      <c r="BA17" s="55"/>
      <c r="BC17" s="55"/>
      <c r="BD17" s="56"/>
      <c r="BE17" s="55"/>
      <c r="BF17" s="55"/>
      <c r="BG17" s="56"/>
      <c r="BH17" s="55"/>
      <c r="BI17" s="55"/>
      <c r="BJ17" s="56"/>
      <c r="BK17" s="55"/>
      <c r="BL17" s="55"/>
      <c r="BM17" s="56"/>
      <c r="BN17" s="55"/>
      <c r="BP17" t="s">
        <v>39</v>
      </c>
      <c r="BQ17" s="1">
        <v>2</v>
      </c>
      <c r="BR17" s="1">
        <v>3</v>
      </c>
      <c r="BS17" s="1">
        <v>1</v>
      </c>
      <c r="BT17" s="1">
        <v>2</v>
      </c>
      <c r="BU17" s="1">
        <v>2</v>
      </c>
      <c r="BV17" s="1">
        <v>2</v>
      </c>
      <c r="BW17" s="1">
        <v>1</v>
      </c>
      <c r="BX17" s="1">
        <v>2</v>
      </c>
      <c r="BY17" s="1">
        <v>3</v>
      </c>
      <c r="BZ17" s="1">
        <v>1</v>
      </c>
      <c r="CA17" s="1">
        <v>2</v>
      </c>
      <c r="CB17" s="1">
        <v>2</v>
      </c>
      <c r="CC17" s="1"/>
      <c r="CD17" s="1" t="s">
        <v>96</v>
      </c>
      <c r="CE17" s="1">
        <v>3</v>
      </c>
      <c r="CF17" s="1">
        <v>1</v>
      </c>
      <c r="CG17" s="1">
        <v>3</v>
      </c>
      <c r="CH17" s="1">
        <v>1</v>
      </c>
      <c r="CI17" s="1">
        <v>1</v>
      </c>
    </row>
    <row r="18" spans="1:87" ht="12" customHeight="1" x14ac:dyDescent="0.2">
      <c r="A18" s="54"/>
      <c r="B18" s="1">
        <v>9</v>
      </c>
      <c r="C18" s="100" t="s">
        <v>111</v>
      </c>
      <c r="D18" s="100"/>
      <c r="E18" s="100"/>
      <c r="F18" s="100" t="s">
        <v>34</v>
      </c>
      <c r="G18" s="100"/>
      <c r="H18" s="100"/>
      <c r="I18" s="100" t="s">
        <v>82</v>
      </c>
      <c r="J18" s="100"/>
      <c r="K18" s="100"/>
      <c r="L18" s="100" t="s">
        <v>93</v>
      </c>
      <c r="M18" s="100"/>
      <c r="N18" s="100"/>
      <c r="P18" s="100" t="s">
        <v>133</v>
      </c>
      <c r="Q18" s="100"/>
      <c r="R18" s="100"/>
      <c r="S18" s="100" t="s">
        <v>83</v>
      </c>
      <c r="T18" s="100"/>
      <c r="U18" s="100"/>
      <c r="V18" s="100" t="s">
        <v>85</v>
      </c>
      <c r="W18" s="100"/>
      <c r="X18" s="100"/>
      <c r="Y18" s="100" t="s">
        <v>125</v>
      </c>
      <c r="Z18" s="100"/>
      <c r="AA18" s="100"/>
      <c r="AC18" s="100" t="s">
        <v>116</v>
      </c>
      <c r="AD18" s="100"/>
      <c r="AE18" s="100"/>
      <c r="AF18" s="100" t="s">
        <v>110</v>
      </c>
      <c r="AG18" s="100"/>
      <c r="AH18" s="100"/>
      <c r="AI18" s="100" t="s">
        <v>92</v>
      </c>
      <c r="AJ18" s="100"/>
      <c r="AK18" s="100"/>
      <c r="AL18" s="100" t="s">
        <v>81</v>
      </c>
      <c r="AM18" s="100"/>
      <c r="AN18" s="100"/>
      <c r="AO18" s="53"/>
      <c r="AP18" s="100" t="s">
        <v>97</v>
      </c>
      <c r="AQ18" s="100"/>
      <c r="AR18" s="100"/>
      <c r="AS18" s="100" t="s">
        <v>114</v>
      </c>
      <c r="AT18" s="100"/>
      <c r="AU18" s="100"/>
      <c r="AV18" s="100" t="s">
        <v>113</v>
      </c>
      <c r="AW18" s="100"/>
      <c r="AX18" s="100"/>
      <c r="AY18" s="100" t="s">
        <v>80</v>
      </c>
      <c r="AZ18" s="100"/>
      <c r="BA18" s="100"/>
      <c r="BB18" s="53"/>
      <c r="BC18" s="100" t="s">
        <v>117</v>
      </c>
      <c r="BD18" s="100"/>
      <c r="BE18" s="100"/>
      <c r="BF18" s="100" t="s">
        <v>84</v>
      </c>
      <c r="BG18" s="100"/>
      <c r="BH18" s="100"/>
      <c r="BI18" s="100" t="s">
        <v>118</v>
      </c>
      <c r="BJ18" s="100"/>
      <c r="BK18" s="100"/>
      <c r="BL18" s="100" t="s">
        <v>95</v>
      </c>
      <c r="BM18" s="100"/>
      <c r="BN18" s="100"/>
      <c r="BO18" s="53"/>
      <c r="BP18" s="57" t="s">
        <v>84</v>
      </c>
      <c r="BQ18" s="58">
        <v>3</v>
      </c>
      <c r="BR18" s="58">
        <v>2</v>
      </c>
      <c r="BS18" s="58">
        <v>2</v>
      </c>
      <c r="BT18" s="58">
        <v>3</v>
      </c>
      <c r="BU18" s="58">
        <v>3</v>
      </c>
      <c r="BV18" s="58">
        <v>3</v>
      </c>
      <c r="BW18" s="58">
        <v>1</v>
      </c>
      <c r="BX18" s="58">
        <v>3</v>
      </c>
      <c r="BY18" s="58">
        <v>2</v>
      </c>
      <c r="BZ18" s="58">
        <v>2</v>
      </c>
      <c r="CA18" s="58">
        <v>2</v>
      </c>
      <c r="CB18" s="58">
        <v>2</v>
      </c>
      <c r="CC18" s="58">
        <v>1</v>
      </c>
      <c r="CD18" s="58">
        <v>3</v>
      </c>
      <c r="CE18" s="58" t="s">
        <v>96</v>
      </c>
      <c r="CF18" s="58">
        <v>2</v>
      </c>
      <c r="CG18" s="58">
        <v>2</v>
      </c>
      <c r="CH18" s="58">
        <v>2</v>
      </c>
      <c r="CI18" s="58">
        <v>1</v>
      </c>
    </row>
    <row r="19" spans="1:87" ht="12" customHeight="1" x14ac:dyDescent="0.2">
      <c r="A19" s="102" t="s">
        <v>87</v>
      </c>
      <c r="B19" s="102"/>
      <c r="C19" s="55">
        <v>86</v>
      </c>
      <c r="D19" s="56">
        <v>31</v>
      </c>
      <c r="E19" s="55">
        <v>34</v>
      </c>
      <c r="F19" s="55">
        <v>76</v>
      </c>
      <c r="G19" s="56">
        <v>-3</v>
      </c>
      <c r="H19" s="55">
        <v>35</v>
      </c>
      <c r="I19" s="55">
        <v>102</v>
      </c>
      <c r="J19" s="56">
        <v>-25</v>
      </c>
      <c r="K19" s="55">
        <v>22</v>
      </c>
      <c r="L19" s="55">
        <v>87</v>
      </c>
      <c r="M19" s="56">
        <v>-3</v>
      </c>
      <c r="N19" s="55">
        <v>37</v>
      </c>
      <c r="P19" s="55">
        <v>90</v>
      </c>
      <c r="Q19" s="56">
        <v>-6</v>
      </c>
      <c r="R19" s="55">
        <v>28</v>
      </c>
      <c r="S19" s="55">
        <v>81</v>
      </c>
      <c r="T19" s="56">
        <v>4</v>
      </c>
      <c r="U19" s="55">
        <v>33</v>
      </c>
      <c r="V19" s="55">
        <v>72</v>
      </c>
      <c r="W19" s="56">
        <v>12</v>
      </c>
      <c r="X19" s="55">
        <v>39</v>
      </c>
      <c r="Y19" s="55">
        <v>84</v>
      </c>
      <c r="Z19" s="56">
        <v>-10</v>
      </c>
      <c r="AA19" s="55">
        <v>30</v>
      </c>
      <c r="AC19" s="55">
        <v>84</v>
      </c>
      <c r="AD19" s="56">
        <v>-3</v>
      </c>
      <c r="AE19" s="55">
        <v>35</v>
      </c>
      <c r="AF19" s="55">
        <v>90</v>
      </c>
      <c r="AG19" s="56">
        <v>-27</v>
      </c>
      <c r="AH19" s="55">
        <v>31</v>
      </c>
      <c r="AI19" s="55">
        <v>80</v>
      </c>
      <c r="AJ19" s="56">
        <v>1</v>
      </c>
      <c r="AK19" s="55">
        <v>37</v>
      </c>
      <c r="AL19" s="55">
        <v>83</v>
      </c>
      <c r="AM19" s="56">
        <v>29</v>
      </c>
      <c r="AN19" s="55">
        <v>36</v>
      </c>
      <c r="AP19" s="55">
        <v>78</v>
      </c>
      <c r="AQ19" s="56">
        <v>-4</v>
      </c>
      <c r="AR19" s="55">
        <v>33</v>
      </c>
      <c r="AS19" s="55">
        <v>94</v>
      </c>
      <c r="AT19" s="56">
        <v>-8</v>
      </c>
      <c r="AU19" s="55">
        <v>27</v>
      </c>
      <c r="AV19" s="55">
        <v>79</v>
      </c>
      <c r="AW19" s="56">
        <v>-10</v>
      </c>
      <c r="AX19" s="55">
        <v>35</v>
      </c>
      <c r="AY19" s="55">
        <v>81</v>
      </c>
      <c r="AZ19" s="56">
        <v>22</v>
      </c>
      <c r="BA19" s="55">
        <v>30</v>
      </c>
      <c r="BC19" s="55">
        <v>84</v>
      </c>
      <c r="BD19" s="56">
        <v>-8</v>
      </c>
      <c r="BE19" s="55"/>
      <c r="BF19" s="55">
        <v>73</v>
      </c>
      <c r="BG19" s="56">
        <v>48</v>
      </c>
      <c r="BH19" s="55">
        <v>39</v>
      </c>
      <c r="BI19" s="55">
        <v>79</v>
      </c>
      <c r="BJ19" s="56">
        <v>-6</v>
      </c>
      <c r="BK19" s="55">
        <v>33</v>
      </c>
      <c r="BL19" s="55">
        <v>90</v>
      </c>
      <c r="BM19" s="56">
        <v>-34</v>
      </c>
      <c r="BN19" s="55">
        <v>32</v>
      </c>
      <c r="BP19" t="s">
        <v>92</v>
      </c>
      <c r="BQ19" s="1">
        <v>2</v>
      </c>
      <c r="BR19" s="1">
        <v>2</v>
      </c>
      <c r="BS19" s="1">
        <v>4</v>
      </c>
      <c r="BT19" s="1">
        <v>2</v>
      </c>
      <c r="BU19" s="1">
        <v>1</v>
      </c>
      <c r="BV19" s="1">
        <v>2</v>
      </c>
      <c r="BW19" s="1">
        <v>3</v>
      </c>
      <c r="BX19" s="1">
        <v>2</v>
      </c>
      <c r="BY19" s="1">
        <v>3</v>
      </c>
      <c r="BZ19" s="1">
        <v>2</v>
      </c>
      <c r="CA19" s="1">
        <v>1</v>
      </c>
      <c r="CB19" s="1">
        <v>3</v>
      </c>
      <c r="CC19" s="1">
        <v>1</v>
      </c>
      <c r="CD19" s="1">
        <v>1</v>
      </c>
      <c r="CE19" s="1">
        <v>2</v>
      </c>
      <c r="CF19" s="1" t="s">
        <v>96</v>
      </c>
      <c r="CG19" s="1">
        <v>1</v>
      </c>
      <c r="CH19" s="1">
        <v>2</v>
      </c>
      <c r="CI19" s="1">
        <v>2</v>
      </c>
    </row>
    <row r="20" spans="1:87" ht="12" customHeight="1" x14ac:dyDescent="0.2">
      <c r="A20" s="54"/>
      <c r="B20" s="1">
        <v>10</v>
      </c>
      <c r="C20" s="100" t="s">
        <v>80</v>
      </c>
      <c r="D20" s="100"/>
      <c r="E20" s="100"/>
      <c r="F20" s="100" t="s">
        <v>85</v>
      </c>
      <c r="G20" s="100"/>
      <c r="H20" s="100"/>
      <c r="I20" s="100" t="s">
        <v>117</v>
      </c>
      <c r="J20" s="100"/>
      <c r="K20" s="100"/>
      <c r="L20" s="100" t="s">
        <v>83</v>
      </c>
      <c r="M20" s="100"/>
      <c r="N20" s="100"/>
      <c r="P20" s="100" t="s">
        <v>82</v>
      </c>
      <c r="Q20" s="100"/>
      <c r="R20" s="100"/>
      <c r="S20" s="100" t="s">
        <v>136</v>
      </c>
      <c r="T20" s="100"/>
      <c r="U20" s="100"/>
      <c r="V20" s="100" t="s">
        <v>97</v>
      </c>
      <c r="W20" s="100"/>
      <c r="X20" s="100"/>
      <c r="Y20" s="100" t="s">
        <v>81</v>
      </c>
      <c r="Z20" s="100"/>
      <c r="AA20" s="100"/>
      <c r="AC20" s="100" t="s">
        <v>14</v>
      </c>
      <c r="AD20" s="100"/>
      <c r="AE20" s="100"/>
      <c r="AF20" s="100" t="s">
        <v>93</v>
      </c>
      <c r="AG20" s="100"/>
      <c r="AH20" s="100"/>
      <c r="AI20" s="100" t="s">
        <v>116</v>
      </c>
      <c r="AJ20" s="100"/>
      <c r="AK20" s="100"/>
      <c r="AL20" s="100" t="s">
        <v>110</v>
      </c>
      <c r="AM20" s="100"/>
      <c r="AN20" s="100"/>
      <c r="AO20" s="53"/>
      <c r="AP20" s="100" t="s">
        <v>119</v>
      </c>
      <c r="AQ20" s="100"/>
      <c r="AR20" s="100"/>
      <c r="AS20" s="100" t="s">
        <v>34</v>
      </c>
      <c r="AT20" s="100"/>
      <c r="AU20" s="100"/>
      <c r="AV20" s="100" t="s">
        <v>84</v>
      </c>
      <c r="AW20" s="100"/>
      <c r="AX20" s="100"/>
      <c r="AY20" s="100" t="s">
        <v>115</v>
      </c>
      <c r="AZ20" s="100"/>
      <c r="BA20" s="100"/>
      <c r="BB20" s="53"/>
      <c r="BC20" s="100"/>
      <c r="BD20" s="100"/>
      <c r="BE20" s="100"/>
      <c r="BF20" s="100"/>
      <c r="BG20" s="100"/>
      <c r="BH20" s="100"/>
      <c r="BI20" s="100"/>
      <c r="BJ20" s="100"/>
      <c r="BK20" s="100"/>
      <c r="BL20" s="100"/>
      <c r="BM20" s="100"/>
      <c r="BN20" s="100"/>
      <c r="BO20" s="53"/>
      <c r="BP20" s="57" t="s">
        <v>93</v>
      </c>
      <c r="BQ20" s="58">
        <v>3</v>
      </c>
      <c r="BR20" s="58">
        <v>2</v>
      </c>
      <c r="BS20" s="58">
        <v>1</v>
      </c>
      <c r="BT20" s="58">
        <v>3</v>
      </c>
      <c r="BU20" s="58">
        <v>3</v>
      </c>
      <c r="BV20" s="58">
        <v>3</v>
      </c>
      <c r="BW20" s="58">
        <v>2</v>
      </c>
      <c r="BX20" s="58">
        <v>2</v>
      </c>
      <c r="BY20" s="58">
        <v>2</v>
      </c>
      <c r="BZ20" s="58">
        <v>1</v>
      </c>
      <c r="CA20" s="58">
        <v>1</v>
      </c>
      <c r="CB20" s="58">
        <v>2</v>
      </c>
      <c r="CC20" s="58"/>
      <c r="CD20" s="58">
        <v>3</v>
      </c>
      <c r="CE20" s="58">
        <v>3</v>
      </c>
      <c r="CF20" s="58">
        <v>1</v>
      </c>
      <c r="CG20" s="58" t="s">
        <v>96</v>
      </c>
      <c r="CH20" s="58">
        <v>3</v>
      </c>
      <c r="CI20" s="58">
        <v>2</v>
      </c>
    </row>
    <row r="21" spans="1:87" ht="12" customHeight="1" x14ac:dyDescent="0.2">
      <c r="A21" s="102" t="s">
        <v>87</v>
      </c>
      <c r="B21" s="102"/>
      <c r="C21" s="55">
        <v>82</v>
      </c>
      <c r="D21" s="56">
        <v>-16</v>
      </c>
      <c r="E21" s="55">
        <v>32</v>
      </c>
      <c r="F21" s="55">
        <v>73</v>
      </c>
      <c r="G21" s="56">
        <v>8</v>
      </c>
      <c r="H21" s="55">
        <v>39</v>
      </c>
      <c r="I21" s="55">
        <v>79</v>
      </c>
      <c r="J21" s="56">
        <v>2</v>
      </c>
      <c r="K21" s="55">
        <v>32</v>
      </c>
      <c r="L21" s="55">
        <v>80</v>
      </c>
      <c r="M21" s="56">
        <v>6</v>
      </c>
      <c r="N21" s="55">
        <v>34</v>
      </c>
      <c r="P21" s="55">
        <v>104</v>
      </c>
      <c r="Q21" s="56">
        <v>-32</v>
      </c>
      <c r="R21" s="55">
        <v>23</v>
      </c>
      <c r="S21" s="55">
        <v>91</v>
      </c>
      <c r="T21" s="56">
        <v>6</v>
      </c>
      <c r="U21" s="55">
        <v>29</v>
      </c>
      <c r="V21" s="55">
        <v>83</v>
      </c>
      <c r="W21" s="56">
        <v>-6</v>
      </c>
      <c r="X21" s="55">
        <v>31</v>
      </c>
      <c r="Y21" s="55">
        <v>91</v>
      </c>
      <c r="Z21" s="56">
        <v>32</v>
      </c>
      <c r="AA21" s="55">
        <v>32</v>
      </c>
      <c r="AC21" s="55">
        <v>89</v>
      </c>
      <c r="AD21" s="56">
        <v>4</v>
      </c>
      <c r="AE21" s="55">
        <v>28</v>
      </c>
      <c r="AF21" s="55">
        <v>96</v>
      </c>
      <c r="AG21" s="56">
        <v>-2</v>
      </c>
      <c r="AH21" s="55">
        <v>31</v>
      </c>
      <c r="AI21" s="55">
        <v>85</v>
      </c>
      <c r="AJ21" s="56">
        <v>20</v>
      </c>
      <c r="AK21" s="55">
        <v>37</v>
      </c>
      <c r="AL21" s="55">
        <v>90</v>
      </c>
      <c r="AM21" s="56">
        <v>-22</v>
      </c>
      <c r="AN21" s="55">
        <v>35</v>
      </c>
      <c r="AP21" s="55">
        <v>82</v>
      </c>
      <c r="AQ21" s="56">
        <v>17</v>
      </c>
      <c r="AR21" s="55">
        <v>35</v>
      </c>
      <c r="AS21" s="55">
        <v>82</v>
      </c>
      <c r="AT21" s="56">
        <v>3</v>
      </c>
      <c r="AU21" s="55">
        <v>31</v>
      </c>
      <c r="AV21" s="55">
        <v>75</v>
      </c>
      <c r="AW21" s="56">
        <v>13</v>
      </c>
      <c r="AX21" s="55">
        <v>38</v>
      </c>
      <c r="AY21" s="55">
        <v>103</v>
      </c>
      <c r="AZ21" s="56">
        <v>-33</v>
      </c>
      <c r="BA21" s="55">
        <v>22</v>
      </c>
      <c r="BC21" s="55"/>
      <c r="BD21" s="56"/>
      <c r="BE21" s="55"/>
      <c r="BF21" s="55"/>
      <c r="BG21" s="56"/>
      <c r="BH21" s="55"/>
      <c r="BI21" s="55"/>
      <c r="BJ21" s="56"/>
      <c r="BK21" s="55"/>
      <c r="BL21" s="55"/>
      <c r="BM21" s="56"/>
      <c r="BN21" s="55"/>
      <c r="BP21" t="s">
        <v>94</v>
      </c>
      <c r="BQ21" s="1">
        <v>3</v>
      </c>
      <c r="BR21" s="1">
        <v>2</v>
      </c>
      <c r="BS21" s="1">
        <v>4</v>
      </c>
      <c r="BT21" s="1">
        <v>2</v>
      </c>
      <c r="BU21" s="1">
        <v>1</v>
      </c>
      <c r="BV21" s="1">
        <v>3</v>
      </c>
      <c r="BW21" s="1">
        <v>1</v>
      </c>
      <c r="BX21" s="1">
        <v>3</v>
      </c>
      <c r="BY21" s="1">
        <v>2</v>
      </c>
      <c r="BZ21" s="1">
        <v>2</v>
      </c>
      <c r="CA21" s="1">
        <v>2</v>
      </c>
      <c r="CB21" s="1">
        <v>2</v>
      </c>
      <c r="CC21" s="1"/>
      <c r="CD21" s="1">
        <v>1</v>
      </c>
      <c r="CE21" s="1">
        <v>2</v>
      </c>
      <c r="CF21" s="1">
        <v>3</v>
      </c>
      <c r="CG21" s="1">
        <v>3</v>
      </c>
      <c r="CH21" s="1" t="s">
        <v>96</v>
      </c>
      <c r="CI21" s="1">
        <v>2</v>
      </c>
    </row>
    <row r="22" spans="1:87" ht="12" customHeight="1" x14ac:dyDescent="0.2">
      <c r="A22" s="54"/>
      <c r="B22" s="1">
        <v>11</v>
      </c>
      <c r="C22" s="100" t="s">
        <v>137</v>
      </c>
      <c r="D22" s="100"/>
      <c r="E22" s="100"/>
      <c r="F22" s="100" t="s">
        <v>80</v>
      </c>
      <c r="G22" s="100"/>
      <c r="H22" s="100"/>
      <c r="I22" s="100" t="s">
        <v>92</v>
      </c>
      <c r="J22" s="100"/>
      <c r="K22" s="100"/>
      <c r="L22" s="100" t="s">
        <v>111</v>
      </c>
      <c r="M22" s="100"/>
      <c r="N22" s="100"/>
      <c r="P22" s="100" t="s">
        <v>95</v>
      </c>
      <c r="Q22" s="100"/>
      <c r="R22" s="100"/>
      <c r="S22" s="100" t="s">
        <v>83</v>
      </c>
      <c r="T22" s="100"/>
      <c r="U22" s="100"/>
      <c r="V22" s="100" t="s">
        <v>93</v>
      </c>
      <c r="W22" s="100"/>
      <c r="X22" s="100"/>
      <c r="Y22" s="100" t="s">
        <v>97</v>
      </c>
      <c r="Z22" s="100"/>
      <c r="AA22" s="100"/>
      <c r="AC22" s="100" t="s">
        <v>114</v>
      </c>
      <c r="AD22" s="100"/>
      <c r="AE22" s="100"/>
      <c r="AF22" s="100" t="s">
        <v>81</v>
      </c>
      <c r="AG22" s="100"/>
      <c r="AH22" s="100"/>
      <c r="AI22" s="100" t="s">
        <v>125</v>
      </c>
      <c r="AJ22" s="100"/>
      <c r="AK22" s="100"/>
      <c r="AL22" s="100" t="s">
        <v>117</v>
      </c>
      <c r="AM22" s="100"/>
      <c r="AN22" s="100"/>
      <c r="AO22" s="53"/>
      <c r="AP22" s="100" t="s">
        <v>84</v>
      </c>
      <c r="AQ22" s="100"/>
      <c r="AR22" s="100"/>
      <c r="AS22" s="100" t="s">
        <v>82</v>
      </c>
      <c r="AT22" s="100"/>
      <c r="AU22" s="100"/>
      <c r="AV22" s="100" t="s">
        <v>110</v>
      </c>
      <c r="AW22" s="100"/>
      <c r="AX22" s="100"/>
      <c r="AY22" s="100" t="s">
        <v>85</v>
      </c>
      <c r="AZ22" s="100"/>
      <c r="BA22" s="100"/>
      <c r="BB22" s="53"/>
      <c r="BC22" s="100"/>
      <c r="BD22" s="100"/>
      <c r="BE22" s="100"/>
      <c r="BF22" s="100"/>
      <c r="BG22" s="100"/>
      <c r="BH22" s="100"/>
      <c r="BI22" s="100"/>
      <c r="BJ22" s="100"/>
      <c r="BK22" s="100"/>
      <c r="BL22" s="100"/>
      <c r="BM22" s="100"/>
      <c r="BN22" s="100"/>
      <c r="BO22" s="53"/>
      <c r="BP22" s="57" t="s">
        <v>86</v>
      </c>
      <c r="BQ22" s="58">
        <v>2</v>
      </c>
      <c r="BR22" s="58">
        <v>1</v>
      </c>
      <c r="BS22" s="58">
        <v>3</v>
      </c>
      <c r="BT22" s="58">
        <v>2</v>
      </c>
      <c r="BU22" s="58">
        <v>2</v>
      </c>
      <c r="BV22" s="58">
        <v>2</v>
      </c>
      <c r="BW22" s="58">
        <v>1</v>
      </c>
      <c r="BX22" s="58">
        <v>1</v>
      </c>
      <c r="BY22" s="58">
        <v>2</v>
      </c>
      <c r="BZ22" s="58">
        <v>1</v>
      </c>
      <c r="CA22" s="58">
        <v>1</v>
      </c>
      <c r="CB22" s="58">
        <v>1</v>
      </c>
      <c r="CC22" s="58">
        <v>1</v>
      </c>
      <c r="CD22" s="58">
        <v>1</v>
      </c>
      <c r="CE22" s="58">
        <v>1</v>
      </c>
      <c r="CF22" s="58">
        <v>3</v>
      </c>
      <c r="CG22" s="58">
        <v>2</v>
      </c>
      <c r="CH22" s="58">
        <v>3</v>
      </c>
      <c r="CI22" s="58" t="s">
        <v>96</v>
      </c>
    </row>
    <row r="23" spans="1:87" ht="12" customHeight="1" x14ac:dyDescent="0.2">
      <c r="A23" s="102" t="s">
        <v>87</v>
      </c>
      <c r="B23" s="102"/>
      <c r="C23" s="55">
        <v>74</v>
      </c>
      <c r="D23" s="56">
        <v>-8</v>
      </c>
      <c r="E23" s="55">
        <v>33</v>
      </c>
      <c r="F23" s="55">
        <v>77</v>
      </c>
      <c r="G23" s="56">
        <v>32</v>
      </c>
      <c r="H23" s="55">
        <v>38</v>
      </c>
      <c r="I23" s="55">
        <v>94</v>
      </c>
      <c r="J23" s="56">
        <v>-40</v>
      </c>
      <c r="K23" s="55">
        <v>27</v>
      </c>
      <c r="L23" s="55">
        <v>82</v>
      </c>
      <c r="M23" s="56">
        <v>16</v>
      </c>
      <c r="N23" s="55">
        <v>43</v>
      </c>
      <c r="P23" s="55">
        <v>93</v>
      </c>
      <c r="Q23" s="56">
        <v>5</v>
      </c>
      <c r="R23" s="55">
        <v>34</v>
      </c>
      <c r="S23" s="55">
        <v>88</v>
      </c>
      <c r="T23" s="56">
        <v>-21</v>
      </c>
      <c r="U23" s="55">
        <v>28</v>
      </c>
      <c r="V23" s="55">
        <v>96</v>
      </c>
      <c r="W23" s="56">
        <v>21</v>
      </c>
      <c r="X23" s="55">
        <v>34</v>
      </c>
      <c r="Y23" s="55">
        <v>85</v>
      </c>
      <c r="Z23" s="56">
        <v>-5</v>
      </c>
      <c r="AA23" s="55">
        <v>32</v>
      </c>
      <c r="AC23" s="55">
        <v>99</v>
      </c>
      <c r="AD23" s="56">
        <v>5</v>
      </c>
      <c r="AE23" s="55">
        <v>27</v>
      </c>
      <c r="AF23" s="55">
        <v>95</v>
      </c>
      <c r="AG23" s="56">
        <v>-3</v>
      </c>
      <c r="AH23" s="55">
        <v>29</v>
      </c>
      <c r="AI23" s="55">
        <v>93</v>
      </c>
      <c r="AJ23" s="56">
        <v>-1</v>
      </c>
      <c r="AK23" s="55">
        <v>27</v>
      </c>
      <c r="AL23" s="55">
        <v>82</v>
      </c>
      <c r="AM23" s="56">
        <v>-1</v>
      </c>
      <c r="AN23" s="55">
        <v>31</v>
      </c>
      <c r="AP23" s="55">
        <v>77</v>
      </c>
      <c r="AQ23" s="56">
        <v>27</v>
      </c>
      <c r="AR23" s="55">
        <v>39</v>
      </c>
      <c r="AS23" s="55">
        <v>101</v>
      </c>
      <c r="AT23" s="56">
        <v>-15</v>
      </c>
      <c r="AU23" s="55">
        <v>31</v>
      </c>
      <c r="AV23" s="55">
        <v>99</v>
      </c>
      <c r="AW23" s="56">
        <v>-15</v>
      </c>
      <c r="AX23" s="55">
        <v>30</v>
      </c>
      <c r="AY23" s="55">
        <v>82</v>
      </c>
      <c r="AZ23" s="56">
        <v>3</v>
      </c>
      <c r="BA23" s="55">
        <v>31</v>
      </c>
      <c r="BC23" s="55"/>
      <c r="BD23" s="56"/>
      <c r="BE23" s="55"/>
      <c r="BF23" s="55"/>
      <c r="BG23" s="56"/>
      <c r="BH23" s="55"/>
      <c r="BI23" s="55"/>
      <c r="BJ23" s="56"/>
      <c r="BK23" s="55"/>
      <c r="BL23" s="55"/>
      <c r="BM23" s="56"/>
      <c r="BN23" s="55"/>
      <c r="BP23" t="s">
        <v>1</v>
      </c>
      <c r="BQ23" s="1">
        <f>SUM(BQ4:BQ22)</f>
        <v>38</v>
      </c>
      <c r="BR23" s="1">
        <f t="shared" ref="BR23:CI23" si="0">SUM(BR4:BR22)</f>
        <v>26</v>
      </c>
      <c r="BS23" s="1">
        <f t="shared" si="0"/>
        <v>31</v>
      </c>
      <c r="BT23" s="1">
        <f t="shared" si="0"/>
        <v>38</v>
      </c>
      <c r="BU23" s="1">
        <f t="shared" si="0"/>
        <v>37</v>
      </c>
      <c r="BV23" s="1">
        <f t="shared" si="0"/>
        <v>32</v>
      </c>
      <c r="BW23" s="1">
        <f t="shared" si="0"/>
        <v>22</v>
      </c>
      <c r="BX23" s="1">
        <f t="shared" si="0"/>
        <v>35</v>
      </c>
      <c r="BY23" s="1">
        <f t="shared" si="0"/>
        <v>31</v>
      </c>
      <c r="BZ23" s="1">
        <f t="shared" si="0"/>
        <v>18</v>
      </c>
      <c r="CA23" s="1">
        <f t="shared" si="0"/>
        <v>22</v>
      </c>
      <c r="CB23" s="1">
        <f t="shared" si="0"/>
        <v>31</v>
      </c>
      <c r="CC23" s="1">
        <f t="shared" si="0"/>
        <v>9</v>
      </c>
      <c r="CD23" s="1">
        <f t="shared" si="0"/>
        <v>30</v>
      </c>
      <c r="CE23" s="1">
        <f t="shared" si="0"/>
        <v>38</v>
      </c>
      <c r="CF23" s="1">
        <f t="shared" si="0"/>
        <v>37</v>
      </c>
      <c r="CG23" s="1">
        <f t="shared" si="0"/>
        <v>34</v>
      </c>
      <c r="CH23" s="1">
        <f t="shared" si="0"/>
        <v>37</v>
      </c>
      <c r="CI23" s="1">
        <f t="shared" si="0"/>
        <v>27</v>
      </c>
    </row>
    <row r="24" spans="1:87" ht="12" customHeight="1" x14ac:dyDescent="0.2">
      <c r="A24" s="54"/>
      <c r="B24" s="1">
        <v>12</v>
      </c>
      <c r="C24" s="100" t="s">
        <v>92</v>
      </c>
      <c r="D24" s="100"/>
      <c r="E24" s="100"/>
      <c r="F24" s="100" t="s">
        <v>111</v>
      </c>
      <c r="G24" s="100"/>
      <c r="H24" s="100"/>
      <c r="I24" s="100" t="s">
        <v>138</v>
      </c>
      <c r="J24" s="100"/>
      <c r="K24" s="100"/>
      <c r="L24" s="100" t="s">
        <v>93</v>
      </c>
      <c r="M24" s="100"/>
      <c r="N24" s="100"/>
      <c r="P24" s="100" t="s">
        <v>95</v>
      </c>
      <c r="Q24" s="100"/>
      <c r="R24" s="100"/>
      <c r="S24" s="100" t="s">
        <v>80</v>
      </c>
      <c r="T24" s="100"/>
      <c r="U24" s="100"/>
      <c r="V24" s="100" t="s">
        <v>110</v>
      </c>
      <c r="W24" s="100"/>
      <c r="X24" s="100"/>
      <c r="Y24" s="100" t="s">
        <v>125</v>
      </c>
      <c r="Z24" s="100"/>
      <c r="AA24" s="100"/>
      <c r="AC24" s="100" t="s">
        <v>84</v>
      </c>
      <c r="AD24" s="100"/>
      <c r="AE24" s="100"/>
      <c r="AF24" s="100" t="s">
        <v>85</v>
      </c>
      <c r="AG24" s="100"/>
      <c r="AH24" s="100"/>
      <c r="AI24" s="100" t="s">
        <v>13</v>
      </c>
      <c r="AJ24" s="100"/>
      <c r="AK24" s="100"/>
      <c r="AL24" s="100" t="s">
        <v>83</v>
      </c>
      <c r="AM24" s="100"/>
      <c r="AN24" s="100"/>
      <c r="AO24" s="53"/>
      <c r="AP24" s="100" t="s">
        <v>113</v>
      </c>
      <c r="AQ24" s="100"/>
      <c r="AR24" s="100"/>
      <c r="AS24" s="100" t="s">
        <v>34</v>
      </c>
      <c r="AT24" s="100"/>
      <c r="AU24" s="100"/>
      <c r="AV24" s="100" t="s">
        <v>97</v>
      </c>
      <c r="AW24" s="100"/>
      <c r="AX24" s="100"/>
      <c r="AY24" s="100" t="s">
        <v>116</v>
      </c>
      <c r="AZ24" s="100"/>
      <c r="BA24" s="100"/>
      <c r="BB24" s="53"/>
      <c r="BC24" s="100"/>
      <c r="BD24" s="100"/>
      <c r="BE24" s="100"/>
      <c r="BF24" s="100"/>
      <c r="BG24" s="100"/>
      <c r="BH24" s="100"/>
      <c r="BI24" s="100"/>
      <c r="BJ24" s="100"/>
      <c r="BK24" s="100"/>
      <c r="BL24" s="100"/>
      <c r="BM24" s="100"/>
      <c r="BN24" s="100"/>
      <c r="BO24" s="53"/>
    </row>
    <row r="25" spans="1:87" ht="12" customHeight="1" x14ac:dyDescent="0.2">
      <c r="A25" s="102" t="s">
        <v>87</v>
      </c>
      <c r="B25" s="102"/>
      <c r="C25" s="55">
        <v>83</v>
      </c>
      <c r="D25" s="56">
        <v>-6</v>
      </c>
      <c r="E25" s="55">
        <v>34</v>
      </c>
      <c r="F25" s="55">
        <v>87</v>
      </c>
      <c r="G25" s="56">
        <v>-2</v>
      </c>
      <c r="H25" s="55">
        <v>32</v>
      </c>
      <c r="I25" s="55">
        <v>87</v>
      </c>
      <c r="J25" s="56">
        <v>-20</v>
      </c>
      <c r="K25" s="55">
        <v>32</v>
      </c>
      <c r="L25" s="55">
        <v>75</v>
      </c>
      <c r="M25" s="56">
        <v>28</v>
      </c>
      <c r="N25" s="55">
        <v>49</v>
      </c>
      <c r="P25" s="55">
        <v>88</v>
      </c>
      <c r="Q25" s="56">
        <v>15</v>
      </c>
      <c r="R25" s="55">
        <v>35</v>
      </c>
      <c r="S25" s="55">
        <v>80</v>
      </c>
      <c r="T25" s="56">
        <v>-29</v>
      </c>
      <c r="U25" s="55">
        <v>30</v>
      </c>
      <c r="V25" s="55">
        <v>90</v>
      </c>
      <c r="W25" s="56">
        <v>15</v>
      </c>
      <c r="X25" s="55">
        <v>33</v>
      </c>
      <c r="Y25" s="55">
        <v>88</v>
      </c>
      <c r="Z25" s="56">
        <v>-1</v>
      </c>
      <c r="AA25" s="55">
        <v>26</v>
      </c>
      <c r="AC25" s="55">
        <v>80</v>
      </c>
      <c r="AD25" s="56">
        <v>7</v>
      </c>
      <c r="AE25" s="55">
        <v>31</v>
      </c>
      <c r="AF25" s="55">
        <v>74</v>
      </c>
      <c r="AG25" s="56">
        <v>-1</v>
      </c>
      <c r="AH25" s="55">
        <v>34</v>
      </c>
      <c r="AI25" s="55">
        <v>85</v>
      </c>
      <c r="AJ25" s="56">
        <v>3</v>
      </c>
      <c r="AK25" s="55">
        <v>29</v>
      </c>
      <c r="AL25" s="55">
        <v>81</v>
      </c>
      <c r="AM25" s="56">
        <v>-9</v>
      </c>
      <c r="AN25" s="55">
        <v>31</v>
      </c>
      <c r="AP25" s="55">
        <v>78</v>
      </c>
      <c r="AQ25" s="56">
        <v>4</v>
      </c>
      <c r="AR25" s="55">
        <v>36</v>
      </c>
      <c r="AS25" s="55">
        <v>70</v>
      </c>
      <c r="AT25" s="56">
        <v>10</v>
      </c>
      <c r="AU25" s="55">
        <v>40</v>
      </c>
      <c r="AV25" s="55">
        <v>77</v>
      </c>
      <c r="AW25" s="56">
        <v>14</v>
      </c>
      <c r="AX25" s="55">
        <v>35</v>
      </c>
      <c r="AY25" s="55">
        <v>90</v>
      </c>
      <c r="AZ25" s="56">
        <v>-28</v>
      </c>
      <c r="BA25" s="55">
        <v>29</v>
      </c>
      <c r="BC25" s="55"/>
      <c r="BD25" s="56"/>
      <c r="BE25" s="55"/>
      <c r="BF25" s="55"/>
      <c r="BG25" s="56"/>
      <c r="BH25" s="55"/>
      <c r="BI25" s="55"/>
      <c r="BJ25" s="56"/>
      <c r="BK25" s="55"/>
      <c r="BL25" s="55"/>
      <c r="BM25" s="56"/>
      <c r="BN25" s="55"/>
    </row>
    <row r="26" spans="1:87" ht="12" customHeight="1" x14ac:dyDescent="0.2">
      <c r="A26" s="54"/>
      <c r="B26" s="1">
        <v>13</v>
      </c>
      <c r="C26" s="100" t="s">
        <v>82</v>
      </c>
      <c r="D26" s="100"/>
      <c r="E26" s="100"/>
      <c r="F26" s="100" t="s">
        <v>97</v>
      </c>
      <c r="G26" s="100"/>
      <c r="H26" s="100"/>
      <c r="I26" s="100" t="s">
        <v>92</v>
      </c>
      <c r="J26" s="100"/>
      <c r="K26" s="100"/>
      <c r="L26" s="100" t="s">
        <v>140</v>
      </c>
      <c r="M26" s="100"/>
      <c r="N26" s="100"/>
      <c r="P26" s="100" t="s">
        <v>141</v>
      </c>
      <c r="Q26" s="100"/>
      <c r="R26" s="100"/>
      <c r="S26" s="100" t="s">
        <v>95</v>
      </c>
      <c r="T26" s="100"/>
      <c r="U26" s="100"/>
      <c r="V26" s="100" t="s">
        <v>117</v>
      </c>
      <c r="W26" s="100"/>
      <c r="X26" s="100"/>
      <c r="Y26" s="100" t="s">
        <v>93</v>
      </c>
      <c r="Z26" s="100"/>
      <c r="AA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53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53"/>
      <c r="BC26" s="100"/>
      <c r="BD26" s="100"/>
      <c r="BE26" s="100"/>
      <c r="BF26" s="100"/>
      <c r="BG26" s="100"/>
      <c r="BH26" s="100"/>
      <c r="BI26" s="100"/>
      <c r="BJ26" s="100"/>
      <c r="BK26" s="100"/>
      <c r="BL26" s="100"/>
      <c r="BM26" s="100"/>
      <c r="BN26" s="100"/>
      <c r="BO26" s="53"/>
    </row>
    <row r="27" spans="1:87" ht="12" customHeight="1" x14ac:dyDescent="0.2">
      <c r="A27" s="102" t="s">
        <v>87</v>
      </c>
      <c r="B27" s="102"/>
      <c r="C27" s="55">
        <v>100</v>
      </c>
      <c r="D27" s="56">
        <v>-8</v>
      </c>
      <c r="E27" s="55">
        <v>30</v>
      </c>
      <c r="F27" s="55">
        <v>81</v>
      </c>
      <c r="G27" s="56">
        <v>20</v>
      </c>
      <c r="H27" s="55">
        <v>34</v>
      </c>
      <c r="I27" s="55">
        <v>81</v>
      </c>
      <c r="J27" s="56">
        <v>10</v>
      </c>
      <c r="K27" s="55">
        <v>38</v>
      </c>
      <c r="L27" s="55">
        <v>83</v>
      </c>
      <c r="M27" s="56">
        <v>-22</v>
      </c>
      <c r="N27" s="55">
        <v>36</v>
      </c>
      <c r="P27" s="55">
        <v>79</v>
      </c>
      <c r="Q27" s="56">
        <v>-14</v>
      </c>
      <c r="R27" s="55">
        <v>36</v>
      </c>
      <c r="S27" s="55">
        <v>100</v>
      </c>
      <c r="T27" s="56">
        <v>2</v>
      </c>
      <c r="U27" s="55">
        <v>26</v>
      </c>
      <c r="V27" s="55">
        <v>80</v>
      </c>
      <c r="W27" s="56">
        <v>0</v>
      </c>
      <c r="X27" s="55">
        <v>30</v>
      </c>
      <c r="Y27" s="55">
        <v>92</v>
      </c>
      <c r="Z27" s="56">
        <v>12</v>
      </c>
      <c r="AA27" s="55">
        <v>33</v>
      </c>
      <c r="AC27" s="55"/>
      <c r="AD27" s="56"/>
      <c r="AE27" s="55"/>
      <c r="AF27" s="55"/>
      <c r="AG27" s="56"/>
      <c r="AH27" s="55"/>
      <c r="AI27" s="55"/>
      <c r="AJ27" s="56"/>
      <c r="AK27" s="55"/>
      <c r="AL27" s="55"/>
      <c r="AM27" s="56"/>
      <c r="AN27" s="55"/>
      <c r="AP27" s="55"/>
      <c r="AQ27" s="56"/>
      <c r="AR27" s="55"/>
      <c r="AS27" s="55"/>
      <c r="AT27" s="56"/>
      <c r="AU27" s="55"/>
      <c r="AV27" s="55"/>
      <c r="AW27" s="56"/>
      <c r="AX27" s="55"/>
      <c r="AY27" s="55"/>
      <c r="AZ27" s="56"/>
      <c r="BA27" s="55"/>
      <c r="BC27" s="55"/>
      <c r="BD27" s="56"/>
      <c r="BE27" s="55"/>
      <c r="BF27" s="55"/>
      <c r="BG27" s="56"/>
      <c r="BH27" s="55"/>
      <c r="BI27" s="55"/>
      <c r="BJ27" s="56"/>
      <c r="BK27" s="55"/>
      <c r="BL27" s="55"/>
      <c r="BM27" s="56"/>
      <c r="BN27" s="55"/>
    </row>
    <row r="28" spans="1:87" ht="12" customHeight="1" x14ac:dyDescent="0.2">
      <c r="A28" s="54"/>
      <c r="B28" s="1">
        <v>14</v>
      </c>
      <c r="C28" s="100" t="s">
        <v>120</v>
      </c>
      <c r="D28" s="100"/>
      <c r="E28" s="100"/>
      <c r="F28" s="100" t="s">
        <v>119</v>
      </c>
      <c r="G28" s="100"/>
      <c r="H28" s="100"/>
      <c r="I28" s="100" t="s">
        <v>85</v>
      </c>
      <c r="J28" s="100"/>
      <c r="K28" s="100"/>
      <c r="L28" s="100" t="s">
        <v>82</v>
      </c>
      <c r="M28" s="100"/>
      <c r="N28" s="100"/>
      <c r="P28" s="100" t="s">
        <v>13</v>
      </c>
      <c r="Q28" s="100"/>
      <c r="R28" s="100"/>
      <c r="S28" s="100" t="s">
        <v>117</v>
      </c>
      <c r="T28" s="100"/>
      <c r="U28" s="100"/>
      <c r="V28" s="100" t="s">
        <v>84</v>
      </c>
      <c r="W28" s="100"/>
      <c r="X28" s="100"/>
      <c r="Y28" s="100" t="s">
        <v>114</v>
      </c>
      <c r="Z28" s="100"/>
      <c r="AA28" s="100"/>
      <c r="AC28" s="100" t="s">
        <v>34</v>
      </c>
      <c r="AD28" s="100"/>
      <c r="AE28" s="100"/>
      <c r="AF28" s="100" t="s">
        <v>142</v>
      </c>
      <c r="AG28" s="100"/>
      <c r="AH28" s="100"/>
      <c r="AI28" s="100" t="s">
        <v>116</v>
      </c>
      <c r="AJ28" s="100"/>
      <c r="AK28" s="100"/>
      <c r="AL28" s="100" t="s">
        <v>95</v>
      </c>
      <c r="AM28" s="100"/>
      <c r="AN28" s="100"/>
      <c r="AO28" s="53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53"/>
      <c r="BC28" s="100"/>
      <c r="BD28" s="100"/>
      <c r="BE28" s="100"/>
      <c r="BF28" s="100"/>
      <c r="BG28" s="100"/>
      <c r="BH28" s="100"/>
      <c r="BI28" s="100"/>
      <c r="BJ28" s="100"/>
      <c r="BK28" s="100"/>
      <c r="BL28" s="100"/>
      <c r="BM28" s="100"/>
      <c r="BN28" s="100"/>
      <c r="BO28" s="53"/>
    </row>
    <row r="29" spans="1:87" ht="12" customHeight="1" x14ac:dyDescent="0.2">
      <c r="A29" s="102" t="s">
        <v>87</v>
      </c>
      <c r="B29" s="102"/>
      <c r="C29" s="55">
        <v>91</v>
      </c>
      <c r="D29" s="56">
        <v>-11</v>
      </c>
      <c r="E29" s="55">
        <v>35</v>
      </c>
      <c r="F29" s="55">
        <v>85</v>
      </c>
      <c r="G29" s="56">
        <v>1</v>
      </c>
      <c r="H29" s="55">
        <v>34</v>
      </c>
      <c r="I29" s="55">
        <v>77</v>
      </c>
      <c r="J29" s="56">
        <v>9</v>
      </c>
      <c r="K29" s="55">
        <v>35</v>
      </c>
      <c r="L29" s="55">
        <v>100</v>
      </c>
      <c r="M29" s="56">
        <v>1</v>
      </c>
      <c r="N29" s="55">
        <v>32</v>
      </c>
      <c r="P29" s="55">
        <v>81</v>
      </c>
      <c r="Q29" s="56">
        <v>-15</v>
      </c>
      <c r="R29" s="55">
        <v>36</v>
      </c>
      <c r="S29" s="55">
        <v>75</v>
      </c>
      <c r="T29" s="56">
        <v>17</v>
      </c>
      <c r="U29" s="55">
        <v>38</v>
      </c>
      <c r="V29" s="55">
        <v>75</v>
      </c>
      <c r="W29" s="56">
        <v>-19</v>
      </c>
      <c r="X29" s="55">
        <v>39</v>
      </c>
      <c r="Y29" s="55">
        <v>89</v>
      </c>
      <c r="Z29" s="56">
        <v>17</v>
      </c>
      <c r="AA29" s="55">
        <v>37</v>
      </c>
      <c r="AC29" s="55">
        <v>79</v>
      </c>
      <c r="AD29" s="56">
        <v>-7</v>
      </c>
      <c r="AE29" s="55">
        <v>35</v>
      </c>
      <c r="AF29" s="55">
        <v>90</v>
      </c>
      <c r="AG29" s="56">
        <v>-13</v>
      </c>
      <c r="AH29" s="55">
        <v>36</v>
      </c>
      <c r="AI29" s="55">
        <v>94</v>
      </c>
      <c r="AJ29" s="56">
        <v>3</v>
      </c>
      <c r="AK29" s="55">
        <v>31</v>
      </c>
      <c r="AL29" s="55">
        <v>89</v>
      </c>
      <c r="AM29" s="56">
        <v>17</v>
      </c>
      <c r="AN29" s="55">
        <v>39</v>
      </c>
      <c r="AP29" s="55"/>
      <c r="AQ29" s="56"/>
      <c r="AR29" s="55"/>
      <c r="AS29" s="55"/>
      <c r="AT29" s="56"/>
      <c r="AU29" s="55"/>
      <c r="AV29" s="55"/>
      <c r="AW29" s="56"/>
      <c r="AX29" s="55"/>
      <c r="AY29" s="55"/>
      <c r="AZ29" s="56"/>
      <c r="BA29" s="55"/>
      <c r="BC29" s="55"/>
      <c r="BD29" s="56"/>
      <c r="BE29" s="55"/>
      <c r="BF29" s="55"/>
      <c r="BG29" s="56"/>
      <c r="BH29" s="55"/>
      <c r="BI29" s="55"/>
      <c r="BJ29" s="56"/>
      <c r="BK29" s="55"/>
      <c r="BL29" s="55"/>
      <c r="BM29" s="56"/>
      <c r="BN29" s="55"/>
    </row>
    <row r="30" spans="1:87" ht="12" customHeight="1" x14ac:dyDescent="0.2">
      <c r="A30" s="54"/>
      <c r="B30" s="1">
        <v>15</v>
      </c>
      <c r="C30" s="100" t="s">
        <v>118</v>
      </c>
      <c r="D30" s="100"/>
      <c r="E30" s="100"/>
      <c r="F30" s="100" t="s">
        <v>116</v>
      </c>
      <c r="G30" s="100"/>
      <c r="H30" s="100"/>
      <c r="I30" s="100" t="s">
        <v>92</v>
      </c>
      <c r="J30" s="100"/>
      <c r="K30" s="100"/>
      <c r="L30" s="100" t="s">
        <v>84</v>
      </c>
      <c r="M30" s="100"/>
      <c r="N30" s="100"/>
      <c r="P30" s="100" t="s">
        <v>93</v>
      </c>
      <c r="Q30" s="100"/>
      <c r="R30" s="100"/>
      <c r="S30" s="100" t="s">
        <v>114</v>
      </c>
      <c r="T30" s="100"/>
      <c r="U30" s="100"/>
      <c r="V30" s="100" t="s">
        <v>110</v>
      </c>
      <c r="W30" s="100"/>
      <c r="X30" s="100"/>
      <c r="Y30" s="100" t="s">
        <v>34</v>
      </c>
      <c r="Z30" s="100"/>
      <c r="AA30" s="100"/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53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  <c r="AZ30" s="100"/>
      <c r="BA30" s="100"/>
      <c r="BB30" s="53"/>
      <c r="BC30" s="100"/>
      <c r="BD30" s="100"/>
      <c r="BE30" s="100"/>
      <c r="BF30" s="100"/>
      <c r="BG30" s="100"/>
      <c r="BH30" s="100"/>
      <c r="BI30" s="100"/>
      <c r="BJ30" s="100"/>
      <c r="BK30" s="100"/>
      <c r="BL30" s="100"/>
      <c r="BM30" s="100"/>
      <c r="BN30" s="100"/>
      <c r="BO30" s="53"/>
    </row>
    <row r="31" spans="1:87" ht="12" customHeight="1" x14ac:dyDescent="0.2">
      <c r="A31" s="102" t="s">
        <v>87</v>
      </c>
      <c r="B31" s="102"/>
      <c r="C31" s="55">
        <v>83</v>
      </c>
      <c r="D31" s="56">
        <v>-4</v>
      </c>
      <c r="E31" s="55">
        <v>29</v>
      </c>
      <c r="F31" s="55">
        <v>84</v>
      </c>
      <c r="G31" s="56">
        <v>6</v>
      </c>
      <c r="H31" s="55">
        <v>36</v>
      </c>
      <c r="I31" s="55">
        <v>93</v>
      </c>
      <c r="J31" s="56">
        <v>-8</v>
      </c>
      <c r="K31" s="55">
        <v>23</v>
      </c>
      <c r="L31" s="55">
        <v>76</v>
      </c>
      <c r="M31" s="56">
        <v>6</v>
      </c>
      <c r="N31" s="55">
        <v>33</v>
      </c>
      <c r="P31" s="55">
        <v>89</v>
      </c>
      <c r="Q31" s="56">
        <v>20</v>
      </c>
      <c r="R31" s="55">
        <v>31</v>
      </c>
      <c r="S31" s="55">
        <v>93</v>
      </c>
      <c r="T31" s="56">
        <v>-42</v>
      </c>
      <c r="U31" s="55">
        <v>29</v>
      </c>
      <c r="V31" s="55">
        <v>88</v>
      </c>
      <c r="W31" s="56">
        <v>24</v>
      </c>
      <c r="X31" s="55">
        <v>34</v>
      </c>
      <c r="Y31" s="55">
        <v>82</v>
      </c>
      <c r="Z31" s="56">
        <v>-2</v>
      </c>
      <c r="AA31" s="55">
        <v>27</v>
      </c>
      <c r="AC31" s="55"/>
      <c r="AD31" s="56"/>
      <c r="AE31" s="55"/>
      <c r="AF31" s="55"/>
      <c r="AG31" s="56"/>
      <c r="AH31" s="55"/>
      <c r="AI31" s="55"/>
      <c r="AJ31" s="56"/>
      <c r="AK31" s="55"/>
      <c r="AL31" s="55"/>
      <c r="AM31" s="56"/>
      <c r="AN31" s="55"/>
      <c r="AP31" s="55"/>
      <c r="AQ31" s="56"/>
      <c r="AR31" s="55"/>
      <c r="AS31" s="55"/>
      <c r="AT31" s="56"/>
      <c r="AU31" s="55"/>
      <c r="AV31" s="55"/>
      <c r="AW31" s="56"/>
      <c r="AX31" s="55"/>
      <c r="AY31" s="55"/>
      <c r="AZ31" s="56"/>
      <c r="BA31" s="55"/>
      <c r="BC31" s="55"/>
      <c r="BD31" s="56"/>
      <c r="BE31" s="55"/>
      <c r="BF31" s="55"/>
      <c r="BG31" s="56"/>
      <c r="BH31" s="55"/>
      <c r="BI31" s="55"/>
      <c r="BJ31" s="56"/>
      <c r="BK31" s="55"/>
      <c r="BL31" s="55"/>
      <c r="BM31" s="56"/>
      <c r="BN31" s="55"/>
    </row>
    <row r="32" spans="1:87" ht="12" customHeight="1" x14ac:dyDescent="0.2">
      <c r="A32" s="54"/>
      <c r="B32" s="1">
        <v>16</v>
      </c>
      <c r="C32" s="100" t="s">
        <v>97</v>
      </c>
      <c r="D32" s="100"/>
      <c r="E32" s="100"/>
      <c r="F32" s="100" t="s">
        <v>93</v>
      </c>
      <c r="G32" s="100"/>
      <c r="H32" s="100"/>
      <c r="I32" s="100" t="s">
        <v>125</v>
      </c>
      <c r="J32" s="100"/>
      <c r="K32" s="100"/>
      <c r="L32" s="100" t="s">
        <v>85</v>
      </c>
      <c r="M32" s="100"/>
      <c r="N32" s="100"/>
      <c r="P32" s="100" t="s">
        <v>81</v>
      </c>
      <c r="Q32" s="100"/>
      <c r="R32" s="100"/>
      <c r="S32" s="100" t="s">
        <v>95</v>
      </c>
      <c r="T32" s="100"/>
      <c r="U32" s="100"/>
      <c r="V32" s="100" t="s">
        <v>131</v>
      </c>
      <c r="W32" s="100"/>
      <c r="X32" s="100"/>
      <c r="Y32" s="100" t="s">
        <v>84</v>
      </c>
      <c r="Z32" s="100"/>
      <c r="AA32" s="100"/>
      <c r="AC32" s="100" t="s">
        <v>82</v>
      </c>
      <c r="AD32" s="100"/>
      <c r="AE32" s="100"/>
      <c r="AF32" s="100" t="s">
        <v>13</v>
      </c>
      <c r="AG32" s="100"/>
      <c r="AH32" s="100"/>
      <c r="AI32" s="100" t="s">
        <v>114</v>
      </c>
      <c r="AJ32" s="100"/>
      <c r="AK32" s="100"/>
      <c r="AL32" s="100" t="s">
        <v>116</v>
      </c>
      <c r="AM32" s="100"/>
      <c r="AN32" s="100"/>
      <c r="AO32" s="53"/>
      <c r="AP32" s="100" t="s">
        <v>80</v>
      </c>
      <c r="AQ32" s="100"/>
      <c r="AR32" s="100"/>
      <c r="AS32" s="100" t="s">
        <v>144</v>
      </c>
      <c r="AT32" s="100"/>
      <c r="AU32" s="100"/>
      <c r="AV32" s="100" t="s">
        <v>34</v>
      </c>
      <c r="AW32" s="100"/>
      <c r="AX32" s="100"/>
      <c r="AY32" s="100" t="s">
        <v>92</v>
      </c>
      <c r="AZ32" s="100"/>
      <c r="BA32" s="100"/>
      <c r="BB32" s="53"/>
      <c r="BC32" s="100"/>
      <c r="BD32" s="100"/>
      <c r="BE32" s="100"/>
      <c r="BF32" s="100"/>
      <c r="BG32" s="100"/>
      <c r="BH32" s="100"/>
      <c r="BI32" s="100"/>
      <c r="BJ32" s="100"/>
      <c r="BK32" s="100"/>
      <c r="BL32" s="100"/>
      <c r="BM32" s="100"/>
      <c r="BN32" s="100"/>
      <c r="BO32" s="53"/>
    </row>
    <row r="33" spans="1:67" ht="12" customHeight="1" x14ac:dyDescent="0.2">
      <c r="A33" s="102" t="s">
        <v>87</v>
      </c>
      <c r="B33" s="102"/>
      <c r="C33" s="55">
        <v>85</v>
      </c>
      <c r="D33" s="56">
        <v>7</v>
      </c>
      <c r="E33" s="55">
        <v>30</v>
      </c>
      <c r="F33" s="55">
        <v>82</v>
      </c>
      <c r="G33" s="56">
        <v>17</v>
      </c>
      <c r="H33" s="55">
        <v>41</v>
      </c>
      <c r="I33" s="55">
        <v>84</v>
      </c>
      <c r="J33" s="56">
        <v>-25</v>
      </c>
      <c r="K33" s="55">
        <v>33</v>
      </c>
      <c r="L33" s="55">
        <v>78</v>
      </c>
      <c r="M33" s="56">
        <v>1</v>
      </c>
      <c r="N33" s="55">
        <v>34</v>
      </c>
      <c r="P33" s="55">
        <v>83</v>
      </c>
      <c r="Q33" s="56">
        <v>23</v>
      </c>
      <c r="R33" s="55">
        <v>40</v>
      </c>
      <c r="S33" s="55">
        <v>97</v>
      </c>
      <c r="T33" s="56">
        <v>-39</v>
      </c>
      <c r="U33" s="55">
        <v>27</v>
      </c>
      <c r="V33" s="55">
        <v>104</v>
      </c>
      <c r="W33" s="56">
        <v>13</v>
      </c>
      <c r="X33" s="55">
        <v>30</v>
      </c>
      <c r="Y33" s="55">
        <v>76</v>
      </c>
      <c r="Z33" s="56">
        <v>3</v>
      </c>
      <c r="AA33" s="55">
        <v>35</v>
      </c>
      <c r="AC33" s="55">
        <v>102</v>
      </c>
      <c r="AD33" s="56">
        <v>-30</v>
      </c>
      <c r="AE33" s="55">
        <v>29</v>
      </c>
      <c r="AF33" s="55">
        <v>84</v>
      </c>
      <c r="AG33" s="56">
        <v>14</v>
      </c>
      <c r="AH33" s="55">
        <v>31</v>
      </c>
      <c r="AI33" s="55">
        <v>87</v>
      </c>
      <c r="AJ33" s="56">
        <v>6</v>
      </c>
      <c r="AK33" s="55">
        <v>36</v>
      </c>
      <c r="AL33" s="55">
        <v>86</v>
      </c>
      <c r="AM33" s="56">
        <v>10</v>
      </c>
      <c r="AN33" s="55">
        <v>37</v>
      </c>
      <c r="AP33" s="55">
        <v>84</v>
      </c>
      <c r="AQ33" s="56">
        <v>-7</v>
      </c>
      <c r="AR33" s="55">
        <v>29</v>
      </c>
      <c r="AS33" s="55">
        <v>87</v>
      </c>
      <c r="AT33" s="56">
        <v>-5</v>
      </c>
      <c r="AU33" s="55">
        <v>29</v>
      </c>
      <c r="AV33" s="55">
        <v>77</v>
      </c>
      <c r="AW33" s="56">
        <v>13</v>
      </c>
      <c r="AX33" s="55">
        <v>35</v>
      </c>
      <c r="AY33" s="55">
        <v>87</v>
      </c>
      <c r="AZ33" s="56">
        <v>-1</v>
      </c>
      <c r="BA33" s="55">
        <v>31</v>
      </c>
      <c r="BC33" s="55"/>
      <c r="BD33" s="56"/>
      <c r="BE33" s="55"/>
      <c r="BF33" s="55"/>
      <c r="BG33" s="56"/>
      <c r="BH33" s="55"/>
      <c r="BI33" s="55"/>
      <c r="BJ33" s="56"/>
      <c r="BK33" s="55"/>
      <c r="BL33" s="55"/>
      <c r="BM33" s="56"/>
      <c r="BN33" s="55"/>
    </row>
    <row r="34" spans="1:67" ht="12" customHeight="1" x14ac:dyDescent="0.2">
      <c r="A34" s="54"/>
      <c r="B34" s="1">
        <v>17</v>
      </c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C34" s="100"/>
      <c r="AD34" s="100"/>
      <c r="AE34" s="100"/>
      <c r="AF34" s="100"/>
      <c r="AG34" s="100"/>
      <c r="AH34" s="100"/>
      <c r="AI34" s="100"/>
      <c r="AJ34" s="100"/>
      <c r="AK34" s="100"/>
      <c r="AL34" s="100"/>
      <c r="AM34" s="100"/>
      <c r="AN34" s="100"/>
      <c r="AO34" s="53"/>
      <c r="AP34" s="100"/>
      <c r="AQ34" s="100"/>
      <c r="AR34" s="100"/>
      <c r="AS34" s="100"/>
      <c r="AT34" s="100"/>
      <c r="AU34" s="100"/>
      <c r="AV34" s="100"/>
      <c r="AW34" s="100"/>
      <c r="AX34" s="100"/>
      <c r="AY34" s="100"/>
      <c r="AZ34" s="100"/>
      <c r="BA34" s="100"/>
      <c r="BB34" s="53"/>
      <c r="BC34" s="100"/>
      <c r="BD34" s="100"/>
      <c r="BE34" s="100"/>
      <c r="BF34" s="100"/>
      <c r="BG34" s="100"/>
      <c r="BH34" s="100"/>
      <c r="BI34" s="100"/>
      <c r="BJ34" s="100"/>
      <c r="BK34" s="100"/>
      <c r="BL34" s="100"/>
      <c r="BM34" s="100"/>
      <c r="BN34" s="100"/>
      <c r="BO34" s="53"/>
    </row>
    <row r="35" spans="1:67" ht="12" customHeight="1" x14ac:dyDescent="0.2">
      <c r="A35" s="102" t="s">
        <v>87</v>
      </c>
      <c r="B35" s="102"/>
      <c r="C35" s="55"/>
      <c r="D35" s="56"/>
      <c r="E35" s="55"/>
      <c r="F35" s="55"/>
      <c r="G35" s="56"/>
      <c r="H35" s="55"/>
      <c r="I35" s="55"/>
      <c r="J35" s="56"/>
      <c r="K35" s="55"/>
      <c r="L35" s="55"/>
      <c r="M35" s="56"/>
      <c r="N35" s="55"/>
      <c r="O35" s="60"/>
      <c r="P35" s="55"/>
      <c r="Q35" s="56"/>
      <c r="R35" s="55"/>
      <c r="S35" s="55"/>
      <c r="T35" s="56"/>
      <c r="U35" s="55"/>
      <c r="V35" s="55"/>
      <c r="W35" s="56"/>
      <c r="X35" s="55"/>
      <c r="Y35" s="55"/>
      <c r="Z35" s="56"/>
      <c r="AA35" s="55"/>
      <c r="AB35" s="36"/>
      <c r="AC35" s="55"/>
      <c r="AD35" s="56"/>
      <c r="AE35" s="55"/>
      <c r="AF35" s="55"/>
      <c r="AG35" s="56"/>
      <c r="AH35" s="55"/>
      <c r="AI35" s="55"/>
      <c r="AJ35" s="56"/>
      <c r="AK35" s="55"/>
      <c r="AL35" s="55"/>
      <c r="AM35" s="56"/>
      <c r="AN35" s="55"/>
      <c r="AP35" s="55"/>
      <c r="AQ35" s="56"/>
      <c r="AR35" s="55"/>
      <c r="AS35" s="55"/>
      <c r="AT35" s="56"/>
      <c r="AU35" s="55"/>
      <c r="AV35" s="55"/>
      <c r="AW35" s="56"/>
      <c r="AX35" s="55"/>
      <c r="AY35" s="55"/>
      <c r="AZ35" s="56"/>
      <c r="BA35" s="55"/>
      <c r="BC35" s="55"/>
      <c r="BD35" s="56"/>
      <c r="BE35" s="55"/>
      <c r="BF35" s="55"/>
      <c r="BG35" s="56"/>
      <c r="BH35" s="55"/>
      <c r="BI35" s="55"/>
      <c r="BJ35" s="56"/>
      <c r="BK35" s="55"/>
      <c r="BL35" s="55"/>
      <c r="BM35" s="56"/>
      <c r="BN35" s="55"/>
    </row>
    <row r="36" spans="1:67" ht="12" customHeight="1" x14ac:dyDescent="0.2">
      <c r="A36" s="54"/>
      <c r="B36" s="1">
        <v>18</v>
      </c>
      <c r="C36" s="100" t="s">
        <v>114</v>
      </c>
      <c r="D36" s="100"/>
      <c r="E36" s="100"/>
      <c r="F36" s="100" t="s">
        <v>13</v>
      </c>
      <c r="G36" s="100"/>
      <c r="H36" s="100"/>
      <c r="I36" s="100" t="s">
        <v>82</v>
      </c>
      <c r="J36" s="100"/>
      <c r="K36" s="100"/>
      <c r="L36" s="100" t="s">
        <v>117</v>
      </c>
      <c r="M36" s="100"/>
      <c r="N36" s="100"/>
      <c r="P36" s="100" t="s">
        <v>116</v>
      </c>
      <c r="Q36" s="100"/>
      <c r="R36" s="100"/>
      <c r="S36" s="100" t="s">
        <v>111</v>
      </c>
      <c r="T36" s="100"/>
      <c r="U36" s="100"/>
      <c r="V36" s="100" t="s">
        <v>85</v>
      </c>
      <c r="W36" s="100"/>
      <c r="X36" s="100"/>
      <c r="Y36" s="100" t="s">
        <v>34</v>
      </c>
      <c r="Z36" s="100"/>
      <c r="AA36" s="100"/>
      <c r="AC36" s="100" t="s">
        <v>81</v>
      </c>
      <c r="AD36" s="100"/>
      <c r="AE36" s="100"/>
      <c r="AF36" s="100" t="s">
        <v>83</v>
      </c>
      <c r="AG36" s="100"/>
      <c r="AH36" s="100"/>
      <c r="AI36" s="100" t="s">
        <v>84</v>
      </c>
      <c r="AJ36" s="100"/>
      <c r="AK36" s="100"/>
      <c r="AL36" s="100" t="s">
        <v>93</v>
      </c>
      <c r="AM36" s="100"/>
      <c r="AN36" s="100"/>
      <c r="AO36" s="53"/>
      <c r="AP36" s="100" t="s">
        <v>97</v>
      </c>
      <c r="AQ36" s="100"/>
      <c r="AR36" s="100"/>
      <c r="AS36" s="100" t="s">
        <v>92</v>
      </c>
      <c r="AT36" s="100"/>
      <c r="AU36" s="100"/>
      <c r="AV36" s="100" t="s">
        <v>95</v>
      </c>
      <c r="AW36" s="100"/>
      <c r="AX36" s="100"/>
      <c r="AY36" s="100" t="s">
        <v>80</v>
      </c>
      <c r="AZ36" s="100"/>
      <c r="BA36" s="100"/>
      <c r="BB36" s="53"/>
      <c r="BC36" s="100"/>
      <c r="BD36" s="100"/>
      <c r="BE36" s="100"/>
      <c r="BF36" s="100"/>
      <c r="BG36" s="100"/>
      <c r="BH36" s="100"/>
      <c r="BI36" s="100"/>
      <c r="BJ36" s="100"/>
      <c r="BK36" s="100"/>
      <c r="BL36" s="100"/>
      <c r="BM36" s="100"/>
      <c r="BN36" s="100"/>
      <c r="BO36" s="53"/>
    </row>
    <row r="37" spans="1:67" ht="12" customHeight="1" x14ac:dyDescent="0.2">
      <c r="A37" s="102" t="s">
        <v>87</v>
      </c>
      <c r="B37" s="102"/>
      <c r="C37" s="55">
        <v>85</v>
      </c>
      <c r="D37" s="56">
        <v>15</v>
      </c>
      <c r="E37" s="55">
        <v>35</v>
      </c>
      <c r="F37" s="55">
        <v>79</v>
      </c>
      <c r="G37" s="56">
        <v>-7</v>
      </c>
      <c r="H37" s="55">
        <v>32</v>
      </c>
      <c r="I37" s="55">
        <v>106</v>
      </c>
      <c r="J37" s="56">
        <v>-23</v>
      </c>
      <c r="K37" s="55">
        <v>22</v>
      </c>
      <c r="L37" s="55">
        <v>71</v>
      </c>
      <c r="M37" s="56">
        <v>15</v>
      </c>
      <c r="N37" s="55">
        <v>39</v>
      </c>
      <c r="O37" s="60"/>
      <c r="P37" s="55">
        <v>93</v>
      </c>
      <c r="Q37" s="56">
        <v>-6</v>
      </c>
      <c r="R37" s="55">
        <v>26</v>
      </c>
      <c r="S37" s="55">
        <v>83</v>
      </c>
      <c r="T37" s="56">
        <v>8</v>
      </c>
      <c r="U37" s="55">
        <v>36</v>
      </c>
      <c r="V37" s="55">
        <v>71</v>
      </c>
      <c r="W37" s="56">
        <v>22</v>
      </c>
      <c r="X37" s="55">
        <v>38</v>
      </c>
      <c r="Y37" s="55">
        <v>81</v>
      </c>
      <c r="Z37" s="56">
        <v>-24</v>
      </c>
      <c r="AA37" s="55">
        <v>29</v>
      </c>
      <c r="AB37" s="36"/>
      <c r="AC37" s="55">
        <v>94</v>
      </c>
      <c r="AD37" s="56">
        <v>-10</v>
      </c>
      <c r="AE37" s="55">
        <v>26</v>
      </c>
      <c r="AF37" s="55">
        <v>75</v>
      </c>
      <c r="AG37" s="56">
        <v>42</v>
      </c>
      <c r="AH37" s="55">
        <v>38</v>
      </c>
      <c r="AI37" s="55">
        <v>78</v>
      </c>
      <c r="AJ37" s="56">
        <v>-28</v>
      </c>
      <c r="AK37" s="55">
        <v>30</v>
      </c>
      <c r="AL37" s="55">
        <v>86</v>
      </c>
      <c r="AM37" s="56">
        <v>-6</v>
      </c>
      <c r="AN37" s="55">
        <v>33</v>
      </c>
      <c r="AP37" s="55">
        <v>80</v>
      </c>
      <c r="AQ37" s="56">
        <v>13</v>
      </c>
      <c r="AR37" s="55">
        <v>31</v>
      </c>
      <c r="AS37" s="55">
        <v>82</v>
      </c>
      <c r="AT37" s="56">
        <v>-37</v>
      </c>
      <c r="AU37" s="55">
        <v>35</v>
      </c>
      <c r="AV37" s="55">
        <v>86</v>
      </c>
      <c r="AW37" s="56">
        <v>39</v>
      </c>
      <c r="AX37" s="55">
        <v>35</v>
      </c>
      <c r="AY37" s="55">
        <v>84</v>
      </c>
      <c r="AZ37" s="56">
        <v>-15</v>
      </c>
      <c r="BA37" s="55">
        <v>29</v>
      </c>
      <c r="BC37" s="55"/>
      <c r="BD37" s="56"/>
      <c r="BE37" s="55"/>
      <c r="BF37" s="55"/>
      <c r="BG37" s="56"/>
      <c r="BH37" s="55"/>
      <c r="BI37" s="55"/>
      <c r="BJ37" s="56"/>
      <c r="BK37" s="55"/>
      <c r="BL37" s="55"/>
      <c r="BM37" s="56"/>
      <c r="BN37" s="55"/>
    </row>
    <row r="42" spans="1:67" x14ac:dyDescent="0.2">
      <c r="A42" t="s">
        <v>98</v>
      </c>
    </row>
  </sheetData>
  <mergeCells count="383"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BC1:BL1"/>
    <mergeCell ref="BC2:BE2"/>
    <mergeCell ref="BF2:BH2"/>
    <mergeCell ref="BI2:BK2"/>
    <mergeCell ref="BL2:BN2"/>
    <mergeCell ref="BC4:BE4"/>
    <mergeCell ref="BF4:BH4"/>
    <mergeCell ref="BI4:BK4"/>
    <mergeCell ref="BL4:BN4"/>
    <mergeCell ref="BC6:BE6"/>
    <mergeCell ref="BF6:BH6"/>
    <mergeCell ref="BI6:BK6"/>
    <mergeCell ref="BL6:BN6"/>
    <mergeCell ref="BC8:BE8"/>
    <mergeCell ref="BF8:BH8"/>
    <mergeCell ref="BI8:BK8"/>
    <mergeCell ref="BL8:BN8"/>
    <mergeCell ref="BC10:BE10"/>
    <mergeCell ref="BF10:BH10"/>
    <mergeCell ref="BI10:BK10"/>
    <mergeCell ref="BL10:BN10"/>
    <mergeCell ref="BC12:BE12"/>
    <mergeCell ref="BF12:BH12"/>
    <mergeCell ref="BI12:BK12"/>
    <mergeCell ref="BL12:BN12"/>
    <mergeCell ref="BC14:BE14"/>
    <mergeCell ref="BF14:BH14"/>
    <mergeCell ref="BI14:BK14"/>
    <mergeCell ref="BL14:BN14"/>
    <mergeCell ref="BC16:BE16"/>
    <mergeCell ref="BF16:BH16"/>
    <mergeCell ref="BI16:BK16"/>
    <mergeCell ref="BL16:BN16"/>
    <mergeCell ref="BC18:BE18"/>
    <mergeCell ref="BF18:BH18"/>
    <mergeCell ref="BI18:BK18"/>
    <mergeCell ref="BL18:BN18"/>
    <mergeCell ref="BC20:BE20"/>
    <mergeCell ref="BF20:BH20"/>
    <mergeCell ref="BI20:BK20"/>
    <mergeCell ref="BL20:BN20"/>
    <mergeCell ref="BC22:BE22"/>
    <mergeCell ref="BF22:BH22"/>
    <mergeCell ref="BI22:BK22"/>
    <mergeCell ref="BL22:BN22"/>
    <mergeCell ref="BC24:BE24"/>
    <mergeCell ref="BF24:BH24"/>
    <mergeCell ref="BI24:BK24"/>
    <mergeCell ref="BL24:BN24"/>
    <mergeCell ref="BC26:BE26"/>
    <mergeCell ref="BF26:BH26"/>
    <mergeCell ref="BI26:BK26"/>
    <mergeCell ref="BL26:BN26"/>
    <mergeCell ref="BC28:BE28"/>
    <mergeCell ref="BF28:BH28"/>
    <mergeCell ref="BI28:BK28"/>
    <mergeCell ref="BL28:BN28"/>
    <mergeCell ref="BC36:BE36"/>
    <mergeCell ref="BF36:BH36"/>
    <mergeCell ref="BI36:BK36"/>
    <mergeCell ref="BL36:BN36"/>
    <mergeCell ref="BC30:BE30"/>
    <mergeCell ref="BF30:BH30"/>
    <mergeCell ref="BI30:BK30"/>
    <mergeCell ref="BL30:BN30"/>
    <mergeCell ref="BC32:BE32"/>
    <mergeCell ref="BF32:BH32"/>
    <mergeCell ref="BI32:BK32"/>
    <mergeCell ref="BL32:BN32"/>
    <mergeCell ref="BC34:BE34"/>
    <mergeCell ref="BF34:BH34"/>
    <mergeCell ref="BI34:BK34"/>
    <mergeCell ref="BL34:BN34"/>
  </mergeCells>
  <pageMargins left="0.2" right="0.2" top="0.25" bottom="0.2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Auto -  Printable</vt:lpstr>
      <vt:lpstr>Playoffs</vt:lpstr>
      <vt:lpstr>Stats</vt:lpstr>
      <vt:lpstr>Pairings</vt:lpstr>
      <vt:lpstr>Stats!Print_Area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2023-12-27T15:18:36Z</cp:lastPrinted>
  <dcterms:created xsi:type="dcterms:W3CDTF">2014-04-02T21:11:50Z</dcterms:created>
  <dcterms:modified xsi:type="dcterms:W3CDTF">2026-03-17T16:51:38Z</dcterms:modified>
  <dc:language>en-US</dc:language>
</cp:coreProperties>
</file>