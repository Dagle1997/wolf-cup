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trlProps/ctrlProps29.xml" ContentType="application/vnd.ms-excel.controlproperties+xml"/>
  <Override PartName="/xl/ctrlProps/ctrlProps30.xml" ContentType="application/vnd.ms-excel.controlproperties+xml"/>
  <Override PartName="/xl/ctrlProps/ctrlProps28.xml" ContentType="application/vnd.ms-excel.controlproperties+xml"/>
  <Override PartName="/xl/ctrlProps/ctrlProps27.xml" ContentType="application/vnd.ms-excel.controlproperties+xml"/>
  <Override PartName="/xl/ctrlProps/ctrlProps26.xml" ContentType="application/vnd.ms-excel.controlproperties+xml"/>
  <Override PartName="/xl/ctrlProps/ctrlProps5.xml" ContentType="application/vnd.ms-excel.controlproperties+xml"/>
  <Override PartName="/xl/ctrlProps/ctrlProps11.xml" ContentType="application/vnd.ms-excel.controlproperties+xml"/>
  <Override PartName="/xl/ctrlProps/ctrlProps6.xml" ContentType="application/vnd.ms-excel.controlproperties+xml"/>
  <Override PartName="/xl/ctrlProps/ctrlProps12.xml" ContentType="application/vnd.ms-excel.controlproperties+xml"/>
  <Override PartName="/xl/ctrlProps/ctrlProps7.xml" ContentType="application/vnd.ms-excel.controlproperties+xml"/>
  <Override PartName="/xl/ctrlProps/ctrlProps13.xml" ContentType="application/vnd.ms-excel.controlproperties+xml"/>
  <Override PartName="/xl/ctrlProps/ctrlProps8.xml" ContentType="application/vnd.ms-excel.controlproperties+xml"/>
  <Override PartName="/xl/ctrlProps/ctrlProps14.xml" ContentType="application/vnd.ms-excel.controlproperties+xml"/>
  <Override PartName="/xl/ctrlProps/ctrlProps10.xml" ContentType="application/vnd.ms-excel.controlproperties+xml"/>
  <Override PartName="/xl/ctrlProps/ctrlProps9.xml" ContentType="application/vnd.ms-excel.controlproperties+xml"/>
  <Override PartName="/xl/ctrlProps/ctrlProps31.xml" ContentType="application/vnd.ms-excel.controlproperties+xml"/>
  <Override PartName="/xl/ctrlProps/ctrlProps32.xml" ContentType="application/vnd.ms-excel.controlproperties+xml"/>
  <Override PartName="/xl/ctrlProps/ctrlProps33.xml" ContentType="application/vnd.ms-excel.controlproperties+xml"/>
  <Override PartName="/xl/ctrlProps/ctrlProps4.xml" ContentType="application/vnd.ms-excel.controlproperties+xml"/>
  <Override PartName="/xl/ctrlProps/ctrlProps35.xml" ContentType="application/vnd.ms-excel.controlproperties+xml"/>
  <Override PartName="/xl/ctrlProps/ctrlProps3.xml" ContentType="application/vnd.ms-excel.controlproperties+xml"/>
  <Override PartName="/xl/ctrlProps/ctrlProps34.xml" ContentType="application/vnd.ms-excel.controlproperties+xml"/>
  <Override PartName="/xl/ctrlProps/ctrlProps2.xml" ContentType="application/vnd.ms-excel.controlproperties+xml"/>
  <Override PartName="/xl/ctrlProps/ctrlProps15.xml" ContentType="application/vnd.ms-excel.controlproperties+xml"/>
  <Override PartName="/xl/ctrlProps/ctrlProps16.xml" ContentType="application/vnd.ms-excel.controlproperties+xml"/>
  <Override PartName="/xl/ctrlProps/ctrlProps17.xml" ContentType="application/vnd.ms-excel.controlproperties+xml"/>
  <Override PartName="/xl/ctrlProps/ctrlProps18.xml" ContentType="application/vnd.ms-excel.controlproperties+xml"/>
  <Override PartName="/xl/ctrlProps/ctrlProps20.xml" ContentType="application/vnd.ms-excel.controlproperties+xml"/>
  <Override PartName="/xl/ctrlProps/ctrlProps19.xml" ContentType="application/vnd.ms-excel.controlproperties+xml"/>
  <Override PartName="/xl/ctrlProps/ctrlProps21.xml" ContentType="application/vnd.ms-excel.controlproperties+xml"/>
  <Override PartName="/xl/ctrlProps/ctrlProps22.xml" ContentType="application/vnd.ms-excel.controlproperties+xml"/>
  <Override PartName="/xl/ctrlProps/ctrlProps23.xml" ContentType="application/vnd.ms-excel.controlproperties+xml"/>
  <Override PartName="/xl/ctrlProps/ctrlProps24.xml" ContentType="application/vnd.ms-excel.controlproperties+xml"/>
  <Override PartName="/xl/ctrlProps/ctrlProps25.xml" ContentType="application/vnd.ms-excel.controlpropertie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4"/>
  </bookViews>
  <sheets>
    <sheet name="Auto -  Printable" sheetId="1" state="visible" r:id="rId2"/>
    <sheet name="Standings" sheetId="2" state="visible" r:id="rId3"/>
    <sheet name="Data - For Rank" sheetId="3" state="visible" r:id="rId4"/>
    <sheet name="Stats" sheetId="4" state="visible" r:id="rId5"/>
    <sheet name="Pairings" sheetId="5" state="visible" r:id="rId6"/>
    <sheet name="Tee Sheet" sheetId="6" state="visible" r:id="rId7"/>
    <sheet name="Playoffs" sheetId="7" state="visible" r:id="rId8"/>
    <sheet name="Money" sheetId="8" state="visible" r:id="rId9"/>
    <sheet name="sub list" sheetId="9" state="visible" r:id="rId10"/>
  </sheets>
  <definedNames>
    <definedName function="false" hidden="false" localSheetId="3" name="_xlnm.Print_Area" vbProcedure="false">Stats!$A$1:$I$29</definedName>
    <definedName function="false" hidden="false" name="Ranking" vbProcedure="false">Standings!$B$6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<sst xmlns="http://schemas.openxmlformats.org/spreadsheetml/2006/main" count="1167" uniqueCount="355">
  <si>
    <r>
      <rPr>
        <sz val="8"/>
        <color rgb="FF000000"/>
        <rFont val="Georgia"/>
        <family val="2"/>
        <charset val="1"/>
      </rPr>
      <t xml:space="preserve">Rounds </t>
    </r>
    <r>
      <rPr>
        <sz val="8"/>
        <color rgb="FFFFF8C2"/>
        <rFont val="Georgia"/>
        <family val="1"/>
        <charset val="1"/>
      </rPr>
      <t xml:space="preserve">[Min Points]</t>
    </r>
  </si>
  <si>
    <t xml:space="preserve">WEEK</t>
  </si>
  <si>
    <t xml:space="preserve">Apr 29th</t>
  </si>
  <si>
    <t xml:space="preserve">May 6th</t>
  </si>
  <si>
    <t xml:space="preserve">May 13th</t>
  </si>
  <si>
    <t xml:space="preserve">May 20th</t>
  </si>
  <si>
    <t xml:space="preserve">May 27th</t>
  </si>
  <si>
    <t xml:space="preserve">June 3rd</t>
  </si>
  <si>
    <t xml:space="preserve">June 17th</t>
  </si>
  <si>
    <t xml:space="preserve">June 24th</t>
  </si>
  <si>
    <t xml:space="preserve">July 1st</t>
  </si>
  <si>
    <t xml:space="preserve">July 8th</t>
  </si>
  <si>
    <t xml:space="preserve">July 15th</t>
  </si>
  <si>
    <t xml:space="preserve">July 22nd</t>
  </si>
  <si>
    <t xml:space="preserve">July 29th</t>
  </si>
  <si>
    <t xml:space="preserve">Aug 5th</t>
  </si>
  <si>
    <t xml:space="preserve">Aug 12th</t>
  </si>
  <si>
    <t xml:space="preserve">Aug 19th</t>
  </si>
  <si>
    <t xml:space="preserve">Aug 26th</t>
  </si>
  <si>
    <t xml:space="preserve">Sept 2nd</t>
  </si>
  <si>
    <t xml:space="preserve">TOTAL</t>
  </si>
  <si>
    <t xml:space="preserve">AVG</t>
  </si>
  <si>
    <t xml:space="preserve">Side Game</t>
  </si>
  <si>
    <t xml:space="preserve">Closest to Pin</t>
  </si>
  <si>
    <t xml:space="preserve">Most Net Pars</t>
  </si>
  <si>
    <t xml:space="preserve">Most Under Par</t>
  </si>
  <si>
    <t xml:space="preserve">Skins</t>
  </si>
  <si>
    <t xml:space="preserve">Winner</t>
  </si>
  <si>
    <t xml:space="preserve">RA,MB,JP,HBH</t>
  </si>
  <si>
    <t xml:space="preserve">HBH, MW, Bags</t>
  </si>
  <si>
    <t xml:space="preserve">JBx3, CPx2, MBx2, KC, MWx2</t>
  </si>
  <si>
    <t xml:space="preserve">CP</t>
  </si>
  <si>
    <t xml:space="preserve">HBH, NC, MJ, KC</t>
  </si>
  <si>
    <t xml:space="preserve">JS, MW, MB, SP</t>
  </si>
  <si>
    <t xml:space="preserve">KCx2, CK, JS, ABx2, CM, SP</t>
  </si>
  <si>
    <t xml:space="preserve">Bagger</t>
  </si>
  <si>
    <t xml:space="preserve">BMx2, CM, JB</t>
  </si>
  <si>
    <t xml:space="preserve">TEES</t>
  </si>
  <si>
    <t xml:space="preserve">Blue</t>
  </si>
  <si>
    <t xml:space="preserve">Rain Out</t>
  </si>
  <si>
    <t xml:space="preserve">Black</t>
  </si>
  <si>
    <t xml:space="preserve">White</t>
  </si>
  <si>
    <t xml:space="preserve">Jeff Madden</t>
  </si>
  <si>
    <t xml:space="preserve">Harvey Points</t>
  </si>
  <si>
    <t xml:space="preserve">cash +/-</t>
  </si>
  <si>
    <t xml:space="preserve">Ben McGinnis</t>
  </si>
  <si>
    <t xml:space="preserve">Matt White</t>
  </si>
  <si>
    <t xml:space="preserve">Chris Preston</t>
  </si>
  <si>
    <t xml:space="preserve">Nathan Copley</t>
  </si>
  <si>
    <t xml:space="preserve">Kyle Cox</t>
  </si>
  <si>
    <t xml:space="preserve">Scotty Pierson</t>
  </si>
  <si>
    <t xml:space="preserve">Ronnie A.</t>
  </si>
  <si>
    <t xml:space="preserve">Chris McNeely</t>
  </si>
  <si>
    <t xml:space="preserve">Josh Stoll</t>
  </si>
  <si>
    <t xml:space="preserve">Mike Bonner</t>
  </si>
  <si>
    <t xml:space="preserve">Jay Patterson</t>
  </si>
  <si>
    <t xml:space="preserve">Jeff Biederman</t>
  </si>
  <si>
    <t xml:space="preserve">Alan Beasley</t>
  </si>
  <si>
    <t xml:space="preserve">A. Dawson</t>
  </si>
  <si>
    <t xml:space="preserve">Chris Keaton</t>
  </si>
  <si>
    <t xml:space="preserve">Matt Jaquint</t>
  </si>
  <si>
    <t xml:space="preserve">Sean Wilson</t>
  </si>
  <si>
    <t xml:space="preserve">Moses</t>
  </si>
  <si>
    <t xml:space="preserve">AVERAGE</t>
  </si>
  <si>
    <t xml:space="preserve">Score</t>
  </si>
  <si>
    <t xml:space="preserve">Harvey</t>
  </si>
  <si>
    <t xml:space="preserve">Money</t>
  </si>
  <si>
    <t xml:space="preserve">H Rank</t>
  </si>
  <si>
    <t xml:space="preserve">M Rank</t>
  </si>
  <si>
    <t xml:space="preserve">JM</t>
  </si>
  <si>
    <t xml:space="preserve">JM1</t>
  </si>
  <si>
    <t xml:space="preserve">JM2</t>
  </si>
  <si>
    <t xml:space="preserve">Points</t>
  </si>
  <si>
    <t xml:space="preserve">Players</t>
  </si>
  <si>
    <t xml:space="preserve">Groups</t>
  </si>
  <si>
    <t xml:space="preserve">Extra Points</t>
  </si>
  <si>
    <t xml:space="preserve">Total Points Out</t>
  </si>
  <si>
    <t xml:space="preserve">BM</t>
  </si>
  <si>
    <t xml:space="preserve">5 foursomes – first gets 20, last gets 1</t>
  </si>
  <si>
    <t xml:space="preserve">BM1</t>
  </si>
  <si>
    <t xml:space="preserve">4 foursomes – first gets 18, last gets 3</t>
  </si>
  <si>
    <t xml:space="preserve">BM2</t>
  </si>
  <si>
    <t xml:space="preserve">3 foursomes – first gets 16, last gets 5</t>
  </si>
  <si>
    <t xml:space="preserve">MW</t>
  </si>
  <si>
    <t xml:space="preserve">2 foursomes – first gets 14, last gets 7</t>
  </si>
  <si>
    <t xml:space="preserve">MW1</t>
  </si>
  <si>
    <t xml:space="preserve">1 foursome – first gets 12, last gets 9</t>
  </si>
  <si>
    <t xml:space="preserve">MW2</t>
  </si>
  <si>
    <t xml:space="preserve">CP1</t>
  </si>
  <si>
    <t xml:space="preserve">Basically, one point for every player and you take two from the top and the bottom</t>
  </si>
  <si>
    <t xml:space="preserve">CP2</t>
  </si>
  <si>
    <t xml:space="preserve">NC</t>
  </si>
  <si>
    <t xml:space="preserve">NC1</t>
  </si>
  <si>
    <t xml:space="preserve">NC2</t>
  </si>
  <si>
    <t xml:space="preserve">Count the rounds and divide by 4 to determine the points</t>
  </si>
  <si>
    <t xml:space="preserve">KC</t>
  </si>
  <si>
    <t xml:space="preserve">Rank the scores and add the points based on count above. </t>
  </si>
  <si>
    <t xml:space="preserve">KC1</t>
  </si>
  <si>
    <t xml:space="preserve">KC2</t>
  </si>
  <si>
    <t xml:space="preserve">SP</t>
  </si>
  <si>
    <t xml:space="preserve">FERROR(AVERAGE(OFFSET('Data - For Rank'!B$2,Standings!I6,0,COUNTIF(Standings!$I$6:I$62,Standings!I6)))+IFERROR(VLOOKUP((COUNT($G$6:$G$62)/4),$EQ$8:$ER$12,2,FALSE),0),"")</t>
  </si>
  <si>
    <t xml:space="preserve">SP1</t>
  </si>
  <si>
    <t xml:space="preserve">SP2</t>
  </si>
  <si>
    <t xml:space="preserve">RA</t>
  </si>
  <si>
    <t xml:space="preserve">RA1</t>
  </si>
  <si>
    <t xml:space="preserve">RA2</t>
  </si>
  <si>
    <t xml:space="preserve">CM</t>
  </si>
  <si>
    <t xml:space="preserve">CM1</t>
  </si>
  <si>
    <t xml:space="preserve">CM2</t>
  </si>
  <si>
    <t xml:space="preserve">JS</t>
  </si>
  <si>
    <t xml:space="preserve">JS1</t>
  </si>
  <si>
    <t xml:space="preserve">JS2</t>
  </si>
  <si>
    <t xml:space="preserve">MB</t>
  </si>
  <si>
    <t xml:space="preserve">MB1</t>
  </si>
  <si>
    <t xml:space="preserve">MB2</t>
  </si>
  <si>
    <t xml:space="preserve">JP</t>
  </si>
  <si>
    <t xml:space="preserve">JP1</t>
  </si>
  <si>
    <t xml:space="preserve">JP2</t>
  </si>
  <si>
    <t xml:space="preserve">JB</t>
  </si>
  <si>
    <t xml:space="preserve">JB1</t>
  </si>
  <si>
    <t xml:space="preserve">JB2</t>
  </si>
  <si>
    <t xml:space="preserve">AB</t>
  </si>
  <si>
    <t xml:space="preserve">AB1</t>
  </si>
  <si>
    <t xml:space="preserve">AB2</t>
  </si>
  <si>
    <t xml:space="preserve">AD</t>
  </si>
  <si>
    <t xml:space="preserve">AD1</t>
  </si>
  <si>
    <t xml:space="preserve">AD2</t>
  </si>
  <si>
    <t xml:space="preserve">CK</t>
  </si>
  <si>
    <t xml:space="preserve">CK1</t>
  </si>
  <si>
    <t xml:space="preserve">CK2</t>
  </si>
  <si>
    <t xml:space="preserve">MJ</t>
  </si>
  <si>
    <t xml:space="preserve">MJ1</t>
  </si>
  <si>
    <t xml:space="preserve">MJ2</t>
  </si>
  <si>
    <t xml:space="preserve">SW</t>
  </si>
  <si>
    <t xml:space="preserve">SW1</t>
  </si>
  <si>
    <t xml:space="preserve">SW2</t>
  </si>
  <si>
    <t xml:space="preserve">Moses1</t>
  </si>
  <si>
    <t xml:space="preserve">Moses2</t>
  </si>
  <si>
    <t xml:space="preserve">Money Test</t>
  </si>
  <si>
    <t xml:space="preserve">Points Test</t>
  </si>
  <si>
    <t xml:space="preserve">Subs</t>
  </si>
  <si>
    <t xml:space="preserve">Week</t>
  </si>
  <si>
    <t xml:space="preserve">Tees</t>
  </si>
  <si>
    <t xml:space="preserve">TK</t>
  </si>
  <si>
    <t xml:space="preserve">Teddy Kluemper</t>
  </si>
  <si>
    <t xml:space="preserve">TK2</t>
  </si>
  <si>
    <t xml:space="preserve">TK1</t>
  </si>
  <si>
    <t xml:space="preserve">Sub12</t>
  </si>
  <si>
    <t xml:space="preserve">Dave Eller</t>
  </si>
  <si>
    <t xml:space="preserve">Sub1212</t>
  </si>
  <si>
    <t xml:space="preserve">Sub1211</t>
  </si>
  <si>
    <t xml:space="preserve">Sub13</t>
  </si>
  <si>
    <t xml:space="preserve">Bobby Marshall</t>
  </si>
  <si>
    <t xml:space="preserve">Sub1312</t>
  </si>
  <si>
    <t xml:space="preserve">Sub1311</t>
  </si>
  <si>
    <t xml:space="preserve">Sub11</t>
  </si>
  <si>
    <t xml:space="preserve">Mike McCarthy</t>
  </si>
  <si>
    <t xml:space="preserve">Sub1112</t>
  </si>
  <si>
    <t xml:space="preserve">Sub1111</t>
  </si>
  <si>
    <t xml:space="preserve">Sub101</t>
  </si>
  <si>
    <t xml:space="preserve">Sub10</t>
  </si>
  <si>
    <t xml:space="preserve">Sub1012</t>
  </si>
  <si>
    <t xml:space="preserve">Sub1011</t>
  </si>
  <si>
    <t xml:space="preserve">Sup9</t>
  </si>
  <si>
    <t xml:space="preserve">Sub9</t>
  </si>
  <si>
    <t xml:space="preserve">Sup92</t>
  </si>
  <si>
    <t xml:space="preserve">Sup91</t>
  </si>
  <si>
    <t xml:space="preserve">Sub8</t>
  </si>
  <si>
    <t xml:space="preserve">Sub82</t>
  </si>
  <si>
    <t xml:space="preserve">Sub81</t>
  </si>
  <si>
    <t xml:space="preserve">Sub7</t>
  </si>
  <si>
    <t xml:space="preserve">Sub72</t>
  </si>
  <si>
    <t xml:space="preserve">Sub71</t>
  </si>
  <si>
    <t xml:space="preserve">Sub6</t>
  </si>
  <si>
    <t xml:space="preserve">Sub62</t>
  </si>
  <si>
    <t xml:space="preserve">Sub61</t>
  </si>
  <si>
    <t xml:space="preserve">Sub5</t>
  </si>
  <si>
    <t xml:space="preserve">Sub52</t>
  </si>
  <si>
    <t xml:space="preserve">Sub51</t>
  </si>
  <si>
    <t xml:space="preserve">Sub4</t>
  </si>
  <si>
    <t xml:space="preserve">Sub42</t>
  </si>
  <si>
    <t xml:space="preserve">Sub41</t>
  </si>
  <si>
    <t xml:space="preserve">Sub3</t>
  </si>
  <si>
    <t xml:space="preserve">Sub32</t>
  </si>
  <si>
    <t xml:space="preserve">Sub31</t>
  </si>
  <si>
    <t xml:space="preserve">Sub14</t>
  </si>
  <si>
    <t xml:space="preserve">Sub142</t>
  </si>
  <si>
    <t xml:space="preserve">Sub141</t>
  </si>
  <si>
    <t xml:space="preserve">Sub2</t>
  </si>
  <si>
    <t xml:space="preserve">Sub22</t>
  </si>
  <si>
    <t xml:space="preserve">Sub21</t>
  </si>
  <si>
    <t xml:space="preserve">Rank</t>
  </si>
  <si>
    <t xml:space="preserve">Wolf Cup</t>
  </si>
  <si>
    <t xml:space="preserve">Betting Sheet</t>
  </si>
  <si>
    <t xml:space="preserve">Name_________________________________________</t>
  </si>
  <si>
    <t xml:space="preserve">In Season</t>
  </si>
  <si>
    <t xml:space="preserve">2015-2021</t>
  </si>
  <si>
    <t xml:space="preserve">3 year average</t>
  </si>
  <si>
    <t xml:space="preserve">Past 12 months</t>
  </si>
  <si>
    <t xml:space="preserve">Handicap</t>
  </si>
  <si>
    <t xml:space="preserve">Avg rounds played 3 yrs</t>
  </si>
  <si>
    <t xml:space="preserve">3 Yr Avg Points</t>
  </si>
  <si>
    <t xml:space="preserve">Name</t>
  </si>
  <si>
    <t xml:space="preserve">Highest Finish</t>
  </si>
  <si>
    <t xml:space="preserve">Rounds Played </t>
  </si>
  <si>
    <t xml:space="preserve">Avg Points</t>
  </si>
  <si>
    <t xml:space="preserve">Lowest Hdcp</t>
  </si>
  <si>
    <t xml:space="preserve">Current Hdcp</t>
  </si>
  <si>
    <t xml:space="preserve">Sandbagger Rating</t>
  </si>
  <si>
    <t xml:space="preserve">Odds</t>
  </si>
  <si>
    <t xml:space="preserve">$ Bets</t>
  </si>
  <si>
    <t xml:space="preserve">2021 Finish</t>
  </si>
  <si>
    <t xml:space="preserve">2020 Finish</t>
  </si>
  <si>
    <t xml:space="preserve">2019 Finish</t>
  </si>
  <si>
    <t xml:space="preserve">2018 Finish</t>
  </si>
  <si>
    <t xml:space="preserve">2017 Finish</t>
  </si>
  <si>
    <t xml:space="preserve">2016 Finish</t>
  </si>
  <si>
    <t xml:space="preserve">2015 Finish</t>
  </si>
  <si>
    <t xml:space="preserve">4 - 1</t>
  </si>
  <si>
    <t xml:space="preserve">Jason Moses</t>
  </si>
  <si>
    <t xml:space="preserve">1000 - 1</t>
  </si>
  <si>
    <t xml:space="preserve"> 7 - 2</t>
  </si>
  <si>
    <t xml:space="preserve">Ronnie Adkins</t>
  </si>
  <si>
    <t xml:space="preserve">5  - 1</t>
  </si>
  <si>
    <t xml:space="preserve">6 - 1</t>
  </si>
  <si>
    <t xml:space="preserve">7 - 1</t>
  </si>
  <si>
    <t xml:space="preserve">8 - 1</t>
  </si>
  <si>
    <t xml:space="preserve">5 - 1</t>
  </si>
  <si>
    <t xml:space="preserve">20 - 1</t>
  </si>
  <si>
    <t xml:space="preserve">Jeff Bierderman</t>
  </si>
  <si>
    <t xml:space="preserve">10 - 1</t>
  </si>
  <si>
    <t xml:space="preserve">DNF</t>
  </si>
  <si>
    <t xml:space="preserve">Scottie Pierson</t>
  </si>
  <si>
    <t xml:space="preserve">Scoittie Pierson</t>
  </si>
  <si>
    <t xml:space="preserve">Group A</t>
  </si>
  <si>
    <t xml:space="preserve">Group B</t>
  </si>
  <si>
    <t xml:space="preserve">Group C</t>
  </si>
  <si>
    <t xml:space="preserve">Group D</t>
  </si>
  <si>
    <t xml:space="preserve">Madden</t>
  </si>
  <si>
    <t xml:space="preserve">Keaton</t>
  </si>
  <si>
    <t xml:space="preserve">Ronnie</t>
  </si>
  <si>
    <t xml:space="preserve">Jay</t>
  </si>
  <si>
    <t xml:space="preserve">Dawson</t>
  </si>
  <si>
    <t xml:space="preserve">Josh</t>
  </si>
  <si>
    <t xml:space="preserve">Kyle</t>
  </si>
  <si>
    <t xml:space="preserve">Scottie</t>
  </si>
  <si>
    <t xml:space="preserve">Copley</t>
  </si>
  <si>
    <t xml:space="preserve">Biederman</t>
  </si>
  <si>
    <t xml:space="preserve">Preston</t>
  </si>
  <si>
    <t xml:space="preserve">Ben</t>
  </si>
  <si>
    <t xml:space="preserve">Score/$/Points</t>
  </si>
  <si>
    <t xml:space="preserve">HBH</t>
  </si>
  <si>
    <t xml:space="preserve">BDM</t>
  </si>
  <si>
    <t xml:space="preserve">JAY</t>
  </si>
  <si>
    <t xml:space="preserve">KYLE</t>
  </si>
  <si>
    <t xml:space="preserve">Bonner</t>
  </si>
  <si>
    <t xml:space="preserve">Jaquint</t>
  </si>
  <si>
    <t xml:space="preserve">Scotty</t>
  </si>
  <si>
    <t xml:space="preserve">Ronnie </t>
  </si>
  <si>
    <t xml:space="preserve">Stoll</t>
  </si>
  <si>
    <t xml:space="preserve">Beasley</t>
  </si>
  <si>
    <t xml:space="preserve">Pierson</t>
  </si>
  <si>
    <t xml:space="preserve">X</t>
  </si>
  <si>
    <t xml:space="preserve">McGinnis</t>
  </si>
  <si>
    <t xml:space="preserve">Kluemper</t>
  </si>
  <si>
    <t xml:space="preserve">Patterson</t>
  </si>
  <si>
    <t xml:space="preserve">Cox</t>
  </si>
  <si>
    <t xml:space="preserve">Eller</t>
  </si>
  <si>
    <t xml:space="preserve">Wilson</t>
  </si>
  <si>
    <t xml:space="preserve">go aggressive on Subs early in the year and have 3 foursomes for the most part.  See if any of the subs become full timers</t>
  </si>
  <si>
    <t xml:space="preserve">1:00 pm Group</t>
  </si>
  <si>
    <t xml:space="preserve">Name </t>
  </si>
  <si>
    <t xml:space="preserve">Ellison</t>
  </si>
  <si>
    <t xml:space="preserve">1:10 pm Group</t>
  </si>
  <si>
    <t xml:space="preserve">1:20 pm Group</t>
  </si>
  <si>
    <t xml:space="preserve">Newfeld</t>
  </si>
  <si>
    <t xml:space="preserve">1:30 pm Group</t>
  </si>
  <si>
    <t xml:space="preserve">1:40 pm Group</t>
  </si>
  <si>
    <t xml:space="preserve">matt white</t>
  </si>
  <si>
    <t xml:space="preserve">group 1</t>
  </si>
  <si>
    <t xml:space="preserve">group 2</t>
  </si>
  <si>
    <t xml:space="preserve">group 3</t>
  </si>
  <si>
    <t xml:space="preserve">group 4</t>
  </si>
  <si>
    <t xml:space="preserve">SUBS:</t>
  </si>
  <si>
    <t xml:space="preserve">pods</t>
  </si>
  <si>
    <t xml:space="preserve">Mark Newfeld</t>
  </si>
  <si>
    <t xml:space="preserve">top3</t>
  </si>
  <si>
    <t xml:space="preserve">plays</t>
  </si>
  <si>
    <t xml:space="preserve">Round</t>
  </si>
  <si>
    <t xml:space="preserve">FINAL</t>
  </si>
  <si>
    <t xml:space="preserve">PLAYOFFS</t>
  </si>
  <si>
    <t xml:space="preserve">banquet</t>
  </si>
  <si>
    <t xml:space="preserve">Week 1</t>
  </si>
  <si>
    <t xml:space="preserve">Revenue</t>
  </si>
  <si>
    <t xml:space="preserve">Week 2</t>
  </si>
  <si>
    <t xml:space="preserve">Week 3</t>
  </si>
  <si>
    <t xml:space="preserve">Expenses</t>
  </si>
  <si>
    <t xml:space="preserve">Week 4</t>
  </si>
  <si>
    <t xml:space="preserve">Weekly Cash prize</t>
  </si>
  <si>
    <t xml:space="preserve">Week 5</t>
  </si>
  <si>
    <t xml:space="preserve">2nd place</t>
  </si>
  <si>
    <t xml:space="preserve">Week 6</t>
  </si>
  <si>
    <t xml:space="preserve">3rd place</t>
  </si>
  <si>
    <t xml:space="preserve">Week 7</t>
  </si>
  <si>
    <t xml:space="preserve">plaque &amp; trophy</t>
  </si>
  <si>
    <t xml:space="preserve">estimate</t>
  </si>
  <si>
    <t xml:space="preserve">Week 8</t>
  </si>
  <si>
    <t xml:space="preserve">jacket</t>
  </si>
  <si>
    <t xml:space="preserve">Week 9</t>
  </si>
  <si>
    <t xml:space="preserve">plus embroidery</t>
  </si>
  <si>
    <t xml:space="preserve">Week 10</t>
  </si>
  <si>
    <t xml:space="preserve">Week 11</t>
  </si>
  <si>
    <t xml:space="preserve">carryover from '20</t>
  </si>
  <si>
    <t xml:space="preserve">Week 12</t>
  </si>
  <si>
    <t xml:space="preserve">Week 13</t>
  </si>
  <si>
    <t xml:space="preserve">Total</t>
  </si>
  <si>
    <t xml:space="preserve">Week 14</t>
  </si>
  <si>
    <t xml:space="preserve">Week 15</t>
  </si>
  <si>
    <t xml:space="preserve">Remaining</t>
  </si>
  <si>
    <t xml:space="preserve">Week 16</t>
  </si>
  <si>
    <t xml:space="preserve">Week 17</t>
  </si>
  <si>
    <t xml:space="preserve">Matt Jaqunit</t>
  </si>
  <si>
    <t xml:space="preserve">Week 18</t>
  </si>
  <si>
    <t xml:space="preserve">Week 19</t>
  </si>
  <si>
    <t xml:space="preserve">Bonus Points</t>
  </si>
  <si>
    <t xml:space="preserve">Paul Jacobson</t>
  </si>
  <si>
    <t xml:space="preserve">(bad weather)</t>
  </si>
  <si>
    <t xml:space="preserve">Tim Biller</t>
  </si>
  <si>
    <t xml:space="preserve">Nick Mayo</t>
  </si>
  <si>
    <t xml:space="preserve">Brandon Cline</t>
  </si>
  <si>
    <t xml:space="preserve">Tyler Hutchinson</t>
  </si>
  <si>
    <t xml:space="preserve">Marc Hettlinger</t>
  </si>
  <si>
    <t xml:space="preserve">Brad "El Nino" Wright</t>
  </si>
  <si>
    <t xml:space="preserve">Ryan "Fridge" Wingrove</t>
  </si>
  <si>
    <t xml:space="preserve">eric blake</t>
  </si>
  <si>
    <t xml:space="preserve">Mike Barbera</t>
  </si>
  <si>
    <t xml:space="preserve">Reggie Opimo</t>
  </si>
  <si>
    <t xml:space="preserve">Seth Ransbottom</t>
  </si>
  <si>
    <t xml:space="preserve">Cledus T. Judd</t>
  </si>
  <si>
    <t xml:space="preserve">Allan Thacker</t>
  </si>
  <si>
    <t xml:space="preserve">Joe White</t>
  </si>
  <si>
    <t xml:space="preserve">Matt Boggs</t>
  </si>
  <si>
    <t xml:space="preserve">Cody Rohrig</t>
  </si>
  <si>
    <t xml:space="preserve">Kurt Fleckenstein</t>
  </si>
  <si>
    <t xml:space="preserve">Steven Turner</t>
  </si>
  <si>
    <t xml:space="preserve">Corky Hammers</t>
  </si>
  <si>
    <t xml:space="preserve">Robbie Simmons</t>
  </si>
  <si>
    <t xml:space="preserve">Sid Torlone</t>
  </si>
  <si>
    <t xml:space="preserve">Ryan Stoler</t>
  </si>
  <si>
    <t xml:space="preserve">Ben Hardman</t>
  </si>
  <si>
    <t xml:space="preserve">Nathan Adkins</t>
  </si>
  <si>
    <t xml:space="preserve">Steve Flesher</t>
  </si>
  <si>
    <t xml:space="preserve">Rick Ellison</t>
  </si>
  <si>
    <t xml:space="preserve">Monte Ward</t>
  </si>
  <si>
    <t xml:space="preserve">Joe Randolph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</si>
</sst>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"/>
    <numFmt numFmtId="166" formatCode="\$#,##0_);[RED]&quot;($&quot;#,##0\)"/>
    <numFmt numFmtId="167" formatCode="\$#,##0"/>
    <numFmt numFmtId="168" formatCode="0"/>
    <numFmt numFmtId="169" formatCode="d\-mmm"/>
    <numFmt numFmtId="170" formatCode="General"/>
    <numFmt numFmtId="171" formatCode="m/d/yyyy"/>
    <numFmt numFmtId="172" formatCode="0.00"/>
    <numFmt numFmtId="173" formatCode="@"/>
    <numFmt numFmtId="174" formatCode="0%"/>
    <numFmt numFmtId="175" formatCode="_(\$* #,##0.00_);_(\$* \(#,##0.00\);_(\$* \-??_);_(@_)"/>
    <numFmt numFmtId="176" formatCode="h:mm\ AM/PM"/>
    <numFmt numFmtId="177" formatCode="\$#,##0.00_);[RED]&quot;($&quot;#,##0.00\)"/>
  </numFmts>
  <fonts count="30">
    <font>
      <sz val="11"/>
      <color rgb="FF000000"/>
      <name val="Georgi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Georgia"/>
      <family val="2"/>
      <charset val="1"/>
    </font>
    <font>
      <sz val="8"/>
      <color rgb="FF000000"/>
      <name val="Georgia"/>
      <family val="2"/>
      <charset val="1"/>
    </font>
    <font>
      <sz val="8"/>
      <color rgb="FFFFF8C2"/>
      <name val="Georgia"/>
      <family val="1"/>
      <charset val="1"/>
    </font>
    <font>
      <sz val="8"/>
      <name val="Georgia"/>
      <family val="1"/>
      <charset val="1"/>
    </font>
    <font>
      <sz val="8"/>
      <color rgb="FF000000"/>
      <name val="Georgia"/>
      <family val="1"/>
      <charset val="1"/>
    </font>
    <font>
      <sz val="8"/>
      <color rgb="FFFF0000"/>
      <name val="Georgia"/>
      <family val="2"/>
      <charset val="1"/>
    </font>
    <font>
      <b val="true"/>
      <sz val="9"/>
      <color rgb="FF000000"/>
      <name val="Georgia"/>
      <family val="2"/>
      <charset val="1"/>
    </font>
    <font>
      <sz val="9"/>
      <color rgb="FF000000"/>
      <name val="Georgia"/>
      <family val="1"/>
      <charset val="1"/>
    </font>
    <font>
      <b val="true"/>
      <sz val="9"/>
      <color rgb="FF000000"/>
      <name val="Georgia"/>
      <family val="1"/>
      <charset val="1"/>
    </font>
    <font>
      <sz val="8"/>
      <color rgb="FFFFFFFF"/>
      <name val="Georgia"/>
      <family val="2"/>
      <charset val="1"/>
    </font>
    <font>
      <sz val="9"/>
      <color rgb="FF000000"/>
      <name val="Georgia"/>
      <family val="2"/>
      <charset val="1"/>
    </font>
    <font>
      <sz val="10"/>
      <name val="Georgia"/>
      <family val="2"/>
      <charset val="1"/>
    </font>
    <font>
      <b val="true"/>
      <sz val="11"/>
      <color rgb="FF000000"/>
      <name val="Georgia"/>
      <family val="1"/>
      <charset val="1"/>
    </font>
    <font>
      <sz val="11"/>
      <color rgb="FF000000"/>
      <name val="Calibri"/>
      <family val="2"/>
      <charset val="1"/>
    </font>
    <font>
      <b val="true"/>
      <i val="true"/>
      <sz val="10"/>
      <name val="Georgia"/>
      <family val="1"/>
      <charset val="1"/>
    </font>
    <font>
      <sz val="10"/>
      <name val="Georgia"/>
      <family val="1"/>
      <charset val="1"/>
    </font>
    <font>
      <sz val="8"/>
      <color rgb="FFFFFFFF"/>
      <name val="Georgia"/>
      <family val="1"/>
      <charset val="1"/>
    </font>
    <font>
      <sz val="11"/>
      <name val="Georgia"/>
      <family val="1"/>
      <charset val="1"/>
    </font>
    <font>
      <sz val="11"/>
      <color rgb="FF000000"/>
      <name val="Calibri"/>
      <family val="0"/>
      <charset val="1"/>
    </font>
    <font>
      <sz val="11"/>
      <color rgb="FF000000"/>
      <name val="Georgia"/>
      <family val="0"/>
      <charset val="1"/>
    </font>
    <font>
      <b val="true"/>
      <i val="true"/>
      <sz val="14"/>
      <color rgb="FF000000"/>
      <name val="Georgia"/>
      <family val="1"/>
      <charset val="1"/>
    </font>
    <font>
      <b val="true"/>
      <i val="true"/>
      <sz val="11"/>
      <color rgb="FF000000"/>
      <name val="Georgia"/>
      <family val="1"/>
      <charset val="1"/>
    </font>
    <font>
      <sz val="11"/>
      <name val="Georgia"/>
      <family val="2"/>
      <charset val="1"/>
    </font>
    <font>
      <sz val="11"/>
      <color rgb="FF000000"/>
      <name val="Georgia"/>
      <family val="1"/>
      <charset val="1"/>
    </font>
    <font>
      <b val="true"/>
      <sz val="10"/>
      <color rgb="FF000000"/>
      <name val="Georgia"/>
      <family val="2"/>
      <charset val="1"/>
    </font>
    <font>
      <sz val="10"/>
      <color rgb="FF000000"/>
      <name val="Georgia"/>
      <family val="1"/>
      <charset val="1"/>
    </font>
  </fonts>
  <fills count="11">
    <fill>
      <patternFill patternType="none"/>
    </fill>
    <fill>
      <patternFill patternType="gray125"/>
    </fill>
    <fill>
      <patternFill patternType="solid">
        <fgColor rgb="FFD9D9D9"/>
        <bgColor rgb="FFC5D1D7"/>
      </patternFill>
    </fill>
    <fill>
      <patternFill patternType="solid">
        <fgColor rgb="FFF2F2F2"/>
        <bgColor rgb="FFE8EFEF"/>
      </patternFill>
    </fill>
    <fill>
      <patternFill patternType="solid">
        <fgColor rgb="FFFFF8C2"/>
        <bgColor rgb="FFFFFF99"/>
      </patternFill>
    </fill>
    <fill>
      <patternFill patternType="solid">
        <fgColor rgb="FFFF0000"/>
        <bgColor rgb="FF993300"/>
      </patternFill>
    </fill>
    <fill>
      <patternFill patternType="solid">
        <fgColor rgb="FFFFFFFF"/>
        <bgColor rgb="FFF2F2F2"/>
      </patternFill>
    </fill>
    <fill>
      <patternFill patternType="solid">
        <fgColor rgb="FFE8EFEF"/>
        <bgColor rgb="FFF2F2F2"/>
      </patternFill>
    </fill>
    <fill>
      <patternFill patternType="solid">
        <fgColor rgb="FFC5D1D7"/>
        <bgColor rgb="FFD9D9D9"/>
      </patternFill>
    </fill>
    <fill>
      <patternFill patternType="solid">
        <fgColor rgb="FF92D050"/>
        <bgColor rgb="FF8CADAE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/>
      <top/>
      <bottom style="thin">
        <color rgb="FF8CADAE"/>
      </bottom>
      <diagonal/>
    </border>
    <border diagonalUp="false" diagonalDown="false">
      <left/>
      <right/>
      <top style="thin">
        <color rgb="FF8CADAE"/>
      </top>
      <bottom/>
      <diagonal/>
    </border>
    <border diagonalUp="false" diagonalDown="false">
      <left style="thin">
        <color rgb="FF8CADAE"/>
      </left>
      <right style="thin">
        <color rgb="FF8CADAE"/>
      </right>
      <top style="thin">
        <color rgb="FF8CADAE"/>
      </top>
      <bottom style="thin">
        <color rgb="FF8CADAE"/>
      </bottom>
      <diagonal/>
    </border>
    <border diagonalUp="false" diagonalDown="false">
      <left style="thin">
        <color rgb="FF8CADAE"/>
      </left>
      <right style="thin">
        <color rgb="FF8CADAE"/>
      </right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7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bottom" textRotation="18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8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5" fontId="1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1" fillId="3" borderId="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3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5" fillId="2" borderId="0" xfId="0" applyFont="true" applyBorder="true" applyAlignment="true" applyProtection="false">
      <alignment horizontal="center" vertical="bottom" textRotation="180" wrapText="false" indent="0" shrinkToFit="false"/>
      <protection locked="true" hidden="false"/>
    </xf>
    <xf numFmtId="165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5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0" fontId="19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2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9" fillId="4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7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4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0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0" fillId="1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9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9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00B0F0"/>
      </font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8C2"/>
      <rgbColor rgb="FFE8EFEF"/>
      <rgbColor rgb="FF660066"/>
      <rgbColor rgb="FFFF8080"/>
      <rgbColor rgb="FF0066CC"/>
      <rgbColor rgb="FFC5D1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8CADAE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ctrlProps/ctrlProps2.xml><?xml version="1.0" encoding="utf-8"?>
<formControlPr xmlns="http://schemas.microsoft.com/office/spreadsheetml/2009/9/main" objectType="Button" lockText="1"/>
</file>

<file path=xl/ctrlProps/ctrlProps3.xml><?xml version="1.0" encoding="utf-8"?>
<formControlPr xmlns="http://schemas.microsoft.com/office/spreadsheetml/2009/9/main" objectType="Button" lockText="1"/>
</file>

<file path=xl/ctrlProps/ctrlProps4.xml><?xml version="1.0" encoding="utf-8"?>
<formControlPr xmlns="http://schemas.microsoft.com/office/spreadsheetml/2009/9/main" objectType="Button" lockText="1"/>
</file>

<file path=xl/ctrlProps/ctrlProps5.xml><?xml version="1.0" encoding="utf-8"?>
<formControlPr xmlns="http://schemas.microsoft.com/office/spreadsheetml/2009/9/main" objectType="Button" lockText="1"/>
</file>

<file path=xl/ctrlProps/ctrlProps6.xml><?xml version="1.0" encoding="utf-8"?>
<formControlPr xmlns="http://schemas.microsoft.com/office/spreadsheetml/2009/9/main" objectType="Button" lockText="1"/>
</file>

<file path=xl/ctrlProps/ctrlProps7.xml><?xml version="1.0" encoding="utf-8"?>
<formControlPr xmlns="http://schemas.microsoft.com/office/spreadsheetml/2009/9/main" objectType="Button" lockText="1"/>
</file>

<file path=xl/ctrlProps/ctrlProps8.xml><?xml version="1.0" encoding="utf-8"?>
<formControlPr xmlns="http://schemas.microsoft.com/office/spreadsheetml/2009/9/main" objectType="Button" lockText="1"/>
</file>

<file path=xl/ctrlProps/ctrlProps9.xml><?xml version="1.0" encoding="utf-8"?>
<formControlPr xmlns="http://schemas.microsoft.com/office/spreadsheetml/2009/9/main" objectType="Button" lockText="1"/>
</file>

<file path=xl/ctrlProps/ctrlProps10.xml><?xml version="1.0" encoding="utf-8"?>
<formControlPr xmlns="http://schemas.microsoft.com/office/spreadsheetml/2009/9/main" objectType="Button" lockText="1"/>
</file>

<file path=xl/ctrlProps/ctrlProps11.xml><?xml version="1.0" encoding="utf-8"?>
<formControlPr xmlns="http://schemas.microsoft.com/office/spreadsheetml/2009/9/main" objectType="Button" lockText="1"/>
</file>

<file path=xl/ctrlProps/ctrlProps12.xml><?xml version="1.0" encoding="utf-8"?>
<formControlPr xmlns="http://schemas.microsoft.com/office/spreadsheetml/2009/9/main" objectType="Button" lockText="1"/>
</file>

<file path=xl/ctrlProps/ctrlProps13.xml><?xml version="1.0" encoding="utf-8"?>
<formControlPr xmlns="http://schemas.microsoft.com/office/spreadsheetml/2009/9/main" objectType="Button" lockText="1"/>
</file>

<file path=xl/ctrlProps/ctrlProps14.xml><?xml version="1.0" encoding="utf-8"?>
<formControlPr xmlns="http://schemas.microsoft.com/office/spreadsheetml/2009/9/main" objectType="Button" lockText="1"/>
</file>

<file path=xl/ctrlProps/ctrlProps15.xml><?xml version="1.0" encoding="utf-8"?>
<formControlPr xmlns="http://schemas.microsoft.com/office/spreadsheetml/2009/9/main" objectType="Button" lockText="1"/>
</file>

<file path=xl/ctrlProps/ctrlProps16.xml><?xml version="1.0" encoding="utf-8"?>
<formControlPr xmlns="http://schemas.microsoft.com/office/spreadsheetml/2009/9/main" objectType="Button" lockText="1"/>
</file>

<file path=xl/ctrlProps/ctrlProps17.xml><?xml version="1.0" encoding="utf-8"?>
<formControlPr xmlns="http://schemas.microsoft.com/office/spreadsheetml/2009/9/main" objectType="Button" lockText="1"/>
</file>

<file path=xl/ctrlProps/ctrlProps18.xml><?xml version="1.0" encoding="utf-8"?>
<formControlPr xmlns="http://schemas.microsoft.com/office/spreadsheetml/2009/9/main" objectType="Button" lockText="1"/>
</file>

<file path=xl/ctrlProps/ctrlProps19.xml><?xml version="1.0" encoding="utf-8"?>
<formControlPr xmlns="http://schemas.microsoft.com/office/spreadsheetml/2009/9/main" objectType="Button" lockText="1"/>
</file>

<file path=xl/ctrlProps/ctrlProps20.xml><?xml version="1.0" encoding="utf-8"?>
<formControlPr xmlns="http://schemas.microsoft.com/office/spreadsheetml/2009/9/main" objectType="Button" lockText="1"/>
</file>

<file path=xl/ctrlProps/ctrlProps21.xml><?xml version="1.0" encoding="utf-8"?>
<formControlPr xmlns="http://schemas.microsoft.com/office/spreadsheetml/2009/9/main" objectType="Button" lockText="1"/>
</file>

<file path=xl/ctrlProps/ctrlProps22.xml><?xml version="1.0" encoding="utf-8"?>
<formControlPr xmlns="http://schemas.microsoft.com/office/spreadsheetml/2009/9/main" objectType="Button" lockText="1"/>
</file>

<file path=xl/ctrlProps/ctrlProps23.xml><?xml version="1.0" encoding="utf-8"?>
<formControlPr xmlns="http://schemas.microsoft.com/office/spreadsheetml/2009/9/main" objectType="Button" lockText="1"/>
</file>

<file path=xl/ctrlProps/ctrlProps24.xml><?xml version="1.0" encoding="utf-8"?>
<formControlPr xmlns="http://schemas.microsoft.com/office/spreadsheetml/2009/9/main" objectType="Button" lockText="1"/>
</file>

<file path=xl/ctrlProps/ctrlProps25.xml><?xml version="1.0" encoding="utf-8"?>
<formControlPr xmlns="http://schemas.microsoft.com/office/spreadsheetml/2009/9/main" objectType="Button" lockText="1"/>
</file>

<file path=xl/ctrlProps/ctrlProps26.xml><?xml version="1.0" encoding="utf-8"?>
<formControlPr xmlns="http://schemas.microsoft.com/office/spreadsheetml/2009/9/main" objectType="Button" lockText="1"/>
</file>

<file path=xl/ctrlProps/ctrlProps27.xml><?xml version="1.0" encoding="utf-8"?>
<formControlPr xmlns="http://schemas.microsoft.com/office/spreadsheetml/2009/9/main" objectType="Button" lockText="1"/>
</file>

<file path=xl/ctrlProps/ctrlProps28.xml><?xml version="1.0" encoding="utf-8"?>
<formControlPr xmlns="http://schemas.microsoft.com/office/spreadsheetml/2009/9/main" objectType="Button" lockText="1"/>
</file>

<file path=xl/ctrlProps/ctrlProps29.xml><?xml version="1.0" encoding="utf-8"?>
<formControlPr xmlns="http://schemas.microsoft.com/office/spreadsheetml/2009/9/main" objectType="Button" lockText="1"/>
</file>

<file path=xl/ctrlProps/ctrlProps30.xml><?xml version="1.0" encoding="utf-8"?>
<formControlPr xmlns="http://schemas.microsoft.com/office/spreadsheetml/2009/9/main" objectType="Button" lockText="1"/>
</file>

<file path=xl/ctrlProps/ctrlProps31.xml><?xml version="1.0" encoding="utf-8"?>
<formControlPr xmlns="http://schemas.microsoft.com/office/spreadsheetml/2009/9/main" objectType="Button" lockText="1"/>
</file>

<file path=xl/ctrlProps/ctrlProps32.xml><?xml version="1.0" encoding="utf-8"?>
<formControlPr xmlns="http://schemas.microsoft.com/office/spreadsheetml/2009/9/main" objectType="Button" lockText="1"/>
</file>

<file path=xl/ctrlProps/ctrlProps33.xml><?xml version="1.0" encoding="utf-8"?>
<formControlPr xmlns="http://schemas.microsoft.com/office/spreadsheetml/2009/9/main" objectType="Button" lockText="1"/>
</file>

<file path=xl/ctrlProps/ctrlProps34.xml><?xml version="1.0" encoding="utf-8"?>
<formControlPr xmlns="http://schemas.microsoft.com/office/spreadsheetml/2009/9/main" objectType="Button" lockText="1"/>
</file>

<file path=xl/ctrlProps/ctrlProps35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1" name="Button 6" descr="Sort and Paste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and Paste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2" name="Button 5" descr="Sort Subs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3" name="Button 8" descr="Sort and Paste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and Paste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4" name="Button 7" descr="Sort Subs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5" name="Button 10" descr="Sort and Paste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and Paste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6" name="Button 9" descr="Sort Subs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7" name="Button 2" descr="Sort and Paste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and Paste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8" name="Button 3" descr="Sort Subs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09" name="Button 11" descr="Sort Subs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0" name="Button 12" descr="Sort Standing" hidden="0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Standing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1" name="Button 16" descr="Sort and Paste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and Paste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2" name="Button 15" descr="Sort Subs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3" name="Button 18" descr="Sort and Paste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and Paste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4" name="Button 17" descr="Sort Subs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5" name="Button 20" descr="Sort and Paste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and Paste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6" name="Button 19" descr="Sort Subs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7" name="Button 22" descr="Sort and Paste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and Paste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8" name="Button 21" descr="Sort Subs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19" name="Button 24" descr="Sort and Paste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and Paste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0" name="Button 23" descr="Sort Subs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1" name="Button 26" descr="Sort and Paste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and Paste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2" name="Button 25" descr="Sort Subs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3" name="Button 28" descr="Sort and Paste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and Paste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4" name="Button 27" descr="Sort Subs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5" name="Button 30" descr="Sort and Paste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and Paste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6" name="Button 29" descr="Sort Subs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7" name="Button 32" descr="Sort and Paste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and Paste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8" name="Button 31" descr="Sort Subs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9" name="Button 34" descr="Sort and Paste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and Paste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30" name="Button 33" descr="Sort Subs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31" name="Button 36" descr="Sort and Paste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and Paste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32" name="Button 35" descr="Sort Subs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33" name="Button 1001" descr="Sort and Paste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and Paste</a:t>
              </a:r>
            </a:p>
          </xdr:txBody>
        </xdr:sp>
        <xdr:clientData/>
      </xdr:twoCellAnchor>
    </mc:Choice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34" name="Button 1002" descr="Sort Subs" hidden="1"/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anchor="ctr">
              <a:noAutofit/>
            </a:bodyPr>
            <a:p>
              <a:r>
                <a:t>Sort Subs</a:t>
              </a:r>
            </a:p>
          </xdr:txBody>
        </xdr:sp>
        <xdr:clientData/>
      </xdr:twoCellAnchor>
    </mc:Choice>
  </mc:AlternateContent>
</xdr:wsDr>
</file>

<file path=xl/tables/table1.xml><?xml version="1.0" encoding="utf-8"?>
<table xmlns="http://schemas.openxmlformats.org/spreadsheetml/2006/main" id="1" name="Table1" displayName="Table1" ref="A6:I25" headerRowCount="1" totalsRowCount="0" totalsRowShown="0">
  <autoFilter ref="A6:I25"/>
  <tableColumns count="9">
    <tableColumn id="1" name="Name"/>
    <tableColumn id="2" name="Highest Finish"/>
    <tableColumn id="3" name="Rounds Played "/>
    <tableColumn id="4" name="Avg Points"/>
    <tableColumn id="5" name="Lowest Hdcp"/>
    <tableColumn id="6" name="Current Hdcp"/>
    <tableColumn id="7" name="Sandbagger Rating"/>
    <tableColumn id="8" name="Odds"/>
    <tableColumn id="9" name="$ Bets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vmlDrawing" Target="../drawings/vmlDrawing1.vml"/><Relationship Id="rId3" Type="http://schemas.openxmlformats.org/officeDocument/2006/relationships/ctrlProp" Target="../ctrlProps/ctrlProps2.xml"/><Relationship Id="rId4" Type="http://schemas.openxmlformats.org/officeDocument/2006/relationships/ctrlProp" Target="../ctrlProps/ctrlProps3.xml"/><Relationship Id="rId5" Type="http://schemas.openxmlformats.org/officeDocument/2006/relationships/ctrlProp" Target="../ctrlProps/ctrlProps4.xml"/><Relationship Id="rId6" Type="http://schemas.openxmlformats.org/officeDocument/2006/relationships/ctrlProp" Target="../ctrlProps/ctrlProps5.xml"/><Relationship Id="rId7" Type="http://schemas.openxmlformats.org/officeDocument/2006/relationships/ctrlProp" Target="../ctrlProps/ctrlProps6.xml"/><Relationship Id="rId8" Type="http://schemas.openxmlformats.org/officeDocument/2006/relationships/ctrlProp" Target="../ctrlProps/ctrlProps7.xml"/><Relationship Id="rId9" Type="http://schemas.openxmlformats.org/officeDocument/2006/relationships/ctrlProp" Target="../ctrlProps/ctrlProps8.xml"/><Relationship Id="rId10" Type="http://schemas.openxmlformats.org/officeDocument/2006/relationships/ctrlProp" Target="../ctrlProps/ctrlProps9.xml"/><Relationship Id="rId11" Type="http://schemas.openxmlformats.org/officeDocument/2006/relationships/ctrlProp" Target="../ctrlProps/ctrlProps10.xml"/><Relationship Id="rId12" Type="http://schemas.openxmlformats.org/officeDocument/2006/relationships/ctrlProp" Target="../ctrlProps/ctrlProps11.xml"/><Relationship Id="rId13" Type="http://schemas.openxmlformats.org/officeDocument/2006/relationships/ctrlProp" Target="../ctrlProps/ctrlProps12.xml"/><Relationship Id="rId14" Type="http://schemas.openxmlformats.org/officeDocument/2006/relationships/ctrlProp" Target="../ctrlProps/ctrlProps13.xml"/><Relationship Id="rId15" Type="http://schemas.openxmlformats.org/officeDocument/2006/relationships/ctrlProp" Target="../ctrlProps/ctrlProps14.xml"/><Relationship Id="rId16" Type="http://schemas.openxmlformats.org/officeDocument/2006/relationships/ctrlProp" Target="../ctrlProps/ctrlProps15.xml"/><Relationship Id="rId17" Type="http://schemas.openxmlformats.org/officeDocument/2006/relationships/ctrlProp" Target="../ctrlProps/ctrlProps16.xml"/><Relationship Id="rId18" Type="http://schemas.openxmlformats.org/officeDocument/2006/relationships/ctrlProp" Target="../ctrlProps/ctrlProps17.xml"/><Relationship Id="rId19" Type="http://schemas.openxmlformats.org/officeDocument/2006/relationships/ctrlProp" Target="../ctrlProps/ctrlProps18.xml"/><Relationship Id="rId20" Type="http://schemas.openxmlformats.org/officeDocument/2006/relationships/ctrlProp" Target="../ctrlProps/ctrlProps19.xml"/><Relationship Id="rId21" Type="http://schemas.openxmlformats.org/officeDocument/2006/relationships/ctrlProp" Target="../ctrlProps/ctrlProps20.xml"/><Relationship Id="rId22" Type="http://schemas.openxmlformats.org/officeDocument/2006/relationships/ctrlProp" Target="../ctrlProps/ctrlProps21.xml"/><Relationship Id="rId23" Type="http://schemas.openxmlformats.org/officeDocument/2006/relationships/ctrlProp" Target="../ctrlProps/ctrlProps22.xml"/><Relationship Id="rId24" Type="http://schemas.openxmlformats.org/officeDocument/2006/relationships/ctrlProp" Target="../ctrlProps/ctrlProps23.xml"/><Relationship Id="rId25" Type="http://schemas.openxmlformats.org/officeDocument/2006/relationships/ctrlProp" Target="../ctrlProps/ctrlProps24.xml"/><Relationship Id="rId26" Type="http://schemas.openxmlformats.org/officeDocument/2006/relationships/ctrlProp" Target="../ctrlProps/ctrlProps25.xml"/><Relationship Id="rId27" Type="http://schemas.openxmlformats.org/officeDocument/2006/relationships/ctrlProp" Target="../ctrlProps/ctrlProps26.xml"/><Relationship Id="rId28" Type="http://schemas.openxmlformats.org/officeDocument/2006/relationships/ctrlProp" Target="../ctrlProps/ctrlProps27.xml"/><Relationship Id="rId29" Type="http://schemas.openxmlformats.org/officeDocument/2006/relationships/ctrlProp" Target="../ctrlProps/ctrlProps28.xml"/><Relationship Id="rId30" Type="http://schemas.openxmlformats.org/officeDocument/2006/relationships/ctrlProp" Target="../ctrlProps/ctrlProps29.xml"/><Relationship Id="rId31" Type="http://schemas.openxmlformats.org/officeDocument/2006/relationships/ctrlProp" Target="../ctrlProps/ctrlProps30.xml"/><Relationship Id="rId32" Type="http://schemas.openxmlformats.org/officeDocument/2006/relationships/ctrlProp" Target="../ctrlProps/ctrlProps31.xml"/><Relationship Id="rId33" Type="http://schemas.openxmlformats.org/officeDocument/2006/relationships/ctrlProp" Target="../ctrlProps/ctrlProps32.xml"/><Relationship Id="rId34" Type="http://schemas.openxmlformats.org/officeDocument/2006/relationships/ctrlProp" Target="../ctrlProps/ctrlProps33.xml"/><Relationship Id="rId35" Type="http://schemas.openxmlformats.org/officeDocument/2006/relationships/ctrlProp" Target="../ctrlProps/ctrlProps34.xml"/><Relationship Id="rId36" Type="http://schemas.openxmlformats.org/officeDocument/2006/relationships/ctrlProp" Target="../ctrlProps/ctrlProps3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R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1015625" defaultRowHeight="13.5" zeroHeight="false" outlineLevelRow="0" outlineLevelCol="0"/>
  <cols>
    <col collapsed="false" customWidth="true" hidden="false" outlineLevel="0" max="1" min="1" style="1" width="5.18"/>
    <col collapsed="false" customWidth="true" hidden="false" outlineLevel="0" max="2" min="2" style="1" width="12.09"/>
    <col collapsed="false" customWidth="true" hidden="false" outlineLevel="0" max="3" min="3" style="2" width="6.09"/>
    <col collapsed="false" customWidth="true" hidden="true" outlineLevel="0" max="4" min="4" style="2" width="6.64"/>
    <col collapsed="false" customWidth="true" hidden="true" outlineLevel="0" max="5" min="5" style="1" width="4.46"/>
    <col collapsed="false" customWidth="true" hidden="true" outlineLevel="0" max="6" min="6" style="1" width="8.36"/>
    <col collapsed="false" customWidth="true" hidden="true" outlineLevel="0" max="8" min="7" style="1" width="4.54"/>
    <col collapsed="false" customWidth="true" hidden="true" outlineLevel="0" max="9" min="9" style="1" width="4.18"/>
    <col collapsed="false" customWidth="true" hidden="true" outlineLevel="0" max="10" min="10" style="1" width="5.54"/>
    <col collapsed="false" customWidth="true" hidden="true" outlineLevel="0" max="11" min="11" style="1" width="4.46"/>
    <col collapsed="false" customWidth="true" hidden="true" outlineLevel="0" max="12" min="12" style="0" width="4.64"/>
    <col collapsed="false" customWidth="true" hidden="true" outlineLevel="0" max="15" min="13" style="0" width="4.46"/>
    <col collapsed="false" customWidth="true" hidden="true" outlineLevel="0" max="16" min="16" style="0" width="4.64"/>
    <col collapsed="false" customWidth="true" hidden="true" outlineLevel="0" max="17" min="17" style="0" width="4.46"/>
    <col collapsed="false" customWidth="true" hidden="false" outlineLevel="0" max="18" min="18" style="1" width="4.46"/>
    <col collapsed="false" customWidth="true" hidden="false" outlineLevel="0" max="19" min="19" style="1" width="4.18"/>
    <col collapsed="false" customWidth="true" hidden="false" outlineLevel="0" max="20" min="20" style="1" width="5"/>
    <col collapsed="false" customWidth="true" hidden="false" outlineLevel="0" max="21" min="21" style="1" width="4.36"/>
    <col collapsed="false" customWidth="true" hidden="false" outlineLevel="0" max="22" min="22" style="1" width="8.36"/>
    <col collapsed="false" customWidth="true" hidden="false" outlineLevel="0" max="23" min="23" style="1" width="4.18"/>
    <col collapsed="false" customWidth="true" hidden="true" outlineLevel="0" max="24" min="24" style="1" width="8.36"/>
    <col collapsed="false" customWidth="true" hidden="true" outlineLevel="0" max="25" min="25" style="1" width="3.54"/>
    <col collapsed="false" customWidth="true" hidden="true" outlineLevel="0" max="26" min="26" style="1" width="8.36"/>
    <col collapsed="false" customWidth="true" hidden="true" outlineLevel="0" max="27" min="27" style="1" width="3.54"/>
    <col collapsed="false" customWidth="true" hidden="true" outlineLevel="0" max="28" min="28" style="1" width="8.36"/>
    <col collapsed="false" customWidth="true" hidden="true" outlineLevel="0" max="29" min="29" style="1" width="4.46"/>
    <col collapsed="false" customWidth="true" hidden="true" outlineLevel="0" max="30" min="30" style="1" width="8.36"/>
    <col collapsed="false" customWidth="true" hidden="true" outlineLevel="0" max="31" min="31" style="1" width="3.54"/>
    <col collapsed="false" customWidth="true" hidden="true" outlineLevel="0" max="32" min="32" style="1" width="8.36"/>
    <col collapsed="false" customWidth="true" hidden="true" outlineLevel="0" max="33" min="33" style="1" width="3.54"/>
    <col collapsed="false" customWidth="true" hidden="true" outlineLevel="0" max="34" min="34" style="1" width="8.36"/>
    <col collapsed="false" customWidth="true" hidden="true" outlineLevel="0" max="35" min="35" style="1" width="3.54"/>
    <col collapsed="false" customWidth="true" hidden="true" outlineLevel="0" max="36" min="36" style="1" width="8.36"/>
    <col collapsed="false" customWidth="true" hidden="true" outlineLevel="0" max="37" min="37" style="1" width="3.54"/>
    <col collapsed="false" customWidth="true" hidden="true" outlineLevel="0" max="38" min="38" style="1" width="8.36"/>
    <col collapsed="false" customWidth="true" hidden="true" outlineLevel="0" max="39" min="39" style="1" width="4.82"/>
    <col collapsed="false" customWidth="true" hidden="false" outlineLevel="0" max="40" min="40" style="1" width="5.82"/>
    <col collapsed="false" customWidth="true" hidden="false" outlineLevel="0" max="41" min="41" style="1" width="3.91"/>
    <col collapsed="false" customWidth="false" hidden="false" outlineLevel="0" max="1024" min="42" style="1" width="8.91"/>
  </cols>
  <sheetData>
    <row r="1" customFormat="false" ht="14.25" hidden="false" customHeight="true" outlineLevel="0" collapsed="false">
      <c r="B1" s="3"/>
      <c r="C1" s="4" t="s">
        <v>0</v>
      </c>
      <c r="D1" s="5" t="n">
        <v>1</v>
      </c>
      <c r="E1" s="5"/>
      <c r="F1" s="5" t="n">
        <v>2</v>
      </c>
      <c r="G1" s="5"/>
      <c r="H1" s="5" t="n">
        <v>3</v>
      </c>
      <c r="I1" s="5"/>
      <c r="J1" s="5" t="n">
        <v>4</v>
      </c>
      <c r="K1" s="5"/>
      <c r="L1" s="5" t="n">
        <v>5</v>
      </c>
      <c r="M1" s="5"/>
      <c r="N1" s="5" t="n">
        <v>6</v>
      </c>
      <c r="O1" s="5"/>
      <c r="P1" s="5" t="n">
        <v>7</v>
      </c>
      <c r="Q1" s="5"/>
      <c r="R1" s="5" t="n">
        <v>8</v>
      </c>
      <c r="S1" s="5"/>
      <c r="T1" s="5" t="n">
        <v>9</v>
      </c>
      <c r="U1" s="5"/>
      <c r="V1" s="5" t="n">
        <v>10</v>
      </c>
      <c r="W1" s="5"/>
      <c r="X1" s="5" t="n">
        <v>11</v>
      </c>
      <c r="Y1" s="5"/>
      <c r="Z1" s="5" t="n">
        <v>12</v>
      </c>
      <c r="AA1" s="5"/>
      <c r="AB1" s="5" t="n">
        <v>13</v>
      </c>
      <c r="AC1" s="5"/>
      <c r="AD1" s="5" t="n">
        <v>14</v>
      </c>
      <c r="AE1" s="5"/>
      <c r="AF1" s="5" t="n">
        <v>15</v>
      </c>
      <c r="AG1" s="5"/>
      <c r="AH1" s="5" t="n">
        <v>16</v>
      </c>
      <c r="AI1" s="5"/>
      <c r="AJ1" s="5" t="n">
        <v>17</v>
      </c>
      <c r="AK1" s="5"/>
      <c r="AL1" s="5" t="n">
        <v>18</v>
      </c>
      <c r="AM1" s="5"/>
      <c r="AN1" s="3"/>
      <c r="AO1" s="6"/>
    </row>
    <row r="2" customFormat="false" ht="13.5" hidden="false" customHeight="false" outlineLevel="0" collapsed="false">
      <c r="B2" s="7" t="s">
        <v>1</v>
      </c>
      <c r="C2" s="4"/>
      <c r="D2" s="8" t="s">
        <v>2</v>
      </c>
      <c r="E2" s="8"/>
      <c r="F2" s="8" t="s">
        <v>3</v>
      </c>
      <c r="G2" s="8"/>
      <c r="H2" s="8" t="s">
        <v>4</v>
      </c>
      <c r="I2" s="8"/>
      <c r="J2" s="8" t="s">
        <v>5</v>
      </c>
      <c r="K2" s="8"/>
      <c r="L2" s="8" t="s">
        <v>6</v>
      </c>
      <c r="M2" s="8"/>
      <c r="N2" s="8" t="s">
        <v>7</v>
      </c>
      <c r="O2" s="8"/>
      <c r="P2" s="8" t="s">
        <v>8</v>
      </c>
      <c r="Q2" s="8"/>
      <c r="R2" s="8" t="s">
        <v>9</v>
      </c>
      <c r="S2" s="8"/>
      <c r="T2" s="8" t="s">
        <v>10</v>
      </c>
      <c r="U2" s="8"/>
      <c r="V2" s="8" t="s">
        <v>11</v>
      </c>
      <c r="W2" s="8"/>
      <c r="X2" s="8" t="s">
        <v>12</v>
      </c>
      <c r="Y2" s="8"/>
      <c r="Z2" s="8" t="s">
        <v>13</v>
      </c>
      <c r="AA2" s="8"/>
      <c r="AB2" s="8" t="s">
        <v>14</v>
      </c>
      <c r="AC2" s="8"/>
      <c r="AD2" s="8" t="s">
        <v>15</v>
      </c>
      <c r="AE2" s="8"/>
      <c r="AF2" s="8" t="s">
        <v>16</v>
      </c>
      <c r="AG2" s="8"/>
      <c r="AH2" s="8" t="s">
        <v>17</v>
      </c>
      <c r="AI2" s="8"/>
      <c r="AJ2" s="8" t="s">
        <v>18</v>
      </c>
      <c r="AK2" s="8"/>
      <c r="AL2" s="8" t="s">
        <v>19</v>
      </c>
      <c r="AM2" s="8"/>
      <c r="AN2" s="9" t="s">
        <v>20</v>
      </c>
      <c r="AO2" s="10" t="s">
        <v>21</v>
      </c>
    </row>
    <row r="3" customFormat="false" ht="27.75" hidden="false" customHeight="true" outlineLevel="0" collapsed="false">
      <c r="B3" s="7" t="s">
        <v>22</v>
      </c>
      <c r="C3" s="4"/>
      <c r="D3" s="11" t="s">
        <v>23</v>
      </c>
      <c r="E3" s="11"/>
      <c r="F3" s="11" t="s">
        <v>24</v>
      </c>
      <c r="G3" s="11"/>
      <c r="H3" s="11" t="s">
        <v>25</v>
      </c>
      <c r="I3" s="11"/>
      <c r="J3" s="11" t="s">
        <v>26</v>
      </c>
      <c r="K3" s="11"/>
      <c r="L3" s="11" t="s">
        <v>23</v>
      </c>
      <c r="M3" s="11"/>
      <c r="N3" s="11" t="s">
        <v>24</v>
      </c>
      <c r="O3" s="11"/>
      <c r="P3" s="11" t="s">
        <v>25</v>
      </c>
      <c r="Q3" s="11"/>
      <c r="R3" s="11" t="s">
        <v>26</v>
      </c>
      <c r="S3" s="11"/>
      <c r="T3" s="11" t="s">
        <v>23</v>
      </c>
      <c r="U3" s="11"/>
      <c r="V3" s="11" t="s">
        <v>24</v>
      </c>
      <c r="W3" s="11"/>
      <c r="X3" s="11" t="s">
        <v>25</v>
      </c>
      <c r="Y3" s="11"/>
      <c r="Z3" s="11" t="s">
        <v>26</v>
      </c>
      <c r="AA3" s="11"/>
      <c r="AB3" s="11" t="s">
        <v>23</v>
      </c>
      <c r="AC3" s="11"/>
      <c r="AD3" s="11" t="s">
        <v>24</v>
      </c>
      <c r="AE3" s="11"/>
      <c r="AF3" s="11" t="s">
        <v>25</v>
      </c>
      <c r="AG3" s="11"/>
      <c r="AH3" s="11" t="s">
        <v>26</v>
      </c>
      <c r="AI3" s="11"/>
      <c r="AJ3" s="11" t="s">
        <v>23</v>
      </c>
      <c r="AK3" s="11"/>
      <c r="AL3" s="11" t="s">
        <v>24</v>
      </c>
      <c r="AM3" s="11"/>
      <c r="AN3" s="11"/>
      <c r="AO3" s="11"/>
    </row>
    <row r="4" customFormat="false" ht="45" hidden="false" customHeight="true" outlineLevel="0" collapsed="false">
      <c r="B4" s="12" t="s">
        <v>27</v>
      </c>
      <c r="C4" s="4"/>
      <c r="D4" s="13" t="s">
        <v>28</v>
      </c>
      <c r="E4" s="13"/>
      <c r="F4" s="13"/>
      <c r="G4" s="13"/>
      <c r="H4" s="14" t="s">
        <v>29</v>
      </c>
      <c r="I4" s="14"/>
      <c r="J4" s="14" t="s">
        <v>30</v>
      </c>
      <c r="K4" s="14"/>
      <c r="L4" s="14" t="s">
        <v>31</v>
      </c>
      <c r="M4" s="14"/>
      <c r="N4" s="14" t="s">
        <v>32</v>
      </c>
      <c r="O4" s="14"/>
      <c r="P4" s="13" t="s">
        <v>33</v>
      </c>
      <c r="Q4" s="13"/>
      <c r="R4" s="15" t="s">
        <v>34</v>
      </c>
      <c r="S4" s="15"/>
      <c r="T4" s="14" t="s">
        <v>35</v>
      </c>
      <c r="U4" s="14"/>
      <c r="V4" s="13" t="s">
        <v>36</v>
      </c>
      <c r="W4" s="13"/>
      <c r="X4" s="13"/>
      <c r="Y4" s="13"/>
      <c r="Z4" s="14"/>
      <c r="AA4" s="14"/>
      <c r="AB4" s="13"/>
      <c r="AC4" s="13"/>
      <c r="AD4" s="13"/>
      <c r="AE4" s="13"/>
      <c r="AF4" s="16"/>
      <c r="AG4" s="16"/>
      <c r="AH4" s="16"/>
      <c r="AI4" s="16"/>
      <c r="AJ4" s="13"/>
      <c r="AK4" s="13"/>
      <c r="AL4" s="13"/>
      <c r="AM4" s="13"/>
      <c r="AN4" s="17"/>
      <c r="AO4" s="10"/>
    </row>
    <row r="5" customFormat="false" ht="14.25" hidden="false" customHeight="true" outlineLevel="0" collapsed="false">
      <c r="B5" s="18" t="s">
        <v>37</v>
      </c>
      <c r="C5" s="18"/>
      <c r="D5" s="11" t="s">
        <v>38</v>
      </c>
      <c r="E5" s="11"/>
      <c r="F5" s="1" t="s">
        <v>39</v>
      </c>
      <c r="H5" s="11" t="s">
        <v>40</v>
      </c>
      <c r="I5" s="11"/>
      <c r="J5" s="11" t="s">
        <v>41</v>
      </c>
      <c r="K5" s="11"/>
      <c r="L5" s="11" t="s">
        <v>38</v>
      </c>
      <c r="M5" s="11"/>
      <c r="N5" s="11" t="s">
        <v>40</v>
      </c>
      <c r="O5" s="11"/>
      <c r="P5" s="11" t="s">
        <v>41</v>
      </c>
      <c r="Q5" s="11"/>
      <c r="R5" s="11" t="s">
        <v>38</v>
      </c>
      <c r="S5" s="11"/>
      <c r="T5" s="11" t="s">
        <v>40</v>
      </c>
      <c r="U5" s="11"/>
      <c r="V5" s="11" t="s">
        <v>41</v>
      </c>
      <c r="W5" s="11"/>
      <c r="X5" s="11" t="s">
        <v>38</v>
      </c>
      <c r="Y5" s="11"/>
      <c r="Z5" s="11" t="s">
        <v>40</v>
      </c>
      <c r="AA5" s="11"/>
      <c r="AB5" s="11" t="s">
        <v>41</v>
      </c>
      <c r="AC5" s="11"/>
      <c r="AD5" s="11" t="s">
        <v>38</v>
      </c>
      <c r="AE5" s="11"/>
      <c r="AF5" s="11" t="s">
        <v>40</v>
      </c>
      <c r="AG5" s="11"/>
      <c r="AH5" s="11" t="s">
        <v>41</v>
      </c>
      <c r="AI5" s="11"/>
      <c r="AJ5" s="11" t="s">
        <v>38</v>
      </c>
      <c r="AK5" s="11"/>
      <c r="AL5" s="11" t="s">
        <v>40</v>
      </c>
      <c r="AM5" s="11"/>
      <c r="AN5" s="10"/>
      <c r="AO5" s="10"/>
    </row>
    <row r="6" customFormat="false" ht="13.5" hidden="false" customHeight="false" outlineLevel="0" collapsed="false">
      <c r="A6" s="8" t="n">
        <v>1</v>
      </c>
      <c r="B6" s="19" t="s">
        <v>42</v>
      </c>
      <c r="C6" s="20" t="n">
        <v>8</v>
      </c>
      <c r="D6" s="21" t="n">
        <v>77</v>
      </c>
      <c r="E6" s="22" t="n">
        <v>36</v>
      </c>
      <c r="F6" s="21"/>
      <c r="G6" s="22"/>
      <c r="H6" s="21" t="n">
        <v>83</v>
      </c>
      <c r="I6" s="22" t="n">
        <v>26.5</v>
      </c>
      <c r="J6" s="21"/>
      <c r="K6" s="22"/>
      <c r="L6" s="21" t="n">
        <v>85</v>
      </c>
      <c r="M6" s="22" t="n">
        <v>31</v>
      </c>
      <c r="N6" s="21" t="n">
        <v>85</v>
      </c>
      <c r="O6" s="22" t="n">
        <v>23</v>
      </c>
      <c r="P6" s="21" t="n">
        <v>80</v>
      </c>
      <c r="Q6" s="22" t="n">
        <v>26.5</v>
      </c>
      <c r="R6" s="21" t="n">
        <v>79</v>
      </c>
      <c r="S6" s="22" t="n">
        <v>25.5</v>
      </c>
      <c r="T6" s="21" t="n">
        <v>80</v>
      </c>
      <c r="U6" s="22" t="n">
        <v>28.5</v>
      </c>
      <c r="V6" s="21" t="n">
        <v>75</v>
      </c>
      <c r="W6" s="22" t="n">
        <v>29.5</v>
      </c>
      <c r="X6" s="21"/>
      <c r="Y6" s="22"/>
      <c r="Z6" s="21"/>
      <c r="AA6" s="22"/>
      <c r="AB6" s="21"/>
      <c r="AC6" s="22"/>
      <c r="AD6" s="21"/>
      <c r="AE6" s="22"/>
      <c r="AF6" s="21"/>
      <c r="AG6" s="22"/>
      <c r="AH6" s="21"/>
      <c r="AI6" s="22"/>
      <c r="AJ6" s="21"/>
      <c r="AK6" s="22"/>
      <c r="AL6" s="21"/>
      <c r="AM6" s="22"/>
      <c r="AN6" s="17" t="n">
        <v>226.5</v>
      </c>
      <c r="AO6" s="23" t="n">
        <v>28.3125</v>
      </c>
    </row>
    <row r="7" customFormat="false" ht="13.5" hidden="false" customHeight="false" outlineLevel="0" collapsed="false">
      <c r="A7" s="24" t="n">
        <v>1.13</v>
      </c>
      <c r="B7" s="7" t="s">
        <v>43</v>
      </c>
      <c r="C7" s="7"/>
      <c r="D7" s="21" t="n">
        <v>40</v>
      </c>
      <c r="E7" s="25" t="n">
        <v>18</v>
      </c>
      <c r="F7" s="21"/>
      <c r="G7" s="25"/>
      <c r="H7" s="21" t="n">
        <v>37</v>
      </c>
      <c r="I7" s="25" t="n">
        <v>14</v>
      </c>
      <c r="J7" s="21"/>
      <c r="K7" s="25"/>
      <c r="L7" s="21" t="n">
        <v>33</v>
      </c>
      <c r="M7" s="25" t="n">
        <v>14</v>
      </c>
      <c r="N7" s="21" t="n">
        <v>35</v>
      </c>
      <c r="O7" s="25" t="n">
        <v>13.5</v>
      </c>
      <c r="P7" s="21" t="n">
        <v>34</v>
      </c>
      <c r="Q7" s="25" t="n">
        <v>10.5</v>
      </c>
      <c r="R7" s="21" t="n">
        <v>37</v>
      </c>
      <c r="S7" s="25" t="n">
        <v>17</v>
      </c>
      <c r="T7" s="21" t="n">
        <v>38</v>
      </c>
      <c r="U7" s="25" t="n">
        <v>15</v>
      </c>
      <c r="V7" s="21" t="n">
        <v>37</v>
      </c>
      <c r="W7" s="25" t="n">
        <v>15.5</v>
      </c>
      <c r="X7" s="21"/>
      <c r="Y7" s="25"/>
      <c r="Z7" s="21"/>
      <c r="AA7" s="25"/>
      <c r="AB7" s="21"/>
      <c r="AC7" s="25"/>
      <c r="AD7" s="21"/>
      <c r="AE7" s="25"/>
      <c r="AF7" s="21"/>
      <c r="AG7" s="25"/>
      <c r="AH7" s="21"/>
      <c r="AI7" s="25"/>
      <c r="AJ7" s="21"/>
      <c r="AK7" s="25"/>
      <c r="AL7" s="21"/>
      <c r="AM7" s="25"/>
      <c r="AN7" s="26" t="n">
        <v>36.375</v>
      </c>
      <c r="AO7" s="23" t="n">
        <v>14.6875</v>
      </c>
    </row>
    <row r="8" customFormat="false" ht="13.5" hidden="false" customHeight="false" outlineLevel="0" collapsed="false">
      <c r="A8" s="27" t="n">
        <v>1.023</v>
      </c>
      <c r="B8" s="28" t="s">
        <v>44</v>
      </c>
      <c r="C8" s="29" t="n">
        <v>23</v>
      </c>
      <c r="D8" s="30" t="n">
        <v>35</v>
      </c>
      <c r="E8" s="31" t="n">
        <v>18</v>
      </c>
      <c r="F8" s="30"/>
      <c r="G8" s="31"/>
      <c r="H8" s="30" t="n">
        <v>4</v>
      </c>
      <c r="I8" s="31" t="n">
        <v>12.5</v>
      </c>
      <c r="J8" s="30"/>
      <c r="K8" s="31"/>
      <c r="L8" s="30" t="n">
        <v>38</v>
      </c>
      <c r="M8" s="31" t="n">
        <v>17</v>
      </c>
      <c r="N8" s="30" t="n">
        <v>-0.001</v>
      </c>
      <c r="O8" s="31" t="n">
        <v>9.5</v>
      </c>
      <c r="P8" s="30" t="n">
        <v>16</v>
      </c>
      <c r="Q8" s="31" t="n">
        <v>16</v>
      </c>
      <c r="R8" s="30" t="n">
        <v>-2</v>
      </c>
      <c r="S8" s="31" t="n">
        <v>8.5</v>
      </c>
      <c r="T8" s="30" t="n">
        <v>5</v>
      </c>
      <c r="U8" s="31" t="n">
        <v>13.5</v>
      </c>
      <c r="V8" s="30" t="n">
        <v>16</v>
      </c>
      <c r="W8" s="31" t="n">
        <v>14</v>
      </c>
      <c r="X8" s="30"/>
      <c r="Y8" s="31"/>
      <c r="Z8" s="30"/>
      <c r="AA8" s="31"/>
      <c r="AB8" s="30"/>
      <c r="AC8" s="31"/>
      <c r="AD8" s="30"/>
      <c r="AE8" s="31"/>
      <c r="AF8" s="30"/>
      <c r="AG8" s="31"/>
      <c r="AH8" s="30"/>
      <c r="AI8" s="31"/>
      <c r="AJ8" s="30"/>
      <c r="AK8" s="31"/>
      <c r="AL8" s="30"/>
      <c r="AM8" s="31"/>
      <c r="AN8" s="32" t="n">
        <v>111.999</v>
      </c>
      <c r="AO8" s="33" t="n">
        <v>13.625</v>
      </c>
    </row>
    <row r="9" customFormat="false" ht="13.5" hidden="false" customHeight="false" outlineLevel="0" collapsed="false">
      <c r="A9" s="8" t="n">
        <v>2</v>
      </c>
      <c r="B9" s="9" t="s">
        <v>45</v>
      </c>
      <c r="C9" s="20" t="n">
        <v>8</v>
      </c>
      <c r="D9" s="21" t="n">
        <v>80</v>
      </c>
      <c r="E9" s="22" t="n">
        <v>23</v>
      </c>
      <c r="F9" s="21"/>
      <c r="G9" s="22"/>
      <c r="H9" s="21"/>
      <c r="I9" s="22"/>
      <c r="J9" s="21" t="n">
        <v>81</v>
      </c>
      <c r="K9" s="22" t="n">
        <v>21.5</v>
      </c>
      <c r="L9" s="21" t="n">
        <v>83</v>
      </c>
      <c r="M9" s="22" t="n">
        <v>29</v>
      </c>
      <c r="N9" s="21" t="n">
        <v>84</v>
      </c>
      <c r="O9" s="22" t="n">
        <v>17.5</v>
      </c>
      <c r="P9" s="21" t="n">
        <v>79</v>
      </c>
      <c r="Q9" s="22" t="n">
        <v>21.5</v>
      </c>
      <c r="R9" s="21" t="n">
        <v>79</v>
      </c>
      <c r="S9" s="22" t="n">
        <v>29.5</v>
      </c>
      <c r="T9" s="21" t="n">
        <v>76</v>
      </c>
      <c r="U9" s="22" t="n">
        <v>35</v>
      </c>
      <c r="V9" s="21" t="n">
        <v>81</v>
      </c>
      <c r="W9" s="22" t="n">
        <v>18</v>
      </c>
      <c r="X9" s="21"/>
      <c r="Y9" s="22"/>
      <c r="Z9" s="21"/>
      <c r="AA9" s="22"/>
      <c r="AB9" s="21"/>
      <c r="AC9" s="22"/>
      <c r="AD9" s="21"/>
      <c r="AE9" s="22"/>
      <c r="AF9" s="21"/>
      <c r="AG9" s="22"/>
      <c r="AH9" s="21"/>
      <c r="AI9" s="22"/>
      <c r="AJ9" s="21"/>
      <c r="AK9" s="22"/>
      <c r="AL9" s="21"/>
      <c r="AM9" s="22"/>
      <c r="AN9" s="17" t="n">
        <v>195</v>
      </c>
      <c r="AO9" s="23" t="n">
        <v>24.375</v>
      </c>
    </row>
    <row r="10" customFormat="false" ht="13.5" hidden="false" customHeight="false" outlineLevel="0" collapsed="false">
      <c r="A10" s="24" t="n">
        <v>2.15</v>
      </c>
      <c r="B10" s="7" t="s">
        <v>43</v>
      </c>
      <c r="C10" s="7"/>
      <c r="D10" s="21" t="n">
        <v>34</v>
      </c>
      <c r="E10" s="25" t="n">
        <v>16</v>
      </c>
      <c r="F10" s="21"/>
      <c r="G10" s="25"/>
      <c r="H10" s="21"/>
      <c r="I10" s="25"/>
      <c r="J10" s="21" t="n">
        <v>32</v>
      </c>
      <c r="K10" s="25" t="n">
        <v>12.5</v>
      </c>
      <c r="L10" s="21" t="n">
        <v>33</v>
      </c>
      <c r="M10" s="25" t="n">
        <v>14</v>
      </c>
      <c r="N10" s="21" t="n">
        <v>34</v>
      </c>
      <c r="O10" s="25" t="n">
        <v>11.5</v>
      </c>
      <c r="P10" s="21" t="n">
        <v>36</v>
      </c>
      <c r="Q10" s="25" t="n">
        <v>13.5</v>
      </c>
      <c r="R10" s="21" t="n">
        <v>36</v>
      </c>
      <c r="S10" s="25" t="n">
        <v>15.5</v>
      </c>
      <c r="T10" s="21" t="n">
        <v>41</v>
      </c>
      <c r="U10" s="25" t="n">
        <v>18</v>
      </c>
      <c r="V10" s="21" t="n">
        <v>33</v>
      </c>
      <c r="W10" s="25" t="n">
        <v>9.5</v>
      </c>
      <c r="X10" s="21"/>
      <c r="Y10" s="25"/>
      <c r="Z10" s="21"/>
      <c r="AA10" s="25"/>
      <c r="AB10" s="21"/>
      <c r="AC10" s="25"/>
      <c r="AD10" s="21"/>
      <c r="AE10" s="25"/>
      <c r="AF10" s="21"/>
      <c r="AG10" s="25"/>
      <c r="AH10" s="21"/>
      <c r="AI10" s="25"/>
      <c r="AJ10" s="21"/>
      <c r="AK10" s="25"/>
      <c r="AL10" s="21"/>
      <c r="AM10" s="25"/>
      <c r="AN10" s="26" t="n">
        <v>34.875</v>
      </c>
      <c r="AO10" s="23" t="n">
        <v>13.8125</v>
      </c>
    </row>
    <row r="11" customFormat="false" ht="13.5" hidden="false" customHeight="false" outlineLevel="0" collapsed="false">
      <c r="A11" s="27" t="n">
        <v>2.025</v>
      </c>
      <c r="B11" s="28" t="s">
        <v>44</v>
      </c>
      <c r="C11" s="29" t="n">
        <v>17.5</v>
      </c>
      <c r="D11" s="30" t="n">
        <v>-10</v>
      </c>
      <c r="E11" s="31" t="n">
        <v>7</v>
      </c>
      <c r="F11" s="30"/>
      <c r="G11" s="31"/>
      <c r="H11" s="30"/>
      <c r="I11" s="31"/>
      <c r="J11" s="30" t="n">
        <v>-15</v>
      </c>
      <c r="K11" s="31" t="n">
        <v>9</v>
      </c>
      <c r="L11" s="30" t="n">
        <v>20</v>
      </c>
      <c r="M11" s="31" t="n">
        <v>15</v>
      </c>
      <c r="N11" s="30" t="n">
        <v>-16</v>
      </c>
      <c r="O11" s="31" t="n">
        <v>6</v>
      </c>
      <c r="P11" s="30" t="n">
        <v>-4</v>
      </c>
      <c r="Q11" s="31" t="n">
        <v>8</v>
      </c>
      <c r="R11" s="30" t="n">
        <v>12</v>
      </c>
      <c r="S11" s="31" t="n">
        <v>14</v>
      </c>
      <c r="T11" s="30" t="n">
        <v>25</v>
      </c>
      <c r="U11" s="31" t="n">
        <v>17</v>
      </c>
      <c r="V11" s="30" t="n">
        <v>-8</v>
      </c>
      <c r="W11" s="31" t="n">
        <v>8.5</v>
      </c>
      <c r="X11" s="30"/>
      <c r="Y11" s="31"/>
      <c r="Z11" s="30"/>
      <c r="AA11" s="31"/>
      <c r="AB11" s="30"/>
      <c r="AC11" s="31"/>
      <c r="AD11" s="30"/>
      <c r="AE11" s="31"/>
      <c r="AF11" s="30"/>
      <c r="AG11" s="31"/>
      <c r="AH11" s="30"/>
      <c r="AI11" s="31"/>
      <c r="AJ11" s="30"/>
      <c r="AK11" s="31"/>
      <c r="AL11" s="30"/>
      <c r="AM11" s="31"/>
      <c r="AN11" s="32" t="n">
        <v>4</v>
      </c>
      <c r="AO11" s="33" t="n">
        <v>10.5625</v>
      </c>
    </row>
    <row r="12" customFormat="false" ht="13.5" hidden="false" customHeight="false" outlineLevel="0" collapsed="false">
      <c r="A12" s="8" t="n">
        <v>3</v>
      </c>
      <c r="B12" s="9" t="s">
        <v>46</v>
      </c>
      <c r="C12" s="20" t="n">
        <v>8</v>
      </c>
      <c r="D12" s="21" t="n">
        <v>84</v>
      </c>
      <c r="E12" s="22" t="n">
        <v>20.5</v>
      </c>
      <c r="F12" s="21"/>
      <c r="G12" s="22"/>
      <c r="H12" s="21" t="n">
        <v>79</v>
      </c>
      <c r="I12" s="22" t="n">
        <v>31</v>
      </c>
      <c r="J12" s="21" t="n">
        <v>82</v>
      </c>
      <c r="K12" s="22" t="n">
        <v>26.5</v>
      </c>
      <c r="L12" s="21" t="n">
        <v>86</v>
      </c>
      <c r="M12" s="22" t="n">
        <v>26.5</v>
      </c>
      <c r="N12" s="21" t="n">
        <v>84</v>
      </c>
      <c r="O12" s="22" t="n">
        <v>23.5</v>
      </c>
      <c r="P12" s="21" t="n">
        <v>80</v>
      </c>
      <c r="Q12" s="22" t="n">
        <v>25.5</v>
      </c>
      <c r="R12" s="21" t="n">
        <v>83</v>
      </c>
      <c r="S12" s="22" t="n">
        <v>25.5</v>
      </c>
      <c r="T12" s="21" t="n">
        <v>96</v>
      </c>
      <c r="U12" s="22" t="n">
        <v>14</v>
      </c>
      <c r="V12" s="21"/>
      <c r="W12" s="22"/>
      <c r="X12" s="21"/>
      <c r="Y12" s="22"/>
      <c r="Z12" s="21"/>
      <c r="AA12" s="22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17" t="n">
        <v>193</v>
      </c>
      <c r="AO12" s="23" t="n">
        <v>24.125</v>
      </c>
    </row>
    <row r="13" customFormat="false" ht="13.5" hidden="false" customHeight="false" outlineLevel="0" collapsed="false">
      <c r="A13" s="24" t="n">
        <v>3.11</v>
      </c>
      <c r="B13" s="7" t="s">
        <v>43</v>
      </c>
      <c r="C13" s="7"/>
      <c r="D13" s="21" t="n">
        <v>32</v>
      </c>
      <c r="E13" s="25" t="n">
        <v>12.5</v>
      </c>
      <c r="F13" s="21"/>
      <c r="G13" s="25"/>
      <c r="H13" s="21" t="n">
        <v>39</v>
      </c>
      <c r="I13" s="25" t="n">
        <v>15</v>
      </c>
      <c r="J13" s="21" t="n">
        <v>32</v>
      </c>
      <c r="K13" s="25" t="n">
        <v>12.5</v>
      </c>
      <c r="L13" s="21" t="n">
        <v>30</v>
      </c>
      <c r="M13" s="25" t="n">
        <v>8.5</v>
      </c>
      <c r="N13" s="21" t="n">
        <v>34</v>
      </c>
      <c r="O13" s="25" t="n">
        <v>11.5</v>
      </c>
      <c r="P13" s="21" t="n">
        <v>34</v>
      </c>
      <c r="Q13" s="25" t="n">
        <v>10.5</v>
      </c>
      <c r="R13" s="21" t="n">
        <v>33</v>
      </c>
      <c r="S13" s="25" t="n">
        <v>11.5</v>
      </c>
      <c r="T13" s="21" t="n">
        <v>23</v>
      </c>
      <c r="U13" s="25" t="n">
        <v>3</v>
      </c>
      <c r="V13" s="21"/>
      <c r="W13" s="25"/>
      <c r="X13" s="21"/>
      <c r="Y13" s="25"/>
      <c r="Z13" s="21"/>
      <c r="AA13" s="25"/>
      <c r="AB13" s="21"/>
      <c r="AC13" s="25"/>
      <c r="AD13" s="21"/>
      <c r="AE13" s="25"/>
      <c r="AF13" s="21"/>
      <c r="AG13" s="25"/>
      <c r="AH13" s="21"/>
      <c r="AI13" s="25"/>
      <c r="AJ13" s="21"/>
      <c r="AK13" s="25"/>
      <c r="AL13" s="21"/>
      <c r="AM13" s="25"/>
      <c r="AN13" s="26" t="n">
        <v>32.125</v>
      </c>
      <c r="AO13" s="23" t="n">
        <v>10.625</v>
      </c>
    </row>
    <row r="14" customFormat="false" ht="13.5" hidden="false" customHeight="false" outlineLevel="0" collapsed="false">
      <c r="A14" s="27" t="n">
        <v>3.021</v>
      </c>
      <c r="B14" s="28" t="s">
        <v>44</v>
      </c>
      <c r="C14" s="29" t="n">
        <v>14</v>
      </c>
      <c r="D14" s="30" t="n">
        <v>-9</v>
      </c>
      <c r="E14" s="31" t="n">
        <v>8</v>
      </c>
      <c r="F14" s="30"/>
      <c r="G14" s="31"/>
      <c r="H14" s="30" t="n">
        <v>30</v>
      </c>
      <c r="I14" s="31" t="n">
        <v>16</v>
      </c>
      <c r="J14" s="30" t="n">
        <v>43</v>
      </c>
      <c r="K14" s="31" t="n">
        <v>14</v>
      </c>
      <c r="L14" s="30" t="n">
        <v>40</v>
      </c>
      <c r="M14" s="31" t="n">
        <v>18</v>
      </c>
      <c r="N14" s="30" t="n">
        <v>1</v>
      </c>
      <c r="O14" s="31" t="n">
        <v>12</v>
      </c>
      <c r="P14" s="30" t="n">
        <v>8</v>
      </c>
      <c r="Q14" s="31" t="n">
        <v>15</v>
      </c>
      <c r="R14" s="30" t="n">
        <v>12</v>
      </c>
      <c r="S14" s="31" t="n">
        <v>14</v>
      </c>
      <c r="T14" s="30" t="n">
        <v>3</v>
      </c>
      <c r="U14" s="31" t="n">
        <v>11</v>
      </c>
      <c r="V14" s="30"/>
      <c r="W14" s="31"/>
      <c r="X14" s="30"/>
      <c r="Y14" s="31"/>
      <c r="Z14" s="30"/>
      <c r="AA14" s="31"/>
      <c r="AB14" s="30"/>
      <c r="AC14" s="31"/>
      <c r="AD14" s="30"/>
      <c r="AE14" s="31"/>
      <c r="AF14" s="30"/>
      <c r="AG14" s="31"/>
      <c r="AH14" s="30"/>
      <c r="AI14" s="31"/>
      <c r="AJ14" s="30"/>
      <c r="AK14" s="31"/>
      <c r="AL14" s="30"/>
      <c r="AM14" s="31"/>
      <c r="AN14" s="32" t="n">
        <v>128</v>
      </c>
      <c r="AO14" s="33" t="n">
        <v>13.5</v>
      </c>
    </row>
    <row r="15" customFormat="false" ht="13.5" hidden="false" customHeight="false" outlineLevel="0" collapsed="false">
      <c r="A15" s="8" t="n">
        <v>4</v>
      </c>
      <c r="B15" s="9" t="s">
        <v>47</v>
      </c>
      <c r="C15" s="20" t="n">
        <v>9</v>
      </c>
      <c r="D15" s="21" t="n">
        <v>82</v>
      </c>
      <c r="E15" s="22" t="n">
        <v>22</v>
      </c>
      <c r="F15" s="21"/>
      <c r="G15" s="22"/>
      <c r="H15" s="21" t="n">
        <v>81</v>
      </c>
      <c r="I15" s="22" t="n">
        <v>23.5</v>
      </c>
      <c r="J15" s="21" t="n">
        <v>76</v>
      </c>
      <c r="K15" s="22" t="n">
        <v>26</v>
      </c>
      <c r="L15" s="21" t="n">
        <v>80</v>
      </c>
      <c r="M15" s="22" t="n">
        <v>22</v>
      </c>
      <c r="N15" s="21" t="n">
        <v>85</v>
      </c>
      <c r="O15" s="22" t="n">
        <v>11.5</v>
      </c>
      <c r="P15" s="21" t="n">
        <v>76</v>
      </c>
      <c r="Q15" s="22" t="n">
        <v>23.5</v>
      </c>
      <c r="R15" s="21" t="n">
        <v>74</v>
      </c>
      <c r="S15" s="22" t="n">
        <v>28.5</v>
      </c>
      <c r="T15" s="21" t="n">
        <v>80</v>
      </c>
      <c r="U15" s="22" t="n">
        <v>16.5</v>
      </c>
      <c r="V15" s="21" t="n">
        <v>74</v>
      </c>
      <c r="W15" s="22" t="n">
        <v>18.5</v>
      </c>
      <c r="X15" s="21"/>
      <c r="Y15" s="22"/>
      <c r="Z15" s="21"/>
      <c r="AA15" s="22"/>
      <c r="AB15" s="21"/>
      <c r="AC15" s="22"/>
      <c r="AD15" s="21"/>
      <c r="AE15" s="22"/>
      <c r="AF15" s="21"/>
      <c r="AG15" s="22"/>
      <c r="AH15" s="21"/>
      <c r="AI15" s="22"/>
      <c r="AJ15" s="21"/>
      <c r="AK15" s="22"/>
      <c r="AL15" s="21"/>
      <c r="AM15" s="22"/>
      <c r="AN15" s="17" t="n">
        <v>192</v>
      </c>
      <c r="AO15" s="23" t="n">
        <v>21.3333333333333</v>
      </c>
    </row>
    <row r="16" customFormat="false" ht="13.5" hidden="false" customHeight="false" outlineLevel="0" collapsed="false">
      <c r="A16" s="24" t="n">
        <v>4.12</v>
      </c>
      <c r="B16" s="7" t="s">
        <v>43</v>
      </c>
      <c r="C16" s="7"/>
      <c r="D16" s="21" t="n">
        <v>29</v>
      </c>
      <c r="E16" s="25" t="n">
        <v>6</v>
      </c>
      <c r="F16" s="21"/>
      <c r="G16" s="25"/>
      <c r="H16" s="21" t="n">
        <v>32</v>
      </c>
      <c r="I16" s="25" t="n">
        <v>11</v>
      </c>
      <c r="J16" s="21" t="n">
        <v>33</v>
      </c>
      <c r="K16" s="25" t="n">
        <v>14</v>
      </c>
      <c r="L16" s="21" t="n">
        <v>33</v>
      </c>
      <c r="M16" s="25" t="n">
        <v>14</v>
      </c>
      <c r="N16" s="21" t="n">
        <v>29</v>
      </c>
      <c r="O16" s="25" t="n">
        <v>7.5</v>
      </c>
      <c r="P16" s="21" t="n">
        <v>34</v>
      </c>
      <c r="Q16" s="25" t="n">
        <v>10.5</v>
      </c>
      <c r="R16" s="21" t="n">
        <v>38</v>
      </c>
      <c r="S16" s="25" t="n">
        <v>18</v>
      </c>
      <c r="T16" s="21" t="n">
        <v>33</v>
      </c>
      <c r="U16" s="25" t="n">
        <v>8.5</v>
      </c>
      <c r="V16" s="21" t="n">
        <v>34</v>
      </c>
      <c r="W16" s="25" t="n">
        <v>11.5</v>
      </c>
      <c r="X16" s="21"/>
      <c r="Y16" s="25"/>
      <c r="Z16" s="21"/>
      <c r="AA16" s="25"/>
      <c r="AB16" s="21"/>
      <c r="AC16" s="25"/>
      <c r="AD16" s="21"/>
      <c r="AE16" s="25"/>
      <c r="AF16" s="21"/>
      <c r="AG16" s="25"/>
      <c r="AH16" s="21"/>
      <c r="AI16" s="25"/>
      <c r="AJ16" s="21"/>
      <c r="AK16" s="25"/>
      <c r="AL16" s="21"/>
      <c r="AM16" s="25"/>
      <c r="AN16" s="26" t="n">
        <v>32.7777777777778</v>
      </c>
      <c r="AO16" s="23" t="n">
        <v>11.2222222222222</v>
      </c>
    </row>
    <row r="17" customFormat="false" ht="13.5" hidden="false" customHeight="false" outlineLevel="0" collapsed="false">
      <c r="A17" s="27" t="n">
        <v>4.022</v>
      </c>
      <c r="B17" s="28" t="s">
        <v>44</v>
      </c>
      <c r="C17" s="29" t="n">
        <v>11.5</v>
      </c>
      <c r="D17" s="30" t="n">
        <v>12</v>
      </c>
      <c r="E17" s="31" t="n">
        <v>16</v>
      </c>
      <c r="F17" s="30"/>
      <c r="G17" s="31"/>
      <c r="H17" s="30" t="n">
        <v>4</v>
      </c>
      <c r="I17" s="31" t="n">
        <v>12.5</v>
      </c>
      <c r="J17" s="30" t="n">
        <v>13</v>
      </c>
      <c r="K17" s="31" t="n">
        <v>12</v>
      </c>
      <c r="L17" s="30" t="n">
        <v>-6</v>
      </c>
      <c r="M17" s="31" t="n">
        <v>8</v>
      </c>
      <c r="N17" s="30" t="n">
        <v>-28</v>
      </c>
      <c r="O17" s="31" t="n">
        <v>4</v>
      </c>
      <c r="P17" s="30" t="n">
        <v>4</v>
      </c>
      <c r="Q17" s="31" t="n">
        <v>13</v>
      </c>
      <c r="R17" s="30" t="n">
        <v>-0.0001</v>
      </c>
      <c r="S17" s="31" t="n">
        <v>10.5</v>
      </c>
      <c r="T17" s="30" t="n">
        <v>-9</v>
      </c>
      <c r="U17" s="31" t="n">
        <v>8</v>
      </c>
      <c r="V17" s="30" t="n">
        <v>-18</v>
      </c>
      <c r="W17" s="31" t="n">
        <v>7</v>
      </c>
      <c r="X17" s="30"/>
      <c r="Y17" s="31"/>
      <c r="Z17" s="30"/>
      <c r="AA17" s="31"/>
      <c r="AB17" s="30"/>
      <c r="AC17" s="31"/>
      <c r="AD17" s="30"/>
      <c r="AE17" s="31"/>
      <c r="AF17" s="30"/>
      <c r="AG17" s="31"/>
      <c r="AH17" s="30"/>
      <c r="AI17" s="31"/>
      <c r="AJ17" s="30"/>
      <c r="AK17" s="31"/>
      <c r="AL17" s="30"/>
      <c r="AM17" s="31"/>
      <c r="AN17" s="32" t="n">
        <v>-28.0001</v>
      </c>
      <c r="AO17" s="33" t="n">
        <v>10.1111111111111</v>
      </c>
    </row>
    <row r="18" customFormat="false" ht="13.5" hidden="false" customHeight="false" outlineLevel="0" collapsed="false">
      <c r="A18" s="8" t="n">
        <v>5</v>
      </c>
      <c r="B18" s="9" t="s">
        <v>48</v>
      </c>
      <c r="C18" s="20" t="n">
        <v>7</v>
      </c>
      <c r="D18" s="21" t="n">
        <v>85</v>
      </c>
      <c r="E18" s="22" t="n">
        <v>22</v>
      </c>
      <c r="F18" s="21"/>
      <c r="G18" s="22"/>
      <c r="H18" s="21"/>
      <c r="I18" s="22"/>
      <c r="J18" s="21"/>
      <c r="K18" s="22"/>
      <c r="L18" s="21" t="n">
        <v>80</v>
      </c>
      <c r="M18" s="22" t="n">
        <v>34</v>
      </c>
      <c r="N18" s="21" t="n">
        <v>80</v>
      </c>
      <c r="O18" s="22" t="n">
        <v>32.5</v>
      </c>
      <c r="P18" s="21" t="n">
        <v>74</v>
      </c>
      <c r="Q18" s="22" t="n">
        <v>22</v>
      </c>
      <c r="R18" s="21" t="n">
        <v>81</v>
      </c>
      <c r="S18" s="22" t="n">
        <v>21.5</v>
      </c>
      <c r="T18" s="21" t="n">
        <v>83</v>
      </c>
      <c r="U18" s="22" t="n">
        <v>23.5</v>
      </c>
      <c r="V18" s="21" t="n">
        <v>77</v>
      </c>
      <c r="W18" s="22" t="n">
        <v>18</v>
      </c>
      <c r="X18" s="21"/>
      <c r="Y18" s="22"/>
      <c r="Z18" s="21"/>
      <c r="AA18" s="22"/>
      <c r="AB18" s="21"/>
      <c r="AC18" s="22"/>
      <c r="AD18" s="21"/>
      <c r="AE18" s="22"/>
      <c r="AF18" s="21"/>
      <c r="AG18" s="22"/>
      <c r="AH18" s="21"/>
      <c r="AI18" s="22"/>
      <c r="AJ18" s="21"/>
      <c r="AK18" s="22"/>
      <c r="AL18" s="21"/>
      <c r="AM18" s="22"/>
      <c r="AN18" s="17" t="n">
        <v>173.5</v>
      </c>
      <c r="AO18" s="23" t="n">
        <v>24.7857142857143</v>
      </c>
    </row>
    <row r="19" customFormat="false" ht="13.5" hidden="false" customHeight="false" outlineLevel="0" collapsed="false">
      <c r="A19" s="24" t="n">
        <v>5.111</v>
      </c>
      <c r="B19" s="7" t="s">
        <v>43</v>
      </c>
      <c r="C19" s="7"/>
      <c r="D19" s="21" t="n">
        <v>32</v>
      </c>
      <c r="E19" s="25" t="n">
        <v>12.5</v>
      </c>
      <c r="F19" s="21"/>
      <c r="G19" s="25"/>
      <c r="H19" s="21"/>
      <c r="I19" s="25"/>
      <c r="J19" s="21"/>
      <c r="K19" s="25"/>
      <c r="L19" s="21" t="n">
        <v>37</v>
      </c>
      <c r="M19" s="25" t="n">
        <v>18</v>
      </c>
      <c r="N19" s="21" t="n">
        <v>37</v>
      </c>
      <c r="O19" s="25" t="n">
        <v>16.5</v>
      </c>
      <c r="P19" s="21" t="n">
        <v>39</v>
      </c>
      <c r="Q19" s="25" t="n">
        <v>15.5</v>
      </c>
      <c r="R19" s="21" t="n">
        <v>34</v>
      </c>
      <c r="S19" s="25" t="n">
        <v>13</v>
      </c>
      <c r="T19" s="21" t="n">
        <v>33</v>
      </c>
      <c r="U19" s="25" t="n">
        <v>8.5</v>
      </c>
      <c r="V19" s="21" t="n">
        <v>33</v>
      </c>
      <c r="W19" s="25" t="n">
        <v>9.5</v>
      </c>
      <c r="X19" s="21"/>
      <c r="Y19" s="25"/>
      <c r="Z19" s="21"/>
      <c r="AA19" s="25"/>
      <c r="AB19" s="21"/>
      <c r="AC19" s="25"/>
      <c r="AD19" s="21"/>
      <c r="AE19" s="25"/>
      <c r="AF19" s="21"/>
      <c r="AG19" s="25"/>
      <c r="AH19" s="21"/>
      <c r="AI19" s="25"/>
      <c r="AJ19" s="21"/>
      <c r="AK19" s="25"/>
      <c r="AL19" s="21"/>
      <c r="AM19" s="25"/>
      <c r="AN19" s="26" t="n">
        <v>35</v>
      </c>
      <c r="AO19" s="23" t="n">
        <v>13.3571428571429</v>
      </c>
    </row>
    <row r="20" customFormat="false" ht="13.5" hidden="false" customHeight="false" outlineLevel="0" collapsed="false">
      <c r="A20" s="27" t="n">
        <v>5.0211</v>
      </c>
      <c r="B20" s="28" t="s">
        <v>44</v>
      </c>
      <c r="C20" s="29" t="n">
        <v>18</v>
      </c>
      <c r="D20" s="30" t="n">
        <v>-8</v>
      </c>
      <c r="E20" s="31" t="n">
        <v>9.5</v>
      </c>
      <c r="F20" s="30"/>
      <c r="G20" s="31"/>
      <c r="H20" s="30"/>
      <c r="I20" s="31"/>
      <c r="J20" s="30"/>
      <c r="K20" s="31"/>
      <c r="L20" s="30" t="n">
        <v>28</v>
      </c>
      <c r="M20" s="31" t="n">
        <v>16</v>
      </c>
      <c r="N20" s="30" t="n">
        <v>17</v>
      </c>
      <c r="O20" s="31" t="n">
        <v>16</v>
      </c>
      <c r="P20" s="30" t="n">
        <v>-8</v>
      </c>
      <c r="Q20" s="31" t="n">
        <v>6.5</v>
      </c>
      <c r="R20" s="30" t="n">
        <v>-2</v>
      </c>
      <c r="S20" s="31" t="n">
        <v>8.5</v>
      </c>
      <c r="T20" s="30" t="n">
        <v>13</v>
      </c>
      <c r="U20" s="31" t="n">
        <v>15</v>
      </c>
      <c r="V20" s="30" t="n">
        <v>-8</v>
      </c>
      <c r="W20" s="31" t="n">
        <v>8.5</v>
      </c>
      <c r="X20" s="30"/>
      <c r="Y20" s="31"/>
      <c r="Z20" s="30"/>
      <c r="AA20" s="31"/>
      <c r="AB20" s="30"/>
      <c r="AC20" s="31"/>
      <c r="AD20" s="30"/>
      <c r="AE20" s="31"/>
      <c r="AF20" s="30"/>
      <c r="AG20" s="31"/>
      <c r="AH20" s="30"/>
      <c r="AI20" s="31"/>
      <c r="AJ20" s="30"/>
      <c r="AK20" s="31"/>
      <c r="AL20" s="30"/>
      <c r="AM20" s="31"/>
      <c r="AN20" s="32" t="n">
        <v>32</v>
      </c>
      <c r="AO20" s="33" t="n">
        <v>11.4285714285714</v>
      </c>
    </row>
    <row r="21" customFormat="false" ht="13.5" hidden="false" customHeight="false" outlineLevel="0" collapsed="false">
      <c r="A21" s="8" t="n">
        <v>6</v>
      </c>
      <c r="B21" s="19" t="s">
        <v>49</v>
      </c>
      <c r="C21" s="20" t="n">
        <v>7</v>
      </c>
      <c r="D21" s="21" t="n">
        <v>83</v>
      </c>
      <c r="E21" s="22" t="n">
        <v>26.5</v>
      </c>
      <c r="F21" s="21"/>
      <c r="G21" s="22"/>
      <c r="H21" s="21"/>
      <c r="I21" s="22"/>
      <c r="J21" s="21" t="n">
        <v>84</v>
      </c>
      <c r="K21" s="22" t="n">
        <v>24</v>
      </c>
      <c r="L21" s="21" t="n">
        <v>87</v>
      </c>
      <c r="M21" s="22" t="n">
        <v>23</v>
      </c>
      <c r="N21" s="21" t="n">
        <v>83</v>
      </c>
      <c r="O21" s="22" t="n">
        <v>29</v>
      </c>
      <c r="P21" s="21"/>
      <c r="Q21" s="22"/>
      <c r="R21" s="21" t="n">
        <v>88</v>
      </c>
      <c r="S21" s="22" t="n">
        <v>10.5</v>
      </c>
      <c r="T21" s="21" t="n">
        <v>81</v>
      </c>
      <c r="U21" s="22" t="n">
        <v>33</v>
      </c>
      <c r="V21" s="21" t="n">
        <v>84</v>
      </c>
      <c r="W21" s="22" t="n">
        <v>22</v>
      </c>
      <c r="X21" s="21"/>
      <c r="Y21" s="22"/>
      <c r="Z21" s="21"/>
      <c r="AA21" s="22"/>
      <c r="AB21" s="21"/>
      <c r="AC21" s="22"/>
      <c r="AD21" s="21"/>
      <c r="AE21" s="22"/>
      <c r="AF21" s="21"/>
      <c r="AG21" s="22"/>
      <c r="AH21" s="21"/>
      <c r="AI21" s="22"/>
      <c r="AJ21" s="21"/>
      <c r="AK21" s="22"/>
      <c r="AL21" s="21"/>
      <c r="AM21" s="22"/>
      <c r="AN21" s="17" t="n">
        <v>168</v>
      </c>
      <c r="AO21" s="23" t="n">
        <v>24</v>
      </c>
    </row>
    <row r="22" customFormat="false" ht="13.5" hidden="false" customHeight="false" outlineLevel="0" collapsed="false">
      <c r="A22" s="24" t="n">
        <v>6.14</v>
      </c>
      <c r="B22" s="7" t="s">
        <v>43</v>
      </c>
      <c r="C22" s="7"/>
      <c r="D22" s="21" t="n">
        <v>33</v>
      </c>
      <c r="E22" s="25" t="n">
        <v>14.5</v>
      </c>
      <c r="F22" s="21"/>
      <c r="G22" s="25"/>
      <c r="H22" s="21"/>
      <c r="I22" s="25"/>
      <c r="J22" s="21" t="n">
        <v>30</v>
      </c>
      <c r="K22" s="25" t="n">
        <v>11</v>
      </c>
      <c r="L22" s="21" t="n">
        <v>31</v>
      </c>
      <c r="M22" s="25" t="n">
        <v>11</v>
      </c>
      <c r="N22" s="21" t="n">
        <v>36</v>
      </c>
      <c r="O22" s="25" t="n">
        <v>15</v>
      </c>
      <c r="P22" s="21"/>
      <c r="Q22" s="25"/>
      <c r="R22" s="21" t="n">
        <v>29</v>
      </c>
      <c r="S22" s="25" t="n">
        <v>6.5</v>
      </c>
      <c r="T22" s="21" t="n">
        <v>38</v>
      </c>
      <c r="U22" s="25" t="n">
        <v>15</v>
      </c>
      <c r="V22" s="21" t="n">
        <v>30</v>
      </c>
      <c r="W22" s="25" t="n">
        <v>8</v>
      </c>
      <c r="X22" s="21"/>
      <c r="Y22" s="25"/>
      <c r="Z22" s="21"/>
      <c r="AA22" s="25"/>
      <c r="AB22" s="21"/>
      <c r="AC22" s="25"/>
      <c r="AD22" s="21"/>
      <c r="AE22" s="25"/>
      <c r="AF22" s="21"/>
      <c r="AG22" s="25"/>
      <c r="AH22" s="21"/>
      <c r="AI22" s="25"/>
      <c r="AJ22" s="21"/>
      <c r="AK22" s="25"/>
      <c r="AL22" s="21"/>
      <c r="AM22" s="25"/>
      <c r="AN22" s="26" t="n">
        <v>32.4285714285714</v>
      </c>
      <c r="AO22" s="23" t="n">
        <v>11.5714285714286</v>
      </c>
    </row>
    <row r="23" customFormat="false" ht="13.5" hidden="false" customHeight="false" outlineLevel="0" collapsed="false">
      <c r="A23" s="27" t="n">
        <v>6.024</v>
      </c>
      <c r="B23" s="28" t="s">
        <v>44</v>
      </c>
      <c r="C23" s="29" t="n">
        <v>10.5</v>
      </c>
      <c r="D23" s="30" t="n">
        <v>5</v>
      </c>
      <c r="E23" s="31" t="n">
        <v>12</v>
      </c>
      <c r="F23" s="30"/>
      <c r="G23" s="31"/>
      <c r="H23" s="30"/>
      <c r="I23" s="31"/>
      <c r="J23" s="30" t="n">
        <v>41</v>
      </c>
      <c r="K23" s="31" t="n">
        <v>13</v>
      </c>
      <c r="L23" s="30" t="n">
        <v>8</v>
      </c>
      <c r="M23" s="31" t="n">
        <v>12</v>
      </c>
      <c r="N23" s="30" t="n">
        <v>12</v>
      </c>
      <c r="O23" s="31" t="n">
        <v>14</v>
      </c>
      <c r="P23" s="30"/>
      <c r="Q23" s="31"/>
      <c r="R23" s="30" t="n">
        <v>-32</v>
      </c>
      <c r="S23" s="31" t="n">
        <v>4</v>
      </c>
      <c r="T23" s="30" t="n">
        <v>29</v>
      </c>
      <c r="U23" s="31" t="n">
        <v>18</v>
      </c>
      <c r="V23" s="30" t="n">
        <v>16</v>
      </c>
      <c r="W23" s="31" t="n">
        <v>14</v>
      </c>
      <c r="X23" s="30"/>
      <c r="Y23" s="31"/>
      <c r="Z23" s="30"/>
      <c r="AA23" s="31"/>
      <c r="AB23" s="30"/>
      <c r="AC23" s="31"/>
      <c r="AD23" s="30"/>
      <c r="AE23" s="31"/>
      <c r="AF23" s="30"/>
      <c r="AG23" s="31"/>
      <c r="AH23" s="30"/>
      <c r="AI23" s="31"/>
      <c r="AJ23" s="30"/>
      <c r="AK23" s="31"/>
      <c r="AL23" s="30"/>
      <c r="AM23" s="31"/>
      <c r="AN23" s="32" t="n">
        <v>79</v>
      </c>
      <c r="AO23" s="33" t="n">
        <v>12.4285714285714</v>
      </c>
    </row>
    <row r="24" customFormat="false" ht="13.5" hidden="false" customHeight="false" outlineLevel="0" collapsed="false">
      <c r="A24" s="8" t="n">
        <v>7</v>
      </c>
      <c r="B24" s="34" t="s">
        <v>50</v>
      </c>
      <c r="C24" s="20" t="n">
        <v>7</v>
      </c>
      <c r="D24" s="21" t="n">
        <v>96</v>
      </c>
      <c r="E24" s="22" t="n">
        <v>27</v>
      </c>
      <c r="F24" s="21"/>
      <c r="G24" s="22"/>
      <c r="H24" s="21" t="n">
        <v>89</v>
      </c>
      <c r="I24" s="22" t="n">
        <v>31</v>
      </c>
      <c r="J24" s="21"/>
      <c r="K24" s="22"/>
      <c r="L24" s="21" t="n">
        <v>100</v>
      </c>
      <c r="M24" s="22" t="n">
        <v>12</v>
      </c>
      <c r="N24" s="21" t="n">
        <v>92</v>
      </c>
      <c r="O24" s="22" t="n">
        <v>34.5</v>
      </c>
      <c r="P24" s="21" t="n">
        <v>89</v>
      </c>
      <c r="Q24" s="22" t="n">
        <v>21.5</v>
      </c>
      <c r="R24" s="21" t="n">
        <v>93</v>
      </c>
      <c r="S24" s="22" t="n">
        <v>22</v>
      </c>
      <c r="T24" s="21"/>
      <c r="U24" s="22"/>
      <c r="V24" s="21" t="n">
        <v>86</v>
      </c>
      <c r="W24" s="22" t="n">
        <v>19.5</v>
      </c>
      <c r="X24" s="21"/>
      <c r="Y24" s="22"/>
      <c r="Z24" s="21"/>
      <c r="AA24" s="22"/>
      <c r="AB24" s="21"/>
      <c r="AC24" s="22"/>
      <c r="AD24" s="21"/>
      <c r="AE24" s="22"/>
      <c r="AF24" s="21"/>
      <c r="AG24" s="22"/>
      <c r="AH24" s="21"/>
      <c r="AI24" s="22"/>
      <c r="AJ24" s="21"/>
      <c r="AK24" s="22"/>
      <c r="AL24" s="21"/>
      <c r="AM24" s="22"/>
      <c r="AN24" s="17" t="n">
        <v>167.5</v>
      </c>
      <c r="AO24" s="23" t="n">
        <v>23.9285714285714</v>
      </c>
    </row>
    <row r="25" customFormat="false" ht="13.5" hidden="false" customHeight="false" outlineLevel="0" collapsed="false">
      <c r="A25" s="24" t="n">
        <v>7.16</v>
      </c>
      <c r="B25" s="7" t="s">
        <v>43</v>
      </c>
      <c r="C25" s="7"/>
      <c r="D25" s="21" t="n">
        <v>31</v>
      </c>
      <c r="E25" s="25" t="n">
        <v>10</v>
      </c>
      <c r="F25" s="21"/>
      <c r="G25" s="25"/>
      <c r="H25" s="21" t="n">
        <v>40</v>
      </c>
      <c r="I25" s="25" t="n">
        <v>16</v>
      </c>
      <c r="J25" s="21"/>
      <c r="K25" s="25"/>
      <c r="L25" s="21" t="n">
        <v>27</v>
      </c>
      <c r="M25" s="25" t="n">
        <v>7</v>
      </c>
      <c r="N25" s="21" t="n">
        <v>37</v>
      </c>
      <c r="O25" s="25" t="n">
        <v>16.5</v>
      </c>
      <c r="P25" s="21" t="n">
        <v>34</v>
      </c>
      <c r="Q25" s="25" t="n">
        <v>10.5</v>
      </c>
      <c r="R25" s="21" t="n">
        <v>32</v>
      </c>
      <c r="S25" s="25" t="n">
        <v>10</v>
      </c>
      <c r="T25" s="21"/>
      <c r="U25" s="25"/>
      <c r="V25" s="21" t="n">
        <v>36</v>
      </c>
      <c r="W25" s="25" t="n">
        <v>13.5</v>
      </c>
      <c r="X25" s="21"/>
      <c r="Y25" s="25"/>
      <c r="Z25" s="21"/>
      <c r="AA25" s="25"/>
      <c r="AB25" s="21"/>
      <c r="AC25" s="25"/>
      <c r="AD25" s="21"/>
      <c r="AE25" s="25"/>
      <c r="AF25" s="21"/>
      <c r="AG25" s="25"/>
      <c r="AH25" s="21"/>
      <c r="AI25" s="25"/>
      <c r="AJ25" s="21"/>
      <c r="AK25" s="25"/>
      <c r="AL25" s="21"/>
      <c r="AM25" s="25"/>
      <c r="AN25" s="26" t="n">
        <v>33.8571428571429</v>
      </c>
      <c r="AO25" s="23" t="n">
        <v>11.9285714285714</v>
      </c>
    </row>
    <row r="26" customFormat="false" ht="13.5" hidden="false" customHeight="false" outlineLevel="0" collapsed="false">
      <c r="A26" s="27" t="n">
        <v>7.026</v>
      </c>
      <c r="B26" s="28" t="s">
        <v>44</v>
      </c>
      <c r="C26" s="29" t="n">
        <v>12</v>
      </c>
      <c r="D26" s="30" t="n">
        <v>27</v>
      </c>
      <c r="E26" s="31" t="n">
        <v>17</v>
      </c>
      <c r="F26" s="30"/>
      <c r="G26" s="31"/>
      <c r="H26" s="30" t="n">
        <v>21</v>
      </c>
      <c r="I26" s="31" t="n">
        <v>15</v>
      </c>
      <c r="J26" s="30"/>
      <c r="K26" s="31"/>
      <c r="L26" s="30" t="n">
        <v>-20</v>
      </c>
      <c r="M26" s="31" t="n">
        <v>5</v>
      </c>
      <c r="N26" s="30" t="n">
        <v>28</v>
      </c>
      <c r="O26" s="31" t="n">
        <v>18</v>
      </c>
      <c r="P26" s="30" t="n">
        <v>2</v>
      </c>
      <c r="Q26" s="31" t="n">
        <v>11</v>
      </c>
      <c r="R26" s="30" t="n">
        <v>8</v>
      </c>
      <c r="S26" s="31" t="n">
        <v>12</v>
      </c>
      <c r="T26" s="30"/>
      <c r="U26" s="31"/>
      <c r="V26" s="30" t="n">
        <v>-20</v>
      </c>
      <c r="W26" s="31" t="n">
        <v>6</v>
      </c>
      <c r="X26" s="30"/>
      <c r="Y26" s="31"/>
      <c r="Z26" s="30"/>
      <c r="AA26" s="31"/>
      <c r="AB26" s="30"/>
      <c r="AC26" s="31"/>
      <c r="AD26" s="30"/>
      <c r="AE26" s="31"/>
      <c r="AF26" s="30"/>
      <c r="AG26" s="31"/>
      <c r="AH26" s="30"/>
      <c r="AI26" s="31"/>
      <c r="AJ26" s="30"/>
      <c r="AK26" s="31"/>
      <c r="AL26" s="30"/>
      <c r="AM26" s="31"/>
      <c r="AN26" s="32" t="n">
        <v>46</v>
      </c>
      <c r="AO26" s="33" t="n">
        <v>12</v>
      </c>
    </row>
    <row r="27" customFormat="false" ht="13.5" hidden="false" customHeight="false" outlineLevel="0" collapsed="false">
      <c r="A27" s="8" t="n">
        <v>8</v>
      </c>
      <c r="B27" s="19" t="s">
        <v>51</v>
      </c>
      <c r="C27" s="20" t="n">
        <v>7</v>
      </c>
      <c r="D27" s="21" t="n">
        <v>77</v>
      </c>
      <c r="E27" s="22" t="n">
        <v>31.5</v>
      </c>
      <c r="F27" s="21"/>
      <c r="G27" s="22"/>
      <c r="H27" s="21" t="n">
        <v>87</v>
      </c>
      <c r="I27" s="22" t="n">
        <v>15</v>
      </c>
      <c r="J27" s="21"/>
      <c r="K27" s="22"/>
      <c r="L27" s="21" t="n">
        <v>81</v>
      </c>
      <c r="M27" s="22" t="n">
        <v>23.5</v>
      </c>
      <c r="N27" s="21" t="n">
        <v>84</v>
      </c>
      <c r="O27" s="22" t="n">
        <v>23</v>
      </c>
      <c r="P27" s="21" t="n">
        <v>82</v>
      </c>
      <c r="Q27" s="22" t="n">
        <v>16</v>
      </c>
      <c r="R27" s="21"/>
      <c r="S27" s="22"/>
      <c r="T27" s="21" t="n">
        <v>87</v>
      </c>
      <c r="U27" s="22" t="n">
        <v>10</v>
      </c>
      <c r="V27" s="21" t="n">
        <v>76</v>
      </c>
      <c r="W27" s="22" t="n">
        <v>29.5</v>
      </c>
      <c r="X27" s="21"/>
      <c r="Y27" s="22"/>
      <c r="Z27" s="21"/>
      <c r="AA27" s="22"/>
      <c r="AB27" s="21"/>
      <c r="AC27" s="22"/>
      <c r="AD27" s="21"/>
      <c r="AE27" s="22"/>
      <c r="AF27" s="21"/>
      <c r="AG27" s="22"/>
      <c r="AH27" s="21"/>
      <c r="AI27" s="22"/>
      <c r="AJ27" s="21"/>
      <c r="AK27" s="22"/>
      <c r="AL27" s="21"/>
      <c r="AM27" s="22"/>
      <c r="AN27" s="17" t="n">
        <v>148.5</v>
      </c>
      <c r="AO27" s="23" t="n">
        <v>21.2142857142857</v>
      </c>
    </row>
    <row r="28" customFormat="false" ht="13.5" hidden="false" customHeight="false" outlineLevel="0" collapsed="false">
      <c r="A28" s="24" t="n">
        <v>8.17</v>
      </c>
      <c r="B28" s="7" t="s">
        <v>43</v>
      </c>
      <c r="C28" s="35"/>
      <c r="D28" s="21" t="n">
        <v>39</v>
      </c>
      <c r="E28" s="25" t="n">
        <v>17</v>
      </c>
      <c r="F28" s="21"/>
      <c r="G28" s="25"/>
      <c r="H28" s="21" t="n">
        <v>31</v>
      </c>
      <c r="I28" s="25" t="n">
        <v>10</v>
      </c>
      <c r="J28" s="21"/>
      <c r="K28" s="25"/>
      <c r="L28" s="21" t="n">
        <v>34</v>
      </c>
      <c r="M28" s="25" t="n">
        <v>16.5</v>
      </c>
      <c r="N28" s="21" t="n">
        <v>33</v>
      </c>
      <c r="O28" s="25" t="n">
        <v>10</v>
      </c>
      <c r="P28" s="21" t="n">
        <v>30</v>
      </c>
      <c r="Q28" s="25" t="n">
        <v>5</v>
      </c>
      <c r="R28" s="21"/>
      <c r="S28" s="25"/>
      <c r="T28" s="21" t="n">
        <v>30</v>
      </c>
      <c r="U28" s="25" t="n">
        <v>7</v>
      </c>
      <c r="V28" s="21" t="n">
        <v>36</v>
      </c>
      <c r="W28" s="25" t="n">
        <v>13.5</v>
      </c>
      <c r="X28" s="21"/>
      <c r="Y28" s="25"/>
      <c r="Z28" s="21"/>
      <c r="AA28" s="25"/>
      <c r="AB28" s="21"/>
      <c r="AC28" s="25"/>
      <c r="AD28" s="21"/>
      <c r="AE28" s="25"/>
      <c r="AF28" s="21"/>
      <c r="AG28" s="25"/>
      <c r="AH28" s="21"/>
      <c r="AI28" s="25"/>
      <c r="AJ28" s="21"/>
      <c r="AK28" s="25"/>
      <c r="AL28" s="21"/>
      <c r="AM28" s="25"/>
      <c r="AN28" s="26" t="n">
        <v>33.2857142857143</v>
      </c>
      <c r="AO28" s="23" t="n">
        <v>11.2857142857143</v>
      </c>
    </row>
    <row r="29" customFormat="false" ht="13.5" hidden="false" customHeight="false" outlineLevel="0" collapsed="false">
      <c r="A29" s="27" t="n">
        <v>8.027</v>
      </c>
      <c r="B29" s="28" t="s">
        <v>44</v>
      </c>
      <c r="C29" s="29" t="n">
        <v>10</v>
      </c>
      <c r="D29" s="30" t="n">
        <v>10</v>
      </c>
      <c r="E29" s="31" t="n">
        <v>14.5</v>
      </c>
      <c r="F29" s="30"/>
      <c r="G29" s="31"/>
      <c r="H29" s="30" t="n">
        <v>-32</v>
      </c>
      <c r="I29" s="31" t="n">
        <v>5</v>
      </c>
      <c r="J29" s="30"/>
      <c r="K29" s="31"/>
      <c r="L29" s="30" t="n">
        <v>-8</v>
      </c>
      <c r="M29" s="31" t="n">
        <v>7</v>
      </c>
      <c r="N29" s="30" t="n">
        <v>10</v>
      </c>
      <c r="O29" s="31" t="n">
        <v>13</v>
      </c>
      <c r="P29" s="30" t="n">
        <v>2</v>
      </c>
      <c r="Q29" s="31" t="n">
        <v>11</v>
      </c>
      <c r="R29" s="30"/>
      <c r="S29" s="31"/>
      <c r="T29" s="30" t="n">
        <v>-33</v>
      </c>
      <c r="U29" s="31" t="n">
        <v>3</v>
      </c>
      <c r="V29" s="30" t="n">
        <v>28</v>
      </c>
      <c r="W29" s="31" t="n">
        <v>16</v>
      </c>
      <c r="X29" s="30"/>
      <c r="Y29" s="31"/>
      <c r="Z29" s="30"/>
      <c r="AA29" s="31"/>
      <c r="AB29" s="30"/>
      <c r="AC29" s="31"/>
      <c r="AD29" s="30"/>
      <c r="AE29" s="31"/>
      <c r="AF29" s="30"/>
      <c r="AG29" s="31"/>
      <c r="AH29" s="30"/>
      <c r="AI29" s="31"/>
      <c r="AJ29" s="30"/>
      <c r="AK29" s="31"/>
      <c r="AL29" s="30"/>
      <c r="AM29" s="31"/>
      <c r="AN29" s="32" t="n">
        <v>-23</v>
      </c>
      <c r="AO29" s="33" t="n">
        <v>9.92857142857143</v>
      </c>
    </row>
    <row r="30" customFormat="false" ht="13.5" hidden="false" customHeight="false" outlineLevel="0" collapsed="false">
      <c r="A30" s="8" t="n">
        <v>9</v>
      </c>
      <c r="B30" s="9" t="s">
        <v>52</v>
      </c>
      <c r="C30" s="20" t="n">
        <v>7</v>
      </c>
      <c r="D30" s="21" t="n">
        <v>96</v>
      </c>
      <c r="E30" s="22" t="n">
        <v>24.5</v>
      </c>
      <c r="F30" s="21"/>
      <c r="G30" s="22"/>
      <c r="H30" s="21" t="n">
        <v>95</v>
      </c>
      <c r="I30" s="22" t="n">
        <v>27</v>
      </c>
      <c r="J30" s="21"/>
      <c r="K30" s="22"/>
      <c r="L30" s="21" t="n">
        <v>102</v>
      </c>
      <c r="M30" s="22" t="n">
        <v>9</v>
      </c>
      <c r="N30" s="21" t="n">
        <v>98</v>
      </c>
      <c r="O30" s="22" t="n">
        <v>18.5</v>
      </c>
      <c r="P30" s="21"/>
      <c r="Q30" s="22"/>
      <c r="R30" s="21" t="n">
        <v>99</v>
      </c>
      <c r="S30" s="22" t="n">
        <v>9.5</v>
      </c>
      <c r="T30" s="21" t="n">
        <v>87</v>
      </c>
      <c r="U30" s="22" t="n">
        <v>30.5</v>
      </c>
      <c r="V30" s="21" t="n">
        <v>89</v>
      </c>
      <c r="W30" s="22" t="n">
        <v>23.5</v>
      </c>
      <c r="X30" s="21"/>
      <c r="Y30" s="22"/>
      <c r="Z30" s="21"/>
      <c r="AA30" s="22"/>
      <c r="AB30" s="21"/>
      <c r="AC30" s="22"/>
      <c r="AD30" s="21"/>
      <c r="AE30" s="22"/>
      <c r="AF30" s="21"/>
      <c r="AG30" s="22"/>
      <c r="AH30" s="21"/>
      <c r="AI30" s="22"/>
      <c r="AJ30" s="21"/>
      <c r="AK30" s="22"/>
      <c r="AL30" s="21"/>
      <c r="AM30" s="22"/>
      <c r="AN30" s="17" t="n">
        <v>142.5</v>
      </c>
      <c r="AO30" s="23" t="n">
        <v>20.3571428571429</v>
      </c>
    </row>
    <row r="31" customFormat="false" ht="13.5" hidden="false" customHeight="false" outlineLevel="0" collapsed="false">
      <c r="A31" s="24" t="n">
        <v>9.19</v>
      </c>
      <c r="B31" s="7" t="s">
        <v>43</v>
      </c>
      <c r="C31" s="7"/>
      <c r="D31" s="21" t="n">
        <v>31</v>
      </c>
      <c r="E31" s="25" t="n">
        <v>10</v>
      </c>
      <c r="F31" s="21"/>
      <c r="G31" s="25"/>
      <c r="H31" s="21" t="n">
        <v>35</v>
      </c>
      <c r="I31" s="25" t="n">
        <v>13</v>
      </c>
      <c r="J31" s="21"/>
      <c r="K31" s="25"/>
      <c r="L31" s="21" t="n">
        <v>23</v>
      </c>
      <c r="M31" s="25" t="n">
        <v>6</v>
      </c>
      <c r="N31" s="21" t="n">
        <v>30</v>
      </c>
      <c r="O31" s="25" t="n">
        <v>9</v>
      </c>
      <c r="P31" s="21"/>
      <c r="Q31" s="25"/>
      <c r="R31" s="21" t="n">
        <v>25</v>
      </c>
      <c r="S31" s="25" t="n">
        <v>3</v>
      </c>
      <c r="T31" s="21" t="n">
        <v>40</v>
      </c>
      <c r="U31" s="25" t="n">
        <v>17</v>
      </c>
      <c r="V31" s="21" t="n">
        <v>34</v>
      </c>
      <c r="W31" s="25" t="n">
        <v>11.5</v>
      </c>
      <c r="X31" s="21"/>
      <c r="Y31" s="25"/>
      <c r="Z31" s="21"/>
      <c r="AA31" s="25"/>
      <c r="AB31" s="21"/>
      <c r="AC31" s="25"/>
      <c r="AD31" s="21"/>
      <c r="AE31" s="25"/>
      <c r="AF31" s="21"/>
      <c r="AG31" s="25"/>
      <c r="AH31" s="21"/>
      <c r="AI31" s="25"/>
      <c r="AJ31" s="21"/>
      <c r="AK31" s="25"/>
      <c r="AL31" s="21"/>
      <c r="AM31" s="25"/>
      <c r="AN31" s="26" t="n">
        <v>31.1428571428571</v>
      </c>
      <c r="AO31" s="23" t="n">
        <v>9.92857142857143</v>
      </c>
    </row>
    <row r="32" customFormat="false" ht="13.5" hidden="false" customHeight="false" outlineLevel="0" collapsed="false">
      <c r="A32" s="27" t="n">
        <v>9.029</v>
      </c>
      <c r="B32" s="28" t="s">
        <v>44</v>
      </c>
      <c r="C32" s="29" t="n">
        <v>9</v>
      </c>
      <c r="D32" s="30" t="n">
        <v>10</v>
      </c>
      <c r="E32" s="31" t="n">
        <v>14.5</v>
      </c>
      <c r="F32" s="30"/>
      <c r="G32" s="31"/>
      <c r="H32" s="30" t="n">
        <v>17</v>
      </c>
      <c r="I32" s="31" t="n">
        <v>14</v>
      </c>
      <c r="J32" s="30"/>
      <c r="K32" s="31"/>
      <c r="L32" s="30" t="n">
        <v>-74</v>
      </c>
      <c r="M32" s="31" t="n">
        <v>3</v>
      </c>
      <c r="N32" s="30" t="n">
        <v>-0.001</v>
      </c>
      <c r="O32" s="31" t="n">
        <v>9.5</v>
      </c>
      <c r="P32" s="30"/>
      <c r="Q32" s="31"/>
      <c r="R32" s="30" t="n">
        <v>-10</v>
      </c>
      <c r="S32" s="31" t="n">
        <v>6.5</v>
      </c>
      <c r="T32" s="30" t="n">
        <v>5</v>
      </c>
      <c r="U32" s="31" t="n">
        <v>13.5</v>
      </c>
      <c r="V32" s="30" t="n">
        <v>12</v>
      </c>
      <c r="W32" s="31" t="n">
        <v>12</v>
      </c>
      <c r="X32" s="30"/>
      <c r="Y32" s="31"/>
      <c r="Z32" s="30"/>
      <c r="AA32" s="31"/>
      <c r="AB32" s="30"/>
      <c r="AC32" s="31"/>
      <c r="AD32" s="30"/>
      <c r="AE32" s="31"/>
      <c r="AF32" s="30"/>
      <c r="AG32" s="31"/>
      <c r="AH32" s="30"/>
      <c r="AI32" s="31"/>
      <c r="AJ32" s="30"/>
      <c r="AK32" s="31"/>
      <c r="AL32" s="30"/>
      <c r="AM32" s="31"/>
      <c r="AN32" s="32" t="n">
        <v>-40.001</v>
      </c>
      <c r="AO32" s="33" t="n">
        <v>10.4285714285714</v>
      </c>
    </row>
    <row r="33" customFormat="false" ht="13.5" hidden="false" customHeight="false" outlineLevel="0" collapsed="false">
      <c r="A33" s="8" t="n">
        <v>10</v>
      </c>
      <c r="B33" s="9" t="s">
        <v>53</v>
      </c>
      <c r="C33" s="20" t="n">
        <v>8</v>
      </c>
      <c r="D33" s="21" t="n">
        <v>93</v>
      </c>
      <c r="E33" s="22" t="n">
        <v>10.5</v>
      </c>
      <c r="F33" s="21"/>
      <c r="G33" s="22"/>
      <c r="H33" s="21" t="n">
        <v>101</v>
      </c>
      <c r="I33" s="22" t="n">
        <v>14.5</v>
      </c>
      <c r="J33" s="21"/>
      <c r="K33" s="22"/>
      <c r="L33" s="21" t="n">
        <v>92</v>
      </c>
      <c r="M33" s="22" t="n">
        <v>25</v>
      </c>
      <c r="N33" s="21" t="n">
        <v>96</v>
      </c>
      <c r="O33" s="22" t="n">
        <v>24.5</v>
      </c>
      <c r="P33" s="21" t="n">
        <v>87</v>
      </c>
      <c r="Q33" s="22" t="n">
        <v>15.5</v>
      </c>
      <c r="R33" s="21" t="n">
        <v>90</v>
      </c>
      <c r="S33" s="22" t="n">
        <v>18.5</v>
      </c>
      <c r="T33" s="21" t="n">
        <v>89</v>
      </c>
      <c r="U33" s="22" t="n">
        <v>17</v>
      </c>
      <c r="V33" s="21" t="n">
        <v>92</v>
      </c>
      <c r="W33" s="22" t="n">
        <v>10</v>
      </c>
      <c r="X33" s="21"/>
      <c r="Y33" s="22"/>
      <c r="Z33" s="21"/>
      <c r="AA33" s="22"/>
      <c r="AB33" s="21"/>
      <c r="AC33" s="22"/>
      <c r="AD33" s="21"/>
      <c r="AE33" s="22"/>
      <c r="AF33" s="21"/>
      <c r="AG33" s="22"/>
      <c r="AH33" s="21"/>
      <c r="AI33" s="22"/>
      <c r="AJ33" s="21"/>
      <c r="AK33" s="22"/>
      <c r="AL33" s="21"/>
      <c r="AM33" s="22"/>
      <c r="AN33" s="17" t="n">
        <v>135.5</v>
      </c>
      <c r="AO33" s="23" t="n">
        <v>16.9375</v>
      </c>
    </row>
    <row r="34" customFormat="false" ht="13.5" hidden="false" customHeight="false" outlineLevel="0" collapsed="false">
      <c r="A34" s="24" t="n">
        <v>10.113</v>
      </c>
      <c r="B34" s="7" t="s">
        <v>43</v>
      </c>
      <c r="C34" s="7"/>
      <c r="D34" s="21" t="n">
        <v>30</v>
      </c>
      <c r="E34" s="25" t="n">
        <v>7.5</v>
      </c>
      <c r="F34" s="21"/>
      <c r="G34" s="25"/>
      <c r="H34" s="21" t="n">
        <v>24</v>
      </c>
      <c r="I34" s="25" t="n">
        <v>6</v>
      </c>
      <c r="J34" s="21"/>
      <c r="K34" s="25"/>
      <c r="L34" s="21" t="n">
        <v>31</v>
      </c>
      <c r="M34" s="25" t="n">
        <v>11</v>
      </c>
      <c r="N34" s="21" t="n">
        <v>29</v>
      </c>
      <c r="O34" s="25" t="n">
        <v>7.5</v>
      </c>
      <c r="P34" s="21" t="n">
        <v>31</v>
      </c>
      <c r="Q34" s="25" t="n">
        <v>6.5</v>
      </c>
      <c r="R34" s="21" t="n">
        <v>30</v>
      </c>
      <c r="S34" s="25" t="n">
        <v>8</v>
      </c>
      <c r="T34" s="21" t="n">
        <v>34</v>
      </c>
      <c r="U34" s="25" t="n">
        <v>11</v>
      </c>
      <c r="V34" s="21" t="n">
        <v>25</v>
      </c>
      <c r="W34" s="25" t="n">
        <v>5</v>
      </c>
      <c r="X34" s="21"/>
      <c r="Y34" s="25"/>
      <c r="Z34" s="21"/>
      <c r="AA34" s="25"/>
      <c r="AB34" s="21"/>
      <c r="AC34" s="25"/>
      <c r="AD34" s="21"/>
      <c r="AE34" s="25"/>
      <c r="AF34" s="21"/>
      <c r="AG34" s="25"/>
      <c r="AH34" s="21"/>
      <c r="AI34" s="25"/>
      <c r="AJ34" s="21"/>
      <c r="AK34" s="25"/>
      <c r="AL34" s="21"/>
      <c r="AM34" s="25"/>
      <c r="AN34" s="26" t="n">
        <v>29.25</v>
      </c>
      <c r="AO34" s="23" t="n">
        <v>7.8125</v>
      </c>
    </row>
    <row r="35" customFormat="false" ht="13.5" hidden="false" customHeight="false" outlineLevel="0" collapsed="false">
      <c r="A35" s="27" t="n">
        <v>10.0213</v>
      </c>
      <c r="B35" s="28" t="s">
        <v>44</v>
      </c>
      <c r="C35" s="29" t="n">
        <v>10</v>
      </c>
      <c r="D35" s="30" t="n">
        <v>-27</v>
      </c>
      <c r="E35" s="31" t="n">
        <v>3</v>
      </c>
      <c r="F35" s="30"/>
      <c r="G35" s="31"/>
      <c r="H35" s="30" t="n">
        <v>-9</v>
      </c>
      <c r="I35" s="31" t="n">
        <v>8.5</v>
      </c>
      <c r="J35" s="30"/>
      <c r="K35" s="31"/>
      <c r="L35" s="30" t="n">
        <v>18</v>
      </c>
      <c r="M35" s="31" t="n">
        <v>14</v>
      </c>
      <c r="N35" s="30" t="n">
        <v>21</v>
      </c>
      <c r="O35" s="31" t="n">
        <v>17</v>
      </c>
      <c r="P35" s="30" t="n">
        <v>-2</v>
      </c>
      <c r="Q35" s="31" t="n">
        <v>9</v>
      </c>
      <c r="R35" s="30" t="n">
        <v>-0.0001</v>
      </c>
      <c r="S35" s="31" t="n">
        <v>10.5</v>
      </c>
      <c r="T35" s="30" t="n">
        <v>-13</v>
      </c>
      <c r="U35" s="31" t="n">
        <v>6</v>
      </c>
      <c r="V35" s="30" t="n">
        <v>-50</v>
      </c>
      <c r="W35" s="31" t="n">
        <v>5</v>
      </c>
      <c r="X35" s="30"/>
      <c r="Y35" s="31"/>
      <c r="Z35" s="30"/>
      <c r="AA35" s="31"/>
      <c r="AB35" s="30"/>
      <c r="AC35" s="31"/>
      <c r="AD35" s="30"/>
      <c r="AE35" s="31"/>
      <c r="AF35" s="30"/>
      <c r="AG35" s="31"/>
      <c r="AH35" s="30"/>
      <c r="AI35" s="31"/>
      <c r="AJ35" s="30"/>
      <c r="AK35" s="31"/>
      <c r="AL35" s="30"/>
      <c r="AM35" s="31"/>
      <c r="AN35" s="32" t="n">
        <v>-62.0001</v>
      </c>
      <c r="AO35" s="33" t="n">
        <v>9.125</v>
      </c>
    </row>
    <row r="36" customFormat="false" ht="13.5" hidden="false" customHeight="false" outlineLevel="0" collapsed="false">
      <c r="A36" s="8" t="n">
        <v>11</v>
      </c>
      <c r="B36" s="19" t="s">
        <v>54</v>
      </c>
      <c r="C36" s="20" t="n">
        <v>6</v>
      </c>
      <c r="D36" s="21" t="n">
        <v>89</v>
      </c>
      <c r="E36" s="22" t="n">
        <v>18.5</v>
      </c>
      <c r="F36" s="21"/>
      <c r="G36" s="22"/>
      <c r="H36" s="21" t="n">
        <v>91</v>
      </c>
      <c r="I36" s="22" t="n">
        <v>19</v>
      </c>
      <c r="J36" s="21" t="n">
        <v>93</v>
      </c>
      <c r="K36" s="22" t="n">
        <v>17</v>
      </c>
      <c r="L36" s="21"/>
      <c r="M36" s="22"/>
      <c r="N36" s="21"/>
      <c r="O36" s="22"/>
      <c r="P36" s="21" t="n">
        <v>80</v>
      </c>
      <c r="Q36" s="22" t="n">
        <v>22</v>
      </c>
      <c r="R36" s="21"/>
      <c r="S36" s="22"/>
      <c r="T36" s="21" t="n">
        <v>89</v>
      </c>
      <c r="U36" s="22" t="n">
        <v>15</v>
      </c>
      <c r="V36" s="21" t="n">
        <v>81</v>
      </c>
      <c r="W36" s="22" t="n">
        <v>29.5</v>
      </c>
      <c r="X36" s="21"/>
      <c r="Y36" s="22"/>
      <c r="Z36" s="21"/>
      <c r="AA36" s="22"/>
      <c r="AB36" s="21"/>
      <c r="AC36" s="22"/>
      <c r="AD36" s="21"/>
      <c r="AE36" s="22"/>
      <c r="AF36" s="21"/>
      <c r="AG36" s="22"/>
      <c r="AH36" s="21"/>
      <c r="AI36" s="22"/>
      <c r="AJ36" s="21"/>
      <c r="AK36" s="22"/>
      <c r="AL36" s="21"/>
      <c r="AM36" s="22"/>
      <c r="AN36" s="17" t="n">
        <v>121</v>
      </c>
      <c r="AO36" s="23" t="n">
        <v>20.1666666666667</v>
      </c>
    </row>
    <row r="37" customFormat="false" ht="13.5" hidden="false" customHeight="false" outlineLevel="0" collapsed="false">
      <c r="A37" s="24" t="n">
        <v>11.112</v>
      </c>
      <c r="B37" s="7" t="s">
        <v>43</v>
      </c>
      <c r="C37" s="7"/>
      <c r="D37" s="21" t="n">
        <v>33</v>
      </c>
      <c r="E37" s="25" t="n">
        <v>14.5</v>
      </c>
      <c r="F37" s="21"/>
      <c r="G37" s="25"/>
      <c r="H37" s="21" t="n">
        <v>33</v>
      </c>
      <c r="I37" s="25" t="n">
        <v>12</v>
      </c>
      <c r="J37" s="21" t="n">
        <v>26</v>
      </c>
      <c r="K37" s="25" t="n">
        <v>7</v>
      </c>
      <c r="L37" s="21"/>
      <c r="M37" s="25"/>
      <c r="N37" s="21"/>
      <c r="O37" s="25"/>
      <c r="P37" s="21" t="n">
        <v>39</v>
      </c>
      <c r="Q37" s="25" t="n">
        <v>15.5</v>
      </c>
      <c r="R37" s="21"/>
      <c r="S37" s="25"/>
      <c r="T37" s="21" t="n">
        <v>34</v>
      </c>
      <c r="U37" s="25" t="n">
        <v>11</v>
      </c>
      <c r="V37" s="21" t="n">
        <v>37</v>
      </c>
      <c r="W37" s="25" t="n">
        <v>15.5</v>
      </c>
      <c r="X37" s="21"/>
      <c r="Y37" s="25"/>
      <c r="Z37" s="21"/>
      <c r="AA37" s="25"/>
      <c r="AB37" s="21"/>
      <c r="AC37" s="25"/>
      <c r="AD37" s="21"/>
      <c r="AE37" s="25"/>
      <c r="AF37" s="21"/>
      <c r="AG37" s="25"/>
      <c r="AH37" s="21"/>
      <c r="AI37" s="25"/>
      <c r="AJ37" s="21"/>
      <c r="AK37" s="25"/>
      <c r="AL37" s="21"/>
      <c r="AM37" s="25"/>
      <c r="AN37" s="26" t="n">
        <v>33.6666666666667</v>
      </c>
      <c r="AO37" s="23" t="n">
        <v>12.5833333333333</v>
      </c>
    </row>
    <row r="38" customFormat="false" ht="13.5" hidden="false" customHeight="false" outlineLevel="0" collapsed="false">
      <c r="A38" s="27" t="n">
        <v>11.0212</v>
      </c>
      <c r="B38" s="36" t="s">
        <v>44</v>
      </c>
      <c r="C38" s="29" t="n">
        <v>15</v>
      </c>
      <c r="D38" s="30" t="n">
        <v>-15</v>
      </c>
      <c r="E38" s="31" t="n">
        <v>4</v>
      </c>
      <c r="F38" s="30"/>
      <c r="G38" s="31"/>
      <c r="H38" s="30" t="n">
        <v>-12</v>
      </c>
      <c r="I38" s="31" t="n">
        <v>7</v>
      </c>
      <c r="J38" s="30" t="n">
        <v>-13</v>
      </c>
      <c r="K38" s="31" t="n">
        <v>10</v>
      </c>
      <c r="L38" s="30"/>
      <c r="M38" s="31"/>
      <c r="N38" s="30"/>
      <c r="O38" s="31"/>
      <c r="P38" s="30" t="n">
        <v>-8</v>
      </c>
      <c r="Q38" s="31" t="n">
        <v>6.5</v>
      </c>
      <c r="R38" s="30"/>
      <c r="S38" s="31"/>
      <c r="T38" s="30" t="n">
        <v>-21</v>
      </c>
      <c r="U38" s="31" t="n">
        <v>4</v>
      </c>
      <c r="V38" s="30" t="n">
        <v>16</v>
      </c>
      <c r="W38" s="31" t="n">
        <v>14</v>
      </c>
      <c r="X38" s="30"/>
      <c r="Y38" s="31"/>
      <c r="Z38" s="30"/>
      <c r="AA38" s="31"/>
      <c r="AB38" s="30"/>
      <c r="AC38" s="31"/>
      <c r="AD38" s="30"/>
      <c r="AE38" s="31"/>
      <c r="AF38" s="30"/>
      <c r="AG38" s="31"/>
      <c r="AH38" s="30"/>
      <c r="AI38" s="31"/>
      <c r="AJ38" s="30"/>
      <c r="AK38" s="31"/>
      <c r="AL38" s="30"/>
      <c r="AM38" s="31"/>
      <c r="AN38" s="32" t="n">
        <v>-53</v>
      </c>
      <c r="AO38" s="33" t="n">
        <v>7.58333333333333</v>
      </c>
    </row>
    <row r="39" customFormat="false" ht="13.5" hidden="false" customHeight="false" outlineLevel="0" collapsed="false">
      <c r="A39" s="8" t="n">
        <v>12</v>
      </c>
      <c r="B39" s="19" t="s">
        <v>55</v>
      </c>
      <c r="C39" s="20" t="n">
        <v>7</v>
      </c>
      <c r="D39" s="21" t="n">
        <v>87</v>
      </c>
      <c r="E39" s="22" t="n">
        <v>9.5</v>
      </c>
      <c r="F39" s="21"/>
      <c r="G39" s="22"/>
      <c r="H39" s="21"/>
      <c r="I39" s="22"/>
      <c r="J39" s="21" t="n">
        <v>84</v>
      </c>
      <c r="K39" s="22" t="n">
        <v>16.5</v>
      </c>
      <c r="L39" s="21" t="n">
        <v>85</v>
      </c>
      <c r="M39" s="22" t="n">
        <v>17.5</v>
      </c>
      <c r="N39" s="21" t="n">
        <v>91</v>
      </c>
      <c r="O39" s="22" t="n">
        <v>12</v>
      </c>
      <c r="P39" s="21" t="n">
        <v>77</v>
      </c>
      <c r="Q39" s="22" t="n">
        <v>24.5</v>
      </c>
      <c r="R39" s="21" t="n">
        <v>85</v>
      </c>
      <c r="S39" s="22" t="n">
        <v>15.5</v>
      </c>
      <c r="T39" s="21" t="n">
        <v>84</v>
      </c>
      <c r="U39" s="22" t="n">
        <v>20</v>
      </c>
      <c r="V39" s="21"/>
      <c r="W39" s="22"/>
      <c r="X39" s="21"/>
      <c r="Y39" s="22"/>
      <c r="Z39" s="21"/>
      <c r="AA39" s="22"/>
      <c r="AB39" s="21"/>
      <c r="AC39" s="22"/>
      <c r="AD39" s="21"/>
      <c r="AE39" s="22"/>
      <c r="AF39" s="21"/>
      <c r="AG39" s="22"/>
      <c r="AH39" s="21"/>
      <c r="AI39" s="22"/>
      <c r="AJ39" s="21"/>
      <c r="AK39" s="22"/>
      <c r="AL39" s="21"/>
      <c r="AM39" s="22"/>
      <c r="AN39" s="17" t="n">
        <v>115.5</v>
      </c>
      <c r="AO39" s="23" t="n">
        <v>16.5</v>
      </c>
    </row>
    <row r="40" customFormat="false" ht="13.5" hidden="false" customHeight="false" outlineLevel="0" collapsed="false">
      <c r="A40" s="24" t="n">
        <v>12.115</v>
      </c>
      <c r="B40" s="7" t="s">
        <v>43</v>
      </c>
      <c r="C40" s="7"/>
      <c r="D40" s="21" t="n">
        <v>28</v>
      </c>
      <c r="E40" s="25" t="n">
        <v>4.5</v>
      </c>
      <c r="F40" s="21"/>
      <c r="G40" s="25"/>
      <c r="H40" s="21"/>
      <c r="I40" s="25"/>
      <c r="J40" s="21" t="n">
        <v>28</v>
      </c>
      <c r="K40" s="25" t="n">
        <v>8.5</v>
      </c>
      <c r="L40" s="21" t="n">
        <v>30</v>
      </c>
      <c r="M40" s="25" t="n">
        <v>8.5</v>
      </c>
      <c r="N40" s="21" t="n">
        <v>26</v>
      </c>
      <c r="O40" s="25" t="n">
        <v>5</v>
      </c>
      <c r="P40" s="21" t="n">
        <v>36</v>
      </c>
      <c r="Q40" s="25" t="n">
        <v>13.5</v>
      </c>
      <c r="R40" s="21" t="n">
        <v>31</v>
      </c>
      <c r="S40" s="25" t="n">
        <v>9</v>
      </c>
      <c r="T40" s="21" t="n">
        <v>34</v>
      </c>
      <c r="U40" s="25" t="n">
        <v>11</v>
      </c>
      <c r="V40" s="21"/>
      <c r="W40" s="25"/>
      <c r="X40" s="21"/>
      <c r="Y40" s="25"/>
      <c r="Z40" s="21"/>
      <c r="AA40" s="25"/>
      <c r="AB40" s="21"/>
      <c r="AC40" s="25"/>
      <c r="AD40" s="21"/>
      <c r="AE40" s="25"/>
      <c r="AF40" s="21"/>
      <c r="AG40" s="25"/>
      <c r="AH40" s="21"/>
      <c r="AI40" s="25"/>
      <c r="AJ40" s="21"/>
      <c r="AK40" s="25"/>
      <c r="AL40" s="21"/>
      <c r="AM40" s="25"/>
      <c r="AN40" s="26" t="n">
        <v>30.4285714285714</v>
      </c>
      <c r="AO40" s="23" t="n">
        <v>8.57142857142857</v>
      </c>
    </row>
    <row r="41" customFormat="false" ht="13.5" hidden="false" customHeight="false" outlineLevel="0" collapsed="false">
      <c r="A41" s="27" t="n">
        <v>12.0215</v>
      </c>
      <c r="B41" s="28" t="s">
        <v>44</v>
      </c>
      <c r="C41" s="29" t="n">
        <v>9.5</v>
      </c>
      <c r="D41" s="30" t="n">
        <v>-12</v>
      </c>
      <c r="E41" s="31" t="n">
        <v>5</v>
      </c>
      <c r="F41" s="30"/>
      <c r="G41" s="31"/>
      <c r="H41" s="30"/>
      <c r="I41" s="31"/>
      <c r="J41" s="30" t="n">
        <v>-17</v>
      </c>
      <c r="K41" s="31" t="n">
        <v>8</v>
      </c>
      <c r="L41" s="30" t="n">
        <v>4</v>
      </c>
      <c r="M41" s="31" t="n">
        <v>9</v>
      </c>
      <c r="N41" s="30" t="n">
        <v>-4</v>
      </c>
      <c r="O41" s="31" t="n">
        <v>7</v>
      </c>
      <c r="P41" s="30" t="n">
        <v>2</v>
      </c>
      <c r="Q41" s="31" t="n">
        <v>11</v>
      </c>
      <c r="R41" s="30" t="n">
        <v>-10</v>
      </c>
      <c r="S41" s="31" t="n">
        <v>6.5</v>
      </c>
      <c r="T41" s="30" t="n">
        <v>-5</v>
      </c>
      <c r="U41" s="31" t="n">
        <v>9</v>
      </c>
      <c r="V41" s="30"/>
      <c r="W41" s="31"/>
      <c r="X41" s="30"/>
      <c r="Y41" s="31"/>
      <c r="Z41" s="30"/>
      <c r="AA41" s="31"/>
      <c r="AB41" s="30"/>
      <c r="AC41" s="31"/>
      <c r="AD41" s="30"/>
      <c r="AE41" s="31"/>
      <c r="AF41" s="30"/>
      <c r="AG41" s="31"/>
      <c r="AH41" s="30"/>
      <c r="AI41" s="31"/>
      <c r="AJ41" s="30"/>
      <c r="AK41" s="31"/>
      <c r="AL41" s="30"/>
      <c r="AM41" s="31"/>
      <c r="AN41" s="32" t="n">
        <v>-42</v>
      </c>
      <c r="AO41" s="33" t="n">
        <v>7.92857142857143</v>
      </c>
    </row>
    <row r="42" customFormat="false" ht="13.5" hidden="false" customHeight="false" outlineLevel="0" collapsed="false">
      <c r="A42" s="8" t="n">
        <v>13</v>
      </c>
      <c r="B42" s="9" t="s">
        <v>56</v>
      </c>
      <c r="C42" s="20" t="n">
        <v>5</v>
      </c>
      <c r="D42" s="21" t="n">
        <v>90</v>
      </c>
      <c r="E42" s="22" t="n">
        <v>23</v>
      </c>
      <c r="F42" s="21"/>
      <c r="G42" s="22"/>
      <c r="H42" s="21"/>
      <c r="I42" s="22"/>
      <c r="J42" s="21" t="n">
        <v>91</v>
      </c>
      <c r="K42" s="22" t="n">
        <v>19.5</v>
      </c>
      <c r="L42" s="21" t="n">
        <v>94</v>
      </c>
      <c r="M42" s="22" t="n">
        <v>23</v>
      </c>
      <c r="N42" s="21"/>
      <c r="O42" s="22"/>
      <c r="P42" s="21"/>
      <c r="Q42" s="22"/>
      <c r="R42" s="21" t="n">
        <v>87</v>
      </c>
      <c r="S42" s="22" t="n">
        <v>29.5</v>
      </c>
      <c r="T42" s="21"/>
      <c r="U42" s="22"/>
      <c r="V42" s="21" t="n">
        <v>93</v>
      </c>
      <c r="W42" s="22" t="n">
        <v>17</v>
      </c>
      <c r="X42" s="21"/>
      <c r="Y42" s="22"/>
      <c r="Z42" s="21"/>
      <c r="AA42" s="22"/>
      <c r="AB42" s="21"/>
      <c r="AC42" s="22"/>
      <c r="AD42" s="21"/>
      <c r="AE42" s="22"/>
      <c r="AF42" s="21"/>
      <c r="AG42" s="22"/>
      <c r="AH42" s="21"/>
      <c r="AI42" s="22"/>
      <c r="AJ42" s="21"/>
      <c r="AK42" s="22"/>
      <c r="AL42" s="21"/>
      <c r="AM42" s="22"/>
      <c r="AN42" s="17" t="n">
        <v>112</v>
      </c>
      <c r="AO42" s="23" t="n">
        <v>22.4</v>
      </c>
    </row>
    <row r="43" customFormat="false" ht="13.5" hidden="false" customHeight="false" outlineLevel="0" collapsed="false">
      <c r="A43" s="24" t="n">
        <v>13.18</v>
      </c>
      <c r="B43" s="7" t="s">
        <v>43</v>
      </c>
      <c r="C43" s="7"/>
      <c r="D43" s="21" t="n">
        <v>31</v>
      </c>
      <c r="E43" s="25" t="n">
        <v>10</v>
      </c>
      <c r="F43" s="21"/>
      <c r="G43" s="25"/>
      <c r="H43" s="21"/>
      <c r="I43" s="25"/>
      <c r="J43" s="21" t="n">
        <v>28</v>
      </c>
      <c r="K43" s="25" t="n">
        <v>8.5</v>
      </c>
      <c r="L43" s="21" t="n">
        <v>31</v>
      </c>
      <c r="M43" s="25" t="n">
        <v>11</v>
      </c>
      <c r="N43" s="21"/>
      <c r="O43" s="25"/>
      <c r="P43" s="21"/>
      <c r="Q43" s="25"/>
      <c r="R43" s="21" t="n">
        <v>36</v>
      </c>
      <c r="S43" s="25" t="n">
        <v>15.5</v>
      </c>
      <c r="T43" s="21"/>
      <c r="U43" s="25"/>
      <c r="V43" s="21" t="n">
        <v>28</v>
      </c>
      <c r="W43" s="25" t="n">
        <v>7</v>
      </c>
      <c r="X43" s="21"/>
      <c r="Y43" s="25"/>
      <c r="Z43" s="21"/>
      <c r="AA43" s="25"/>
      <c r="AB43" s="21"/>
      <c r="AC43" s="25"/>
      <c r="AD43" s="21"/>
      <c r="AE43" s="25"/>
      <c r="AF43" s="21"/>
      <c r="AG43" s="25"/>
      <c r="AH43" s="21"/>
      <c r="AI43" s="25"/>
      <c r="AJ43" s="21"/>
      <c r="AK43" s="25"/>
      <c r="AL43" s="21"/>
      <c r="AM43" s="25"/>
      <c r="AN43" s="26" t="n">
        <v>30.8</v>
      </c>
      <c r="AO43" s="23" t="n">
        <v>10.4</v>
      </c>
    </row>
    <row r="44" customFormat="false" ht="13.5" hidden="false" customHeight="false" outlineLevel="0" collapsed="false">
      <c r="A44" s="27" t="n">
        <v>13.028</v>
      </c>
      <c r="B44" s="28" t="s">
        <v>44</v>
      </c>
      <c r="C44" s="29" t="n">
        <v>17</v>
      </c>
      <c r="D44" s="30" t="n">
        <v>6</v>
      </c>
      <c r="E44" s="31" t="n">
        <v>13</v>
      </c>
      <c r="F44" s="30"/>
      <c r="G44" s="31"/>
      <c r="H44" s="30"/>
      <c r="I44" s="31"/>
      <c r="J44" s="30" t="n">
        <v>-11</v>
      </c>
      <c r="K44" s="31" t="n">
        <v>11</v>
      </c>
      <c r="L44" s="30" t="n">
        <v>8</v>
      </c>
      <c r="M44" s="31" t="n">
        <v>12</v>
      </c>
      <c r="N44" s="30"/>
      <c r="O44" s="31"/>
      <c r="P44" s="30"/>
      <c r="Q44" s="31"/>
      <c r="R44" s="30" t="n">
        <v>12</v>
      </c>
      <c r="S44" s="31" t="n">
        <v>14</v>
      </c>
      <c r="T44" s="30"/>
      <c r="U44" s="31"/>
      <c r="V44" s="30" t="n">
        <v>6</v>
      </c>
      <c r="W44" s="31" t="n">
        <v>10</v>
      </c>
      <c r="X44" s="30"/>
      <c r="Y44" s="31"/>
      <c r="Z44" s="30"/>
      <c r="AA44" s="31"/>
      <c r="AB44" s="30"/>
      <c r="AC44" s="31"/>
      <c r="AD44" s="30"/>
      <c r="AE44" s="31"/>
      <c r="AF44" s="30"/>
      <c r="AG44" s="31"/>
      <c r="AH44" s="30"/>
      <c r="AI44" s="31"/>
      <c r="AJ44" s="30"/>
      <c r="AK44" s="31"/>
      <c r="AL44" s="30"/>
      <c r="AM44" s="31"/>
      <c r="AN44" s="32" t="n">
        <v>21</v>
      </c>
      <c r="AO44" s="33" t="n">
        <v>12</v>
      </c>
    </row>
    <row r="45" customFormat="false" ht="13.5" hidden="false" customHeight="false" outlineLevel="0" collapsed="false">
      <c r="A45" s="8" t="n">
        <v>14</v>
      </c>
      <c r="B45" s="19" t="s">
        <v>57</v>
      </c>
      <c r="C45" s="20" t="n">
        <v>7</v>
      </c>
      <c r="D45" s="21" t="n">
        <v>97</v>
      </c>
      <c r="E45" s="22" t="n">
        <v>9</v>
      </c>
      <c r="F45" s="21"/>
      <c r="G45" s="22"/>
      <c r="H45" s="21" t="n">
        <v>125</v>
      </c>
      <c r="I45" s="22" t="n">
        <v>11</v>
      </c>
      <c r="J45" s="21"/>
      <c r="K45" s="22"/>
      <c r="L45" s="21" t="n">
        <v>107</v>
      </c>
      <c r="M45" s="22" t="n">
        <v>14</v>
      </c>
      <c r="N45" s="21" t="n">
        <v>112</v>
      </c>
      <c r="O45" s="22" t="n">
        <v>8</v>
      </c>
      <c r="P45" s="21"/>
      <c r="Q45" s="22"/>
      <c r="R45" s="21" t="n">
        <v>98</v>
      </c>
      <c r="S45" s="22" t="n">
        <v>23.5</v>
      </c>
      <c r="T45" s="21" t="n">
        <v>105</v>
      </c>
      <c r="U45" s="22" t="n">
        <v>15</v>
      </c>
      <c r="V45" s="21" t="n">
        <v>98</v>
      </c>
      <c r="W45" s="22" t="n">
        <v>17</v>
      </c>
      <c r="X45" s="21"/>
      <c r="Y45" s="22"/>
      <c r="Z45" s="21"/>
      <c r="AA45" s="22"/>
      <c r="AB45" s="21"/>
      <c r="AC45" s="22"/>
      <c r="AD45" s="21"/>
      <c r="AE45" s="22"/>
      <c r="AF45" s="21"/>
      <c r="AG45" s="22"/>
      <c r="AH45" s="21"/>
      <c r="AI45" s="22"/>
      <c r="AJ45" s="21"/>
      <c r="AK45" s="22"/>
      <c r="AL45" s="21"/>
      <c r="AM45" s="22"/>
      <c r="AN45" s="17" t="n">
        <v>97.5</v>
      </c>
      <c r="AO45" s="23" t="n">
        <v>13.9285714285714</v>
      </c>
    </row>
    <row r="46" customFormat="false" ht="13.5" hidden="false" customHeight="false" outlineLevel="0" collapsed="false">
      <c r="A46" s="24" t="n">
        <v>14.116</v>
      </c>
      <c r="B46" s="7" t="s">
        <v>43</v>
      </c>
      <c r="C46" s="7"/>
      <c r="D46" s="21" t="n">
        <v>26</v>
      </c>
      <c r="E46" s="25" t="n">
        <v>3</v>
      </c>
      <c r="F46" s="21"/>
      <c r="G46" s="25"/>
      <c r="H46" s="37" t="n">
        <v>8</v>
      </c>
      <c r="I46" s="25" t="n">
        <v>5</v>
      </c>
      <c r="J46" s="21"/>
      <c r="K46" s="25"/>
      <c r="L46" s="21" t="n">
        <v>19</v>
      </c>
      <c r="M46" s="25" t="n">
        <v>4</v>
      </c>
      <c r="N46" s="21" t="n">
        <v>18</v>
      </c>
      <c r="O46" s="25" t="n">
        <v>3</v>
      </c>
      <c r="P46" s="21"/>
      <c r="Q46" s="25"/>
      <c r="R46" s="21" t="n">
        <v>29</v>
      </c>
      <c r="S46" s="25" t="n">
        <v>6.5</v>
      </c>
      <c r="T46" s="21" t="n">
        <v>26</v>
      </c>
      <c r="U46" s="25" t="n">
        <v>4</v>
      </c>
      <c r="V46" s="21" t="n">
        <v>27</v>
      </c>
      <c r="W46" s="25" t="n">
        <v>6</v>
      </c>
      <c r="X46" s="21"/>
      <c r="Y46" s="25"/>
      <c r="Z46" s="21"/>
      <c r="AA46" s="25"/>
      <c r="AB46" s="21"/>
      <c r="AC46" s="25"/>
      <c r="AD46" s="21"/>
      <c r="AE46" s="25"/>
      <c r="AF46" s="21"/>
      <c r="AG46" s="25"/>
      <c r="AH46" s="21"/>
      <c r="AI46" s="25"/>
      <c r="AJ46" s="21"/>
      <c r="AK46" s="25"/>
      <c r="AL46" s="21"/>
      <c r="AM46" s="25"/>
      <c r="AN46" s="26" t="n">
        <v>21.8571428571429</v>
      </c>
      <c r="AO46" s="23" t="n">
        <v>4.58333333333333</v>
      </c>
    </row>
    <row r="47" customFormat="false" ht="13.5" hidden="false" customHeight="false" outlineLevel="0" collapsed="false">
      <c r="A47" s="27" t="n">
        <v>14.0216</v>
      </c>
      <c r="B47" s="36" t="s">
        <v>44</v>
      </c>
      <c r="C47" s="29" t="n">
        <v>8</v>
      </c>
      <c r="D47" s="30" t="n">
        <v>-11</v>
      </c>
      <c r="E47" s="31" t="n">
        <v>6</v>
      </c>
      <c r="F47" s="30"/>
      <c r="G47" s="31"/>
      <c r="H47" s="30" t="n">
        <v>-15</v>
      </c>
      <c r="I47" s="31" t="n">
        <v>6</v>
      </c>
      <c r="J47" s="30"/>
      <c r="K47" s="31"/>
      <c r="L47" s="30" t="n">
        <v>6</v>
      </c>
      <c r="M47" s="31" t="n">
        <v>10</v>
      </c>
      <c r="N47" s="30" t="n">
        <v>-18</v>
      </c>
      <c r="O47" s="31" t="n">
        <v>5</v>
      </c>
      <c r="P47" s="30"/>
      <c r="Q47" s="31"/>
      <c r="R47" s="30" t="n">
        <v>24</v>
      </c>
      <c r="S47" s="31" t="n">
        <v>17</v>
      </c>
      <c r="T47" s="30" t="n">
        <v>3</v>
      </c>
      <c r="U47" s="31" t="n">
        <v>11</v>
      </c>
      <c r="V47" s="30" t="n">
        <v>10</v>
      </c>
      <c r="W47" s="31" t="n">
        <v>11</v>
      </c>
      <c r="X47" s="30"/>
      <c r="Y47" s="31"/>
      <c r="Z47" s="30"/>
      <c r="AA47" s="31"/>
      <c r="AB47" s="30"/>
      <c r="AC47" s="31"/>
      <c r="AD47" s="30"/>
      <c r="AE47" s="31"/>
      <c r="AF47" s="30"/>
      <c r="AG47" s="31"/>
      <c r="AH47" s="30"/>
      <c r="AI47" s="31"/>
      <c r="AJ47" s="30"/>
      <c r="AK47" s="31"/>
      <c r="AL47" s="30"/>
      <c r="AM47" s="31"/>
      <c r="AN47" s="32" t="n">
        <v>-1</v>
      </c>
      <c r="AO47" s="33" t="n">
        <v>9.42857142857143</v>
      </c>
    </row>
    <row r="48" customFormat="false" ht="13.5" hidden="false" customHeight="false" outlineLevel="0" collapsed="false">
      <c r="A48" s="8" t="n">
        <v>15</v>
      </c>
      <c r="B48" s="9" t="s">
        <v>58</v>
      </c>
      <c r="C48" s="20" t="n">
        <v>4</v>
      </c>
      <c r="D48" s="21" t="n">
        <v>99</v>
      </c>
      <c r="E48" s="22" t="n">
        <v>15.5</v>
      </c>
      <c r="F48" s="21"/>
      <c r="G48" s="22"/>
      <c r="H48" s="21" t="n">
        <v>103</v>
      </c>
      <c r="I48" s="22" t="n">
        <v>18</v>
      </c>
      <c r="J48" s="21"/>
      <c r="K48" s="22"/>
      <c r="L48" s="21"/>
      <c r="M48" s="22"/>
      <c r="N48" s="21" t="n">
        <v>85</v>
      </c>
      <c r="O48" s="22" t="n">
        <v>27.5</v>
      </c>
      <c r="P48" s="21"/>
      <c r="Q48" s="22"/>
      <c r="R48" s="21"/>
      <c r="S48" s="22"/>
      <c r="T48" s="21" t="n">
        <v>93</v>
      </c>
      <c r="U48" s="22" t="n">
        <v>29</v>
      </c>
      <c r="V48" s="21"/>
      <c r="W48" s="22"/>
      <c r="X48" s="21"/>
      <c r="Y48" s="22"/>
      <c r="Z48" s="21"/>
      <c r="AA48" s="22"/>
      <c r="AB48" s="21"/>
      <c r="AC48" s="22"/>
      <c r="AD48" s="21"/>
      <c r="AE48" s="22"/>
      <c r="AF48" s="21"/>
      <c r="AG48" s="22"/>
      <c r="AH48" s="21"/>
      <c r="AI48" s="22"/>
      <c r="AJ48" s="21"/>
      <c r="AK48" s="22"/>
      <c r="AL48" s="21"/>
      <c r="AM48" s="22"/>
      <c r="AN48" s="17" t="n">
        <v>90</v>
      </c>
      <c r="AO48" s="23" t="n">
        <v>22.5</v>
      </c>
    </row>
    <row r="49" customFormat="false" ht="13.5" hidden="false" customHeight="false" outlineLevel="0" collapsed="false">
      <c r="A49" s="24" t="n">
        <v>15.117</v>
      </c>
      <c r="B49" s="7" t="s">
        <v>43</v>
      </c>
      <c r="C49" s="7"/>
      <c r="D49" s="21" t="n">
        <v>28</v>
      </c>
      <c r="E49" s="25" t="n">
        <v>4.5</v>
      </c>
      <c r="F49" s="21"/>
      <c r="G49" s="25"/>
      <c r="H49" s="21" t="n">
        <v>26</v>
      </c>
      <c r="I49" s="25" t="n">
        <v>8</v>
      </c>
      <c r="J49" s="21"/>
      <c r="K49" s="25"/>
      <c r="L49" s="21"/>
      <c r="M49" s="25"/>
      <c r="N49" s="21" t="n">
        <v>43</v>
      </c>
      <c r="O49" s="25" t="n">
        <v>18</v>
      </c>
      <c r="P49" s="21"/>
      <c r="Q49" s="25"/>
      <c r="R49" s="21"/>
      <c r="S49" s="25"/>
      <c r="T49" s="21" t="n">
        <v>35</v>
      </c>
      <c r="U49" s="25" t="n">
        <v>13</v>
      </c>
      <c r="V49" s="21"/>
      <c r="W49" s="25"/>
      <c r="X49" s="21"/>
      <c r="Y49" s="25"/>
      <c r="Z49" s="21"/>
      <c r="AA49" s="25"/>
      <c r="AB49" s="21"/>
      <c r="AC49" s="25"/>
      <c r="AD49" s="21"/>
      <c r="AE49" s="25"/>
      <c r="AF49" s="21"/>
      <c r="AG49" s="25"/>
      <c r="AH49" s="21"/>
      <c r="AI49" s="25"/>
      <c r="AJ49" s="21"/>
      <c r="AK49" s="25"/>
      <c r="AL49" s="21"/>
      <c r="AM49" s="25"/>
      <c r="AN49" s="26" t="n">
        <v>33</v>
      </c>
      <c r="AO49" s="23" t="n">
        <v>10.875</v>
      </c>
    </row>
    <row r="50" customFormat="false" ht="13.5" hidden="false" customHeight="false" outlineLevel="0" collapsed="false">
      <c r="A50" s="27" t="n">
        <v>15.0217</v>
      </c>
      <c r="B50" s="28" t="s">
        <v>44</v>
      </c>
      <c r="C50" s="29" t="n">
        <v>15.5</v>
      </c>
      <c r="D50" s="30" t="n">
        <v>-5</v>
      </c>
      <c r="E50" s="31" t="n">
        <v>11</v>
      </c>
      <c r="F50" s="30"/>
      <c r="G50" s="31"/>
      <c r="H50" s="30" t="n">
        <v>-2</v>
      </c>
      <c r="I50" s="31" t="n">
        <v>10</v>
      </c>
      <c r="J50" s="30"/>
      <c r="K50" s="31"/>
      <c r="L50" s="30"/>
      <c r="M50" s="31"/>
      <c r="N50" s="30" t="n">
        <v>-0.001</v>
      </c>
      <c r="O50" s="31" t="n">
        <v>9.5</v>
      </c>
      <c r="P50" s="30"/>
      <c r="Q50" s="31"/>
      <c r="R50" s="30"/>
      <c r="S50" s="31"/>
      <c r="T50" s="30" t="n">
        <v>21</v>
      </c>
      <c r="U50" s="31" t="n">
        <v>16</v>
      </c>
      <c r="V50" s="30"/>
      <c r="W50" s="31"/>
      <c r="X50" s="30"/>
      <c r="Y50" s="31"/>
      <c r="Z50" s="30"/>
      <c r="AA50" s="31"/>
      <c r="AB50" s="30"/>
      <c r="AC50" s="31"/>
      <c r="AD50" s="30"/>
      <c r="AE50" s="31"/>
      <c r="AF50" s="30"/>
      <c r="AG50" s="31"/>
      <c r="AH50" s="30"/>
      <c r="AI50" s="31"/>
      <c r="AJ50" s="30"/>
      <c r="AK50" s="31"/>
      <c r="AL50" s="30"/>
      <c r="AM50" s="31"/>
      <c r="AN50" s="32" t="n">
        <v>13.999</v>
      </c>
      <c r="AO50" s="33" t="n">
        <v>11.625</v>
      </c>
    </row>
    <row r="51" customFormat="false" ht="13.5" hidden="false" customHeight="false" outlineLevel="0" collapsed="false">
      <c r="A51" s="8" t="n">
        <v>16</v>
      </c>
      <c r="B51" s="34" t="s">
        <v>59</v>
      </c>
      <c r="C51" s="20" t="n">
        <v>6</v>
      </c>
      <c r="D51" s="21" t="n">
        <v>99</v>
      </c>
      <c r="E51" s="22" t="n">
        <v>17</v>
      </c>
      <c r="F51" s="21"/>
      <c r="G51" s="22"/>
      <c r="H51" s="21" t="n">
        <v>103</v>
      </c>
      <c r="I51" s="22" t="n">
        <v>17.5</v>
      </c>
      <c r="J51" s="21"/>
      <c r="K51" s="22"/>
      <c r="L51" s="21" t="n">
        <v>107</v>
      </c>
      <c r="M51" s="22" t="n">
        <v>9</v>
      </c>
      <c r="N51" s="21" t="n">
        <v>108</v>
      </c>
      <c r="O51" s="22" t="n">
        <v>7</v>
      </c>
      <c r="P51" s="21"/>
      <c r="Q51" s="22"/>
      <c r="R51" s="21" t="n">
        <v>100</v>
      </c>
      <c r="S51" s="22" t="n">
        <v>22</v>
      </c>
      <c r="T51" s="21" t="n">
        <v>103</v>
      </c>
      <c r="U51" s="22" t="n">
        <v>10</v>
      </c>
      <c r="V51" s="21"/>
      <c r="W51" s="22"/>
      <c r="X51" s="21"/>
      <c r="Y51" s="22"/>
      <c r="Z51" s="21"/>
      <c r="AA51" s="22"/>
      <c r="AB51" s="21"/>
      <c r="AC51" s="22"/>
      <c r="AD51" s="21"/>
      <c r="AE51" s="22"/>
      <c r="AF51" s="21"/>
      <c r="AG51" s="22"/>
      <c r="AH51" s="21"/>
      <c r="AI51" s="22"/>
      <c r="AJ51" s="21"/>
      <c r="AK51" s="22"/>
      <c r="AL51" s="21"/>
      <c r="AM51" s="22"/>
      <c r="AN51" s="17" t="n">
        <v>82.5</v>
      </c>
      <c r="AO51" s="23" t="n">
        <v>13.75</v>
      </c>
    </row>
    <row r="52" customFormat="false" ht="13.5" hidden="false" customHeight="false" outlineLevel="0" collapsed="false">
      <c r="A52" s="24" t="n">
        <v>16.114</v>
      </c>
      <c r="B52" s="7" t="s">
        <v>43</v>
      </c>
      <c r="C52" s="7"/>
      <c r="D52" s="21" t="n">
        <v>30</v>
      </c>
      <c r="E52" s="25" t="n">
        <v>7.5</v>
      </c>
      <c r="F52" s="21"/>
      <c r="G52" s="25"/>
      <c r="H52" s="21" t="n">
        <v>27</v>
      </c>
      <c r="I52" s="25" t="n">
        <v>9</v>
      </c>
      <c r="J52" s="21"/>
      <c r="K52" s="25"/>
      <c r="L52" s="21" t="n">
        <v>21</v>
      </c>
      <c r="M52" s="25" t="n">
        <v>5</v>
      </c>
      <c r="N52" s="21" t="n">
        <v>22</v>
      </c>
      <c r="O52" s="25" t="n">
        <v>4</v>
      </c>
      <c r="P52" s="21"/>
      <c r="Q52" s="25"/>
      <c r="R52" s="21" t="n">
        <v>27</v>
      </c>
      <c r="S52" s="25" t="n">
        <v>4</v>
      </c>
      <c r="T52" s="21" t="n">
        <v>27</v>
      </c>
      <c r="U52" s="25" t="n">
        <v>5</v>
      </c>
      <c r="V52" s="21"/>
      <c r="W52" s="25"/>
      <c r="X52" s="21"/>
      <c r="Y52" s="25"/>
      <c r="Z52" s="21"/>
      <c r="AA52" s="25"/>
      <c r="AB52" s="21"/>
      <c r="AC52" s="25"/>
      <c r="AD52" s="21"/>
      <c r="AE52" s="25"/>
      <c r="AF52" s="21"/>
      <c r="AG52" s="25"/>
      <c r="AH52" s="21"/>
      <c r="AI52" s="25"/>
      <c r="AJ52" s="21"/>
      <c r="AK52" s="25"/>
      <c r="AL52" s="21"/>
      <c r="AM52" s="25"/>
      <c r="AN52" s="26" t="n">
        <v>25.6666666666667</v>
      </c>
      <c r="AO52" s="23" t="n">
        <v>5.75</v>
      </c>
    </row>
    <row r="53" customFormat="false" ht="13.5" hidden="false" customHeight="false" outlineLevel="0" collapsed="false">
      <c r="A53" s="27" t="n">
        <v>16.0214</v>
      </c>
      <c r="B53" s="28" t="s">
        <v>44</v>
      </c>
      <c r="C53" s="29" t="n">
        <v>7</v>
      </c>
      <c r="D53" s="30" t="n">
        <v>-8</v>
      </c>
      <c r="E53" s="31" t="n">
        <v>9.5</v>
      </c>
      <c r="F53" s="30"/>
      <c r="G53" s="31"/>
      <c r="H53" s="30" t="n">
        <v>-9</v>
      </c>
      <c r="I53" s="31" t="n">
        <v>8.5</v>
      </c>
      <c r="J53" s="30"/>
      <c r="K53" s="31"/>
      <c r="L53" s="30" t="n">
        <v>-54</v>
      </c>
      <c r="M53" s="31" t="n">
        <v>4</v>
      </c>
      <c r="N53" s="30" t="n">
        <v>-39</v>
      </c>
      <c r="O53" s="31" t="n">
        <v>3</v>
      </c>
      <c r="P53" s="30"/>
      <c r="Q53" s="31"/>
      <c r="R53" s="30" t="n">
        <v>28</v>
      </c>
      <c r="S53" s="31" t="n">
        <v>18</v>
      </c>
      <c r="T53" s="30" t="n">
        <v>-15</v>
      </c>
      <c r="U53" s="31" t="n">
        <v>5</v>
      </c>
      <c r="V53" s="30"/>
      <c r="W53" s="31"/>
      <c r="X53" s="30"/>
      <c r="Y53" s="31"/>
      <c r="Z53" s="30"/>
      <c r="AA53" s="31"/>
      <c r="AB53" s="30"/>
      <c r="AC53" s="31"/>
      <c r="AD53" s="30"/>
      <c r="AE53" s="31"/>
      <c r="AF53" s="30"/>
      <c r="AG53" s="31"/>
      <c r="AH53" s="30"/>
      <c r="AI53" s="31"/>
      <c r="AJ53" s="30"/>
      <c r="AK53" s="31"/>
      <c r="AL53" s="30"/>
      <c r="AM53" s="31"/>
      <c r="AN53" s="32" t="n">
        <v>-97</v>
      </c>
      <c r="AO53" s="33" t="n">
        <v>8</v>
      </c>
    </row>
    <row r="54" customFormat="false" ht="13.5" hidden="false" customHeight="false" outlineLevel="0" collapsed="false">
      <c r="A54" s="8" t="n">
        <v>17</v>
      </c>
      <c r="B54" s="9" t="s">
        <v>60</v>
      </c>
      <c r="C54" s="20" t="n">
        <v>5</v>
      </c>
      <c r="D54" s="21"/>
      <c r="E54" s="22"/>
      <c r="F54" s="21"/>
      <c r="G54" s="22"/>
      <c r="H54" s="21" t="n">
        <v>101</v>
      </c>
      <c r="I54" s="22" t="n">
        <v>18</v>
      </c>
      <c r="J54" s="21"/>
      <c r="K54" s="22"/>
      <c r="L54" s="21" t="n">
        <v>107</v>
      </c>
      <c r="M54" s="22" t="n">
        <v>9</v>
      </c>
      <c r="N54" s="21" t="n">
        <v>100</v>
      </c>
      <c r="O54" s="22" t="n">
        <v>21</v>
      </c>
      <c r="P54" s="21" t="n">
        <v>91</v>
      </c>
      <c r="Q54" s="22" t="n">
        <v>20.5</v>
      </c>
      <c r="R54" s="21"/>
      <c r="S54" s="22"/>
      <c r="T54" s="21" t="n">
        <v>99</v>
      </c>
      <c r="U54" s="22" t="n">
        <v>13</v>
      </c>
      <c r="V54" s="21"/>
      <c r="W54" s="22"/>
      <c r="X54" s="21"/>
      <c r="Y54" s="22"/>
      <c r="Z54" s="21"/>
      <c r="AA54" s="22"/>
      <c r="AB54" s="21"/>
      <c r="AC54" s="22"/>
      <c r="AD54" s="21"/>
      <c r="AE54" s="22"/>
      <c r="AF54" s="21"/>
      <c r="AG54" s="22"/>
      <c r="AH54" s="21"/>
      <c r="AI54" s="22"/>
      <c r="AJ54" s="21"/>
      <c r="AK54" s="22"/>
      <c r="AL54" s="21"/>
      <c r="AM54" s="22"/>
      <c r="AN54" s="17" t="n">
        <v>81.5</v>
      </c>
      <c r="AO54" s="23" t="n">
        <v>16.3</v>
      </c>
    </row>
    <row r="55" customFormat="false" ht="13.5" hidden="false" customHeight="false" outlineLevel="0" collapsed="false">
      <c r="A55" s="24" t="n">
        <v>17.118</v>
      </c>
      <c r="B55" s="7" t="s">
        <v>43</v>
      </c>
      <c r="C55" s="7"/>
      <c r="D55" s="21"/>
      <c r="E55" s="25"/>
      <c r="F55" s="21"/>
      <c r="G55" s="25"/>
      <c r="H55" s="21" t="n">
        <v>25</v>
      </c>
      <c r="I55" s="25" t="n">
        <v>7</v>
      </c>
      <c r="J55" s="21"/>
      <c r="K55" s="25"/>
      <c r="L55" s="21" t="n">
        <v>17</v>
      </c>
      <c r="M55" s="25" t="n">
        <v>3</v>
      </c>
      <c r="N55" s="21" t="n">
        <v>27</v>
      </c>
      <c r="O55" s="25" t="n">
        <v>6</v>
      </c>
      <c r="P55" s="21" t="n">
        <v>31</v>
      </c>
      <c r="Q55" s="25" t="n">
        <v>6.5</v>
      </c>
      <c r="R55" s="21"/>
      <c r="S55" s="25"/>
      <c r="T55" s="21" t="n">
        <v>28</v>
      </c>
      <c r="U55" s="25" t="n">
        <v>6</v>
      </c>
      <c r="V55" s="21"/>
      <c r="W55" s="25"/>
      <c r="X55" s="21"/>
      <c r="Y55" s="25"/>
      <c r="Z55" s="21"/>
      <c r="AA55" s="25"/>
      <c r="AB55" s="21"/>
      <c r="AC55" s="25"/>
      <c r="AD55" s="21"/>
      <c r="AE55" s="25"/>
      <c r="AF55" s="21"/>
      <c r="AG55" s="25"/>
      <c r="AH55" s="21"/>
      <c r="AI55" s="25"/>
      <c r="AJ55" s="21"/>
      <c r="AK55" s="25"/>
      <c r="AL55" s="21"/>
      <c r="AM55" s="25"/>
      <c r="AN55" s="26" t="n">
        <v>25.6</v>
      </c>
      <c r="AO55" s="23" t="n">
        <v>5.7</v>
      </c>
    </row>
    <row r="56" customFormat="false" ht="13.5" hidden="false" customHeight="false" outlineLevel="0" collapsed="false">
      <c r="A56" s="27" t="n">
        <v>17.0218</v>
      </c>
      <c r="B56" s="28" t="s">
        <v>44</v>
      </c>
      <c r="C56" s="29" t="n">
        <v>9</v>
      </c>
      <c r="D56" s="30"/>
      <c r="E56" s="31"/>
      <c r="F56" s="30"/>
      <c r="G56" s="31"/>
      <c r="H56" s="30" t="n">
        <v>3</v>
      </c>
      <c r="I56" s="31" t="n">
        <v>11</v>
      </c>
      <c r="J56" s="30"/>
      <c r="K56" s="31"/>
      <c r="L56" s="30" t="n">
        <v>-16</v>
      </c>
      <c r="M56" s="31" t="n">
        <v>6</v>
      </c>
      <c r="N56" s="30" t="n">
        <v>16</v>
      </c>
      <c r="O56" s="31" t="n">
        <v>15</v>
      </c>
      <c r="P56" s="30" t="n">
        <v>6</v>
      </c>
      <c r="Q56" s="31" t="n">
        <v>14</v>
      </c>
      <c r="R56" s="30"/>
      <c r="S56" s="31"/>
      <c r="T56" s="30" t="n">
        <v>-11</v>
      </c>
      <c r="U56" s="31" t="n">
        <v>7</v>
      </c>
      <c r="V56" s="30"/>
      <c r="W56" s="31"/>
      <c r="X56" s="30"/>
      <c r="Y56" s="31"/>
      <c r="Z56" s="30"/>
      <c r="AA56" s="31"/>
      <c r="AB56" s="30"/>
      <c r="AC56" s="31"/>
      <c r="AD56" s="30"/>
      <c r="AE56" s="31"/>
      <c r="AF56" s="30"/>
      <c r="AG56" s="31"/>
      <c r="AH56" s="30"/>
      <c r="AI56" s="31"/>
      <c r="AJ56" s="30"/>
      <c r="AK56" s="31"/>
      <c r="AL56" s="30"/>
      <c r="AM56" s="31"/>
      <c r="AN56" s="32" t="n">
        <v>-2</v>
      </c>
      <c r="AO56" s="33" t="n">
        <v>10.6</v>
      </c>
    </row>
    <row r="57" customFormat="false" ht="13.5" hidden="false" customHeight="false" outlineLevel="0" collapsed="false">
      <c r="A57" s="8" t="n">
        <v>18</v>
      </c>
      <c r="B57" s="9" t="s">
        <v>61</v>
      </c>
      <c r="C57" s="20" t="n">
        <v>2</v>
      </c>
      <c r="D57" s="21"/>
      <c r="E57" s="22"/>
      <c r="F57" s="21"/>
      <c r="G57" s="22"/>
      <c r="H57" s="21"/>
      <c r="I57" s="22"/>
      <c r="J57" s="21" t="n">
        <v>91</v>
      </c>
      <c r="K57" s="22" t="n">
        <v>17</v>
      </c>
      <c r="L57" s="21"/>
      <c r="M57" s="22"/>
      <c r="N57" s="21"/>
      <c r="O57" s="22"/>
      <c r="P57" s="21"/>
      <c r="Q57" s="22"/>
      <c r="R57" s="21"/>
      <c r="S57" s="22"/>
      <c r="T57" s="21" t="n">
        <v>88</v>
      </c>
      <c r="U57" s="22" t="n">
        <v>26</v>
      </c>
      <c r="V57" s="21"/>
      <c r="W57" s="22"/>
      <c r="X57" s="21"/>
      <c r="Y57" s="22"/>
      <c r="Z57" s="21"/>
      <c r="AA57" s="22"/>
      <c r="AB57" s="21"/>
      <c r="AC57" s="22"/>
      <c r="AD57" s="21"/>
      <c r="AE57" s="22"/>
      <c r="AF57" s="21"/>
      <c r="AG57" s="22"/>
      <c r="AH57" s="21"/>
      <c r="AI57" s="22"/>
      <c r="AJ57" s="21"/>
      <c r="AK57" s="22"/>
      <c r="AL57" s="21"/>
      <c r="AM57" s="22"/>
      <c r="AN57" s="17" t="n">
        <v>43</v>
      </c>
      <c r="AO57" s="23" t="n">
        <v>21.5</v>
      </c>
    </row>
    <row r="58" customFormat="false" ht="13.5" hidden="false" customHeight="false" outlineLevel="0" collapsed="false">
      <c r="A58" s="24" t="n">
        <v>18.19</v>
      </c>
      <c r="B58" s="7" t="s">
        <v>43</v>
      </c>
      <c r="C58" s="7"/>
      <c r="D58" s="21"/>
      <c r="E58" s="25"/>
      <c r="F58" s="21"/>
      <c r="G58" s="25"/>
      <c r="H58" s="21"/>
      <c r="I58" s="25"/>
      <c r="J58" s="21" t="n">
        <v>29</v>
      </c>
      <c r="K58" s="25" t="n">
        <v>10</v>
      </c>
      <c r="L58" s="21"/>
      <c r="M58" s="25"/>
      <c r="N58" s="21"/>
      <c r="O58" s="25"/>
      <c r="P58" s="21"/>
      <c r="Q58" s="25"/>
      <c r="R58" s="21"/>
      <c r="S58" s="25"/>
      <c r="T58" s="21" t="n">
        <v>38</v>
      </c>
      <c r="U58" s="25" t="n">
        <v>15</v>
      </c>
      <c r="V58" s="21"/>
      <c r="W58" s="25"/>
      <c r="X58" s="21"/>
      <c r="Y58" s="25"/>
      <c r="Z58" s="21"/>
      <c r="AA58" s="25"/>
      <c r="AB58" s="21"/>
      <c r="AC58" s="25"/>
      <c r="AD58" s="21"/>
      <c r="AE58" s="25"/>
      <c r="AF58" s="21"/>
      <c r="AG58" s="25"/>
      <c r="AH58" s="21"/>
      <c r="AI58" s="25"/>
      <c r="AJ58" s="21"/>
      <c r="AK58" s="25"/>
      <c r="AL58" s="21"/>
      <c r="AM58" s="25"/>
      <c r="AN58" s="26" t="n">
        <v>33.5</v>
      </c>
      <c r="AO58" s="23" t="n">
        <v>12.5</v>
      </c>
    </row>
    <row r="59" customFormat="false" ht="13.5" hidden="false" customHeight="false" outlineLevel="0" collapsed="false">
      <c r="A59" s="27" t="n">
        <v>18.0219</v>
      </c>
      <c r="B59" s="28" t="s">
        <v>44</v>
      </c>
      <c r="C59" s="29" t="n">
        <v>17</v>
      </c>
      <c r="D59" s="30"/>
      <c r="E59" s="31"/>
      <c r="F59" s="30"/>
      <c r="G59" s="31"/>
      <c r="H59" s="30"/>
      <c r="I59" s="31"/>
      <c r="J59" s="30" t="n">
        <v>-41</v>
      </c>
      <c r="K59" s="31" t="n">
        <v>7</v>
      </c>
      <c r="L59" s="30"/>
      <c r="M59" s="31"/>
      <c r="N59" s="30"/>
      <c r="O59" s="31"/>
      <c r="P59" s="30"/>
      <c r="Q59" s="31"/>
      <c r="R59" s="30"/>
      <c r="S59" s="31"/>
      <c r="T59" s="30" t="n">
        <v>3</v>
      </c>
      <c r="U59" s="31" t="n">
        <v>11</v>
      </c>
      <c r="V59" s="30"/>
      <c r="W59" s="31"/>
      <c r="X59" s="30"/>
      <c r="Y59" s="31"/>
      <c r="Z59" s="30"/>
      <c r="AA59" s="31"/>
      <c r="AB59" s="30"/>
      <c r="AC59" s="31"/>
      <c r="AD59" s="30"/>
      <c r="AE59" s="31"/>
      <c r="AF59" s="30"/>
      <c r="AG59" s="31"/>
      <c r="AH59" s="30"/>
      <c r="AI59" s="31"/>
      <c r="AJ59" s="30"/>
      <c r="AK59" s="31"/>
      <c r="AL59" s="30"/>
      <c r="AM59" s="31"/>
      <c r="AN59" s="32" t="n">
        <v>-38</v>
      </c>
      <c r="AO59" s="33" t="n">
        <v>9</v>
      </c>
    </row>
    <row r="60" customFormat="false" ht="13.5" hidden="false" customHeight="false" outlineLevel="0" collapsed="false">
      <c r="A60" s="8" t="n">
        <v>19</v>
      </c>
      <c r="B60" s="9" t="s">
        <v>62</v>
      </c>
      <c r="C60" s="20" t="n">
        <v>0</v>
      </c>
      <c r="D60" s="21"/>
      <c r="E60" s="22"/>
      <c r="F60" s="21"/>
      <c r="G60" s="22"/>
      <c r="H60" s="21"/>
      <c r="I60" s="22"/>
      <c r="J60" s="21"/>
      <c r="K60" s="22"/>
      <c r="L60" s="21"/>
      <c r="M60" s="22"/>
      <c r="N60" s="21"/>
      <c r="O60" s="22"/>
      <c r="P60" s="21"/>
      <c r="Q60" s="22"/>
      <c r="R60" s="21"/>
      <c r="S60" s="22"/>
      <c r="T60" s="21"/>
      <c r="U60" s="22"/>
      <c r="V60" s="21"/>
      <c r="W60" s="22"/>
      <c r="X60" s="21"/>
      <c r="Y60" s="22"/>
      <c r="Z60" s="21"/>
      <c r="AA60" s="22"/>
      <c r="AB60" s="21"/>
      <c r="AC60" s="22"/>
      <c r="AD60" s="21"/>
      <c r="AE60" s="22"/>
      <c r="AF60" s="21"/>
      <c r="AG60" s="22"/>
      <c r="AH60" s="21"/>
      <c r="AI60" s="22"/>
      <c r="AJ60" s="21"/>
      <c r="AK60" s="22"/>
      <c r="AL60" s="21"/>
      <c r="AM60" s="22"/>
      <c r="AN60" s="17" t="n">
        <v>0</v>
      </c>
      <c r="AO60" s="23" t="n">
        <v>0</v>
      </c>
    </row>
    <row r="61" customFormat="false" ht="13.5" hidden="false" customHeight="false" outlineLevel="0" collapsed="false">
      <c r="A61" s="24" t="n">
        <v>19.121</v>
      </c>
      <c r="B61" s="7" t="s">
        <v>43</v>
      </c>
      <c r="C61" s="7"/>
      <c r="D61" s="21"/>
      <c r="E61" s="25"/>
      <c r="F61" s="21"/>
      <c r="G61" s="25"/>
      <c r="H61" s="21"/>
      <c r="I61" s="25"/>
      <c r="J61" s="21"/>
      <c r="K61" s="25"/>
      <c r="L61" s="21"/>
      <c r="M61" s="25"/>
      <c r="N61" s="21"/>
      <c r="O61" s="25"/>
      <c r="P61" s="21"/>
      <c r="Q61" s="25"/>
      <c r="R61" s="21"/>
      <c r="S61" s="25"/>
      <c r="T61" s="21"/>
      <c r="U61" s="25"/>
      <c r="V61" s="21"/>
      <c r="W61" s="25"/>
      <c r="X61" s="21"/>
      <c r="Y61" s="25"/>
      <c r="Z61" s="21"/>
      <c r="AA61" s="25"/>
      <c r="AB61" s="21"/>
      <c r="AC61" s="25"/>
      <c r="AD61" s="21"/>
      <c r="AE61" s="25"/>
      <c r="AF61" s="21"/>
      <c r="AG61" s="25"/>
      <c r="AH61" s="21"/>
      <c r="AI61" s="25"/>
      <c r="AJ61" s="21"/>
      <c r="AK61" s="25"/>
      <c r="AL61" s="21"/>
      <c r="AM61" s="25"/>
      <c r="AN61" s="26" t="n">
        <v>0</v>
      </c>
      <c r="AO61" s="23" t="n">
        <v>0</v>
      </c>
    </row>
    <row r="62" customFormat="false" ht="13.5" hidden="false" customHeight="false" outlineLevel="0" collapsed="false">
      <c r="A62" s="27" t="n">
        <v>19.0221</v>
      </c>
      <c r="B62" s="28" t="s">
        <v>44</v>
      </c>
      <c r="C62" s="29" t="n">
        <v>0</v>
      </c>
      <c r="D62" s="30"/>
      <c r="E62" s="31"/>
      <c r="F62" s="30"/>
      <c r="G62" s="31"/>
      <c r="H62" s="30"/>
      <c r="I62" s="31"/>
      <c r="J62" s="30"/>
      <c r="K62" s="31"/>
      <c r="L62" s="30"/>
      <c r="M62" s="31"/>
      <c r="N62" s="30"/>
      <c r="O62" s="31"/>
      <c r="P62" s="30"/>
      <c r="Q62" s="31"/>
      <c r="R62" s="30"/>
      <c r="S62" s="31"/>
      <c r="T62" s="30"/>
      <c r="U62" s="31"/>
      <c r="V62" s="30"/>
      <c r="W62" s="31"/>
      <c r="X62" s="30"/>
      <c r="Y62" s="31"/>
      <c r="Z62" s="30"/>
      <c r="AA62" s="31"/>
      <c r="AB62" s="30"/>
      <c r="AC62" s="31"/>
      <c r="AD62" s="30"/>
      <c r="AE62" s="31"/>
      <c r="AF62" s="30"/>
      <c r="AG62" s="31"/>
      <c r="AH62" s="30"/>
      <c r="AI62" s="31"/>
      <c r="AJ62" s="30"/>
      <c r="AK62" s="31"/>
      <c r="AL62" s="30"/>
      <c r="AM62" s="31"/>
      <c r="AN62" s="32" t="n">
        <v>0</v>
      </c>
      <c r="AO62" s="33" t="n">
        <v>0</v>
      </c>
    </row>
    <row r="65" customFormat="false" ht="13.5" hidden="false" customHeight="false" outlineLevel="0" collapsed="false">
      <c r="B65" s="38" t="s">
        <v>63</v>
      </c>
      <c r="C65" s="38"/>
      <c r="D65" s="39" t="n">
        <f aca="false">AVERAGE(E6,E9,E12,E15,E18,E21,E24,E27,E30,E33,E36,E39,E42,E45,E48,E51,E54,E57,E60)</f>
        <v>21</v>
      </c>
      <c r="E65" s="40"/>
      <c r="F65" s="39" t="e">
        <f aca="false">AVERAGE(G6,G9,G12,G15,G18,G21,G24,G27,G30,G33,G36,G39,G42,G45,G48,G51,G54,G57,G60)</f>
        <v>#DIV/0!</v>
      </c>
      <c r="G65" s="40"/>
      <c r="H65" s="39" t="n">
        <f aca="false">AVERAGE(I6,I9,I12,I15,I18,I21,I24,I27,I30,I33,I36,I39,I42,I45,I48,I51,I54,I57,I60)</f>
        <v>21</v>
      </c>
      <c r="I65" s="40"/>
      <c r="J65" s="39" t="n">
        <f aca="false">AVERAGE(K6,K9,K12,K15,K18,K21,K24,K27,K30,K33,K36,K39,K42,K45,K48,K51,K54,K57,K60)</f>
        <v>21</v>
      </c>
      <c r="K65" s="40"/>
      <c r="L65" s="39" t="n">
        <f aca="false">AVERAGE(M6,M9,M12,M15,M18,M21,M24,M27,M30,M33,M36,M39,M42,M45,M48,M51,M54,M57,M60)</f>
        <v>20.5</v>
      </c>
      <c r="M65" s="40"/>
      <c r="N65" s="39" t="n">
        <f aca="false">AVERAGE(O6,O9,O12,O15,O18,O21,O24,O27,O30,O33,O36,O39,O42,O45,O48,O51,O54,O57,O60)</f>
        <v>20.8666666666667</v>
      </c>
      <c r="O65" s="40"/>
      <c r="P65" s="39" t="n">
        <f aca="false">AVERAGE(Q6,Q9,Q12,Q15,Q18,Q21,Q24,Q27,Q30,Q33,Q36,Q39,Q42,Q45,Q48,Q51,Q54,Q57,Q60)</f>
        <v>21.7272727272727</v>
      </c>
      <c r="Q65" s="40"/>
      <c r="R65" s="39" t="n">
        <f aca="false">AVERAGE(S6,S9,S12,S15,S18,S21,S24,S27,S30,S33,S36,S39,S42,S45,S48,S51,S54,S57,S60)</f>
        <v>21.6538461538462</v>
      </c>
      <c r="S65" s="40"/>
      <c r="T65" s="39" t="n">
        <f aca="false">AVERAGE(U6,U9,U12,U15,U18,U21,U24,U27,U30,U33,U36,U39,U42,U45,U48,U51,U54,U57,U60)</f>
        <v>21</v>
      </c>
      <c r="U65" s="40"/>
      <c r="V65" s="39" t="n">
        <f aca="false">AVERAGE(W6,W9,W12,W15,W18,W21,W24,W27,W30,W33,W36,W39,W42,W45,W48,W51,W54,W57,W60)</f>
        <v>21</v>
      </c>
      <c r="W65" s="40"/>
      <c r="X65" s="39" t="e">
        <f aca="false">AVERAGE(Y6,Y9,Y12,Y15,Y18,Y21,Y24,Y27,Y30,Y33,Y36,Y39,Y42,Y45,Y48,Y51,Y54,Y57,Y60)</f>
        <v>#DIV/0!</v>
      </c>
      <c r="Y65" s="40"/>
      <c r="Z65" s="39" t="e">
        <f aca="false">AVERAGE(AA6,AA9,AA12,AA15,AA18,AA21,AA24,AA27,AA30,AA33,AA36,AA39,AA42,AA45,AA48,AA51,AA54,AA57,AA60)</f>
        <v>#DIV/0!</v>
      </c>
      <c r="AA65" s="40"/>
      <c r="AB65" s="39" t="e">
        <f aca="false">AVERAGE(AC6,AC9,AC12,AC15,AC18,AC21,AC24,AC27,AC30,AC33,AC36,AC39,AC42,AC45,AC48,AC51,AC54,AC57,AC60)</f>
        <v>#DIV/0!</v>
      </c>
      <c r="AC65" s="40"/>
      <c r="AD65" s="39" t="e">
        <f aca="false">AVERAGE(AE6,AE9,AE12,AE15,AE18,AE21,AE24,AE27,AE30,AE33,AE36,AE39,AE42,AE45,AE48,AE51,AE54,AE57,AE60)</f>
        <v>#DIV/0!</v>
      </c>
      <c r="AE65" s="40"/>
      <c r="AF65" s="39" t="e">
        <f aca="false">AVERAGE(AG6,AG9,AG12,AG15,AG18,AG21,AG24,AG27,AG30,AG33,AG36,AG39,AG42,AG45,AG48,AG51,AG54,AG57,AG60)</f>
        <v>#DIV/0!</v>
      </c>
      <c r="AG65" s="40"/>
      <c r="AH65" s="39" t="e">
        <f aca="false">AVERAGE(AI6,AI9,AI12,AI15,AI18,AI21,AI24,AI27,AI30,AI33,AI36,AI39,AI42,AI45,AI48,AI51,AI54,AI57,AI60)</f>
        <v>#DIV/0!</v>
      </c>
      <c r="AI65" s="40"/>
      <c r="AJ65" s="39" t="e">
        <f aca="false">AVERAGE(AK6,AK9,AK12,AK15,AK18,AK21,AK24,AK27,AK30,AK33,AK36,AK39,AK42,AK45,AK48,AK51,AK54,AK57,AK60)</f>
        <v>#DIV/0!</v>
      </c>
      <c r="AK65" s="40"/>
      <c r="AL65" s="39" t="e">
        <f aca="false">AVERAGE(AM6,AM9,AM12,AM15,AM18,AM21,AM24,AM27,AM30,AM33,AM36,AM39,AM42,AM45,AM48,AM51,AM54,AM57,AM60)</f>
        <v>#DIV/0!</v>
      </c>
      <c r="AM65" s="41" t="n">
        <f aca="false">AVERAGE(AN6,AN9,AN12,AN15,AN18,AN21,AN24,AN27,AN30,AN33,AN39,AN42,AN45,AN48,AN51,AN54,AN57,AN60)</f>
        <v>131.333333333333</v>
      </c>
      <c r="AP65" s="38"/>
      <c r="AQ65" s="38"/>
      <c r="AR65" s="38"/>
      <c r="AS65" s="38"/>
      <c r="AT65" s="38"/>
      <c r="AU65" s="38"/>
      <c r="AV65" s="38"/>
      <c r="AW65" s="38"/>
      <c r="AX65" s="38"/>
      <c r="AY65" s="38"/>
      <c r="AZ65" s="38"/>
      <c r="BA65" s="38"/>
      <c r="BB65" s="38"/>
      <c r="BC65" s="38"/>
      <c r="BD65" s="38"/>
      <c r="BE65" s="38"/>
      <c r="BF65" s="38"/>
      <c r="BG65" s="38"/>
      <c r="BH65" s="38"/>
      <c r="BI65" s="38"/>
      <c r="BJ65" s="38"/>
      <c r="BK65" s="38"/>
      <c r="BL65" s="38"/>
      <c r="BM65" s="38"/>
      <c r="BN65" s="38"/>
      <c r="BO65" s="38"/>
      <c r="BP65" s="38"/>
      <c r="BQ65" s="38"/>
      <c r="BR65" s="38"/>
      <c r="BS65" s="38"/>
      <c r="BT65" s="38"/>
      <c r="BU65" s="38"/>
      <c r="BV65" s="38"/>
      <c r="BW65" s="38"/>
      <c r="BX65" s="38"/>
      <c r="BY65" s="38"/>
      <c r="BZ65" s="38"/>
      <c r="CA65" s="38"/>
      <c r="CB65" s="38"/>
      <c r="CC65" s="38"/>
      <c r="CD65" s="38"/>
      <c r="CE65" s="38"/>
      <c r="CF65" s="38"/>
      <c r="CG65" s="38"/>
      <c r="CH65" s="38"/>
      <c r="CI65" s="38"/>
      <c r="CJ65" s="38"/>
      <c r="CK65" s="38"/>
      <c r="CL65" s="38"/>
      <c r="CM65" s="38"/>
      <c r="CN65" s="38"/>
      <c r="CO65" s="38"/>
      <c r="CP65" s="38"/>
      <c r="CQ65" s="38"/>
    </row>
    <row r="66" s="1" customFormat="true" ht="13.5" hidden="false" customHeight="false" outlineLevel="0" collapsed="false">
      <c r="B66" s="38"/>
      <c r="C66" s="38"/>
      <c r="AP66" s="38"/>
      <c r="AQ66" s="38"/>
      <c r="AR66" s="38"/>
      <c r="AS66" s="38"/>
      <c r="AT66" s="38"/>
      <c r="AU66" s="38"/>
      <c r="AV66" s="38"/>
      <c r="AW66" s="38"/>
      <c r="AX66" s="38"/>
      <c r="AY66" s="38"/>
      <c r="AZ66" s="38"/>
      <c r="BA66" s="38"/>
      <c r="BB66" s="38"/>
      <c r="BC66" s="38"/>
      <c r="BD66" s="38"/>
      <c r="BE66" s="38"/>
      <c r="BF66" s="38"/>
      <c r="BG66" s="38"/>
      <c r="BH66" s="38"/>
      <c r="BI66" s="38"/>
      <c r="BJ66" s="38"/>
      <c r="BK66" s="38"/>
      <c r="BL66" s="38"/>
      <c r="BM66" s="38"/>
      <c r="BN66" s="38"/>
      <c r="BO66" s="38"/>
      <c r="BP66" s="38"/>
      <c r="BQ66" s="38"/>
      <c r="BR66" s="38"/>
      <c r="BS66" s="38"/>
      <c r="BT66" s="38"/>
      <c r="BU66" s="38"/>
      <c r="BV66" s="38"/>
      <c r="BW66" s="38"/>
      <c r="BX66" s="38"/>
      <c r="BY66" s="38"/>
      <c r="BZ66" s="38"/>
      <c r="CA66" s="38"/>
      <c r="CB66" s="38"/>
      <c r="CC66" s="38"/>
      <c r="CD66" s="38"/>
      <c r="CE66" s="38"/>
      <c r="CF66" s="38"/>
      <c r="CG66" s="38"/>
      <c r="CH66" s="38"/>
      <c r="CI66" s="38"/>
      <c r="CJ66" s="38"/>
      <c r="CK66" s="38"/>
      <c r="CL66" s="38"/>
      <c r="CM66" s="38"/>
      <c r="CN66" s="38"/>
      <c r="CO66" s="38"/>
      <c r="CP66" s="38"/>
      <c r="CQ66" s="38"/>
      <c r="CR66" s="42"/>
    </row>
    <row r="67" s="1" customFormat="true" ht="13.5" hidden="false" customHeight="false" outlineLevel="0" collapsed="false">
      <c r="C67" s="2"/>
      <c r="D67" s="43"/>
      <c r="F67" s="43"/>
      <c r="H67" s="43"/>
      <c r="J67" s="43"/>
      <c r="L67" s="43"/>
      <c r="N67" s="43"/>
      <c r="P67" s="43"/>
      <c r="R67" s="43"/>
      <c r="T67" s="43" t="n">
        <f aca="false">U6+U9+U12+U15+U18+U21+U24+U27+U30+U33+U36+U39+U42+U45+U48+U51+U54+U57+U60</f>
        <v>336</v>
      </c>
      <c r="V67" s="43" t="n">
        <f aca="false">W6+W9+W12+W15+W18+W21+W24+W27+W30+W33+W36+W39+W42+W45+W48+W51+W54+W57+W60</f>
        <v>252</v>
      </c>
      <c r="X67" s="43" t="n">
        <f aca="false">Y6+Y9+Y12+Y15+Y18+Y21+Y24+Y27+Y30+Y33+Y36+Y39+Y42+Y45+Y48+Y51+Y54+Y57+Y60</f>
        <v>0</v>
      </c>
      <c r="Z67" s="43" t="n">
        <f aca="false">AA6+AA9+AA12+AA15+AA18+AA21+AA24+AA27+AA30+AA33+AA36+AA39+AA42+AA45+AA48+AA51+AA54+AA57+AA60</f>
        <v>0</v>
      </c>
      <c r="AB67" s="43" t="n">
        <f aca="false">AC6+AC9+AC12+AC15+AC18+AC21+AC24+AC27+AC30+AC33+AC36+AC39+AC42+AC45+AC48+AC51+AC54+AC57+AC60</f>
        <v>0</v>
      </c>
      <c r="AD67" s="43" t="n">
        <f aca="false">AE6+AE9+AE12+AE15+AE18+AE21+AE24+AE27+AE30+AE33+AE36+AE39+AE42+AE45+AE48+AE51+AE54+AE57+AE60</f>
        <v>0</v>
      </c>
      <c r="AF67" s="43" t="n">
        <f aca="false">AG6+AG9+AG12+AG15+AG18+AG21+AG24+AG27+AG30+AG33+AG36+AG39+AG42+AG45+AG48+AG51+AG54+AG57+AG60</f>
        <v>0</v>
      </c>
      <c r="AH67" s="43" t="n">
        <f aca="false">AI6+AI9+AI12+AI15+AI18+AI21+AI24+AI27+AI30+AI33+AI36+AI39+AI42+AI45+AI48+AI51+AI54+AI57+AI60</f>
        <v>0</v>
      </c>
      <c r="AJ67" s="43" t="n">
        <f aca="false">AK6+AK9+AK12+AK15+AK18+AK21+AK24+AK27+AK30+AK33+AK36+AK39+AK42+AK45+AK48+AK51+AK54+AK57+AK60</f>
        <v>0</v>
      </c>
      <c r="AL67" s="43" t="n">
        <f aca="false">AM6+AM9+AM12+AM15+AM18+AM21+AM24+AM27+AM30+AM33+AM36+AM39+AM42+AM45+AM48+AM51+AM54+AM57+AM60</f>
        <v>0</v>
      </c>
      <c r="AM67" s="44" t="n">
        <f aca="false">AN6+AN9+AN12+AN15+AN18+AN21+AN24+AN27+AN30+AN33+AN36+AN39+AN42+AN45+AN48+AN51+AN54+AN57+AN60</f>
        <v>2485</v>
      </c>
      <c r="CR67" s="42"/>
    </row>
    <row r="68" s="1" customFormat="true" ht="13.5" hidden="false" customHeight="false" outlineLevel="0" collapsed="false">
      <c r="C68" s="2"/>
      <c r="CR68" s="42"/>
    </row>
    <row r="69" s="1" customFormat="true" ht="13.5" hidden="false" customHeight="false" outlineLevel="0" collapsed="false">
      <c r="C69" s="2"/>
      <c r="D69" s="45"/>
      <c r="F69" s="45"/>
      <c r="H69" s="45"/>
      <c r="J69" s="45"/>
      <c r="L69" s="45"/>
      <c r="N69" s="45"/>
      <c r="P69" s="45"/>
      <c r="R69" s="45"/>
      <c r="T69" s="45" t="e">
        <f aca="false">+Standings!DJ73+Standings!DJ77+Standings!DJ80+Standings!DJ83+Standings!DJ86+Standings!DJ89+Standings!DJ92+Standings!DJ95+Standings!DJ98+Standings!DJ101+Standings!DJ104+T67</f>
        <v>#VALUE!</v>
      </c>
      <c r="V69" s="45" t="e">
        <f aca="false">+Standings!DL73+Standings!DL77+Standings!DL80+Standings!DL83+Standings!DL86+Standings!DL89+Standings!DL92+Standings!DL95+Standings!DL98+Standings!DL101+Standings!DL104+V67</f>
        <v>#VALUE!</v>
      </c>
      <c r="X69" s="45" t="e">
        <f aca="false">+Standings!DN73+Standings!DN77+Standings!DN80+Standings!DN83+Standings!DN86+Standings!DN89+Standings!DN92+Standings!DN95+Standings!DN98+Standings!DN101+Standings!DN104+X67</f>
        <v>#VALUE!</v>
      </c>
      <c r="Z69" s="45" t="e">
        <f aca="false">+Standings!DP73+Standings!DP77+Standings!DP80+Standings!DP83+Standings!DP86+Standings!DP89+Standings!DP92+Standings!DP95+Standings!DP98+Standings!DP101+Standings!DP104+Z67</f>
        <v>#VALUE!</v>
      </c>
      <c r="AB69" s="45" t="e">
        <f aca="false">+Standings!DR73+Standings!DR77+Standings!DR80+Standings!DR83+Standings!DR86+Standings!DR89+Standings!DR92+Standings!DR95+Standings!DR98+Standings!DR101+Standings!DR104+AB67</f>
        <v>#VALUE!</v>
      </c>
      <c r="AD69" s="45" t="e">
        <f aca="false">+Standings!DT73+Standings!DT77+Standings!DT80+Standings!DT83+Standings!DT86+Standings!DT89+Standings!DT92+Standings!DT95+Standings!DT98+Standings!DT101+Standings!DT104+AD67</f>
        <v>#VALUE!</v>
      </c>
      <c r="AF69" s="45" t="e">
        <f aca="false">+Standings!DV73+Standings!DV77+Standings!DV80+Standings!DV83+Standings!DV86+Standings!DV89+Standings!DV92+Standings!DV95+Standings!DV98+Standings!DV101+Standings!DV104+AF67</f>
        <v>#VALUE!</v>
      </c>
      <c r="AH69" s="45" t="e">
        <f aca="false">+Standings!DX73+Standings!DX77+Standings!DX80+Standings!DX83+Standings!DX86+Standings!DX89+Standings!DX92+Standings!DX95+Standings!DX98+Standings!DX101+Standings!DX104+AH67</f>
        <v>#VALUE!</v>
      </c>
      <c r="AJ69" s="45" t="e">
        <f aca="false">+Standings!DZ73+Standings!DZ77+Standings!DZ80+Standings!DZ83+Standings!DZ86+Standings!DZ89+Standings!DZ92+Standings!DZ95+Standings!DZ98+Standings!DZ101+Standings!DZ104+AJ67</f>
        <v>#VALUE!</v>
      </c>
      <c r="AL69" s="45" t="e">
        <f aca="false">+Standings!EB73+Standings!EB77+Standings!EB80+Standings!EB83+Standings!EB86+Standings!EB89+Standings!EB92+Standings!EB95+Standings!EB98+Standings!EB101+Standings!EB104+AL67</f>
        <v>#VALUE!</v>
      </c>
      <c r="CR69" s="42"/>
    </row>
    <row r="70" customFormat="false" ht="13.5" hidden="false" customHeight="false" outlineLevel="0" collapsed="false">
      <c r="B70" s="8"/>
      <c r="C70" s="8"/>
      <c r="CR70" s="42"/>
    </row>
  </sheetData>
  <mergeCells count="76">
    <mergeCell ref="C1:C4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D4:E4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  <mergeCell ref="Z4:AA4"/>
    <mergeCell ref="AB4:AC4"/>
    <mergeCell ref="AD4:AE4"/>
    <mergeCell ref="AF4:AG4"/>
    <mergeCell ref="AH4:AI4"/>
    <mergeCell ref="AJ4:AK4"/>
    <mergeCell ref="AL4:AM4"/>
    <mergeCell ref="D5:E5"/>
    <mergeCell ref="H5:I5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B1:EU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1015625" defaultRowHeight="13.5" zeroHeight="false" outlineLevelRow="1" outlineLevelCol="0"/>
  <cols>
    <col collapsed="false" customWidth="true" hidden="false" outlineLevel="0" max="1" min="1" style="1" width="3.09"/>
    <col collapsed="false" customWidth="true" hidden="false" outlineLevel="0" max="2" min="2" style="8" width="4.18"/>
    <col collapsed="false" customWidth="true" hidden="true" outlineLevel="0" max="3" min="3" style="8" width="5.36"/>
    <col collapsed="false" customWidth="true" hidden="true" outlineLevel="0" max="4" min="4" style="8" width="6.54"/>
    <col collapsed="false" customWidth="true" hidden="false" outlineLevel="0" max="5" min="5" style="1" width="13.54"/>
    <col collapsed="false" customWidth="true" hidden="false" outlineLevel="0" max="6" min="6" style="1" width="6"/>
    <col collapsed="false" customWidth="true" hidden="true" outlineLevel="0" max="7" min="7" style="1" width="5.64"/>
    <col collapsed="false" customWidth="true" hidden="true" outlineLevel="0" max="8" min="8" style="1" width="5.82"/>
    <col collapsed="false" customWidth="true" hidden="true" outlineLevel="0" max="9" min="9" style="1" width="5"/>
    <col collapsed="false" customWidth="true" hidden="true" outlineLevel="0" max="11" min="10" style="1" width="5.54"/>
    <col collapsed="false" customWidth="true" hidden="true" outlineLevel="0" max="12" min="12" style="1" width="4.36"/>
    <col collapsed="false" customWidth="true" hidden="true" outlineLevel="0" max="13" min="13" style="1" width="5.82"/>
    <col collapsed="false" customWidth="true" hidden="true" outlineLevel="0" max="14" min="14" style="1" width="5"/>
    <col collapsed="false" customWidth="true" hidden="true" outlineLevel="0" max="16" min="15" style="1" width="5.54"/>
    <col collapsed="false" customWidth="true" hidden="true" outlineLevel="0" max="17" min="17" style="1" width="5.64"/>
    <col collapsed="false" customWidth="true" hidden="true" outlineLevel="0" max="18" min="18" style="1" width="5.82"/>
    <col collapsed="false" customWidth="true" hidden="true" outlineLevel="0" max="19" min="19" style="1" width="5"/>
    <col collapsed="false" customWidth="true" hidden="true" outlineLevel="0" max="22" min="20" style="1" width="5.54"/>
    <col collapsed="false" customWidth="true" hidden="true" outlineLevel="0" max="23" min="23" style="1" width="5.82"/>
    <col collapsed="false" customWidth="true" hidden="true" outlineLevel="0" max="24" min="24" style="1" width="5"/>
    <col collapsed="false" customWidth="true" hidden="true" outlineLevel="0" max="26" min="25" style="1" width="5.54"/>
    <col collapsed="false" customWidth="true" hidden="true" outlineLevel="0" max="27" min="27" style="1" width="5.64"/>
    <col collapsed="false" customWidth="true" hidden="true" outlineLevel="0" max="28" min="28" style="1" width="5.82"/>
    <col collapsed="false" customWidth="true" hidden="true" outlineLevel="0" max="29" min="29" style="1" width="5"/>
    <col collapsed="false" customWidth="true" hidden="true" outlineLevel="0" max="31" min="30" style="1" width="5.54"/>
    <col collapsed="false" customWidth="true" hidden="true" outlineLevel="0" max="32" min="32" style="1" width="5.64"/>
    <col collapsed="false" customWidth="true" hidden="true" outlineLevel="0" max="33" min="33" style="1" width="5.82"/>
    <col collapsed="false" customWidth="true" hidden="true" outlineLevel="0" max="34" min="34" style="1" width="5"/>
    <col collapsed="false" customWidth="true" hidden="true" outlineLevel="0" max="36" min="35" style="1" width="5.54"/>
    <col collapsed="false" customWidth="true" hidden="true" outlineLevel="0" max="37" min="37" style="1" width="4.36"/>
    <col collapsed="false" customWidth="true" hidden="true" outlineLevel="0" max="38" min="38" style="1" width="5.82"/>
    <col collapsed="false" customWidth="true" hidden="true" outlineLevel="0" max="39" min="39" style="1" width="5"/>
    <col collapsed="false" customWidth="true" hidden="true" outlineLevel="0" max="41" min="40" style="1" width="5.54"/>
    <col collapsed="false" customWidth="true" hidden="true" outlineLevel="0" max="42" min="42" style="1" width="4.36"/>
    <col collapsed="false" customWidth="true" hidden="true" outlineLevel="0" max="43" min="43" style="1" width="5.82"/>
    <col collapsed="false" customWidth="true" hidden="true" outlineLevel="0" max="44" min="44" style="1" width="5"/>
    <col collapsed="false" customWidth="true" hidden="true" outlineLevel="0" max="46" min="45" style="1" width="5.54"/>
    <col collapsed="false" customWidth="true" hidden="true" outlineLevel="0" max="47" min="47" style="1" width="4.36"/>
    <col collapsed="false" customWidth="true" hidden="true" outlineLevel="0" max="48" min="48" style="1" width="5.82"/>
    <col collapsed="false" customWidth="true" hidden="true" outlineLevel="0" max="49" min="49" style="1" width="5"/>
    <col collapsed="false" customWidth="true" hidden="true" outlineLevel="0" max="51" min="50" style="1" width="5.54"/>
    <col collapsed="false" customWidth="true" hidden="true" outlineLevel="0" max="52" min="52" style="1" width="4.36"/>
    <col collapsed="false" customWidth="true" hidden="true" outlineLevel="0" max="53" min="53" style="1" width="5.82"/>
    <col collapsed="false" customWidth="true" hidden="true" outlineLevel="0" max="54" min="54" style="1" width="5"/>
    <col collapsed="false" customWidth="true" hidden="true" outlineLevel="0" max="56" min="55" style="1" width="5.54"/>
    <col collapsed="false" customWidth="true" hidden="true" outlineLevel="0" max="57" min="57" style="1" width="4.36"/>
    <col collapsed="false" customWidth="true" hidden="true" outlineLevel="0" max="58" min="58" style="1" width="5.82"/>
    <col collapsed="false" customWidth="true" hidden="true" outlineLevel="0" max="59" min="59" style="1" width="5"/>
    <col collapsed="false" customWidth="true" hidden="true" outlineLevel="0" max="61" min="60" style="1" width="5.54"/>
    <col collapsed="false" customWidth="true" hidden="true" outlineLevel="0" max="62" min="62" style="1" width="4.36"/>
    <col collapsed="false" customWidth="true" hidden="true" outlineLevel="0" max="63" min="63" style="1" width="5.82"/>
    <col collapsed="false" customWidth="true" hidden="true" outlineLevel="0" max="64" min="64" style="1" width="5"/>
    <col collapsed="false" customWidth="true" hidden="true" outlineLevel="0" max="66" min="65" style="1" width="5.54"/>
    <col collapsed="false" customWidth="true" hidden="true" outlineLevel="0" max="67" min="67" style="1" width="4.36"/>
    <col collapsed="false" customWidth="true" hidden="true" outlineLevel="0" max="68" min="68" style="1" width="5.82"/>
    <col collapsed="false" customWidth="true" hidden="true" outlineLevel="0" max="69" min="69" style="1" width="5"/>
    <col collapsed="false" customWidth="true" hidden="true" outlineLevel="0" max="71" min="70" style="1" width="5.54"/>
    <col collapsed="false" customWidth="true" hidden="true" outlineLevel="0" max="72" min="72" style="1" width="4.36"/>
    <col collapsed="false" customWidth="true" hidden="true" outlineLevel="0" max="73" min="73" style="1" width="5.82"/>
    <col collapsed="false" customWidth="true" hidden="true" outlineLevel="0" max="74" min="74" style="1" width="5"/>
    <col collapsed="false" customWidth="true" hidden="true" outlineLevel="0" max="76" min="75" style="1" width="5.54"/>
    <col collapsed="false" customWidth="true" hidden="true" outlineLevel="0" max="77" min="77" style="1" width="4.36"/>
    <col collapsed="false" customWidth="true" hidden="true" outlineLevel="0" max="78" min="78" style="1" width="5.82"/>
    <col collapsed="false" customWidth="true" hidden="true" outlineLevel="0" max="79" min="79" style="1" width="5"/>
    <col collapsed="false" customWidth="true" hidden="true" outlineLevel="0" max="81" min="80" style="1" width="5.54"/>
    <col collapsed="false" customWidth="true" hidden="true" outlineLevel="0" max="82" min="82" style="1" width="4.36"/>
    <col collapsed="false" customWidth="true" hidden="true" outlineLevel="0" max="83" min="83" style="1" width="5.82"/>
    <col collapsed="false" customWidth="true" hidden="true" outlineLevel="0" max="84" min="84" style="1" width="5"/>
    <col collapsed="false" customWidth="true" hidden="true" outlineLevel="0" max="86" min="85" style="1" width="5.54"/>
    <col collapsed="false" customWidth="true" hidden="true" outlineLevel="0" max="87" min="87" style="1" width="4.36"/>
    <col collapsed="false" customWidth="true" hidden="true" outlineLevel="0" max="88" min="88" style="1" width="5.82"/>
    <col collapsed="false" customWidth="true" hidden="true" outlineLevel="0" max="89" min="89" style="1" width="5"/>
    <col collapsed="false" customWidth="true" hidden="true" outlineLevel="0" max="91" min="90" style="1" width="5.54"/>
    <col collapsed="false" customWidth="true" hidden="true" outlineLevel="0" max="92" min="92" style="1" width="4.36"/>
    <col collapsed="false" customWidth="true" hidden="true" outlineLevel="0" max="93" min="93" style="1" width="5.82"/>
    <col collapsed="false" customWidth="true" hidden="true" outlineLevel="0" max="94" min="94" style="1" width="5"/>
    <col collapsed="false" customWidth="true" hidden="true" outlineLevel="0" max="96" min="95" style="1" width="5.54"/>
    <col collapsed="false" customWidth="true" hidden="false" outlineLevel="0" max="98" min="97" style="1" width="4.91"/>
    <col collapsed="false" customWidth="true" hidden="true" outlineLevel="0" max="100" min="99" style="1" width="4.91"/>
    <col collapsed="false" customWidth="true" hidden="false" outlineLevel="0" max="132" min="101" style="1" width="4.91"/>
    <col collapsed="false" customWidth="true" hidden="false" outlineLevel="0" max="133" min="133" style="1" width="7"/>
    <col collapsed="false" customWidth="true" hidden="false" outlineLevel="0" max="134" min="134" style="10" width="5.91"/>
    <col collapsed="false" customWidth="false" hidden="false" outlineLevel="0" max="137" min="135" style="1" width="8.91"/>
    <col collapsed="false" customWidth="true" hidden="false" outlineLevel="0" max="138" min="138" style="1" width="12.17"/>
    <col collapsed="false" customWidth="false" hidden="false" outlineLevel="0" max="1024" min="139" style="1" width="8.91"/>
  </cols>
  <sheetData>
    <row r="1" s="46" customFormat="true" ht="14.25" hidden="false" customHeight="true" outlineLevel="0" collapsed="false">
      <c r="B1" s="47"/>
      <c r="C1" s="47"/>
      <c r="D1" s="47"/>
      <c r="E1" s="3"/>
      <c r="F1" s="4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5" t="n">
        <v>1</v>
      </c>
      <c r="CT1" s="5"/>
      <c r="CU1" s="5" t="n">
        <f aca="false">CS1+1</f>
        <v>2</v>
      </c>
      <c r="CV1" s="5"/>
      <c r="CW1" s="5" t="n">
        <f aca="false">CU1+1</f>
        <v>3</v>
      </c>
      <c r="CX1" s="5"/>
      <c r="CY1" s="5" t="n">
        <f aca="false">CW1+1</f>
        <v>4</v>
      </c>
      <c r="CZ1" s="5"/>
      <c r="DA1" s="5" t="n">
        <f aca="false">CY1+1</f>
        <v>5</v>
      </c>
      <c r="DB1" s="5"/>
      <c r="DC1" s="5" t="n">
        <f aca="false">DA1+1</f>
        <v>6</v>
      </c>
      <c r="DD1" s="5"/>
      <c r="DE1" s="5" t="n">
        <f aca="false">DC1+1</f>
        <v>7</v>
      </c>
      <c r="DF1" s="5"/>
      <c r="DG1" s="5" t="n">
        <f aca="false">DE1+1</f>
        <v>8</v>
      </c>
      <c r="DH1" s="5"/>
      <c r="DI1" s="5" t="n">
        <f aca="false">DG1+1</f>
        <v>9</v>
      </c>
      <c r="DJ1" s="5"/>
      <c r="DK1" s="5" t="n">
        <f aca="false">DI1+1</f>
        <v>10</v>
      </c>
      <c r="DL1" s="5"/>
      <c r="DM1" s="5" t="n">
        <f aca="false">DK1+1</f>
        <v>11</v>
      </c>
      <c r="DN1" s="5"/>
      <c r="DO1" s="5" t="n">
        <f aca="false">DM1+1</f>
        <v>12</v>
      </c>
      <c r="DP1" s="5"/>
      <c r="DQ1" s="5" t="n">
        <f aca="false">DO1+1</f>
        <v>13</v>
      </c>
      <c r="DR1" s="5"/>
      <c r="DS1" s="5" t="n">
        <f aca="false">DQ1+1</f>
        <v>14</v>
      </c>
      <c r="DT1" s="5"/>
      <c r="DU1" s="5" t="n">
        <f aca="false">DS1+1</f>
        <v>15</v>
      </c>
      <c r="DV1" s="5"/>
      <c r="DW1" s="5" t="n">
        <f aca="false">DU1+1</f>
        <v>16</v>
      </c>
      <c r="DX1" s="5"/>
      <c r="DY1" s="5" t="n">
        <f aca="false">DW1+1</f>
        <v>17</v>
      </c>
      <c r="DZ1" s="5"/>
      <c r="EA1" s="5" t="n">
        <f aca="false">DY1+1</f>
        <v>18</v>
      </c>
      <c r="EB1" s="5"/>
      <c r="EC1" s="3"/>
      <c r="ED1" s="6"/>
    </row>
    <row r="2" customFormat="false" ht="13.5" hidden="false" customHeight="false" outlineLevel="0" collapsed="false">
      <c r="E2" s="7" t="s">
        <v>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8" t="s">
        <v>2</v>
      </c>
      <c r="CT2" s="8"/>
      <c r="CU2" s="8" t="s">
        <v>3</v>
      </c>
      <c r="CV2" s="8"/>
      <c r="CW2" s="8" t="s">
        <v>4</v>
      </c>
      <c r="CX2" s="8"/>
      <c r="CY2" s="8" t="s">
        <v>5</v>
      </c>
      <c r="CZ2" s="8"/>
      <c r="DA2" s="8" t="s">
        <v>6</v>
      </c>
      <c r="DB2" s="8"/>
      <c r="DC2" s="8" t="s">
        <v>7</v>
      </c>
      <c r="DD2" s="8"/>
      <c r="DE2" s="8" t="s">
        <v>8</v>
      </c>
      <c r="DF2" s="8"/>
      <c r="DG2" s="8" t="s">
        <v>9</v>
      </c>
      <c r="DH2" s="8"/>
      <c r="DI2" s="8" t="s">
        <v>10</v>
      </c>
      <c r="DJ2" s="8"/>
      <c r="DK2" s="8" t="s">
        <v>11</v>
      </c>
      <c r="DL2" s="8"/>
      <c r="DM2" s="8" t="s">
        <v>12</v>
      </c>
      <c r="DN2" s="8"/>
      <c r="DO2" s="8" t="s">
        <v>13</v>
      </c>
      <c r="DP2" s="8"/>
      <c r="DQ2" s="8" t="s">
        <v>14</v>
      </c>
      <c r="DR2" s="8"/>
      <c r="DS2" s="8" t="s">
        <v>15</v>
      </c>
      <c r="DT2" s="8"/>
      <c r="DU2" s="8" t="s">
        <v>16</v>
      </c>
      <c r="DV2" s="8"/>
      <c r="DW2" s="8" t="s">
        <v>17</v>
      </c>
      <c r="DX2" s="8"/>
      <c r="DY2" s="8" t="s">
        <v>18</v>
      </c>
      <c r="DZ2" s="8"/>
      <c r="EA2" s="8" t="s">
        <v>19</v>
      </c>
      <c r="EB2" s="8"/>
      <c r="EC2" s="9" t="s">
        <v>20</v>
      </c>
      <c r="ED2" s="10" t="s">
        <v>21</v>
      </c>
    </row>
    <row r="3" customFormat="false" ht="23.25" hidden="false" customHeight="true" outlineLevel="0" collapsed="false">
      <c r="E3" s="7" t="s">
        <v>22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11" t="s">
        <v>23</v>
      </c>
      <c r="CT3" s="11"/>
      <c r="CU3" s="11" t="s">
        <v>24</v>
      </c>
      <c r="CV3" s="11"/>
      <c r="CW3" s="11" t="s">
        <v>25</v>
      </c>
      <c r="CX3" s="11"/>
      <c r="CY3" s="11" t="s">
        <v>26</v>
      </c>
      <c r="CZ3" s="11"/>
      <c r="DA3" s="11" t="s">
        <v>24</v>
      </c>
      <c r="DB3" s="11"/>
      <c r="DC3" s="11" t="s">
        <v>23</v>
      </c>
      <c r="DD3" s="11"/>
      <c r="DE3" s="11" t="s">
        <v>25</v>
      </c>
      <c r="DF3" s="11"/>
      <c r="DG3" s="11" t="s">
        <v>26</v>
      </c>
      <c r="DH3" s="11"/>
      <c r="DI3" s="11" t="s">
        <v>24</v>
      </c>
      <c r="DJ3" s="11"/>
      <c r="DK3" s="11" t="s">
        <v>23</v>
      </c>
      <c r="DL3" s="11"/>
      <c r="DM3" s="11" t="s">
        <v>25</v>
      </c>
      <c r="DN3" s="11"/>
      <c r="DO3" s="11" t="s">
        <v>26</v>
      </c>
      <c r="DP3" s="11"/>
      <c r="DQ3" s="11" t="s">
        <v>24</v>
      </c>
      <c r="DR3" s="11"/>
      <c r="DS3" s="11" t="s">
        <v>23</v>
      </c>
      <c r="DT3" s="11"/>
      <c r="DU3" s="11" t="s">
        <v>25</v>
      </c>
      <c r="DV3" s="11"/>
      <c r="DW3" s="11" t="s">
        <v>26</v>
      </c>
      <c r="DX3" s="11"/>
      <c r="DY3" s="11" t="s">
        <v>24</v>
      </c>
      <c r="DZ3" s="11"/>
      <c r="EA3" s="11" t="s">
        <v>23</v>
      </c>
      <c r="EB3" s="11"/>
      <c r="EC3" s="11"/>
      <c r="ED3" s="11"/>
      <c r="EE3" s="11"/>
      <c r="EF3" s="11"/>
    </row>
    <row r="4" s="10" customFormat="true" ht="39" hidden="false" customHeight="true" outlineLevel="0" collapsed="false">
      <c r="B4" s="8"/>
      <c r="C4" s="8"/>
      <c r="D4" s="8"/>
      <c r="E4" s="12" t="s">
        <v>27</v>
      </c>
      <c r="F4" s="4"/>
      <c r="G4" s="48" t="n">
        <v>44680</v>
      </c>
      <c r="H4" s="4"/>
      <c r="I4" s="4"/>
      <c r="J4" s="4"/>
      <c r="K4" s="4"/>
      <c r="L4" s="48" t="n">
        <v>44687</v>
      </c>
      <c r="M4" s="4"/>
      <c r="N4" s="4"/>
      <c r="O4" s="4"/>
      <c r="P4" s="4"/>
      <c r="Q4" s="48" t="n">
        <v>44694</v>
      </c>
      <c r="R4" s="4"/>
      <c r="S4" s="4"/>
      <c r="T4" s="4"/>
      <c r="U4" s="4"/>
      <c r="V4" s="48" t="n">
        <v>44701</v>
      </c>
      <c r="W4" s="4"/>
      <c r="X4" s="4"/>
      <c r="Y4" s="4"/>
      <c r="Z4" s="4"/>
      <c r="AA4" s="48" t="n">
        <v>44708</v>
      </c>
      <c r="AB4" s="4"/>
      <c r="AC4" s="4"/>
      <c r="AD4" s="4"/>
      <c r="AE4" s="4"/>
      <c r="AF4" s="48" t="n">
        <v>44715</v>
      </c>
      <c r="AG4" s="4"/>
      <c r="AH4" s="4"/>
      <c r="AI4" s="4"/>
      <c r="AJ4" s="4"/>
      <c r="AK4" s="48" t="n">
        <v>44729</v>
      </c>
      <c r="AL4" s="4"/>
      <c r="AM4" s="4"/>
      <c r="AN4" s="4"/>
      <c r="AO4" s="4"/>
      <c r="AP4" s="48" t="n">
        <v>44736</v>
      </c>
      <c r="AQ4" s="4"/>
      <c r="AR4" s="4"/>
      <c r="AS4" s="4"/>
      <c r="AT4" s="4"/>
      <c r="AU4" s="48" t="n">
        <v>44743</v>
      </c>
      <c r="AV4" s="4"/>
      <c r="AW4" s="4"/>
      <c r="AX4" s="4"/>
      <c r="AY4" s="4"/>
      <c r="AZ4" s="48" t="n">
        <v>44750</v>
      </c>
      <c r="BA4" s="4"/>
      <c r="BB4" s="4"/>
      <c r="BC4" s="4"/>
      <c r="BD4" s="4"/>
      <c r="BE4" s="48" t="n">
        <v>44757</v>
      </c>
      <c r="BF4" s="4"/>
      <c r="BG4" s="4"/>
      <c r="BH4" s="4"/>
      <c r="BI4" s="4"/>
      <c r="BJ4" s="48" t="n">
        <v>44764</v>
      </c>
      <c r="BK4" s="4"/>
      <c r="BL4" s="4"/>
      <c r="BM4" s="4"/>
      <c r="BN4" s="4"/>
      <c r="BO4" s="48" t="n">
        <v>44771</v>
      </c>
      <c r="BP4" s="4"/>
      <c r="BQ4" s="4"/>
      <c r="BR4" s="4"/>
      <c r="BS4" s="4"/>
      <c r="BT4" s="48" t="n">
        <v>44778</v>
      </c>
      <c r="BU4" s="4"/>
      <c r="BV4" s="4"/>
      <c r="BW4" s="4"/>
      <c r="BX4" s="4"/>
      <c r="BY4" s="48" t="n">
        <v>44785</v>
      </c>
      <c r="BZ4" s="4"/>
      <c r="CA4" s="4"/>
      <c r="CB4" s="4"/>
      <c r="CC4" s="4"/>
      <c r="CD4" s="48" t="n">
        <v>44792</v>
      </c>
      <c r="CE4" s="4"/>
      <c r="CF4" s="4"/>
      <c r="CG4" s="4"/>
      <c r="CH4" s="4"/>
      <c r="CI4" s="48" t="n">
        <v>44799</v>
      </c>
      <c r="CJ4" s="4"/>
      <c r="CK4" s="4"/>
      <c r="CL4" s="4"/>
      <c r="CM4" s="4"/>
      <c r="CN4" s="48" t="n">
        <v>44806</v>
      </c>
      <c r="CO4" s="4"/>
      <c r="CP4" s="4"/>
      <c r="CQ4" s="4"/>
      <c r="CR4" s="4"/>
      <c r="CS4" s="13" t="s">
        <v>28</v>
      </c>
      <c r="CT4" s="13"/>
      <c r="CU4" s="13"/>
      <c r="CV4" s="13"/>
      <c r="CW4" s="14" t="s">
        <v>29</v>
      </c>
      <c r="CX4" s="14"/>
      <c r="CY4" s="14" t="s">
        <v>30</v>
      </c>
      <c r="CZ4" s="14"/>
      <c r="DA4" s="14" t="s">
        <v>31</v>
      </c>
      <c r="DB4" s="14"/>
      <c r="DC4" s="14" t="s">
        <v>32</v>
      </c>
      <c r="DD4" s="14"/>
      <c r="DE4" s="13" t="s">
        <v>33</v>
      </c>
      <c r="DF4" s="13"/>
      <c r="DG4" s="15" t="s">
        <v>34</v>
      </c>
      <c r="DH4" s="15"/>
      <c r="DI4" s="14" t="s">
        <v>35</v>
      </c>
      <c r="DJ4" s="14"/>
      <c r="DK4" s="13" t="s">
        <v>36</v>
      </c>
      <c r="DL4" s="13"/>
      <c r="DM4" s="13"/>
      <c r="DN4" s="13"/>
      <c r="DO4" s="14"/>
      <c r="DP4" s="14"/>
      <c r="DQ4" s="13"/>
      <c r="DR4" s="13"/>
      <c r="DS4" s="13"/>
      <c r="DT4" s="13"/>
      <c r="DU4" s="16"/>
      <c r="DV4" s="16"/>
      <c r="DW4" s="16"/>
      <c r="DX4" s="16"/>
      <c r="DY4" s="13"/>
      <c r="DZ4" s="13"/>
      <c r="EA4" s="13"/>
      <c r="EB4" s="13"/>
      <c r="EC4" s="17"/>
    </row>
    <row r="5" s="10" customFormat="true" ht="14.25" hidden="false" customHeight="true" outlineLevel="0" collapsed="false">
      <c r="B5" s="8"/>
      <c r="C5" s="8"/>
      <c r="D5" s="8"/>
      <c r="E5" s="18" t="s">
        <v>37</v>
      </c>
      <c r="F5" s="18"/>
      <c r="G5" s="18" t="s">
        <v>64</v>
      </c>
      <c r="H5" s="18" t="s">
        <v>65</v>
      </c>
      <c r="I5" s="18" t="s">
        <v>66</v>
      </c>
      <c r="J5" s="18" t="s">
        <v>67</v>
      </c>
      <c r="K5" s="18" t="s">
        <v>68</v>
      </c>
      <c r="L5" s="18" t="s">
        <v>64</v>
      </c>
      <c r="M5" s="18" t="s">
        <v>65</v>
      </c>
      <c r="N5" s="18" t="s">
        <v>66</v>
      </c>
      <c r="O5" s="18" t="s">
        <v>67</v>
      </c>
      <c r="P5" s="18" t="s">
        <v>68</v>
      </c>
      <c r="Q5" s="18" t="s">
        <v>64</v>
      </c>
      <c r="R5" s="18" t="s">
        <v>65</v>
      </c>
      <c r="S5" s="18" t="s">
        <v>66</v>
      </c>
      <c r="T5" s="18" t="s">
        <v>67</v>
      </c>
      <c r="U5" s="18" t="s">
        <v>68</v>
      </c>
      <c r="V5" s="18" t="s">
        <v>64</v>
      </c>
      <c r="W5" s="18" t="s">
        <v>65</v>
      </c>
      <c r="X5" s="18" t="s">
        <v>66</v>
      </c>
      <c r="Y5" s="18" t="s">
        <v>67</v>
      </c>
      <c r="Z5" s="18" t="s">
        <v>68</v>
      </c>
      <c r="AA5" s="18" t="s">
        <v>64</v>
      </c>
      <c r="AB5" s="18" t="s">
        <v>65</v>
      </c>
      <c r="AC5" s="18" t="s">
        <v>66</v>
      </c>
      <c r="AD5" s="18" t="s">
        <v>67</v>
      </c>
      <c r="AE5" s="18" t="s">
        <v>68</v>
      </c>
      <c r="AF5" s="18" t="s">
        <v>64</v>
      </c>
      <c r="AG5" s="18" t="s">
        <v>65</v>
      </c>
      <c r="AH5" s="18" t="s">
        <v>66</v>
      </c>
      <c r="AI5" s="18" t="s">
        <v>67</v>
      </c>
      <c r="AJ5" s="18" t="s">
        <v>68</v>
      </c>
      <c r="AK5" s="18" t="s">
        <v>64</v>
      </c>
      <c r="AL5" s="18" t="s">
        <v>65</v>
      </c>
      <c r="AM5" s="18" t="s">
        <v>66</v>
      </c>
      <c r="AN5" s="18" t="s">
        <v>67</v>
      </c>
      <c r="AO5" s="18" t="s">
        <v>68</v>
      </c>
      <c r="AP5" s="18" t="s">
        <v>64</v>
      </c>
      <c r="AQ5" s="18" t="s">
        <v>65</v>
      </c>
      <c r="AR5" s="18" t="s">
        <v>66</v>
      </c>
      <c r="AS5" s="18" t="s">
        <v>67</v>
      </c>
      <c r="AT5" s="18" t="s">
        <v>68</v>
      </c>
      <c r="AU5" s="18" t="s">
        <v>64</v>
      </c>
      <c r="AV5" s="18" t="s">
        <v>65</v>
      </c>
      <c r="AW5" s="18" t="s">
        <v>66</v>
      </c>
      <c r="AX5" s="18" t="s">
        <v>67</v>
      </c>
      <c r="AY5" s="18" t="s">
        <v>68</v>
      </c>
      <c r="AZ5" s="18" t="s">
        <v>64</v>
      </c>
      <c r="BA5" s="18" t="s">
        <v>65</v>
      </c>
      <c r="BB5" s="18" t="s">
        <v>66</v>
      </c>
      <c r="BC5" s="18" t="s">
        <v>67</v>
      </c>
      <c r="BD5" s="18" t="s">
        <v>68</v>
      </c>
      <c r="BE5" s="18" t="s">
        <v>64</v>
      </c>
      <c r="BF5" s="18" t="s">
        <v>65</v>
      </c>
      <c r="BG5" s="18" t="s">
        <v>66</v>
      </c>
      <c r="BH5" s="18" t="s">
        <v>67</v>
      </c>
      <c r="BI5" s="18" t="s">
        <v>68</v>
      </c>
      <c r="BJ5" s="18" t="s">
        <v>64</v>
      </c>
      <c r="BK5" s="18" t="s">
        <v>65</v>
      </c>
      <c r="BL5" s="18" t="s">
        <v>66</v>
      </c>
      <c r="BM5" s="18" t="s">
        <v>67</v>
      </c>
      <c r="BN5" s="18" t="s">
        <v>68</v>
      </c>
      <c r="BO5" s="18" t="s">
        <v>64</v>
      </c>
      <c r="BP5" s="18" t="s">
        <v>65</v>
      </c>
      <c r="BQ5" s="18" t="s">
        <v>66</v>
      </c>
      <c r="BR5" s="18" t="s">
        <v>67</v>
      </c>
      <c r="BS5" s="18" t="s">
        <v>68</v>
      </c>
      <c r="BT5" s="18" t="s">
        <v>64</v>
      </c>
      <c r="BU5" s="18" t="s">
        <v>65</v>
      </c>
      <c r="BV5" s="18" t="s">
        <v>66</v>
      </c>
      <c r="BW5" s="18" t="s">
        <v>67</v>
      </c>
      <c r="BX5" s="18" t="s">
        <v>68</v>
      </c>
      <c r="BY5" s="18" t="s">
        <v>64</v>
      </c>
      <c r="BZ5" s="18" t="s">
        <v>65</v>
      </c>
      <c r="CA5" s="18" t="s">
        <v>66</v>
      </c>
      <c r="CB5" s="18" t="s">
        <v>67</v>
      </c>
      <c r="CC5" s="18" t="s">
        <v>68</v>
      </c>
      <c r="CD5" s="18" t="s">
        <v>64</v>
      </c>
      <c r="CE5" s="18" t="s">
        <v>65</v>
      </c>
      <c r="CF5" s="18" t="s">
        <v>66</v>
      </c>
      <c r="CG5" s="18" t="s">
        <v>67</v>
      </c>
      <c r="CH5" s="18" t="s">
        <v>68</v>
      </c>
      <c r="CI5" s="18" t="s">
        <v>64</v>
      </c>
      <c r="CJ5" s="18" t="s">
        <v>65</v>
      </c>
      <c r="CK5" s="18" t="s">
        <v>66</v>
      </c>
      <c r="CL5" s="18" t="s">
        <v>67</v>
      </c>
      <c r="CM5" s="18" t="s">
        <v>68</v>
      </c>
      <c r="CN5" s="18" t="s">
        <v>64</v>
      </c>
      <c r="CO5" s="18" t="s">
        <v>65</v>
      </c>
      <c r="CP5" s="18" t="s">
        <v>66</v>
      </c>
      <c r="CQ5" s="18" t="s">
        <v>67</v>
      </c>
      <c r="CR5" s="18" t="s">
        <v>68</v>
      </c>
      <c r="CS5" s="13" t="s">
        <v>38</v>
      </c>
      <c r="CT5" s="13"/>
      <c r="CU5" s="10" t="s">
        <v>39</v>
      </c>
      <c r="CW5" s="13" t="s">
        <v>40</v>
      </c>
      <c r="CX5" s="13"/>
      <c r="CY5" s="13" t="s">
        <v>41</v>
      </c>
      <c r="CZ5" s="13"/>
      <c r="DA5" s="13" t="s">
        <v>38</v>
      </c>
      <c r="DB5" s="13"/>
      <c r="DC5" s="13" t="s">
        <v>40</v>
      </c>
      <c r="DD5" s="13"/>
      <c r="DE5" s="13" t="s">
        <v>41</v>
      </c>
      <c r="DF5" s="13"/>
      <c r="DG5" s="13" t="s">
        <v>38</v>
      </c>
      <c r="DH5" s="13"/>
      <c r="DI5" s="13" t="s">
        <v>40</v>
      </c>
      <c r="DJ5" s="13"/>
      <c r="DK5" s="13" t="s">
        <v>41</v>
      </c>
      <c r="DL5" s="13"/>
      <c r="DM5" s="13" t="s">
        <v>38</v>
      </c>
      <c r="DN5" s="13"/>
      <c r="DO5" s="13" t="s">
        <v>40</v>
      </c>
      <c r="DP5" s="13"/>
      <c r="DQ5" s="13" t="s">
        <v>41</v>
      </c>
      <c r="DR5" s="13"/>
      <c r="DS5" s="13" t="s">
        <v>38</v>
      </c>
      <c r="DT5" s="13"/>
      <c r="DU5" s="13" t="s">
        <v>40</v>
      </c>
      <c r="DV5" s="13"/>
      <c r="DW5" s="13" t="s">
        <v>41</v>
      </c>
      <c r="DX5" s="13"/>
      <c r="DY5" s="13" t="s">
        <v>38</v>
      </c>
      <c r="DZ5" s="13"/>
      <c r="EA5" s="13" t="s">
        <v>40</v>
      </c>
      <c r="EB5" s="13"/>
      <c r="EC5" s="13"/>
      <c r="ED5" s="13"/>
    </row>
    <row r="6" customFormat="false" ht="13.5" hidden="false" customHeight="false" outlineLevel="0" collapsed="false">
      <c r="B6" s="8" t="n">
        <f aca="false">_xlfn.RANK.EQ(C6,$C$6:$C$63,)</f>
        <v>1</v>
      </c>
      <c r="C6" s="43" t="n">
        <f aca="false">EC6</f>
        <v>226.5</v>
      </c>
      <c r="D6" s="43" t="s">
        <v>69</v>
      </c>
      <c r="E6" s="19" t="s">
        <v>42</v>
      </c>
      <c r="F6" s="20" t="n">
        <f aca="false">COUNT(CT6,CV6,CX6,CZ6,DB6,DD6,DF6,DH6,DJ6,DL6,DN6,DP6,DR6,DT6,DV6,DX6,DZ6,EB6)</f>
        <v>8</v>
      </c>
      <c r="G6" s="49" t="n">
        <f aca="false">IF(CT6=0,"",CT6)</f>
        <v>36</v>
      </c>
      <c r="H6" s="49"/>
      <c r="I6" s="49"/>
      <c r="K6" s="49"/>
      <c r="L6" s="49" t="str">
        <f aca="false">IF(CV6=0,"",CV6)</f>
        <v/>
      </c>
      <c r="M6" s="49"/>
      <c r="N6" s="49"/>
      <c r="P6" s="49"/>
      <c r="Q6" s="49" t="n">
        <f aca="false">IF(CX6=0,"",CX6)</f>
        <v>26.5</v>
      </c>
      <c r="R6" s="49"/>
      <c r="S6" s="49"/>
      <c r="U6" s="49"/>
      <c r="V6" s="49" t="str">
        <f aca="false">IF(CZ6=0,"",CZ6)</f>
        <v/>
      </c>
      <c r="W6" s="49"/>
      <c r="X6" s="49"/>
      <c r="Z6" s="49"/>
      <c r="AA6" s="49" t="n">
        <f aca="false">IF(DB6=0,"",DB6)</f>
        <v>31</v>
      </c>
      <c r="AB6" s="49"/>
      <c r="AC6" s="49"/>
      <c r="AE6" s="49"/>
      <c r="AF6" s="49" t="n">
        <f aca="false">IF(DD6=0,"",DD6)</f>
        <v>23</v>
      </c>
      <c r="AG6" s="49"/>
      <c r="AH6" s="49"/>
      <c r="AJ6" s="49"/>
      <c r="AK6" s="49" t="n">
        <f aca="false">IF(DF6=0,"",DF6)</f>
        <v>26.5</v>
      </c>
      <c r="AL6" s="49"/>
      <c r="AM6" s="49"/>
      <c r="AO6" s="49"/>
      <c r="AP6" s="49" t="n">
        <f aca="false">IF(DH6=0,"",DH6)</f>
        <v>25.5</v>
      </c>
      <c r="AQ6" s="49"/>
      <c r="AR6" s="49"/>
      <c r="AT6" s="49"/>
      <c r="AU6" s="49" t="n">
        <f aca="false">IF(DJ6=0,"",DJ6)</f>
        <v>28.5</v>
      </c>
      <c r="AV6" s="49"/>
      <c r="AW6" s="49"/>
      <c r="AY6" s="49"/>
      <c r="AZ6" s="49" t="n">
        <f aca="false">IF(DL6=0,"",DL6)</f>
        <v>29.5</v>
      </c>
      <c r="BA6" s="49"/>
      <c r="BB6" s="49"/>
      <c r="BD6" s="49"/>
      <c r="BE6" s="49" t="str">
        <f aca="false">IF(DN6=0,"",DN6)</f>
        <v/>
      </c>
      <c r="BF6" s="49"/>
      <c r="BG6" s="49"/>
      <c r="BI6" s="49"/>
      <c r="BJ6" s="49" t="str">
        <f aca="false">IF(DP6=0,"",DP6)</f>
        <v/>
      </c>
      <c r="BK6" s="49"/>
      <c r="BL6" s="49"/>
      <c r="BN6" s="49"/>
      <c r="BO6" s="49" t="str">
        <f aca="false">IF(DR6=0,"",DR6)</f>
        <v/>
      </c>
      <c r="BP6" s="49"/>
      <c r="BQ6" s="49"/>
      <c r="BS6" s="49"/>
      <c r="BT6" s="49" t="str">
        <f aca="false">IF(DT6=0,"",DT6)</f>
        <v/>
      </c>
      <c r="BU6" s="49"/>
      <c r="BV6" s="49"/>
      <c r="BX6" s="49"/>
      <c r="BY6" s="49" t="str">
        <f aca="false">IF(DV6=0,"",DV6)</f>
        <v/>
      </c>
      <c r="BZ6" s="49"/>
      <c r="CA6" s="49"/>
      <c r="CC6" s="49"/>
      <c r="CD6" s="49" t="str">
        <f aca="false">IF(DX6=0,"",DX6)</f>
        <v/>
      </c>
      <c r="CE6" s="49"/>
      <c r="CF6" s="49"/>
      <c r="CH6" s="49"/>
      <c r="CI6" s="49" t="str">
        <f aca="false">IF(DZ6=0,"",DZ6)</f>
        <v/>
      </c>
      <c r="CJ6" s="49"/>
      <c r="CK6" s="49"/>
      <c r="CM6" s="49"/>
      <c r="CN6" s="49" t="str">
        <f aca="false">IF(EB6=0,"",EB6)</f>
        <v/>
      </c>
      <c r="CO6" s="49"/>
      <c r="CP6" s="49"/>
      <c r="CR6" s="49"/>
      <c r="CS6" s="21" t="n">
        <v>77</v>
      </c>
      <c r="CT6" s="22" t="n">
        <f aca="false">IFERROR(CT7+CT8,"")</f>
        <v>36</v>
      </c>
      <c r="CU6" s="21"/>
      <c r="CV6" s="22" t="str">
        <f aca="false">IFERROR(CV7+CV8,"")</f>
        <v/>
      </c>
      <c r="CW6" s="21" t="n">
        <v>83</v>
      </c>
      <c r="CX6" s="22" t="n">
        <f aca="false">IFERROR(CX7+CX8,"")</f>
        <v>26.5</v>
      </c>
      <c r="CY6" s="21"/>
      <c r="CZ6" s="22" t="str">
        <f aca="false">IFERROR(CZ7+CZ8,"")</f>
        <v/>
      </c>
      <c r="DA6" s="21" t="n">
        <v>85</v>
      </c>
      <c r="DB6" s="22" t="n">
        <f aca="false">IFERROR(DB7+DB8,"")</f>
        <v>31</v>
      </c>
      <c r="DC6" s="21" t="n">
        <v>85</v>
      </c>
      <c r="DD6" s="22" t="n">
        <f aca="false">IFERROR(DD7+DD8,"")</f>
        <v>23</v>
      </c>
      <c r="DE6" s="21" t="n">
        <v>80</v>
      </c>
      <c r="DF6" s="22" t="n">
        <f aca="false">IFERROR(DF7+DF8,"")</f>
        <v>26.5</v>
      </c>
      <c r="DG6" s="21" t="n">
        <v>79</v>
      </c>
      <c r="DH6" s="22" t="n">
        <f aca="false">IFERROR(DH7+DH8,"")</f>
        <v>25.5</v>
      </c>
      <c r="DI6" s="21" t="n">
        <v>80</v>
      </c>
      <c r="DJ6" s="22" t="n">
        <f aca="false">IFERROR(DJ7+DJ8,"")</f>
        <v>28.5</v>
      </c>
      <c r="DK6" s="21" t="n">
        <v>75</v>
      </c>
      <c r="DL6" s="22" t="n">
        <f aca="false">IFERROR(DL7+DL8,"")</f>
        <v>29.5</v>
      </c>
      <c r="DM6" s="21"/>
      <c r="DN6" s="22" t="str">
        <f aca="false">IFERROR(DN7+DN8,"")</f>
        <v/>
      </c>
      <c r="DO6" s="21"/>
      <c r="DP6" s="22" t="str">
        <f aca="false">IFERROR(DP7+DP8,"")</f>
        <v/>
      </c>
      <c r="DQ6" s="21"/>
      <c r="DR6" s="22" t="str">
        <f aca="false">IFERROR(DR7+DR8,"")</f>
        <v/>
      </c>
      <c r="DS6" s="21"/>
      <c r="DT6" s="22" t="str">
        <f aca="false">IFERROR(DT7+DT8,"")</f>
        <v/>
      </c>
      <c r="DU6" s="21"/>
      <c r="DV6" s="22" t="str">
        <f aca="false">IFERROR(DV7+DV8,"")</f>
        <v/>
      </c>
      <c r="DW6" s="21"/>
      <c r="DX6" s="22" t="str">
        <f aca="false">IFERROR(DX7+DX8,"")</f>
        <v/>
      </c>
      <c r="DY6" s="21"/>
      <c r="DZ6" s="22" t="str">
        <f aca="false">IFERROR(DZ7+DZ8,"")</f>
        <v/>
      </c>
      <c r="EA6" s="21"/>
      <c r="EB6" s="22" t="str">
        <f aca="false">IFERROR(EB7+EB8,"")</f>
        <v/>
      </c>
      <c r="EC6" s="17" t="n">
        <f aca="false">IFERROR(LARGE($G6:$CN6,1),0)+IFERROR(LARGE($G6:$CN6,2),0)+IFERROR(LARGE($G6:$CN6,3),0)+IFERROR(LARGE($G6:$CN6,4),0)+IFERROR(LARGE($G6:$CN6,5),0)+IFERROR(LARGE($G6:$CN6,6),0)+IFERROR(LARGE($G6:$CN6,7),0)+IFERROR(LARGE($G6:$CN6,8),0)+IFERROR(LARGE($G6:$CN6,9),0)+IFERROR(LARGE($G6:$CN6,10),0)</f>
        <v>226.5</v>
      </c>
      <c r="ED6" s="23" t="n">
        <f aca="false">AVERAGE(CT6,CV6,CX6,CZ6,DB6,DD6,DF6,DH6,DJ6,DL6,DN6,DP6,DR6,DT6,DV6,DX6,DZ6,EB6)</f>
        <v>28.3125</v>
      </c>
      <c r="EG6" s="50"/>
      <c r="EH6" s="50"/>
      <c r="EI6" s="50"/>
      <c r="EJ6" s="50"/>
    </row>
    <row r="7" s="1" customFormat="true" ht="13.5" hidden="false" customHeight="false" outlineLevel="1" collapsed="false">
      <c r="B7" s="24" t="n">
        <f aca="false">B6+0.13</f>
        <v>1.13</v>
      </c>
      <c r="D7" s="51" t="s">
        <v>70</v>
      </c>
      <c r="E7" s="7" t="s">
        <v>43</v>
      </c>
      <c r="F7" s="7"/>
      <c r="G7" s="7"/>
      <c r="H7" s="7" t="n">
        <f aca="false">IF(CS7=0,"",CS7)</f>
        <v>40</v>
      </c>
      <c r="I7" s="7"/>
      <c r="J7" s="49" t="n">
        <f aca="false">IFERROR(RANK(H7,H$6:H$116,0),"")</f>
        <v>1</v>
      </c>
      <c r="K7" s="7"/>
      <c r="L7" s="7"/>
      <c r="M7" s="7" t="str">
        <f aca="false">IF(CU7=0,"",CU7)</f>
        <v/>
      </c>
      <c r="N7" s="7"/>
      <c r="O7" s="49" t="str">
        <f aca="false">IFERROR(RANK(M7,M$6:M$116,0),"")</f>
        <v/>
      </c>
      <c r="P7" s="7"/>
      <c r="Q7" s="7"/>
      <c r="R7" s="7" t="n">
        <f aca="false">IF(CW7=0,"",CW7)</f>
        <v>37</v>
      </c>
      <c r="S7" s="7"/>
      <c r="T7" s="49" t="n">
        <f aca="false">IFERROR(RANK(R7,R$6:R$116,0),"")</f>
        <v>3</v>
      </c>
      <c r="U7" s="7"/>
      <c r="V7" s="7"/>
      <c r="W7" s="7" t="str">
        <f aca="false">IF(CY7=0,"",CY7)</f>
        <v/>
      </c>
      <c r="X7" s="7"/>
      <c r="Y7" s="49" t="str">
        <f aca="false">IFERROR(RANK(W7,W$6:W$116,0),"")</f>
        <v/>
      </c>
      <c r="Z7" s="7"/>
      <c r="AA7" s="7"/>
      <c r="AB7" s="7" t="n">
        <f aca="false">IF(DA7=0,"",DA7)</f>
        <v>33</v>
      </c>
      <c r="AC7" s="7"/>
      <c r="AD7" s="49" t="n">
        <f aca="false">IFERROR(RANK(AB7,AB$6:AB$116,0),"")</f>
        <v>4</v>
      </c>
      <c r="AE7" s="7"/>
      <c r="AF7" s="7"/>
      <c r="AG7" s="7" t="n">
        <f aca="false">IF(DC7=0,"",DC7)</f>
        <v>35</v>
      </c>
      <c r="AH7" s="7"/>
      <c r="AI7" s="49" t="n">
        <f aca="false">IFERROR(RANK(AG7,AG$6:AG$116,0),"")</f>
        <v>5</v>
      </c>
      <c r="AJ7" s="7"/>
      <c r="AK7" s="7"/>
      <c r="AL7" s="7" t="n">
        <f aca="false">IF(DE7=0,"",DE7)</f>
        <v>34</v>
      </c>
      <c r="AM7" s="7"/>
      <c r="AN7" s="49" t="n">
        <f aca="false">IFERROR(RANK(AL7,AL$6:AL$116,0),"")</f>
        <v>5</v>
      </c>
      <c r="AO7" s="7"/>
      <c r="AP7" s="7"/>
      <c r="AQ7" s="7" t="n">
        <f aca="false">IF(DG7=0,"",DG7)</f>
        <v>37</v>
      </c>
      <c r="AR7" s="7"/>
      <c r="AS7" s="49" t="n">
        <f aca="false">IFERROR(RANK(AQ7,AQ$6:AQ$116,0),"")</f>
        <v>2</v>
      </c>
      <c r="AT7" s="7"/>
      <c r="AU7" s="7"/>
      <c r="AV7" s="7" t="n">
        <f aca="false">IF(DI7=0,"",DI7)</f>
        <v>38</v>
      </c>
      <c r="AW7" s="7"/>
      <c r="AX7" s="49" t="n">
        <f aca="false">IFERROR(RANK(AV7,AV$6:AV$116,0),"")</f>
        <v>3</v>
      </c>
      <c r="AY7" s="7"/>
      <c r="AZ7" s="7"/>
      <c r="BA7" s="7" t="n">
        <f aca="false">IF(DK7=0,"",DK7)</f>
        <v>37</v>
      </c>
      <c r="BB7" s="7"/>
      <c r="BC7" s="49" t="n">
        <f aca="false">IFERROR(RANK(BA7,BA$6:BA$116,0),"")</f>
        <v>1</v>
      </c>
      <c r="BD7" s="7"/>
      <c r="BE7" s="7"/>
      <c r="BF7" s="7" t="str">
        <f aca="false">IF(DM7=0,"",DM7)</f>
        <v/>
      </c>
      <c r="BG7" s="7"/>
      <c r="BH7" s="49" t="str">
        <f aca="false">IFERROR(RANK(BF7,BF$6:BF$116,0),"")</f>
        <v/>
      </c>
      <c r="BI7" s="7"/>
      <c r="BJ7" s="7"/>
      <c r="BK7" s="7" t="str">
        <f aca="false">IF(DO7=0,"",DO7)</f>
        <v/>
      </c>
      <c r="BL7" s="7"/>
      <c r="BM7" s="49" t="str">
        <f aca="false">IFERROR(RANK(BK7,BK$6:BK$116,0),"")</f>
        <v/>
      </c>
      <c r="BN7" s="7"/>
      <c r="BO7" s="7"/>
      <c r="BP7" s="7" t="str">
        <f aca="false">IF(DQ7=0,"",DQ7)</f>
        <v/>
      </c>
      <c r="BQ7" s="7"/>
      <c r="BR7" s="49" t="str">
        <f aca="false">IFERROR(RANK(BP7,BP$6:BP$116,0),"")</f>
        <v/>
      </c>
      <c r="BS7" s="7"/>
      <c r="BT7" s="7"/>
      <c r="BU7" s="7" t="str">
        <f aca="false">IF(DS7=0,"",DS7)</f>
        <v/>
      </c>
      <c r="BV7" s="7"/>
      <c r="BW7" s="49" t="str">
        <f aca="false">IFERROR(RANK(BU7,BU$6:BU$116,0),"")</f>
        <v/>
      </c>
      <c r="BX7" s="7"/>
      <c r="BY7" s="7"/>
      <c r="BZ7" s="7" t="str">
        <f aca="false">IF(DU7=0,"",DU7)</f>
        <v/>
      </c>
      <c r="CA7" s="7"/>
      <c r="CB7" s="49" t="str">
        <f aca="false">IFERROR(RANK(BZ7,BZ$6:BZ$116,0),"")</f>
        <v/>
      </c>
      <c r="CC7" s="7"/>
      <c r="CD7" s="7"/>
      <c r="CE7" s="7" t="str">
        <f aca="false">IF(DW7=0,"",DW7)</f>
        <v/>
      </c>
      <c r="CF7" s="7"/>
      <c r="CG7" s="49" t="str">
        <f aca="false">IFERROR(RANK(CE7,CE$6:CE$116,0),"")</f>
        <v/>
      </c>
      <c r="CH7" s="7"/>
      <c r="CI7" s="7"/>
      <c r="CJ7" s="7" t="str">
        <f aca="false">IF(DY7=0,"",DY7)</f>
        <v/>
      </c>
      <c r="CK7" s="7"/>
      <c r="CL7" s="49" t="str">
        <f aca="false">IFERROR(RANK(CJ7,CJ$6:CJ$116,0),"")</f>
        <v/>
      </c>
      <c r="CM7" s="7"/>
      <c r="CN7" s="7"/>
      <c r="CO7" s="7" t="str">
        <f aca="false">IF(EA7=0,"",EA7)</f>
        <v/>
      </c>
      <c r="CP7" s="7"/>
      <c r="CQ7" s="49" t="str">
        <f aca="false">IFERROR(RANK(CO7,CO$6:CO$116,0),"")</f>
        <v/>
      </c>
      <c r="CR7" s="7"/>
      <c r="CS7" s="21" t="n">
        <v>40</v>
      </c>
      <c r="CT7" s="25" t="n">
        <f aca="true">IFERROR(AVERAGE(OFFSET('Data - For Rank'!B$2,J7,0,COUNTIF($J$7:J$116,J7)))+IFERROR(VLOOKUP((COUNT($H$6:$H$116)/4),$ER$9:$ES$13,2,FALSE()),0),"")</f>
        <v>18</v>
      </c>
      <c r="CU7" s="21"/>
      <c r="CV7" s="25" t="str">
        <f aca="true">IFERROR(AVERAGE(OFFSET('Data - For Rank'!$C$2,O7,0,COUNTIF(O$7:O$116,O7)))+IFERROR(VLOOKUP((COUNT(M$6:M$116)/4),$ER$9:$ES$13,2,FALSE()),0),"")</f>
        <v/>
      </c>
      <c r="CW7" s="21" t="n">
        <v>37</v>
      </c>
      <c r="CX7" s="25" t="n">
        <f aca="true">IFERROR(AVERAGE(OFFSET('Data - For Rank'!D$2,T7,0,COUNTIF(T$7:T$116,T7)))+IFERROR(VLOOKUP((COUNT(R$6:R$116)/4),$ER$9:$ES$13,2,FALSE()),0),"")</f>
        <v>14</v>
      </c>
      <c r="CY7" s="21"/>
      <c r="CZ7" s="25" t="str">
        <f aca="true">IFERROR(AVERAGE(OFFSET('Data - For Rank'!E$2,Y7,0,COUNTIF(Y$7:Y$116,Y7)))+IFERROR(VLOOKUP((COUNT(W$6:W$116)/4),$ER$9:$ES$13,2,FALSE()),0),"")</f>
        <v/>
      </c>
      <c r="DA7" s="21" t="n">
        <v>33</v>
      </c>
      <c r="DB7" s="25" t="n">
        <f aca="true">IFERROR(AVERAGE(OFFSET('Data - For Rank'!F$2,AD7,0,COUNTIF(AD$7:AD$116,AD7)))+IFERROR(VLOOKUP((COUNT(AB$6:AB$116)/4),$ER$9:$ES$13,2,FALSE()),0),"")</f>
        <v>14</v>
      </c>
      <c r="DC7" s="21" t="n">
        <v>35</v>
      </c>
      <c r="DD7" s="25" t="n">
        <f aca="true">IFERROR(AVERAGE(OFFSET('Data - For Rank'!G$2,AI7,0,COUNTIF(AI$7:AI$116,AI7)))+IFERROR(VLOOKUP((COUNT(AG$6:AG$116)/4),$ER$9:$ES$13,2,FALSE()),0),"")</f>
        <v>13.5</v>
      </c>
      <c r="DE7" s="21" t="n">
        <v>34</v>
      </c>
      <c r="DF7" s="25" t="n">
        <f aca="true">IFERROR(AVERAGE(OFFSET('Data - For Rank'!$H$2,AN7,0,COUNTIF(AN$7:AN$116,AN7)))+IFERROR(VLOOKUP((COUNT(AL$6:AL$116)/4),$ER$9:$ES$13,2,FALSE()),0),"")</f>
        <v>10.5</v>
      </c>
      <c r="DG7" s="21" t="n">
        <v>37</v>
      </c>
      <c r="DH7" s="25" t="n">
        <f aca="true">IFERROR(AVERAGE(OFFSET('Data - For Rank'!$I$2,AS7,0,COUNTIF(AS$7:AS$116,AS7)))+IFERROR(VLOOKUP((COUNT(AQ$6:AQ$116)/4),$ER$9:$ES$13,2,FALSE()),0),"")</f>
        <v>17</v>
      </c>
      <c r="DI7" s="21" t="n">
        <v>38</v>
      </c>
      <c r="DJ7" s="25" t="n">
        <f aca="true">IFERROR(AVERAGE(OFFSET('Data - For Rank'!$J$2,AX7,0,COUNTIF(AX$7:AX$116,AX7)))+IFERROR(VLOOKUP((COUNT(AV$6:AV$116)/4),$ER$9:$ES$13,2,FALSE()),0),"")</f>
        <v>15</v>
      </c>
      <c r="DK7" s="21" t="n">
        <v>37</v>
      </c>
      <c r="DL7" s="25" t="n">
        <f aca="true">IFERROR(AVERAGE(OFFSET('Data - For Rank'!$K$2,BC7,0,COUNTIF(BC$7:BC$116,BC7)))+IFERROR(VLOOKUP((COUNT(BA$6:BA$116)/4),$ER$9:$ES$13,2,FALSE()),0),"")</f>
        <v>15.5</v>
      </c>
      <c r="DM7" s="21"/>
      <c r="DN7" s="25" t="str">
        <f aca="true">IFERROR(AVERAGE(OFFSET('Data - For Rank'!$L$2,BH7,0,COUNTIF(BH$7:BH$116,BH7)))+IFERROR(VLOOKUP((COUNT(BF$6:BF$116)/4),$ER$9:$ES$13,2,FALSE()),0),"")</f>
        <v/>
      </c>
      <c r="DO7" s="21"/>
      <c r="DP7" s="25" t="str">
        <f aca="true">IFERROR(AVERAGE(OFFSET('Data - For Rank'!$M$2,BM7,0,COUNTIF(BM$7:BM$116,BM7)))+IFERROR(VLOOKUP((COUNT(BK$6:BK$116)/4),$ER$9:$ES$13,2,FALSE()),0),"")</f>
        <v/>
      </c>
      <c r="DQ7" s="21"/>
      <c r="DR7" s="25" t="str">
        <f aca="true">IFERROR(AVERAGE(OFFSET('Data - For Rank'!$N$2,BR7,0,COUNTIF(BR$7:BR$116,BR7)))+IFERROR(VLOOKUP((COUNT(BP$6:BP$116)/4),$ER$9:$ES$13,2,FALSE()),0),"")</f>
        <v/>
      </c>
      <c r="DS7" s="21"/>
      <c r="DT7" s="25" t="str">
        <f aca="true">IFERROR(AVERAGE(OFFSET('Data - For Rank'!$O$2,BW7,0,COUNTIF(BW$7:BW$116,BW7)))+IFERROR(VLOOKUP((COUNT(BU$6:BU$116)/4),$ER$9:$ES$13,2,FALSE()),0),"")</f>
        <v/>
      </c>
      <c r="DU7" s="21"/>
      <c r="DV7" s="25" t="str">
        <f aca="true">IFERROR(AVERAGE(OFFSET('Data - For Rank'!$P$2,CB7,0,COUNTIF(CB$7:CB$116,CB7)))+IFERROR(VLOOKUP((COUNT(BZ$6:BZ$116)/4),$ER$9:$ES$13,2,FALSE()),0),"")</f>
        <v/>
      </c>
      <c r="DW7" s="21"/>
      <c r="DX7" s="25" t="str">
        <f aca="true">IFERROR(AVERAGE(OFFSET('Data - For Rank'!$Q$2,CG7,0,COUNTIF(CG$7:CG$116,CG7)))+IFERROR(VLOOKUP((COUNT(CE$6:CE$116)/4),$ER$9:$ES$13,2,FALSE()),0),"")</f>
        <v/>
      </c>
      <c r="DY7" s="21"/>
      <c r="DZ7" s="25" t="str">
        <f aca="true">IFERROR(AVERAGE(OFFSET('Data - For Rank'!$R$2,CL7,0,COUNTIF(CL$7:CL$116,CL7)))+IFERROR(VLOOKUP((COUNT(CJ$6:CJ$116)/4),$ER$9:$ES$13,2,FALSE()),0),"")</f>
        <v/>
      </c>
      <c r="EA7" s="21"/>
      <c r="EB7" s="25" t="str">
        <f aca="true">IFERROR(AVERAGE(OFFSET('Data - For Rank'!$S$2,CQ7,0,COUNTIF(CQ$7:CQ$116,CQ7)))+IFERROR(VLOOKUP((COUNT(CO$6:CO$116)/4),$ER$9:$ES$13,2,FALSE()),0),"")</f>
        <v/>
      </c>
      <c r="EC7" s="26" t="n">
        <f aca="false">AVERAGE(CS7,CU7,CW7,CY7,DA7,DC7,DE7,DG7,DI7,DK7,DM7,DO7,DQ7,DS7,DU7,DW7,DY7,EA7)</f>
        <v>36.375</v>
      </c>
      <c r="ED7" s="23" t="n">
        <f aca="false">AVERAGE(CX7,CT7,CV7,CZ7,DB7,DD7,DF7,DH7,DJ7,DL7,DN7,DP7,DR7,DT7,DV7,DX7,DZ7,EB7)</f>
        <v>14.6875</v>
      </c>
      <c r="EM7" s="52"/>
      <c r="EN7" s="52"/>
      <c r="EO7" s="52"/>
      <c r="EP7" s="52"/>
      <c r="EQ7" s="52"/>
      <c r="ES7" s="52"/>
    </row>
    <row r="8" s="1" customFormat="true" ht="13.5" hidden="false" customHeight="false" outlineLevel="1" collapsed="false">
      <c r="B8" s="27" t="n">
        <f aca="false">B6+0.023</f>
        <v>1.023</v>
      </c>
      <c r="D8" s="51" t="s">
        <v>71</v>
      </c>
      <c r="E8" s="28" t="s">
        <v>44</v>
      </c>
      <c r="F8" s="29" t="n">
        <f aca="false">IF(COUNT(G6:CN6)&gt;10,SMALL(G6:CN6,COUNT(G6:CN6)-10),MIN(G6:CN6))</f>
        <v>23</v>
      </c>
      <c r="G8" s="29"/>
      <c r="H8" s="29"/>
      <c r="I8" s="53" t="n">
        <f aca="false">IF(CS8=0,"",CS8)</f>
        <v>35</v>
      </c>
      <c r="J8" s="53"/>
      <c r="K8" s="54" t="n">
        <f aca="false">IFERROR(_xlfn.RANK.EQ(I8,I$6:I$116,0),"")</f>
        <v>1</v>
      </c>
      <c r="L8" s="29"/>
      <c r="M8" s="29"/>
      <c r="N8" s="53" t="str">
        <f aca="false">IF(CU8=0,"",CU8)</f>
        <v/>
      </c>
      <c r="O8" s="53"/>
      <c r="P8" s="54" t="str">
        <f aca="false">IFERROR(_xlfn.RANK.EQ(N8,N$6:N$116,0),"")</f>
        <v/>
      </c>
      <c r="Q8" s="29"/>
      <c r="R8" s="29"/>
      <c r="S8" s="53" t="n">
        <f aca="false">IF(CW8=0,"",CW8)</f>
        <v>4</v>
      </c>
      <c r="T8" s="53"/>
      <c r="U8" s="54" t="n">
        <f aca="false">IFERROR(_xlfn.RANK.EQ(S8,S$6:S$116,0),"")</f>
        <v>4</v>
      </c>
      <c r="V8" s="29"/>
      <c r="W8" s="29"/>
      <c r="X8" s="53" t="str">
        <f aca="false">IF(CY8=0,"",CY8)</f>
        <v/>
      </c>
      <c r="Y8" s="53"/>
      <c r="Z8" s="54" t="str">
        <f aca="false">IFERROR(_xlfn.RANK.EQ(X8,X$6:X$116,0),"")</f>
        <v/>
      </c>
      <c r="AA8" s="29"/>
      <c r="AB8" s="29"/>
      <c r="AC8" s="53" t="n">
        <f aca="false">IF(DA8=0,"",DA8)</f>
        <v>38</v>
      </c>
      <c r="AD8" s="53"/>
      <c r="AE8" s="54" t="n">
        <f aca="false">IFERROR(_xlfn.RANK.EQ(AC8,AC$6:AC$116,0),"")</f>
        <v>2</v>
      </c>
      <c r="AF8" s="29"/>
      <c r="AG8" s="29"/>
      <c r="AH8" s="53" t="n">
        <f aca="false">IF(DC8=0,"",DC8)</f>
        <v>-0.001</v>
      </c>
      <c r="AI8" s="53"/>
      <c r="AJ8" s="54" t="n">
        <f aca="false">IFERROR(_xlfn.RANK.EQ(AH8,AH$6:AH$116,0),"")</f>
        <v>8</v>
      </c>
      <c r="AK8" s="29"/>
      <c r="AL8" s="29"/>
      <c r="AM8" s="53" t="n">
        <f aca="false">IF(DE8=0,"",DE8)</f>
        <v>16</v>
      </c>
      <c r="AN8" s="53"/>
      <c r="AO8" s="54" t="n">
        <f aca="false">IFERROR(_xlfn.RANK.EQ(AM8,AM$6:AM$116,0),"")</f>
        <v>1</v>
      </c>
      <c r="AP8" s="29"/>
      <c r="AQ8" s="29"/>
      <c r="AR8" s="53" t="n">
        <f aca="false">IF(DG8=0,"",DG8)</f>
        <v>-2</v>
      </c>
      <c r="AS8" s="53"/>
      <c r="AT8" s="54" t="n">
        <f aca="false">IFERROR(_xlfn.RANK.EQ(AR8,AR$6:AR$116,0),"")</f>
        <v>10</v>
      </c>
      <c r="AU8" s="29"/>
      <c r="AV8" s="29"/>
      <c r="AW8" s="53" t="n">
        <f aca="false">IF(DI8=0,"",DI8)</f>
        <v>5</v>
      </c>
      <c r="AX8" s="53"/>
      <c r="AY8" s="54" t="n">
        <f aca="false">IFERROR(_xlfn.RANK.EQ(AW8,AW$6:AW$116,0),"")</f>
        <v>5</v>
      </c>
      <c r="AZ8" s="29"/>
      <c r="BA8" s="29"/>
      <c r="BB8" s="53" t="n">
        <f aca="false">IF(DK8=0,"",DK8)</f>
        <v>16</v>
      </c>
      <c r="BC8" s="53"/>
      <c r="BD8" s="54" t="n">
        <f aca="false">IFERROR(_xlfn.RANK.EQ(BB8,BB$6:BB$116,0),"")</f>
        <v>2</v>
      </c>
      <c r="BE8" s="29"/>
      <c r="BF8" s="29"/>
      <c r="BG8" s="53" t="str">
        <f aca="false">IF(DM8=0,"",DM8)</f>
        <v/>
      </c>
      <c r="BH8" s="53"/>
      <c r="BI8" s="54" t="str">
        <f aca="false">IFERROR(_xlfn.RANK.EQ(BG8,BG$6:BG$116,0),"")</f>
        <v/>
      </c>
      <c r="BJ8" s="29"/>
      <c r="BK8" s="29"/>
      <c r="BL8" s="53" t="str">
        <f aca="false">IF(DO8=0,"",DO8)</f>
        <v/>
      </c>
      <c r="BM8" s="53"/>
      <c r="BN8" s="54" t="str">
        <f aca="false">IFERROR(_xlfn.RANK.EQ(BL8,BL$6:BL$116,0),"")</f>
        <v/>
      </c>
      <c r="BO8" s="29"/>
      <c r="BP8" s="29"/>
      <c r="BQ8" s="53" t="str">
        <f aca="false">IF(DQ8=0,"",DQ8)</f>
        <v/>
      </c>
      <c r="BR8" s="53"/>
      <c r="BS8" s="54" t="str">
        <f aca="false">IFERROR(_xlfn.RANK.EQ(BQ8,BQ$6:BQ$116,0),"")</f>
        <v/>
      </c>
      <c r="BT8" s="29"/>
      <c r="BU8" s="29"/>
      <c r="BV8" s="53" t="str">
        <f aca="false">IF(DS8=0,"",DS8)</f>
        <v/>
      </c>
      <c r="BW8" s="53"/>
      <c r="BX8" s="54" t="str">
        <f aca="false">IFERROR(_xlfn.RANK.EQ(BV8,BV$6:BV$116,0),"")</f>
        <v/>
      </c>
      <c r="BY8" s="29"/>
      <c r="BZ8" s="29"/>
      <c r="CA8" s="53" t="str">
        <f aca="false">IF(DU8=0,"",DU8)</f>
        <v/>
      </c>
      <c r="CB8" s="53"/>
      <c r="CC8" s="54" t="str">
        <f aca="false">IFERROR(_xlfn.RANK.EQ(CA8,CA$6:CA$116,0),"")</f>
        <v/>
      </c>
      <c r="CD8" s="29"/>
      <c r="CE8" s="29"/>
      <c r="CF8" s="53" t="str">
        <f aca="false">IF(DW8=0,"",DW8)</f>
        <v/>
      </c>
      <c r="CG8" s="53"/>
      <c r="CH8" s="54" t="str">
        <f aca="false">IFERROR(_xlfn.RANK.EQ(CF8,CF$6:CF$116,0),"")</f>
        <v/>
      </c>
      <c r="CI8" s="29"/>
      <c r="CJ8" s="29"/>
      <c r="CK8" s="53" t="str">
        <f aca="false">IF(DY8=0,"",DY8)</f>
        <v/>
      </c>
      <c r="CL8" s="53"/>
      <c r="CM8" s="54" t="str">
        <f aca="false">IFERROR(_xlfn.RANK.EQ(CK8,CK$6:CK$116,0),"")</f>
        <v/>
      </c>
      <c r="CN8" s="29"/>
      <c r="CO8" s="29"/>
      <c r="CP8" s="53" t="str">
        <f aca="false">IF(EA8=0,"",EA8)</f>
        <v/>
      </c>
      <c r="CQ8" s="53"/>
      <c r="CR8" s="54" t="str">
        <f aca="false">IFERROR(_xlfn.RANK.EQ(CP8,CP$6:CP$116,0),"")</f>
        <v/>
      </c>
      <c r="CS8" s="30" t="n">
        <v>35</v>
      </c>
      <c r="CT8" s="31" t="n">
        <f aca="true">IFERROR(AVERAGE(OFFSET('Data - For Rank'!B$2,K8,0,COUNTIF(K$6:K$116,K8)))+IFERROR(VLOOKUP((COUNT($I$6:$I$116)/4),$ER$9:$ES$13,2,FALSE()),0),"")</f>
        <v>18</v>
      </c>
      <c r="CU8" s="30"/>
      <c r="CV8" s="31" t="str">
        <f aca="true">IFERROR(AVERAGE(OFFSET('Data - For Rank'!$C$2,P8,0,COUNTIF(P$6:P$116,P8)))+IFERROR(VLOOKUP((COUNT(N$6:N$116)/4),$ER$9:$ES$13,2,FALSE()),0),"")</f>
        <v/>
      </c>
      <c r="CW8" s="30" t="n">
        <v>4</v>
      </c>
      <c r="CX8" s="31" t="n">
        <f aca="true">IFERROR(AVERAGE(OFFSET('Data - For Rank'!D$2,U8,0,COUNTIF(U$6:$U116,U8)))+IFERROR(VLOOKUP((COUNT(S$6:S$116)/4),$ER$9:$ES$13,2,FALSE()),0),"")</f>
        <v>12.5</v>
      </c>
      <c r="CY8" s="30"/>
      <c r="CZ8" s="31" t="str">
        <f aca="true">IFERROR(AVERAGE(OFFSET('Data - For Rank'!E$2,Z8,0,COUNTIF(Z$6:Z$116,Z8)))+IFERROR(VLOOKUP((COUNT(W$6:W$116)/4),$ER$9:$ES$13,2,FALSE()),0),"")</f>
        <v/>
      </c>
      <c r="DA8" s="30" t="n">
        <v>38</v>
      </c>
      <c r="DB8" s="31" t="n">
        <f aca="true">IFERROR(AVERAGE(OFFSET('Data - For Rank'!F$2,AE8,0,COUNTIF(AE$6:AE$116,AE8)))+IFERROR(VLOOKUP((COUNT(AC$6:AC$116)/4),$ER$9:$ES$13,2,FALSE()),0),"")</f>
        <v>17</v>
      </c>
      <c r="DC8" s="30" t="n">
        <v>-0.001</v>
      </c>
      <c r="DD8" s="31" t="n">
        <f aca="true">IFERROR(AVERAGE(OFFSET('Data - For Rank'!G$2,AJ8,0,COUNTIF(AJ$6:AJ$116,AJ8)))+IFERROR(VLOOKUP((COUNT(AH$6:AH$116)/4),$ER$9:$ES$13,2,FALSE()),0),"")</f>
        <v>9.5</v>
      </c>
      <c r="DE8" s="30" t="n">
        <v>16</v>
      </c>
      <c r="DF8" s="31" t="n">
        <f aca="true">IFERROR(AVERAGE(OFFSET('Data - For Rank'!$H$2,AO8,0,COUNTIF(AO$6:AO$116,AO8)))+IFERROR(VLOOKUP((COUNT(AM$6:AM$116)/4),$ER$9:$ES$13,2,FALSE()),0),"")</f>
        <v>16</v>
      </c>
      <c r="DG8" s="30" t="n">
        <v>-2</v>
      </c>
      <c r="DH8" s="31" t="n">
        <f aca="true">IFERROR(AVERAGE(OFFSET('Data - For Rank'!$I$2,AT8,0,COUNTIF(AT$6:AT$116,AT8)))+IFERROR(VLOOKUP((COUNT(AR$6:AR$116)/4),$ER$9:$ES$13,2,FALSE()),0),"")</f>
        <v>8.5</v>
      </c>
      <c r="DI8" s="30" t="n">
        <v>5</v>
      </c>
      <c r="DJ8" s="31" t="n">
        <f aca="true">IFERROR(AVERAGE(OFFSET('Data - For Rank'!$J$2,AY8,0,COUNTIF(AY$6:AY$116,AY8)))+IFERROR(VLOOKUP((COUNT(AW$6:AW$116)/4),$ER$9:$ES$13,2,FALSE()),0),"")</f>
        <v>13.5</v>
      </c>
      <c r="DK8" s="30" t="n">
        <v>16</v>
      </c>
      <c r="DL8" s="31" t="n">
        <f aca="true">IFERROR(AVERAGE(OFFSET('Data - For Rank'!$K$2,BD8,0,COUNTIF(BD$6:BD$116,BD8)))+IFERROR(VLOOKUP((COUNT(BB$6:BB$116)/4),$ER$9:$ES$13,2,FALSE()),0),"")</f>
        <v>14</v>
      </c>
      <c r="DM8" s="30"/>
      <c r="DN8" s="31" t="str">
        <f aca="true">IFERROR(AVERAGE(OFFSET('Data - For Rank'!$L$2,BI8,0,COUNTIF(BI$6:BI$116,BI8)))+IFERROR(VLOOKUP((COUNT(BG$6:BG$116)/4),$ER$9:$ES$13,2,FALSE()),0),"")</f>
        <v/>
      </c>
      <c r="DO8" s="30"/>
      <c r="DP8" s="31" t="str">
        <f aca="true">IFERROR(AVERAGE(OFFSET('Data - For Rank'!$M$2,BN8,0,COUNTIF(BN$6:BN$116,BN8)))+IFERROR(VLOOKUP((COUNT(BL$6:BL$116)/4),$ER$9:$ES$13,2,FALSE()),0),"")</f>
        <v/>
      </c>
      <c r="DQ8" s="30"/>
      <c r="DR8" s="31" t="str">
        <f aca="true">IFERROR(AVERAGE(OFFSET('Data - For Rank'!$N$2,BS8,0,COUNTIF(BS$6:BS$116,BS8)))+IFERROR(VLOOKUP((COUNT(BQ$6:BQ$116)/4),$ER$9:$ES$13,2,FALSE()),0),"")</f>
        <v/>
      </c>
      <c r="DS8" s="30"/>
      <c r="DT8" s="31" t="str">
        <f aca="true">IFERROR(AVERAGE(OFFSET('Data - For Rank'!$O$2,BX8,0,COUNTIF(BX$6:BX$116,BX8)))+IFERROR(VLOOKUP((COUNT(BV$6:BV$116)/4),$ER$9:$ES$13,2,FALSE()),0),"")</f>
        <v/>
      </c>
      <c r="DU8" s="30"/>
      <c r="DV8" s="31" t="str">
        <f aca="true">IFERROR(AVERAGE(OFFSET('Data - For Rank'!$P$2,CC8,0,COUNTIF(CC$6:CC$116,CC8)))+IFERROR(VLOOKUP((COUNT(CA$6:CA$116)/4),$ER$9:$ES$13,2,FALSE()),0),"")</f>
        <v/>
      </c>
      <c r="DW8" s="30"/>
      <c r="DX8" s="31" t="str">
        <f aca="true">IFERROR(AVERAGE(OFFSET('Data - For Rank'!$Q$2,CH8,0,COUNTIF(CH$6:CH$116,CH8)))+IFERROR(VLOOKUP((COUNT(CF$6:CF$116)/4),$ER$9:$ES$13,2,FALSE()),0),"")</f>
        <v/>
      </c>
      <c r="DY8" s="30"/>
      <c r="DZ8" s="31" t="str">
        <f aca="true">IFERROR(AVERAGE(OFFSET('Data - For Rank'!$R$2,CM8,0,COUNTIF(CM$6:CM$116,CM8)))+IFERROR(VLOOKUP((COUNT(CK$6:CK$116)/4),$ER$9:$ES$13,2,FALSE()),0),"")</f>
        <v/>
      </c>
      <c r="EA8" s="30"/>
      <c r="EB8" s="31" t="str">
        <f aca="true">IFERROR(AVERAGE(OFFSET('Data - For Rank'!$S$2,CR8,0,COUNTIF(CR$6:CR$116,CR8)))+IFERROR(VLOOKUP((COUNT(CP$6:CP$116)/4),$ER$9:$ES$13,2,FALSE()),0),"")</f>
        <v/>
      </c>
      <c r="EC8" s="32" t="n">
        <f aca="false">CS8+CU8+CW8+CY8+DA8+DC8+DE8+DG8+DI8+DK8+DM8+DO8+DQ8+DS8+DU8+DW8+DY8+EA8</f>
        <v>111.999</v>
      </c>
      <c r="ED8" s="33" t="n">
        <f aca="false">AVERAGE(CT8,CV8,CX8,CZ8,DB8,DD8,DF8,DH8,DJ8,DL8,DN8,DP8,DR8,DT8,DV8,DX8,DZ8,EB8)</f>
        <v>13.625</v>
      </c>
      <c r="EM8" s="55" t="s">
        <v>72</v>
      </c>
      <c r="EQ8" s="1" t="s">
        <v>73</v>
      </c>
      <c r="ER8" s="52" t="s">
        <v>74</v>
      </c>
      <c r="ES8" s="1" t="s">
        <v>75</v>
      </c>
      <c r="EU8" s="1" t="s">
        <v>76</v>
      </c>
    </row>
    <row r="9" customFormat="false" ht="14.25" hidden="false" customHeight="false" outlineLevel="0" collapsed="false">
      <c r="B9" s="8" t="n">
        <f aca="false">_xlfn.RANK.EQ(C9,$C$6:$C$63,)</f>
        <v>2</v>
      </c>
      <c r="C9" s="43" t="n">
        <f aca="false">EC9</f>
        <v>195</v>
      </c>
      <c r="D9" s="43" t="s">
        <v>77</v>
      </c>
      <c r="E9" s="9" t="s">
        <v>45</v>
      </c>
      <c r="F9" s="20" t="n">
        <f aca="false">COUNT(CT9,CV9,CX9,CZ9,DB9,DD9,DF9,DH9,DJ9,DL9,DN9,DP9,DR9,DT9,DV9,DX9,DZ9,EB9)</f>
        <v>8</v>
      </c>
      <c r="G9" s="49" t="n">
        <f aca="false">IF(CT9=0,"",CT9)</f>
        <v>23</v>
      </c>
      <c r="H9" s="49"/>
      <c r="I9" s="49"/>
      <c r="K9" s="49"/>
      <c r="L9" s="49" t="str">
        <f aca="false">IF(CV9=0,"",CV9)</f>
        <v/>
      </c>
      <c r="M9" s="49"/>
      <c r="N9" s="49"/>
      <c r="P9" s="49"/>
      <c r="Q9" s="49" t="str">
        <f aca="false">IF(CX9=0,"",CX9)</f>
        <v/>
      </c>
      <c r="R9" s="49"/>
      <c r="S9" s="49"/>
      <c r="U9" s="49"/>
      <c r="V9" s="49" t="n">
        <f aca="false">IF(CZ9=0,"",CZ9)</f>
        <v>21.5</v>
      </c>
      <c r="W9" s="49"/>
      <c r="X9" s="49"/>
      <c r="Z9" s="49"/>
      <c r="AA9" s="49" t="n">
        <f aca="false">IF(DB9=0,"",DB9)</f>
        <v>29</v>
      </c>
      <c r="AB9" s="49"/>
      <c r="AC9" s="49"/>
      <c r="AE9" s="49"/>
      <c r="AF9" s="49" t="n">
        <f aca="false">IF(DD9=0,"",DD9)</f>
        <v>17.5</v>
      </c>
      <c r="AG9" s="49"/>
      <c r="AH9" s="49"/>
      <c r="AJ9" s="49"/>
      <c r="AK9" s="49" t="n">
        <f aca="false">IF(DF9=0,"",DF9)</f>
        <v>21.5</v>
      </c>
      <c r="AL9" s="49"/>
      <c r="AM9" s="49"/>
      <c r="AO9" s="49"/>
      <c r="AP9" s="49" t="n">
        <f aca="false">IF(DH9=0,"",DH9)</f>
        <v>29.5</v>
      </c>
      <c r="AQ9" s="49"/>
      <c r="AR9" s="49"/>
      <c r="AT9" s="49"/>
      <c r="AU9" s="49" t="n">
        <f aca="false">IF(DJ9=0,"",DJ9)</f>
        <v>35</v>
      </c>
      <c r="AV9" s="49"/>
      <c r="AW9" s="49"/>
      <c r="AY9" s="49"/>
      <c r="AZ9" s="49" t="n">
        <f aca="false">IF(DL9=0,"",DL9)</f>
        <v>18</v>
      </c>
      <c r="BA9" s="49"/>
      <c r="BB9" s="49"/>
      <c r="BD9" s="49"/>
      <c r="BE9" s="49" t="str">
        <f aca="false">IF(DN9=0,"",DN9)</f>
        <v/>
      </c>
      <c r="BF9" s="49"/>
      <c r="BG9" s="49"/>
      <c r="BI9" s="49"/>
      <c r="BJ9" s="49" t="str">
        <f aca="false">IF(DP9=0,"",DP9)</f>
        <v/>
      </c>
      <c r="BK9" s="49"/>
      <c r="BL9" s="49"/>
      <c r="BN9" s="49"/>
      <c r="BO9" s="49" t="str">
        <f aca="false">IF(DR9=0,"",DR9)</f>
        <v/>
      </c>
      <c r="BP9" s="49"/>
      <c r="BQ9" s="49"/>
      <c r="BS9" s="49"/>
      <c r="BT9" s="49" t="str">
        <f aca="false">IF(DT9=0,"",DT9)</f>
        <v/>
      </c>
      <c r="BU9" s="49"/>
      <c r="BV9" s="49"/>
      <c r="BX9" s="49"/>
      <c r="BY9" s="49" t="str">
        <f aca="false">IF(DV9=0,"",DV9)</f>
        <v/>
      </c>
      <c r="BZ9" s="49"/>
      <c r="CA9" s="49"/>
      <c r="CC9" s="49"/>
      <c r="CD9" s="49" t="str">
        <f aca="false">IF(DX9=0,"",DX9)</f>
        <v/>
      </c>
      <c r="CE9" s="49"/>
      <c r="CF9" s="49"/>
      <c r="CH9" s="49"/>
      <c r="CI9" s="49" t="str">
        <f aca="false">IF(DZ9=0,"",DZ9)</f>
        <v/>
      </c>
      <c r="CJ9" s="49"/>
      <c r="CK9" s="49"/>
      <c r="CM9" s="49"/>
      <c r="CN9" s="49" t="str">
        <f aca="false">IF(EB9=0,"",EB9)</f>
        <v/>
      </c>
      <c r="CO9" s="49"/>
      <c r="CP9" s="49"/>
      <c r="CR9" s="49"/>
      <c r="CS9" s="21" t="n">
        <v>80</v>
      </c>
      <c r="CT9" s="22" t="n">
        <f aca="false">IFERROR(CT10+CT11,"")</f>
        <v>23</v>
      </c>
      <c r="CU9" s="21"/>
      <c r="CV9" s="22" t="str">
        <f aca="false">IFERROR(CV10+CV11,"")</f>
        <v/>
      </c>
      <c r="CW9" s="21"/>
      <c r="CX9" s="22" t="str">
        <f aca="false">IFERROR(CX10+CX11,"")</f>
        <v/>
      </c>
      <c r="CY9" s="21" t="n">
        <v>81</v>
      </c>
      <c r="CZ9" s="22" t="n">
        <f aca="false">IFERROR(CZ10+CZ11,"")</f>
        <v>21.5</v>
      </c>
      <c r="DA9" s="21" t="n">
        <v>83</v>
      </c>
      <c r="DB9" s="22" t="n">
        <f aca="false">IFERROR(DB10+DB11,"")</f>
        <v>29</v>
      </c>
      <c r="DC9" s="21" t="n">
        <v>84</v>
      </c>
      <c r="DD9" s="22" t="n">
        <f aca="false">IFERROR(DD10+DD11,"")</f>
        <v>17.5</v>
      </c>
      <c r="DE9" s="21" t="n">
        <v>79</v>
      </c>
      <c r="DF9" s="22" t="n">
        <f aca="false">IFERROR(DF10+DF11,"")</f>
        <v>21.5</v>
      </c>
      <c r="DG9" s="21" t="n">
        <v>79</v>
      </c>
      <c r="DH9" s="22" t="n">
        <f aca="false">IFERROR(DH10+DH11,"")</f>
        <v>29.5</v>
      </c>
      <c r="DI9" s="21" t="n">
        <v>76</v>
      </c>
      <c r="DJ9" s="22" t="n">
        <f aca="false">IFERROR(DJ10+DJ11,"")</f>
        <v>35</v>
      </c>
      <c r="DK9" s="21" t="n">
        <v>81</v>
      </c>
      <c r="DL9" s="22" t="n">
        <f aca="false">IFERROR(DL10+DL11,"")</f>
        <v>18</v>
      </c>
      <c r="DM9" s="21"/>
      <c r="DN9" s="22" t="str">
        <f aca="false">IFERROR(DN10+DN11,"")</f>
        <v/>
      </c>
      <c r="DO9" s="21"/>
      <c r="DP9" s="22" t="str">
        <f aca="false">IFERROR(DP10+DP11,"")</f>
        <v/>
      </c>
      <c r="DQ9" s="21"/>
      <c r="DR9" s="22" t="str">
        <f aca="false">IFERROR(DR10+DR11,"")</f>
        <v/>
      </c>
      <c r="DS9" s="21"/>
      <c r="DT9" s="22" t="str">
        <f aca="false">IFERROR(DT10+DT11,"")</f>
        <v/>
      </c>
      <c r="DU9" s="21"/>
      <c r="DV9" s="22" t="str">
        <f aca="false">IFERROR(DV10+DV11,"")</f>
        <v/>
      </c>
      <c r="DW9" s="21"/>
      <c r="DX9" s="22" t="str">
        <f aca="false">IFERROR(DX10+DX11,"")</f>
        <v/>
      </c>
      <c r="DY9" s="21"/>
      <c r="DZ9" s="22" t="str">
        <f aca="false">IFERROR(DZ10+DZ11,"")</f>
        <v/>
      </c>
      <c r="EA9" s="21"/>
      <c r="EB9" s="22" t="str">
        <f aca="false">IFERROR(EB10+EB11,"")</f>
        <v/>
      </c>
      <c r="EC9" s="17" t="n">
        <f aca="false">IFERROR(LARGE($G9:$CN9,1),0)+IFERROR(LARGE($G9:$CN9,2),0)+IFERROR(LARGE($G9:$CN9,3),0)+IFERROR(LARGE($G9:$CN9,4),0)+IFERROR(LARGE($G9:$CN9,5),0)+IFERROR(LARGE($G9:$CN9,6),0)+IFERROR(LARGE($G9:$CN9,7),0)+IFERROR(LARGE($G9:$CN9,8),0)+IFERROR(LARGE($G9:$CN9,9),0)+IFERROR(LARGE($G9:$CN9,10),0)</f>
        <v>195</v>
      </c>
      <c r="ED9" s="23" t="n">
        <f aca="false">AVERAGE(CT9,CV9,CX9,CZ9,DB9,DD9,DF9,DH9,DJ9,DL9,DN9,DP9,DR9,DT9,DV9,DX9,DZ9,EB9)</f>
        <v>24.375</v>
      </c>
      <c r="EM9" s="56" t="s">
        <v>78</v>
      </c>
      <c r="EQ9" s="1" t="n">
        <v>20</v>
      </c>
      <c r="ER9" s="1" t="n">
        <v>5</v>
      </c>
      <c r="ES9" s="1" t="n">
        <v>0</v>
      </c>
      <c r="EU9" s="1" t="n">
        <f aca="false">40+38+36+34+32+30+28+26+24+22+20+18+16+14+12+10+8+6+4+2</f>
        <v>420</v>
      </c>
    </row>
    <row r="10" s="1" customFormat="true" ht="14.25" hidden="false" customHeight="false" outlineLevel="1" collapsed="false">
      <c r="B10" s="24" t="n">
        <f aca="false">B9+0.15</f>
        <v>2.15</v>
      </c>
      <c r="D10" s="51" t="s">
        <v>79</v>
      </c>
      <c r="E10" s="7" t="s">
        <v>43</v>
      </c>
      <c r="F10" s="7"/>
      <c r="G10" s="7"/>
      <c r="H10" s="7" t="n">
        <f aca="false">IF(CS10=0,"",CS10)</f>
        <v>34</v>
      </c>
      <c r="I10" s="7"/>
      <c r="J10" s="49" t="n">
        <f aca="false">IFERROR(RANK(H10,H$6:H$116,0),"")</f>
        <v>3</v>
      </c>
      <c r="K10" s="7"/>
      <c r="L10" s="7"/>
      <c r="M10" s="7" t="str">
        <f aca="false">IF(CU10=0,"",CU10)</f>
        <v/>
      </c>
      <c r="N10" s="7"/>
      <c r="O10" s="49" t="str">
        <f aca="false">IFERROR(RANK(M10,M$6:M$116,0),"")</f>
        <v/>
      </c>
      <c r="P10" s="7"/>
      <c r="Q10" s="7"/>
      <c r="R10" s="7" t="str">
        <f aca="false">IF(CW10=0,"",CW10)</f>
        <v/>
      </c>
      <c r="S10" s="7"/>
      <c r="T10" s="49" t="str">
        <f aca="false">IFERROR(RANK(R10,R$6:R$116,0),"")</f>
        <v/>
      </c>
      <c r="U10" s="7"/>
      <c r="V10" s="7"/>
      <c r="W10" s="7" t="n">
        <f aca="false">IF(CY10=0,"",CY10)</f>
        <v>32</v>
      </c>
      <c r="X10" s="7"/>
      <c r="Y10" s="49" t="n">
        <f aca="false">IFERROR(RANK(W10,W$6:W$116,0),"")</f>
        <v>2</v>
      </c>
      <c r="Z10" s="7"/>
      <c r="AA10" s="7"/>
      <c r="AB10" s="7" t="n">
        <f aca="false">IF(DA10=0,"",DA10)</f>
        <v>33</v>
      </c>
      <c r="AC10" s="7"/>
      <c r="AD10" s="49" t="n">
        <f aca="false">IFERROR(RANK(AB10,AB$6:AB$116,0),"")</f>
        <v>4</v>
      </c>
      <c r="AE10" s="7"/>
      <c r="AF10" s="7"/>
      <c r="AG10" s="7" t="n">
        <f aca="false">IF(DC10=0,"",DC10)</f>
        <v>34</v>
      </c>
      <c r="AH10" s="7"/>
      <c r="AI10" s="49" t="n">
        <f aca="false">IFERROR(RANK(AG10,AG$6:AG$116,0),"")</f>
        <v>7</v>
      </c>
      <c r="AJ10" s="7"/>
      <c r="AK10" s="7"/>
      <c r="AL10" s="7" t="n">
        <f aca="false">IF(DE10=0,"",DE10)</f>
        <v>36</v>
      </c>
      <c r="AM10" s="7"/>
      <c r="AN10" s="49" t="n">
        <f aca="false">IFERROR(RANK(AL10,AL$6:AL$116,0),"")</f>
        <v>3</v>
      </c>
      <c r="AO10" s="7"/>
      <c r="AP10" s="7"/>
      <c r="AQ10" s="7" t="n">
        <f aca="false">IF(DG10=0,"",DG10)</f>
        <v>36</v>
      </c>
      <c r="AR10" s="7"/>
      <c r="AS10" s="49" t="n">
        <f aca="false">IFERROR(RANK(AQ10,AQ$6:AQ$116,0),"")</f>
        <v>3</v>
      </c>
      <c r="AT10" s="7"/>
      <c r="AU10" s="7"/>
      <c r="AV10" s="7" t="n">
        <f aca="false">IF(DI10=0,"",DI10)</f>
        <v>41</v>
      </c>
      <c r="AW10" s="7"/>
      <c r="AX10" s="49" t="n">
        <f aca="false">IFERROR(RANK(AV10,AV$6:AV$116,0),"")</f>
        <v>1</v>
      </c>
      <c r="AY10" s="7"/>
      <c r="AZ10" s="7"/>
      <c r="BA10" s="7" t="n">
        <f aca="false">IF(DK10=0,"",DK10)</f>
        <v>33</v>
      </c>
      <c r="BB10" s="7"/>
      <c r="BC10" s="49" t="n">
        <f aca="false">IFERROR(RANK(BA10,BA$6:BA$116,0),"")</f>
        <v>7</v>
      </c>
      <c r="BD10" s="7"/>
      <c r="BE10" s="7"/>
      <c r="BF10" s="7" t="str">
        <f aca="false">IF(DM10=0,"",DM10)</f>
        <v/>
      </c>
      <c r="BG10" s="7"/>
      <c r="BH10" s="49" t="str">
        <f aca="false">IFERROR(RANK(BF10,BF$6:BF$116,0),"")</f>
        <v/>
      </c>
      <c r="BI10" s="7"/>
      <c r="BJ10" s="7"/>
      <c r="BK10" s="7" t="str">
        <f aca="false">IF(DO10=0,"",DO10)</f>
        <v/>
      </c>
      <c r="BL10" s="7"/>
      <c r="BM10" s="49" t="str">
        <f aca="false">IFERROR(RANK(BK10,BK$6:BK$116,0),"")</f>
        <v/>
      </c>
      <c r="BN10" s="7"/>
      <c r="BO10" s="7"/>
      <c r="BP10" s="7" t="str">
        <f aca="false">IF(DQ10=0,"",DQ10)</f>
        <v/>
      </c>
      <c r="BQ10" s="7"/>
      <c r="BR10" s="49" t="str">
        <f aca="false">IFERROR(RANK(BP10,BP$6:BP$116,0),"")</f>
        <v/>
      </c>
      <c r="BS10" s="7"/>
      <c r="BT10" s="7"/>
      <c r="BU10" s="7" t="str">
        <f aca="false">IF(DS10=0,"",DS10)</f>
        <v/>
      </c>
      <c r="BV10" s="7"/>
      <c r="BW10" s="49" t="str">
        <f aca="false">IFERROR(RANK(BU10,BU$6:BU$116,0),"")</f>
        <v/>
      </c>
      <c r="BX10" s="7"/>
      <c r="BY10" s="7"/>
      <c r="BZ10" s="7" t="str">
        <f aca="false">IF(DU10=0,"",DU10)</f>
        <v/>
      </c>
      <c r="CA10" s="7"/>
      <c r="CB10" s="49" t="str">
        <f aca="false">IFERROR(RANK(BZ10,BZ$6:BZ$116,0),"")</f>
        <v/>
      </c>
      <c r="CC10" s="7"/>
      <c r="CD10" s="7"/>
      <c r="CE10" s="7" t="str">
        <f aca="false">IF(DW10=0,"",DW10)</f>
        <v/>
      </c>
      <c r="CF10" s="7"/>
      <c r="CG10" s="49" t="str">
        <f aca="false">IFERROR(RANK(CE10,CE$6:CE$116,0),"")</f>
        <v/>
      </c>
      <c r="CH10" s="7"/>
      <c r="CI10" s="7"/>
      <c r="CJ10" s="7" t="str">
        <f aca="false">IF(DY10=0,"",DY10)</f>
        <v/>
      </c>
      <c r="CK10" s="7"/>
      <c r="CL10" s="49" t="str">
        <f aca="false">IFERROR(RANK(CJ10,CJ$6:CJ$116,0),"")</f>
        <v/>
      </c>
      <c r="CM10" s="7"/>
      <c r="CN10" s="7"/>
      <c r="CO10" s="7" t="str">
        <f aca="false">IF(EA10=0,"",EA10)</f>
        <v/>
      </c>
      <c r="CP10" s="7"/>
      <c r="CQ10" s="49" t="str">
        <f aca="false">IFERROR(RANK(CO10,CO$6:CO$116,0),"")</f>
        <v/>
      </c>
      <c r="CR10" s="7"/>
      <c r="CS10" s="21" t="n">
        <v>34</v>
      </c>
      <c r="CT10" s="25" t="n">
        <f aca="true">IFERROR(AVERAGE(OFFSET('Data - For Rank'!B$2,J10,0,COUNTIF($J$7:J$116,J10)))+IFERROR(VLOOKUP((COUNT($H$6:$H$116)/4),$ER$9:$ES$13,2,FALSE()),0),"")</f>
        <v>16</v>
      </c>
      <c r="CU10" s="21"/>
      <c r="CV10" s="25" t="str">
        <f aca="true">IFERROR(AVERAGE(OFFSET('Data - For Rank'!$C$2,O10,0,COUNTIF(O$7:O$116,O10)))+IFERROR(VLOOKUP((COUNT(M$6:M$116)/4),$ER$9:$ES$13,2,FALSE()),0),"")</f>
        <v/>
      </c>
      <c r="CW10" s="21"/>
      <c r="CX10" s="25" t="str">
        <f aca="true">IFERROR(AVERAGE(OFFSET('Data - For Rank'!D$2,T10,0,COUNTIF(T$7:T$116,T10)))+IFERROR(VLOOKUP((COUNT(R$6:R$116)/4),$ER$9:$ES$13,2,FALSE()),0),"")</f>
        <v/>
      </c>
      <c r="CY10" s="21" t="n">
        <v>32</v>
      </c>
      <c r="CZ10" s="25" t="n">
        <f aca="true">IFERROR(AVERAGE(OFFSET('Data - For Rank'!E$2,Y10,0,COUNTIF(Y$7:Y$116,Y10)))+IFERROR(VLOOKUP((COUNT(W$6:W$116)/4),$ER$9:$ES$13,2,FALSE()),0),"")</f>
        <v>12.5</v>
      </c>
      <c r="DA10" s="21" t="n">
        <v>33</v>
      </c>
      <c r="DB10" s="25" t="n">
        <f aca="true">IFERROR(AVERAGE(OFFSET('Data - For Rank'!F$2,AD10,0,COUNTIF(AD$7:AD$116,AD10)))+IFERROR(VLOOKUP((COUNT(AB$6:AB$116)/4),$ER$9:$ES$13,2,FALSE()),0),"")</f>
        <v>14</v>
      </c>
      <c r="DC10" s="21" t="n">
        <v>34</v>
      </c>
      <c r="DD10" s="25" t="n">
        <f aca="true">IFERROR(AVERAGE(OFFSET('Data - For Rank'!G$2,AI10,0,COUNTIF(AI$7:AI$116,AI10)))+IFERROR(VLOOKUP((COUNT(AG$6:AG$116)/4),$ER$9:$ES$13,2,FALSE()),0),"")</f>
        <v>11.5</v>
      </c>
      <c r="DE10" s="21" t="n">
        <v>36</v>
      </c>
      <c r="DF10" s="25" t="n">
        <f aca="true">IFERROR(AVERAGE(OFFSET('Data - For Rank'!$H$2,AN10,0,COUNTIF(AN$7:AN$116,AN10)))+IFERROR(VLOOKUP((COUNT(AL$6:AL$116)/4),$ER$9:$ES$13,2,FALSE()),0),"")</f>
        <v>13.5</v>
      </c>
      <c r="DG10" s="21" t="n">
        <v>36</v>
      </c>
      <c r="DH10" s="25" t="n">
        <f aca="true">IFERROR(AVERAGE(OFFSET('Data - For Rank'!$I$2,AS10,0,COUNTIF(AS$7:AS$116,AS10)))+IFERROR(VLOOKUP((COUNT(AQ$6:AQ$116)/4),$ER$9:$ES$13,2,FALSE()),0),"")</f>
        <v>15.5</v>
      </c>
      <c r="DI10" s="21" t="n">
        <v>41</v>
      </c>
      <c r="DJ10" s="25" t="n">
        <f aca="true">IFERROR(AVERAGE(OFFSET('Data - For Rank'!$J$2,AX10,0,COUNTIF(AX$7:AX$116,AX10)))+IFERROR(VLOOKUP((COUNT(AV$6:AV$116)/4),$ER$9:$ES$13,2,FALSE()),0),"")</f>
        <v>18</v>
      </c>
      <c r="DK10" s="21" t="n">
        <v>33</v>
      </c>
      <c r="DL10" s="25" t="n">
        <f aca="true">IFERROR(AVERAGE(OFFSET('Data - For Rank'!$K$2,BC10,0,COUNTIF(BC$7:BC$116,BC10)))+IFERROR(VLOOKUP((COUNT(BA$6:BA$116)/4),$ER$9:$ES$13,2,FALSE()),0),"")</f>
        <v>9.5</v>
      </c>
      <c r="DM10" s="21"/>
      <c r="DN10" s="25" t="str">
        <f aca="true">IFERROR(AVERAGE(OFFSET('Data - For Rank'!$L$2,BH10,0,COUNTIF(BH$7:BH$116,BH10)))+IFERROR(VLOOKUP((COUNT(BF$6:BF$116)/4),$ER$9:$ES$13,2,FALSE()),0),"")</f>
        <v/>
      </c>
      <c r="DO10" s="21"/>
      <c r="DP10" s="25" t="str">
        <f aca="true">IFERROR(AVERAGE(OFFSET('Data - For Rank'!$M$2,BM10,0,COUNTIF(BM$7:BM$116,BM10)))+IFERROR(VLOOKUP((COUNT(BK$6:BK$116)/4),$ER$9:$ES$13,2,FALSE()),0),"")</f>
        <v/>
      </c>
      <c r="DQ10" s="21"/>
      <c r="DR10" s="25" t="str">
        <f aca="true">IFERROR(AVERAGE(OFFSET('Data - For Rank'!$N$2,BR10,0,COUNTIF(BR$7:BR$116,BR10)))+IFERROR(VLOOKUP((COUNT(BP$6:BP$116)/4),$ER$9:$ES$13,2,FALSE()),0),"")</f>
        <v/>
      </c>
      <c r="DS10" s="21"/>
      <c r="DT10" s="25" t="str">
        <f aca="true">IFERROR(AVERAGE(OFFSET('Data - For Rank'!$O$2,BW10,0,COUNTIF(BW$7:BW$116,BW10)))+IFERROR(VLOOKUP((COUNT(BU$6:BU$116)/4),$ER$9:$ES$13,2,FALSE()),0),"")</f>
        <v/>
      </c>
      <c r="DU10" s="21"/>
      <c r="DV10" s="25" t="str">
        <f aca="true">IFERROR(AVERAGE(OFFSET('Data - For Rank'!$P$2,CB10,0,COUNTIF(CB$7:CB$116,CB10)))+IFERROR(VLOOKUP((COUNT(BZ$6:BZ$116)/4),$ER$9:$ES$13,2,FALSE()),0),"")</f>
        <v/>
      </c>
      <c r="DW10" s="21"/>
      <c r="DX10" s="25" t="str">
        <f aca="true">IFERROR(AVERAGE(OFFSET('Data - For Rank'!$Q$2,CG10,0,COUNTIF(CG$7:CG$116,CG10)))+IFERROR(VLOOKUP((COUNT(CE$6:CE$116)/4),$ER$9:$ES$13,2,FALSE()),0),"")</f>
        <v/>
      </c>
      <c r="DY10" s="21"/>
      <c r="DZ10" s="25" t="str">
        <f aca="true">IFERROR(AVERAGE(OFFSET('Data - For Rank'!$R$2,CL10,0,COUNTIF(CL$7:CL$116,CL10)))+IFERROR(VLOOKUP((COUNT(CJ$6:CJ$116)/4),$ER$9:$ES$13,2,FALSE()),0),"")</f>
        <v/>
      </c>
      <c r="EA10" s="21"/>
      <c r="EB10" s="25" t="str">
        <f aca="true">IFERROR(AVERAGE(OFFSET('Data - For Rank'!$S$2,CQ10,0,COUNTIF(CQ$7:CQ$116,CQ10)))+IFERROR(VLOOKUP((COUNT(CO$6:CO$116)/4),$ER$9:$ES$13,2,FALSE()),0),"")</f>
        <v/>
      </c>
      <c r="EC10" s="26" t="n">
        <f aca="false">AVERAGE(CS10,CU10,CW10,CY10,DA10,DC10,DE10,DG10,DI10,DK10,DM10,DO10,DQ10,DS10,DU10,DW10,DY10,EA10)</f>
        <v>34.875</v>
      </c>
      <c r="ED10" s="23" t="n">
        <f aca="false">AVERAGE(CT10,CV10,CX10,CZ10,DB10,DD10,DF10,DH10,DJ10,DL10,DN10,DP10,DR10,DT10,DV10,DX10,DZ10,EB10)</f>
        <v>13.8125</v>
      </c>
      <c r="EM10" s="56" t="s">
        <v>80</v>
      </c>
      <c r="EQ10" s="1" t="n">
        <v>16</v>
      </c>
      <c r="ER10" s="1" t="n">
        <v>4</v>
      </c>
      <c r="ES10" s="1" t="n">
        <v>2</v>
      </c>
      <c r="EU10" s="1" t="n">
        <f aca="false">36+34+32+30+28+26+24+22+20+18+16+14+12+10+8+6</f>
        <v>336</v>
      </c>
    </row>
    <row r="11" s="1" customFormat="true" ht="14.25" hidden="false" customHeight="false" outlineLevel="1" collapsed="false">
      <c r="B11" s="27" t="n">
        <f aca="false">B9+0.025</f>
        <v>2.025</v>
      </c>
      <c r="D11" s="51" t="s">
        <v>81</v>
      </c>
      <c r="E11" s="28" t="s">
        <v>44</v>
      </c>
      <c r="F11" s="29" t="n">
        <f aca="false">IF(COUNT(G9:CN9)&gt;10,SMALL(G9:CN9,COUNT(G9:CN9)-10),MIN(G9:CN9))</f>
        <v>17.5</v>
      </c>
      <c r="G11" s="29"/>
      <c r="H11" s="29"/>
      <c r="I11" s="53" t="n">
        <f aca="false">IF(CS11=0,"",CS11)</f>
        <v>-10</v>
      </c>
      <c r="J11" s="53"/>
      <c r="K11" s="54" t="n">
        <f aca="false">IFERROR(_xlfn.RANK.EQ(I11,I$6:I$116,0),"")</f>
        <v>12</v>
      </c>
      <c r="L11" s="29"/>
      <c r="M11" s="29"/>
      <c r="N11" s="53" t="str">
        <f aca="false">IF(CU11=0,"",CU11)</f>
        <v/>
      </c>
      <c r="O11" s="53"/>
      <c r="P11" s="54" t="str">
        <f aca="false">IFERROR(_xlfn.RANK.EQ(N11,N$6:N$116,0),"")</f>
        <v/>
      </c>
      <c r="Q11" s="29"/>
      <c r="R11" s="29"/>
      <c r="S11" s="53" t="str">
        <f aca="false">IF(CW11=0,"",CW11)</f>
        <v/>
      </c>
      <c r="T11" s="53"/>
      <c r="U11" s="54" t="str">
        <f aca="false">IFERROR(_xlfn.RANK.EQ(S11,S$6:S$116,0),"")</f>
        <v/>
      </c>
      <c r="V11" s="29"/>
      <c r="W11" s="29"/>
      <c r="X11" s="53" t="n">
        <f aca="false">IF(CY11=0,"",CY11)</f>
        <v>-15</v>
      </c>
      <c r="Y11" s="53"/>
      <c r="Z11" s="54" t="n">
        <f aca="false">IFERROR(_xlfn.RANK.EQ(X11,X$6:X$116,0),"")</f>
        <v>6</v>
      </c>
      <c r="AA11" s="29"/>
      <c r="AB11" s="29"/>
      <c r="AC11" s="53" t="n">
        <f aca="false">IF(DA11=0,"",DA11)</f>
        <v>20</v>
      </c>
      <c r="AD11" s="53"/>
      <c r="AE11" s="54" t="n">
        <f aca="false">IFERROR(_xlfn.RANK.EQ(AC11,AC$6:AC$116,0),"")</f>
        <v>4</v>
      </c>
      <c r="AF11" s="29"/>
      <c r="AG11" s="29"/>
      <c r="AH11" s="53" t="n">
        <f aca="false">IF(DC11=0,"",DC11)</f>
        <v>-16</v>
      </c>
      <c r="AI11" s="53"/>
      <c r="AJ11" s="54" t="n">
        <f aca="false">IFERROR(_xlfn.RANK.EQ(AH11,AH$6:AH$116,0),"")</f>
        <v>13</v>
      </c>
      <c r="AK11" s="29"/>
      <c r="AL11" s="29"/>
      <c r="AM11" s="53" t="n">
        <f aca="false">IF(DE11=0,"",DE11)</f>
        <v>-4</v>
      </c>
      <c r="AN11" s="53"/>
      <c r="AO11" s="54" t="n">
        <f aca="false">IFERROR(_xlfn.RANK.EQ(AM11,AM$6:AM$116,0),"")</f>
        <v>9</v>
      </c>
      <c r="AP11" s="29"/>
      <c r="AQ11" s="29"/>
      <c r="AR11" s="53" t="n">
        <f aca="false">IF(DG11=0,"",DG11)</f>
        <v>12</v>
      </c>
      <c r="AS11" s="53"/>
      <c r="AT11" s="54" t="n">
        <f aca="false">IFERROR(_xlfn.RANK.EQ(AR11,AR$6:AR$116,0),"")</f>
        <v>4</v>
      </c>
      <c r="AU11" s="29"/>
      <c r="AV11" s="29"/>
      <c r="AW11" s="53" t="n">
        <f aca="false">IF(DI11=0,"",DI11)</f>
        <v>25</v>
      </c>
      <c r="AX11" s="53"/>
      <c r="AY11" s="54" t="n">
        <f aca="false">IFERROR(_xlfn.RANK.EQ(AW11,AW$6:AW$116,0),"")</f>
        <v>2</v>
      </c>
      <c r="AZ11" s="29"/>
      <c r="BA11" s="29"/>
      <c r="BB11" s="53" t="n">
        <f aca="false">IF(DK11=0,"",DK11)</f>
        <v>-8</v>
      </c>
      <c r="BC11" s="53"/>
      <c r="BD11" s="54" t="n">
        <f aca="false">IFERROR(_xlfn.RANK.EQ(BB11,BB$6:BB$116,0),"")</f>
        <v>8</v>
      </c>
      <c r="BE11" s="29"/>
      <c r="BF11" s="29"/>
      <c r="BG11" s="53" t="str">
        <f aca="false">IF(DM11=0,"",DM11)</f>
        <v/>
      </c>
      <c r="BH11" s="53"/>
      <c r="BI11" s="54" t="str">
        <f aca="false">IFERROR(_xlfn.RANK.EQ(BG11,BG$6:BG$116,0),"")</f>
        <v/>
      </c>
      <c r="BJ11" s="29"/>
      <c r="BK11" s="29"/>
      <c r="BL11" s="53" t="str">
        <f aca="false">IF(DO11=0,"",DO11)</f>
        <v/>
      </c>
      <c r="BM11" s="53"/>
      <c r="BN11" s="54" t="str">
        <f aca="false">IFERROR(_xlfn.RANK.EQ(BL11,BL$6:BL$116,0),"")</f>
        <v/>
      </c>
      <c r="BO11" s="29"/>
      <c r="BP11" s="29"/>
      <c r="BQ11" s="53" t="str">
        <f aca="false">IF(DQ11=0,"",DQ11)</f>
        <v/>
      </c>
      <c r="BR11" s="53"/>
      <c r="BS11" s="54" t="str">
        <f aca="false">IFERROR(_xlfn.RANK.EQ(BQ11,BQ$6:BQ$116,0),"")</f>
        <v/>
      </c>
      <c r="BT11" s="29"/>
      <c r="BU11" s="29"/>
      <c r="BV11" s="53" t="str">
        <f aca="false">IF(DS11=0,"",DS11)</f>
        <v/>
      </c>
      <c r="BW11" s="53"/>
      <c r="BX11" s="54" t="str">
        <f aca="false">IFERROR(_xlfn.RANK.EQ(BV11,BV$6:BV$116,0),"")</f>
        <v/>
      </c>
      <c r="BY11" s="29"/>
      <c r="BZ11" s="29"/>
      <c r="CA11" s="53" t="str">
        <f aca="false">IF(DU11=0,"",DU11)</f>
        <v/>
      </c>
      <c r="CB11" s="53"/>
      <c r="CC11" s="54" t="str">
        <f aca="false">IFERROR(_xlfn.RANK.EQ(CA11,CA$6:CA$116,0),"")</f>
        <v/>
      </c>
      <c r="CD11" s="29"/>
      <c r="CE11" s="29"/>
      <c r="CF11" s="53" t="str">
        <f aca="false">IF(DW11=0,"",DW11)</f>
        <v/>
      </c>
      <c r="CG11" s="53"/>
      <c r="CH11" s="54" t="str">
        <f aca="false">IFERROR(_xlfn.RANK.EQ(CF11,CF$6:CF$116,0),"")</f>
        <v/>
      </c>
      <c r="CI11" s="29"/>
      <c r="CJ11" s="29"/>
      <c r="CK11" s="53" t="str">
        <f aca="false">IF(DY11=0,"",DY11)</f>
        <v/>
      </c>
      <c r="CL11" s="53"/>
      <c r="CM11" s="54" t="str">
        <f aca="false">IFERROR(_xlfn.RANK.EQ(CK11,CK$6:CK$116,0),"")</f>
        <v/>
      </c>
      <c r="CN11" s="29"/>
      <c r="CO11" s="29"/>
      <c r="CP11" s="53" t="str">
        <f aca="false">IF(EA11=0,"",EA11)</f>
        <v/>
      </c>
      <c r="CQ11" s="53"/>
      <c r="CR11" s="54" t="str">
        <f aca="false">IFERROR(_xlfn.RANK.EQ(CP11,CP$6:CP$116,0),"")</f>
        <v/>
      </c>
      <c r="CS11" s="30" t="n">
        <v>-10</v>
      </c>
      <c r="CT11" s="31" t="n">
        <f aca="true">IFERROR(AVERAGE(OFFSET('Data - For Rank'!B$2,K11,0,COUNTIF(K$6:K$116,K11)))+IFERROR(VLOOKUP((COUNT($I$6:$I$116)/4),$ER$9:$ES$13,2,FALSE()),0),"")</f>
        <v>7</v>
      </c>
      <c r="CU11" s="30"/>
      <c r="CV11" s="31" t="str">
        <f aca="true">IFERROR(AVERAGE(OFFSET('Data - For Rank'!$C$2,P11,0,COUNTIF(P$6:P$116,P11)))+IFERROR(VLOOKUP((COUNT(N$6:N$116)/4),$ER$9:$ES$13,2,FALSE()),0),"")</f>
        <v/>
      </c>
      <c r="CW11" s="30"/>
      <c r="CX11" s="31" t="str">
        <f aca="true">IFERROR(AVERAGE(OFFSET('Data - For Rank'!D$2,U11,0,COUNTIF(U$6:$U119,U11)))+IFERROR(VLOOKUP((COUNT(S$6:S$116)/4),$ER$9:$ES$13,2,FALSE()),0),"")</f>
        <v/>
      </c>
      <c r="CY11" s="30" t="n">
        <v>-15</v>
      </c>
      <c r="CZ11" s="31" t="n">
        <f aca="true">IFERROR(AVERAGE(OFFSET('Data - For Rank'!E$2,Z11,0,COUNTIF(Z$6:Z$116,Z11)))+IFERROR(VLOOKUP((COUNT(W$6:W$116)/4),$ER$9:$ES$13,2,FALSE()),0),"")</f>
        <v>9</v>
      </c>
      <c r="DA11" s="30" t="n">
        <v>20</v>
      </c>
      <c r="DB11" s="31" t="n">
        <f aca="true">IFERROR(AVERAGE(OFFSET('Data - For Rank'!F$2,AE11,0,COUNTIF(AE$6:AE$116,AE11)))+IFERROR(VLOOKUP((COUNT(AC$6:AC$116)/4),$ER$9:$ES$13,2,FALSE()),0),"")</f>
        <v>15</v>
      </c>
      <c r="DC11" s="30" t="n">
        <v>-16</v>
      </c>
      <c r="DD11" s="31" t="n">
        <f aca="true">IFERROR(AVERAGE(OFFSET('Data - For Rank'!G$2,AJ11,0,COUNTIF(AJ$6:AJ$116,AJ11)))+IFERROR(VLOOKUP((COUNT(AH$6:AH$116)/4),$ER$9:$ES$13,2,FALSE()),0),"")</f>
        <v>6</v>
      </c>
      <c r="DE11" s="30" t="n">
        <v>-4</v>
      </c>
      <c r="DF11" s="31" t="n">
        <f aca="true">IFERROR(AVERAGE(OFFSET('Data - For Rank'!$H$2,AO11,0,COUNTIF(AO$6:AO$116,AO11)))+IFERROR(VLOOKUP((COUNT(AM$6:AM$116)/4),$ER$9:$ES$13,2,FALSE()),0),"")</f>
        <v>8</v>
      </c>
      <c r="DG11" s="30" t="n">
        <v>12</v>
      </c>
      <c r="DH11" s="31" t="n">
        <f aca="true">IFERROR(AVERAGE(OFFSET('Data - For Rank'!$I$2,AT11,0,COUNTIF(AT$6:AT$116,AT11)))+IFERROR(VLOOKUP((COUNT(AR$6:AR$116)/4),$ER$9:$ES$13,2,FALSE()),0),"")</f>
        <v>14</v>
      </c>
      <c r="DI11" s="30" t="n">
        <v>25</v>
      </c>
      <c r="DJ11" s="31" t="n">
        <f aca="true">IFERROR(AVERAGE(OFFSET('Data - For Rank'!$J$2,AY11,0,COUNTIF(AY$6:AY$116,AY11)))+IFERROR(VLOOKUP((COUNT(AW$6:AW$116)/4),$ER$9:$ES$13,2,FALSE()),0),"")</f>
        <v>17</v>
      </c>
      <c r="DK11" s="30" t="n">
        <v>-8</v>
      </c>
      <c r="DL11" s="31" t="n">
        <f aca="true">IFERROR(AVERAGE(OFFSET('Data - For Rank'!$K$2,BD11,0,COUNTIF(BD$6:BD$116,BD11)))+IFERROR(VLOOKUP((COUNT(BB$6:BB$116)/4),$ER$9:$ES$13,2,FALSE()),0),"")</f>
        <v>8.5</v>
      </c>
      <c r="DM11" s="30"/>
      <c r="DN11" s="31" t="str">
        <f aca="true">IFERROR(AVERAGE(OFFSET('Data - For Rank'!$L$2,BI11,0,COUNTIF(BI$6:BI$116,BI11)))+IFERROR(VLOOKUP((COUNT(BG$6:BG$116)/4),$ER$9:$ES$13,2,FALSE()),0),"")</f>
        <v/>
      </c>
      <c r="DO11" s="30"/>
      <c r="DP11" s="31" t="str">
        <f aca="true">IFERROR(AVERAGE(OFFSET('Data - For Rank'!$M$2,BN11,0,COUNTIF(BN$6:BN$116,BN11)))+IFERROR(VLOOKUP((COUNT(BL$6:BL$116)/4),$ER$9:$ES$13,2,FALSE()),0),"")</f>
        <v/>
      </c>
      <c r="DQ11" s="30"/>
      <c r="DR11" s="31" t="str">
        <f aca="true">IFERROR(AVERAGE(OFFSET('Data - For Rank'!$N$2,BS11,0,COUNTIF(BS$6:BS$116,BS11)))+IFERROR(VLOOKUP((COUNT(BQ$6:BQ$116)/4),$ER$9:$ES$13,2,FALSE()),0),"")</f>
        <v/>
      </c>
      <c r="DS11" s="30"/>
      <c r="DT11" s="31" t="str">
        <f aca="true">IFERROR(AVERAGE(OFFSET('Data - For Rank'!$O$2,BX11,0,COUNTIF(BX$6:BX$116,BX11)))+IFERROR(VLOOKUP((COUNT(BV$6:BV$116)/4),$ER$9:$ES$13,2,FALSE()),0),"")</f>
        <v/>
      </c>
      <c r="DU11" s="30"/>
      <c r="DV11" s="31" t="str">
        <f aca="true">IFERROR(AVERAGE(OFFSET('Data - For Rank'!$P$2,CC11,0,COUNTIF(CC$6:CC$116,CC11)))+IFERROR(VLOOKUP((COUNT(CA$6:CA$116)/4),$ER$9:$ES$13,2,FALSE()),0),"")</f>
        <v/>
      </c>
      <c r="DW11" s="30"/>
      <c r="DX11" s="31" t="str">
        <f aca="true">IFERROR(AVERAGE(OFFSET('Data - For Rank'!$Q$2,CH11,0,COUNTIF(CH$6:CH$116,CH11)))+IFERROR(VLOOKUP((COUNT(CF$6:CF$116)/4),$ER$9:$ES$13,2,FALSE()),0),"")</f>
        <v/>
      </c>
      <c r="DY11" s="30"/>
      <c r="DZ11" s="31" t="str">
        <f aca="true">IFERROR(AVERAGE(OFFSET('Data - For Rank'!$R$2,CM11,0,COUNTIF(CM$6:CM$116,CM11)))+IFERROR(VLOOKUP((COUNT(CK$6:CK$116)/4),$ER$9:$ES$13,2,FALSE()),0),"")</f>
        <v/>
      </c>
      <c r="EA11" s="30"/>
      <c r="EB11" s="31" t="str">
        <f aca="true">IFERROR(AVERAGE(OFFSET('Data - For Rank'!$S$2,CR11,0,COUNTIF(CR$6:CR$116,CR11)))+IFERROR(VLOOKUP((COUNT(CP$6:CP$116)/4),$ER$9:$ES$13,2,FALSE()),0),"")</f>
        <v/>
      </c>
      <c r="EC11" s="32" t="n">
        <f aca="false">CS11+CU11+CW11+CY11+DA11+DC11+DE11+DG11+DI11+DK11+DM11+DO11+DQ11+DS11+DU11+DW11+DY11+EA11</f>
        <v>4</v>
      </c>
      <c r="ED11" s="33" t="n">
        <f aca="false">AVERAGE(CT11,CV11,CX11,CZ11,DB11,DD11,DF11,DH11,DJ11,DL11,DN11,DP11,DR11,DT11,DV11,DX11,DZ11,EB11)</f>
        <v>10.5625</v>
      </c>
      <c r="EM11" s="56" t="s">
        <v>82</v>
      </c>
      <c r="EQ11" s="1" t="n">
        <v>12</v>
      </c>
      <c r="ER11" s="1" t="n">
        <v>3</v>
      </c>
      <c r="ES11" s="1" t="n">
        <v>4</v>
      </c>
      <c r="EU11" s="1" t="n">
        <f aca="false">32+30+28+26+24+22+20+18+16+14+12+10</f>
        <v>252</v>
      </c>
    </row>
    <row r="12" customFormat="false" ht="14.25" hidden="false" customHeight="false" outlineLevel="0" collapsed="false">
      <c r="B12" s="8" t="n">
        <f aca="false">_xlfn.RANK.EQ(C12,$C$6:$C$63,)</f>
        <v>3</v>
      </c>
      <c r="C12" s="43" t="n">
        <f aca="false">EC12</f>
        <v>193</v>
      </c>
      <c r="D12" s="43" t="s">
        <v>83</v>
      </c>
      <c r="E12" s="9" t="s">
        <v>46</v>
      </c>
      <c r="F12" s="20" t="n">
        <f aca="false">COUNT(CT12,CV12,CX12,CZ12,DB12,DD12,DF12,DH12,DJ12,DL12,DN12,DP12,DR12,DT12,DV12,DX12,DZ12,EB12)</f>
        <v>8</v>
      </c>
      <c r="G12" s="49" t="n">
        <f aca="false">IF(CT12=0,"",CT12)</f>
        <v>20.5</v>
      </c>
      <c r="H12" s="49"/>
      <c r="I12" s="49"/>
      <c r="K12" s="49"/>
      <c r="L12" s="49" t="str">
        <f aca="false">IF(CV12=0,"",CV12)</f>
        <v/>
      </c>
      <c r="M12" s="49"/>
      <c r="N12" s="49"/>
      <c r="P12" s="49"/>
      <c r="Q12" s="49" t="n">
        <f aca="false">IF(CX12=0,"",CX12)</f>
        <v>31</v>
      </c>
      <c r="R12" s="49"/>
      <c r="S12" s="49"/>
      <c r="U12" s="49"/>
      <c r="V12" s="49" t="n">
        <f aca="false">IF(CZ12=0,"",CZ12)</f>
        <v>26.5</v>
      </c>
      <c r="W12" s="49"/>
      <c r="X12" s="49"/>
      <c r="Z12" s="49"/>
      <c r="AA12" s="49" t="n">
        <f aca="false">IF(DB12=0,"",DB12)</f>
        <v>26.5</v>
      </c>
      <c r="AB12" s="49"/>
      <c r="AC12" s="49"/>
      <c r="AE12" s="49"/>
      <c r="AF12" s="49" t="n">
        <f aca="false">IF(DD12=0,"",DD12)</f>
        <v>23.5</v>
      </c>
      <c r="AG12" s="49"/>
      <c r="AH12" s="49"/>
      <c r="AJ12" s="49"/>
      <c r="AK12" s="49" t="n">
        <f aca="false">IF(DF12=0,"",DF12)</f>
        <v>25.5</v>
      </c>
      <c r="AL12" s="49"/>
      <c r="AM12" s="49"/>
      <c r="AO12" s="49"/>
      <c r="AP12" s="49" t="n">
        <f aca="false">IF(DH12=0,"",DH12)</f>
        <v>25.5</v>
      </c>
      <c r="AQ12" s="49"/>
      <c r="AR12" s="49"/>
      <c r="AT12" s="49"/>
      <c r="AU12" s="49" t="n">
        <f aca="false">IF(DJ12=0,"",DJ12)</f>
        <v>14</v>
      </c>
      <c r="AV12" s="49"/>
      <c r="AW12" s="49"/>
      <c r="AY12" s="49"/>
      <c r="AZ12" s="49" t="str">
        <f aca="false">IF(DL12=0,"",DL12)</f>
        <v/>
      </c>
      <c r="BA12" s="49"/>
      <c r="BB12" s="49"/>
      <c r="BD12" s="49"/>
      <c r="BE12" s="49" t="str">
        <f aca="false">IF(DN12=0,"",DN12)</f>
        <v/>
      </c>
      <c r="BF12" s="49"/>
      <c r="BG12" s="49"/>
      <c r="BI12" s="49"/>
      <c r="BJ12" s="49" t="str">
        <f aca="false">IF(DP12=0,"",DP12)</f>
        <v/>
      </c>
      <c r="BK12" s="49"/>
      <c r="BL12" s="49"/>
      <c r="BN12" s="49"/>
      <c r="BO12" s="49" t="str">
        <f aca="false">IF(DR12=0,"",DR12)</f>
        <v/>
      </c>
      <c r="BP12" s="49"/>
      <c r="BQ12" s="49"/>
      <c r="BS12" s="49"/>
      <c r="BT12" s="49" t="str">
        <f aca="false">IF(DT12=0,"",DT12)</f>
        <v/>
      </c>
      <c r="BU12" s="49"/>
      <c r="BV12" s="49"/>
      <c r="BX12" s="49"/>
      <c r="BY12" s="49" t="str">
        <f aca="false">IF(DV12=0,"",DV12)</f>
        <v/>
      </c>
      <c r="BZ12" s="49"/>
      <c r="CA12" s="49"/>
      <c r="CC12" s="49"/>
      <c r="CD12" s="49" t="str">
        <f aca="false">IF(DX12=0,"",DX12)</f>
        <v/>
      </c>
      <c r="CE12" s="49"/>
      <c r="CF12" s="49"/>
      <c r="CH12" s="49"/>
      <c r="CI12" s="49" t="str">
        <f aca="false">IF(DZ12=0,"",DZ12)</f>
        <v/>
      </c>
      <c r="CJ12" s="49"/>
      <c r="CK12" s="49"/>
      <c r="CM12" s="49"/>
      <c r="CN12" s="49" t="str">
        <f aca="false">IF(EB12=0,"",EB12)</f>
        <v/>
      </c>
      <c r="CO12" s="49"/>
      <c r="CP12" s="49"/>
      <c r="CR12" s="49"/>
      <c r="CS12" s="21" t="n">
        <v>84</v>
      </c>
      <c r="CT12" s="22" t="n">
        <f aca="false">IFERROR(CT13+CT14,"")</f>
        <v>20.5</v>
      </c>
      <c r="CU12" s="21"/>
      <c r="CV12" s="22" t="str">
        <f aca="false">IFERROR(CV13+CV14,"")</f>
        <v/>
      </c>
      <c r="CW12" s="21" t="n">
        <v>79</v>
      </c>
      <c r="CX12" s="22" t="n">
        <f aca="false">IFERROR(CX13+CX14,"")</f>
        <v>31</v>
      </c>
      <c r="CY12" s="21" t="n">
        <v>82</v>
      </c>
      <c r="CZ12" s="22" t="n">
        <f aca="false">IFERROR(CZ13+CZ14,"")</f>
        <v>26.5</v>
      </c>
      <c r="DA12" s="21" t="n">
        <v>86</v>
      </c>
      <c r="DB12" s="22" t="n">
        <f aca="false">IFERROR(DB13+DB14,"")</f>
        <v>26.5</v>
      </c>
      <c r="DC12" s="21" t="n">
        <v>84</v>
      </c>
      <c r="DD12" s="22" t="n">
        <f aca="false">IFERROR(DD13+DD14,"")</f>
        <v>23.5</v>
      </c>
      <c r="DE12" s="21" t="n">
        <v>80</v>
      </c>
      <c r="DF12" s="22" t="n">
        <f aca="false">IFERROR(DF13+DF14,"")</f>
        <v>25.5</v>
      </c>
      <c r="DG12" s="21" t="n">
        <v>83</v>
      </c>
      <c r="DH12" s="22" t="n">
        <f aca="false">IFERROR(DH13+DH14,"")</f>
        <v>25.5</v>
      </c>
      <c r="DI12" s="21" t="n">
        <v>96</v>
      </c>
      <c r="DJ12" s="22" t="n">
        <f aca="false">IFERROR(DJ13+DJ14,"")</f>
        <v>14</v>
      </c>
      <c r="DK12" s="21"/>
      <c r="DL12" s="22" t="str">
        <f aca="false">IFERROR(DL13+DL14,"")</f>
        <v/>
      </c>
      <c r="DM12" s="21"/>
      <c r="DN12" s="22" t="str">
        <f aca="false">IFERROR(DN13+DN14,"")</f>
        <v/>
      </c>
      <c r="DO12" s="21"/>
      <c r="DP12" s="22" t="str">
        <f aca="false">IFERROR(DP13+DP14,"")</f>
        <v/>
      </c>
      <c r="DQ12" s="21"/>
      <c r="DR12" s="22" t="str">
        <f aca="false">IFERROR(DR13+DR14,"")</f>
        <v/>
      </c>
      <c r="DS12" s="21"/>
      <c r="DT12" s="22" t="str">
        <f aca="false">IFERROR(DT13+DT14,"")</f>
        <v/>
      </c>
      <c r="DU12" s="21"/>
      <c r="DV12" s="22" t="str">
        <f aca="false">IFERROR(DV13+DV14,"")</f>
        <v/>
      </c>
      <c r="DW12" s="21"/>
      <c r="DX12" s="22" t="str">
        <f aca="false">IFERROR(DX13+DX14,"")</f>
        <v/>
      </c>
      <c r="DY12" s="21"/>
      <c r="DZ12" s="22" t="str">
        <f aca="false">IFERROR(DZ13+DZ14,"")</f>
        <v/>
      </c>
      <c r="EA12" s="21"/>
      <c r="EB12" s="22" t="str">
        <f aca="false">IFERROR(EB13+EB14,"")</f>
        <v/>
      </c>
      <c r="EC12" s="17" t="n">
        <f aca="false">IFERROR(LARGE($G12:$CN12,1),0)+IFERROR(LARGE($G12:$CN12,2),0)+IFERROR(LARGE($G12:$CN12,3),0)+IFERROR(LARGE($G12:$CN12,4),0)+IFERROR(LARGE($G12:$CN12,5),0)+IFERROR(LARGE($G12:$CN12,6),0)+IFERROR(LARGE($G12:$CN12,7),0)+IFERROR(LARGE($G12:$CN12,8),0)+IFERROR(LARGE($G12:$CN12,9),0)+IFERROR(LARGE($G12:$CN12,10),0)</f>
        <v>193</v>
      </c>
      <c r="ED12" s="23" t="n">
        <f aca="false">AVERAGE(CT12,CV12,CX12,CZ12,DB12,DD12,DF12,DH12,DJ12,DL12,DN12,DP12,DR12,DT12,DV12,DX12,DZ12,EB12)</f>
        <v>24.125</v>
      </c>
      <c r="EM12" s="56" t="s">
        <v>84</v>
      </c>
      <c r="EQ12" s="1" t="n">
        <v>8</v>
      </c>
      <c r="ER12" s="1" t="n">
        <v>2</v>
      </c>
      <c r="ES12" s="1" t="n">
        <v>6</v>
      </c>
      <c r="EU12" s="1" t="n">
        <f aca="false">28+26+24+22+20+18+16+14</f>
        <v>168</v>
      </c>
    </row>
    <row r="13" s="1" customFormat="true" ht="14.25" hidden="false" customHeight="false" outlineLevel="1" collapsed="false">
      <c r="B13" s="24" t="n">
        <f aca="false">B12+0.11</f>
        <v>3.11</v>
      </c>
      <c r="D13" s="1" t="s">
        <v>85</v>
      </c>
      <c r="E13" s="7" t="s">
        <v>43</v>
      </c>
      <c r="F13" s="7"/>
      <c r="G13" s="7"/>
      <c r="H13" s="7" t="n">
        <f aca="false">IF(CS13=0,"",CS13)</f>
        <v>32</v>
      </c>
      <c r="I13" s="7"/>
      <c r="J13" s="49" t="n">
        <f aca="false">IFERROR(RANK(H13,H$6:H$116,0),"")</f>
        <v>6</v>
      </c>
      <c r="K13" s="7"/>
      <c r="L13" s="7"/>
      <c r="M13" s="7" t="str">
        <f aca="false">IF(CU13=0,"",CU13)</f>
        <v/>
      </c>
      <c r="N13" s="7"/>
      <c r="O13" s="49" t="str">
        <f aca="false">IFERROR(RANK(M13,M$6:M$116,0),"")</f>
        <v/>
      </c>
      <c r="P13" s="7"/>
      <c r="Q13" s="7"/>
      <c r="R13" s="7" t="n">
        <f aca="false">IF(CW13=0,"",CW13)</f>
        <v>39</v>
      </c>
      <c r="S13" s="7"/>
      <c r="T13" s="49" t="n">
        <f aca="false">IFERROR(RANK(R13,R$6:R$116,0),"")</f>
        <v>2</v>
      </c>
      <c r="U13" s="7"/>
      <c r="V13" s="7"/>
      <c r="W13" s="7" t="n">
        <f aca="false">IF(CY13=0,"",CY13)</f>
        <v>32</v>
      </c>
      <c r="X13" s="7"/>
      <c r="Y13" s="49" t="n">
        <f aca="false">IFERROR(RANK(W13,W$6:W$116,0),"")</f>
        <v>2</v>
      </c>
      <c r="Z13" s="7"/>
      <c r="AA13" s="7"/>
      <c r="AB13" s="7" t="n">
        <f aca="false">IF(DA13=0,"",DA13)</f>
        <v>30</v>
      </c>
      <c r="AC13" s="7"/>
      <c r="AD13" s="49" t="n">
        <f aca="false">IFERROR(RANK(AB13,AB$6:AB$116,0),"")</f>
        <v>10</v>
      </c>
      <c r="AE13" s="7"/>
      <c r="AF13" s="7"/>
      <c r="AG13" s="7" t="n">
        <f aca="false">IF(DC13=0,"",DC13)</f>
        <v>34</v>
      </c>
      <c r="AH13" s="7"/>
      <c r="AI13" s="49" t="n">
        <f aca="false">IFERROR(RANK(AG13,AG$6:AG$116,0),"")</f>
        <v>7</v>
      </c>
      <c r="AJ13" s="7"/>
      <c r="AK13" s="7"/>
      <c r="AL13" s="7" t="n">
        <f aca="false">IF(DE13=0,"",DE13)</f>
        <v>34</v>
      </c>
      <c r="AM13" s="7"/>
      <c r="AN13" s="49" t="n">
        <f aca="false">IFERROR(RANK(AL13,AL$6:AL$116,0),"")</f>
        <v>5</v>
      </c>
      <c r="AO13" s="7"/>
      <c r="AP13" s="7"/>
      <c r="AQ13" s="7" t="n">
        <f aca="false">IF(DG13=0,"",DG13)</f>
        <v>33</v>
      </c>
      <c r="AR13" s="7"/>
      <c r="AS13" s="49" t="n">
        <f aca="false">IFERROR(RANK(AQ13,AQ$6:AQ$116,0),"")</f>
        <v>7</v>
      </c>
      <c r="AT13" s="7"/>
      <c r="AU13" s="7"/>
      <c r="AV13" s="7" t="n">
        <f aca="false">IF(DI13=0,"",DI13)</f>
        <v>23</v>
      </c>
      <c r="AW13" s="7"/>
      <c r="AX13" s="49" t="n">
        <f aca="false">IFERROR(RANK(AV13,AV$6:AV$116,0),"")</f>
        <v>16</v>
      </c>
      <c r="AY13" s="7"/>
      <c r="AZ13" s="7"/>
      <c r="BA13" s="7" t="str">
        <f aca="false">IF(DK13=0,"",DK13)</f>
        <v/>
      </c>
      <c r="BB13" s="7"/>
      <c r="BC13" s="49" t="str">
        <f aca="false">IFERROR(RANK(BA13,BA$6:BA$116,0),"")</f>
        <v/>
      </c>
      <c r="BD13" s="7"/>
      <c r="BE13" s="7"/>
      <c r="BF13" s="7" t="str">
        <f aca="false">IF(DM13=0,"",DM13)</f>
        <v/>
      </c>
      <c r="BG13" s="7"/>
      <c r="BH13" s="49" t="str">
        <f aca="false">IFERROR(RANK(BF13,BF$6:BF$116,0),"")</f>
        <v/>
      </c>
      <c r="BI13" s="7"/>
      <c r="BJ13" s="7"/>
      <c r="BK13" s="7" t="str">
        <f aca="false">IF(DO13=0,"",DO13)</f>
        <v/>
      </c>
      <c r="BL13" s="7"/>
      <c r="BM13" s="49" t="str">
        <f aca="false">IFERROR(RANK(BK13,BK$6:BK$116,0),"")</f>
        <v/>
      </c>
      <c r="BN13" s="7"/>
      <c r="BO13" s="7"/>
      <c r="BP13" s="7" t="str">
        <f aca="false">IF(DQ13=0,"",DQ13)</f>
        <v/>
      </c>
      <c r="BQ13" s="7"/>
      <c r="BR13" s="49" t="str">
        <f aca="false">IFERROR(RANK(BP13,BP$6:BP$116,0),"")</f>
        <v/>
      </c>
      <c r="BS13" s="7"/>
      <c r="BT13" s="7"/>
      <c r="BU13" s="7" t="str">
        <f aca="false">IF(DS13=0,"",DS13)</f>
        <v/>
      </c>
      <c r="BV13" s="7"/>
      <c r="BW13" s="49" t="str">
        <f aca="false">IFERROR(RANK(BU13,BU$6:BU$116,0),"")</f>
        <v/>
      </c>
      <c r="BX13" s="7"/>
      <c r="BY13" s="7"/>
      <c r="BZ13" s="7" t="str">
        <f aca="false">IF(DU13=0,"",DU13)</f>
        <v/>
      </c>
      <c r="CA13" s="7"/>
      <c r="CB13" s="49" t="str">
        <f aca="false">IFERROR(RANK(BZ13,BZ$6:BZ$116,0),"")</f>
        <v/>
      </c>
      <c r="CC13" s="7"/>
      <c r="CD13" s="7"/>
      <c r="CE13" s="7" t="str">
        <f aca="false">IF(DW13=0,"",DW13)</f>
        <v/>
      </c>
      <c r="CF13" s="7"/>
      <c r="CG13" s="49" t="str">
        <f aca="false">IFERROR(RANK(CE13,CE$6:CE$116,0),"")</f>
        <v/>
      </c>
      <c r="CH13" s="7"/>
      <c r="CI13" s="7"/>
      <c r="CJ13" s="7" t="str">
        <f aca="false">IF(DY13=0,"",DY13)</f>
        <v/>
      </c>
      <c r="CK13" s="7"/>
      <c r="CL13" s="49" t="str">
        <f aca="false">IFERROR(RANK(CJ13,CJ$6:CJ$116,0),"")</f>
        <v/>
      </c>
      <c r="CM13" s="7"/>
      <c r="CN13" s="7"/>
      <c r="CO13" s="7" t="str">
        <f aca="false">IF(EA13=0,"",EA13)</f>
        <v/>
      </c>
      <c r="CP13" s="7"/>
      <c r="CQ13" s="49" t="str">
        <f aca="false">IFERROR(RANK(CO13,CO$6:CO$116,0),"")</f>
        <v/>
      </c>
      <c r="CR13" s="7"/>
      <c r="CS13" s="21" t="n">
        <v>32</v>
      </c>
      <c r="CT13" s="25" t="n">
        <f aca="true">IFERROR(AVERAGE(OFFSET('Data - For Rank'!B$2,J13,0,COUNTIF($J$7:J$116,J13)))+IFERROR(VLOOKUP((COUNT($H$6:$H$116)/4),$ER$9:$ES$13,2,FALSE()),0),"")</f>
        <v>12.5</v>
      </c>
      <c r="CU13" s="21"/>
      <c r="CV13" s="25" t="str">
        <f aca="true">IFERROR(AVERAGE(OFFSET('Data - For Rank'!$C$2,O13,0,COUNTIF(O$7:O$116,O13)))+IFERROR(VLOOKUP((COUNT(M$6:M$116)/4),$ER$9:$ES$13,2,FALSE()),0),"")</f>
        <v/>
      </c>
      <c r="CW13" s="21" t="n">
        <v>39</v>
      </c>
      <c r="CX13" s="25" t="n">
        <f aca="true">IFERROR(AVERAGE(OFFSET('Data - For Rank'!D$2,T13,0,COUNTIF(T$7:T$116,T13)))+IFERROR(VLOOKUP((COUNT(R$6:R$116)/4),$ER$9:$ES$13,2,FALSE()),0),"")</f>
        <v>15</v>
      </c>
      <c r="CY13" s="21" t="n">
        <v>32</v>
      </c>
      <c r="CZ13" s="25" t="n">
        <f aca="true">IFERROR(AVERAGE(OFFSET('Data - For Rank'!E$2,Y13,0,COUNTIF(Y$7:Y$116,Y13)))+IFERROR(VLOOKUP((COUNT(W$6:W$116)/4),$ER$9:$ES$13,2,FALSE()),0),"")</f>
        <v>12.5</v>
      </c>
      <c r="DA13" s="21" t="n">
        <v>30</v>
      </c>
      <c r="DB13" s="25" t="n">
        <f aca="true">IFERROR(AVERAGE(OFFSET('Data - For Rank'!F$2,AD13,0,COUNTIF(AD$7:AD$116,AD13)))+IFERROR(VLOOKUP((COUNT(AB$6:AB$116)/4),$ER$9:$ES$13,2,FALSE()),0),"")</f>
        <v>8.5</v>
      </c>
      <c r="DC13" s="21" t="n">
        <v>34</v>
      </c>
      <c r="DD13" s="25" t="n">
        <f aca="true">IFERROR(AVERAGE(OFFSET('Data - For Rank'!G$2,AI13,0,COUNTIF(AI$7:AI$116,AI13)))+IFERROR(VLOOKUP((COUNT(AG$6:AG$116)/4),$ER$9:$ES$13,2,FALSE()),0),"")</f>
        <v>11.5</v>
      </c>
      <c r="DE13" s="21" t="n">
        <v>34</v>
      </c>
      <c r="DF13" s="25" t="n">
        <f aca="true">IFERROR(AVERAGE(OFFSET('Data - For Rank'!$H$2,AN13,0,COUNTIF(AN$7:AN$116,AN13)))+IFERROR(VLOOKUP((COUNT(AL$6:AL$116)/4),$ER$9:$ES$13,2,FALSE()),0),"")</f>
        <v>10.5</v>
      </c>
      <c r="DG13" s="21" t="n">
        <v>33</v>
      </c>
      <c r="DH13" s="25" t="n">
        <f aca="true">IFERROR(AVERAGE(OFFSET('Data - For Rank'!$I$2,AS13,0,COUNTIF(AS$7:AS$116,AS13)))+IFERROR(VLOOKUP((COUNT(AQ$6:AQ$116)/4),$ER$9:$ES$13,2,FALSE()),0),"")</f>
        <v>11.5</v>
      </c>
      <c r="DI13" s="21" t="n">
        <v>23</v>
      </c>
      <c r="DJ13" s="25" t="n">
        <f aca="true">IFERROR(AVERAGE(OFFSET('Data - For Rank'!$J$2,AX13,0,COUNTIF(AX$7:AX$116,AX13)))+IFERROR(VLOOKUP((COUNT(AV$6:AV$116)/4),$ER$9:$ES$13,2,FALSE()),0),"")</f>
        <v>3</v>
      </c>
      <c r="DK13" s="21"/>
      <c r="DL13" s="25" t="str">
        <f aca="true">IFERROR(AVERAGE(OFFSET('Data - For Rank'!$K$2,BC13,0,COUNTIF(BC$7:BC$116,BC13)))+IFERROR(VLOOKUP((COUNT(BA$6:BA$116)/4),$ER$9:$ES$13,2,FALSE()),0),"")</f>
        <v/>
      </c>
      <c r="DM13" s="21"/>
      <c r="DN13" s="25" t="str">
        <f aca="true">IFERROR(AVERAGE(OFFSET('Data - For Rank'!$L$2,BH13,0,COUNTIF(BH$7:BH$116,BH13)))+IFERROR(VLOOKUP((COUNT(BF$6:BF$116)/4),$ER$9:$ES$13,2,FALSE()),0),"")</f>
        <v/>
      </c>
      <c r="DO13" s="21"/>
      <c r="DP13" s="25" t="str">
        <f aca="true">IFERROR(AVERAGE(OFFSET('Data - For Rank'!$M$2,BM13,0,COUNTIF(BM$7:BM$116,BM13)))+IFERROR(VLOOKUP((COUNT(BK$6:BK$116)/4),$ER$9:$ES$13,2,FALSE()),0),"")</f>
        <v/>
      </c>
      <c r="DQ13" s="21"/>
      <c r="DR13" s="25" t="str">
        <f aca="true">IFERROR(AVERAGE(OFFSET('Data - For Rank'!$N$2,BR13,0,COUNTIF(BR$7:BR$116,BR13)))+IFERROR(VLOOKUP((COUNT(BP$6:BP$116)/4),$ER$9:$ES$13,2,FALSE()),0),"")</f>
        <v/>
      </c>
      <c r="DS13" s="21"/>
      <c r="DT13" s="25" t="str">
        <f aca="true">IFERROR(AVERAGE(OFFSET('Data - For Rank'!$O$2,BW13,0,COUNTIF(BW$7:BW$116,BW13)))+IFERROR(VLOOKUP((COUNT(BU$6:BU$116)/4),$ER$9:$ES$13,2,FALSE()),0),"")</f>
        <v/>
      </c>
      <c r="DU13" s="21"/>
      <c r="DV13" s="25" t="str">
        <f aca="true">IFERROR(AVERAGE(OFFSET('Data - For Rank'!$P$2,CB13,0,COUNTIF(CB$7:CB$116,CB13)))+IFERROR(VLOOKUP((COUNT(BZ$6:BZ$116)/4),$ER$9:$ES$13,2,FALSE()),0),"")</f>
        <v/>
      </c>
      <c r="DW13" s="21"/>
      <c r="DX13" s="25" t="str">
        <f aca="true">IFERROR(AVERAGE(OFFSET('Data - For Rank'!$Q$2,CG13,0,COUNTIF(CG$7:CG$116,CG13)))+IFERROR(VLOOKUP((COUNT(CE$6:CE$116)/4),$ER$9:$ES$13,2,FALSE()),0),"")</f>
        <v/>
      </c>
      <c r="DY13" s="21"/>
      <c r="DZ13" s="25" t="str">
        <f aca="true">IFERROR(AVERAGE(OFFSET('Data - For Rank'!$R$2,CL13,0,COUNTIF(CL$7:CL$116,CL13)))+IFERROR(VLOOKUP((COUNT(CJ$6:CJ$116)/4),$ER$9:$ES$13,2,FALSE()),0),"")</f>
        <v/>
      </c>
      <c r="EA13" s="21"/>
      <c r="EB13" s="25" t="str">
        <f aca="true">IFERROR(AVERAGE(OFFSET('Data - For Rank'!$S$2,CQ13,0,COUNTIF(CQ$7:CQ$116,CQ13)))+IFERROR(VLOOKUP((COUNT(CO$6:CO$116)/4),$ER$9:$ES$13,2,FALSE()),0),"")</f>
        <v/>
      </c>
      <c r="EC13" s="26" t="n">
        <f aca="false">AVERAGE(CS13,CU13,CW13,CY13,DA13,DC13,DE13,DG13,DI13,DK13,DM13,DO13,DQ13,DS13,DU13,DW13,DY13,EA13)</f>
        <v>32.125</v>
      </c>
      <c r="ED13" s="23" t="n">
        <f aca="false">AVERAGE(CT13,CV13,CX13,CZ13,DB13,DD13,DF13,DH13,DJ13,DL13,DN13,DP13,DR13,DT13,DV13,DX13,DZ13,EB13)</f>
        <v>10.625</v>
      </c>
      <c r="EM13" s="56" t="s">
        <v>86</v>
      </c>
      <c r="EQ13" s="1" t="n">
        <v>4</v>
      </c>
      <c r="ER13" s="1" t="n">
        <v>1</v>
      </c>
      <c r="ES13" s="1" t="n">
        <v>8</v>
      </c>
      <c r="EU13" s="1" t="n">
        <f aca="false">24+22+20+18</f>
        <v>84</v>
      </c>
    </row>
    <row r="14" s="1" customFormat="true" ht="14.25" hidden="false" customHeight="false" outlineLevel="1" collapsed="false">
      <c r="B14" s="27" t="n">
        <f aca="false">B12+0.021</f>
        <v>3.021</v>
      </c>
      <c r="D14" s="1" t="s">
        <v>87</v>
      </c>
      <c r="E14" s="28" t="s">
        <v>44</v>
      </c>
      <c r="F14" s="29" t="n">
        <f aca="false">IF(COUNT(G12:CN12)&gt;10,SMALL(G12:CN12,COUNT(G12:CN12)-10),MIN(G12:CN12))</f>
        <v>14</v>
      </c>
      <c r="G14" s="29"/>
      <c r="H14" s="29"/>
      <c r="I14" s="53" t="n">
        <f aca="false">IF(CS14=0,"",CS14)</f>
        <v>-9</v>
      </c>
      <c r="J14" s="53"/>
      <c r="K14" s="54" t="n">
        <f aca="false">IFERROR(_xlfn.RANK.EQ(I14,I$6:I$116,0),"")</f>
        <v>11</v>
      </c>
      <c r="L14" s="29"/>
      <c r="M14" s="29"/>
      <c r="N14" s="53" t="str">
        <f aca="false">IF(CU14=0,"",CU14)</f>
        <v/>
      </c>
      <c r="O14" s="53"/>
      <c r="P14" s="54" t="str">
        <f aca="false">IFERROR(_xlfn.RANK.EQ(N14,N$6:N$116,0),"")</f>
        <v/>
      </c>
      <c r="Q14" s="29"/>
      <c r="R14" s="29"/>
      <c r="S14" s="53" t="n">
        <f aca="false">IF(CW14=0,"",CW14)</f>
        <v>30</v>
      </c>
      <c r="T14" s="53"/>
      <c r="U14" s="54" t="n">
        <f aca="false">IFERROR(_xlfn.RANK.EQ(S14,S$6:S$116,0),"")</f>
        <v>1</v>
      </c>
      <c r="V14" s="29"/>
      <c r="W14" s="29"/>
      <c r="X14" s="53" t="n">
        <f aca="false">IF(CY14=0,"",CY14)</f>
        <v>43</v>
      </c>
      <c r="Y14" s="53"/>
      <c r="Z14" s="54" t="n">
        <f aca="false">IFERROR(_xlfn.RANK.EQ(X14,X$6:X$116,0),"")</f>
        <v>1</v>
      </c>
      <c r="AA14" s="29"/>
      <c r="AB14" s="29"/>
      <c r="AC14" s="53" t="n">
        <f aca="false">IF(DA14=0,"",DA14)</f>
        <v>40</v>
      </c>
      <c r="AD14" s="53"/>
      <c r="AE14" s="54" t="n">
        <f aca="false">IFERROR(_xlfn.RANK.EQ(AC14,AC$6:AC$116,0),"")</f>
        <v>1</v>
      </c>
      <c r="AF14" s="29"/>
      <c r="AG14" s="29"/>
      <c r="AH14" s="53" t="n">
        <f aca="false">IF(DC14=0,"",DC14)</f>
        <v>1</v>
      </c>
      <c r="AI14" s="53"/>
      <c r="AJ14" s="54" t="n">
        <f aca="false">IFERROR(_xlfn.RANK.EQ(AH14,AH$6:AH$116,0),"")</f>
        <v>7</v>
      </c>
      <c r="AK14" s="29"/>
      <c r="AL14" s="29"/>
      <c r="AM14" s="53" t="n">
        <f aca="false">IF(DE14=0,"",DE14)</f>
        <v>8</v>
      </c>
      <c r="AN14" s="53"/>
      <c r="AO14" s="54" t="n">
        <f aca="false">IFERROR(_xlfn.RANK.EQ(AM14,AM$6:AM$116,0),"")</f>
        <v>2</v>
      </c>
      <c r="AP14" s="29"/>
      <c r="AQ14" s="29"/>
      <c r="AR14" s="53" t="n">
        <f aca="false">IF(DG14=0,"",DG14)</f>
        <v>12</v>
      </c>
      <c r="AS14" s="53"/>
      <c r="AT14" s="54" t="n">
        <f aca="false">IFERROR(_xlfn.RANK.EQ(AR14,AR$6:AR$116,0),"")</f>
        <v>4</v>
      </c>
      <c r="AU14" s="29"/>
      <c r="AV14" s="29"/>
      <c r="AW14" s="53" t="n">
        <f aca="false">IF(DI14=0,"",DI14)</f>
        <v>3</v>
      </c>
      <c r="AX14" s="53"/>
      <c r="AY14" s="54" t="n">
        <f aca="false">IFERROR(_xlfn.RANK.EQ(AW14,AW$6:AW$116,0),"")</f>
        <v>7</v>
      </c>
      <c r="AZ14" s="29"/>
      <c r="BA14" s="29"/>
      <c r="BB14" s="53" t="str">
        <f aca="false">IF(DK14=0,"",DK14)</f>
        <v/>
      </c>
      <c r="BC14" s="53"/>
      <c r="BD14" s="54" t="str">
        <f aca="false">IFERROR(_xlfn.RANK.EQ(BB14,BB$6:BB$116,0),"")</f>
        <v/>
      </c>
      <c r="BE14" s="29"/>
      <c r="BF14" s="29"/>
      <c r="BG14" s="53" t="str">
        <f aca="false">IF(DM14=0,"",DM14)</f>
        <v/>
      </c>
      <c r="BH14" s="53"/>
      <c r="BI14" s="54" t="str">
        <f aca="false">IFERROR(_xlfn.RANK.EQ(BG14,BG$6:BG$116,0),"")</f>
        <v/>
      </c>
      <c r="BJ14" s="29"/>
      <c r="BK14" s="29"/>
      <c r="BL14" s="53" t="str">
        <f aca="false">IF(DO14=0,"",DO14)</f>
        <v/>
      </c>
      <c r="BM14" s="53"/>
      <c r="BN14" s="54" t="str">
        <f aca="false">IFERROR(_xlfn.RANK.EQ(BL14,BL$6:BL$116,0),"")</f>
        <v/>
      </c>
      <c r="BO14" s="29"/>
      <c r="BP14" s="29"/>
      <c r="BQ14" s="53" t="str">
        <f aca="false">IF(DQ14=0,"",DQ14)</f>
        <v/>
      </c>
      <c r="BR14" s="53"/>
      <c r="BS14" s="54" t="str">
        <f aca="false">IFERROR(_xlfn.RANK.EQ(BQ14,BQ$6:BQ$116,0),"")</f>
        <v/>
      </c>
      <c r="BT14" s="29"/>
      <c r="BU14" s="29"/>
      <c r="BV14" s="53" t="str">
        <f aca="false">IF(DS14=0,"",DS14)</f>
        <v/>
      </c>
      <c r="BW14" s="53"/>
      <c r="BX14" s="54" t="str">
        <f aca="false">IFERROR(_xlfn.RANK.EQ(BV14,BV$6:BV$116,0),"")</f>
        <v/>
      </c>
      <c r="BY14" s="29"/>
      <c r="BZ14" s="29"/>
      <c r="CA14" s="53" t="str">
        <f aca="false">IF(DU14=0,"",DU14)</f>
        <v/>
      </c>
      <c r="CB14" s="53"/>
      <c r="CC14" s="54" t="str">
        <f aca="false">IFERROR(_xlfn.RANK.EQ(CA14,CA$6:CA$116,0),"")</f>
        <v/>
      </c>
      <c r="CD14" s="29"/>
      <c r="CE14" s="29"/>
      <c r="CF14" s="53" t="str">
        <f aca="false">IF(DW14=0,"",DW14)</f>
        <v/>
      </c>
      <c r="CG14" s="53"/>
      <c r="CH14" s="54" t="str">
        <f aca="false">IFERROR(_xlfn.RANK.EQ(CF14,CF$6:CF$116,0),"")</f>
        <v/>
      </c>
      <c r="CI14" s="29"/>
      <c r="CJ14" s="29"/>
      <c r="CK14" s="53" t="str">
        <f aca="false">IF(DY14=0,"",DY14)</f>
        <v/>
      </c>
      <c r="CL14" s="53"/>
      <c r="CM14" s="54" t="str">
        <f aca="false">IFERROR(_xlfn.RANK.EQ(CK14,CK$6:CK$116,0),"")</f>
        <v/>
      </c>
      <c r="CN14" s="29"/>
      <c r="CO14" s="29"/>
      <c r="CP14" s="53" t="str">
        <f aca="false">IF(EA14=0,"",EA14)</f>
        <v/>
      </c>
      <c r="CQ14" s="53"/>
      <c r="CR14" s="54" t="str">
        <f aca="false">IFERROR(_xlfn.RANK.EQ(CP14,CP$6:CP$116,0),"")</f>
        <v/>
      </c>
      <c r="CS14" s="30" t="n">
        <v>-9</v>
      </c>
      <c r="CT14" s="31" t="n">
        <f aca="true">IFERROR(AVERAGE(OFFSET('Data - For Rank'!B$2,K14,0,COUNTIF(K$6:K$116,K14)))+IFERROR(VLOOKUP((COUNT($I$6:$I$116)/4),$ER$9:$ES$13,2,FALSE()),0),"")</f>
        <v>8</v>
      </c>
      <c r="CU14" s="30"/>
      <c r="CV14" s="31" t="str">
        <f aca="true">IFERROR(AVERAGE(OFFSET('Data - For Rank'!$C$2,P14,0,COUNTIF(P$6:P$116,P14)))+IFERROR(VLOOKUP((COUNT(N$6:N$116)/4),$ER$9:$ES$13,2,FALSE()),0),"")</f>
        <v/>
      </c>
      <c r="CW14" s="30" t="n">
        <v>30</v>
      </c>
      <c r="CX14" s="31" t="n">
        <f aca="true">IFERROR(AVERAGE(OFFSET('Data - For Rank'!D$2,U14,0,COUNTIF(U$6:$U122,U14)))+IFERROR(VLOOKUP((COUNT(S$6:S$116)/4),$ER$9:$ES$13,2,FALSE()),0),"")</f>
        <v>16</v>
      </c>
      <c r="CY14" s="30" t="n">
        <v>43</v>
      </c>
      <c r="CZ14" s="31" t="n">
        <f aca="true">IFERROR(AVERAGE(OFFSET('Data - For Rank'!E$2,Z14,0,COUNTIF(Z$6:Z$116,Z14)))+IFERROR(VLOOKUP((COUNT(W$6:W$116)/4),$ER$9:$ES$13,2,FALSE()),0),"")</f>
        <v>14</v>
      </c>
      <c r="DA14" s="30" t="n">
        <v>40</v>
      </c>
      <c r="DB14" s="31" t="n">
        <f aca="true">IFERROR(AVERAGE(OFFSET('Data - For Rank'!F$2,AE14,0,COUNTIF(AE$6:AE$116,AE14)))+IFERROR(VLOOKUP((COUNT(AC$6:AC$116)/4),$ER$9:$ES$13,2,FALSE()),0),"")</f>
        <v>18</v>
      </c>
      <c r="DC14" s="30" t="n">
        <v>1</v>
      </c>
      <c r="DD14" s="31" t="n">
        <f aca="true">IFERROR(AVERAGE(OFFSET('Data - For Rank'!G$2,AJ14,0,COUNTIF(AJ$6:AJ$116,AJ14)))+IFERROR(VLOOKUP((COUNT(AH$6:AH$116)/4),$ER$9:$ES$13,2,FALSE()),0),"")</f>
        <v>12</v>
      </c>
      <c r="DE14" s="30" t="n">
        <v>8</v>
      </c>
      <c r="DF14" s="31" t="n">
        <f aca="true">IFERROR(AVERAGE(OFFSET('Data - For Rank'!$H$2,AO14,0,COUNTIF(AO$6:AO$116,AO14)))+IFERROR(VLOOKUP((COUNT(AM$6:AM$116)/4),$ER$9:$ES$13,2,FALSE()),0),"")</f>
        <v>15</v>
      </c>
      <c r="DG14" s="30" t="n">
        <v>12</v>
      </c>
      <c r="DH14" s="31" t="n">
        <f aca="true">IFERROR(AVERAGE(OFFSET('Data - For Rank'!$I$2,AT14,0,COUNTIF(AT$6:AT$116,AT14)))+IFERROR(VLOOKUP((COUNT(AR$6:AR$116)/4),$ER$9:$ES$13,2,FALSE()),0),"")</f>
        <v>14</v>
      </c>
      <c r="DI14" s="30" t="n">
        <v>3</v>
      </c>
      <c r="DJ14" s="31" t="n">
        <f aca="true">IFERROR(AVERAGE(OFFSET('Data - For Rank'!$J$2,AY14,0,COUNTIF(AY$6:AY$116,AY14)))+IFERROR(VLOOKUP((COUNT(AW$6:AW$116)/4),$ER$9:$ES$13,2,FALSE()),0),"")</f>
        <v>11</v>
      </c>
      <c r="DK14" s="30"/>
      <c r="DL14" s="31" t="str">
        <f aca="true">IFERROR(AVERAGE(OFFSET('Data - For Rank'!$K$2,BD14,0,COUNTIF(BD$6:BD$116,BD14)))+IFERROR(VLOOKUP((COUNT(BB$6:BB$116)/4),$ER$9:$ES$13,2,FALSE()),0),"")</f>
        <v/>
      </c>
      <c r="DM14" s="30"/>
      <c r="DN14" s="31" t="str">
        <f aca="true">IFERROR(AVERAGE(OFFSET('Data - For Rank'!$L$2,BI14,0,COUNTIF(BI$6:BI$116,BI14)))+IFERROR(VLOOKUP((COUNT(BG$6:BG$116)/4),$ER$9:$ES$13,2,FALSE()),0),"")</f>
        <v/>
      </c>
      <c r="DO14" s="30"/>
      <c r="DP14" s="31" t="str">
        <f aca="true">IFERROR(AVERAGE(OFFSET('Data - For Rank'!$M$2,BN14,0,COUNTIF(BN$6:BN$116,BN14)))+IFERROR(VLOOKUP((COUNT(BL$6:BL$116)/4),$ER$9:$ES$13,2,FALSE()),0),"")</f>
        <v/>
      </c>
      <c r="DQ14" s="30"/>
      <c r="DR14" s="31" t="str">
        <f aca="true">IFERROR(AVERAGE(OFFSET('Data - For Rank'!$N$2,BS14,0,COUNTIF(BS$6:BS$116,BS14)))+IFERROR(VLOOKUP((COUNT(BQ$6:BQ$116)/4),$ER$9:$ES$13,2,FALSE()),0),"")</f>
        <v/>
      </c>
      <c r="DS14" s="30"/>
      <c r="DT14" s="31" t="str">
        <f aca="true">IFERROR(AVERAGE(OFFSET('Data - For Rank'!$O$2,BX14,0,COUNTIF(BX$6:BX$116,BX14)))+IFERROR(VLOOKUP((COUNT(BV$6:BV$116)/4),$ER$9:$ES$13,2,FALSE()),0),"")</f>
        <v/>
      </c>
      <c r="DU14" s="30"/>
      <c r="DV14" s="31" t="str">
        <f aca="true">IFERROR(AVERAGE(OFFSET('Data - For Rank'!$P$2,CC14,0,COUNTIF(CC$6:CC$116,CC14)))+IFERROR(VLOOKUP((COUNT(CA$6:CA$116)/4),$ER$9:$ES$13,2,FALSE()),0),"")</f>
        <v/>
      </c>
      <c r="DW14" s="30"/>
      <c r="DX14" s="31" t="str">
        <f aca="true">IFERROR(AVERAGE(OFFSET('Data - For Rank'!$Q$2,CH14,0,COUNTIF(CH$6:CH$116,CH14)))+IFERROR(VLOOKUP((COUNT(CF$6:CF$116)/4),$ER$9:$ES$13,2,FALSE()),0),"")</f>
        <v/>
      </c>
      <c r="DY14" s="30"/>
      <c r="DZ14" s="31" t="str">
        <f aca="true">IFERROR(AVERAGE(OFFSET('Data - For Rank'!$R$2,CM14,0,COUNTIF(CM$6:CM$116,CM14)))+IFERROR(VLOOKUP((COUNT(CK$6:CK$116)/4),$ER$9:$ES$13,2,FALSE()),0),"")</f>
        <v/>
      </c>
      <c r="EA14" s="30"/>
      <c r="EB14" s="31" t="str">
        <f aca="true">IFERROR(AVERAGE(OFFSET('Data - For Rank'!$S$2,CR14,0,COUNTIF(CR$6:CR$116,CR14)))+IFERROR(VLOOKUP((COUNT(CP$6:CP$116)/4),$ER$9:$ES$13,2,FALSE()),0),"")</f>
        <v/>
      </c>
      <c r="EC14" s="32" t="n">
        <f aca="false">CS14+CU14+CW14+CY14+DA14+DC14+DE14+DG14+DI14+DK14+DM14+DO14+DQ14+DS14+DU14+DW14+DY14+EA14</f>
        <v>128</v>
      </c>
      <c r="ED14" s="33" t="n">
        <f aca="false">AVERAGE(CT14,CV14,CX14,CZ14,DB14,DD14,DF14,DH14,DJ14,DL14,DN14,DP14,DR14,DT14,DV14,DX14,DZ14,EB14)</f>
        <v>13.5</v>
      </c>
      <c r="EM14" s="56"/>
    </row>
    <row r="15" customFormat="false" ht="13.5" hidden="false" customHeight="false" outlineLevel="0" collapsed="false">
      <c r="B15" s="8" t="n">
        <f aca="false">_xlfn.RANK.EQ(C15,$C$6:$C$63,)</f>
        <v>4</v>
      </c>
      <c r="C15" s="43" t="n">
        <f aca="false">EC15</f>
        <v>192</v>
      </c>
      <c r="D15" s="43" t="s">
        <v>31</v>
      </c>
      <c r="E15" s="9" t="s">
        <v>47</v>
      </c>
      <c r="F15" s="20" t="n">
        <f aca="false">COUNT(CT15,CV15,CX15,CZ15,DB15,DD15,DF15,DH15,DJ15,DL15,DN15,DP15,DR15,DT15,DV15,DX15,DZ15,EB15)</f>
        <v>9</v>
      </c>
      <c r="G15" s="49" t="n">
        <f aca="false">IF(CT15=0,"",CT15)</f>
        <v>22</v>
      </c>
      <c r="H15" s="49"/>
      <c r="I15" s="49"/>
      <c r="K15" s="49"/>
      <c r="L15" s="49" t="str">
        <f aca="false">IF(CV15=0,"",CV15)</f>
        <v/>
      </c>
      <c r="M15" s="49"/>
      <c r="N15" s="49"/>
      <c r="P15" s="49"/>
      <c r="Q15" s="49" t="n">
        <f aca="false">IF(CX15=0,"",CX15)</f>
        <v>23.5</v>
      </c>
      <c r="R15" s="49"/>
      <c r="S15" s="49"/>
      <c r="U15" s="49"/>
      <c r="V15" s="49" t="n">
        <f aca="false">IF(CZ15=0,"",CZ15)</f>
        <v>26</v>
      </c>
      <c r="W15" s="49"/>
      <c r="X15" s="49"/>
      <c r="Z15" s="49"/>
      <c r="AA15" s="49" t="n">
        <f aca="false">IF(DB15=0,"",DB15)</f>
        <v>22</v>
      </c>
      <c r="AB15" s="49"/>
      <c r="AC15" s="49"/>
      <c r="AE15" s="49"/>
      <c r="AF15" s="49" t="n">
        <f aca="false">IF(DD15=0,"",DD15)</f>
        <v>11.5</v>
      </c>
      <c r="AG15" s="49"/>
      <c r="AH15" s="49"/>
      <c r="AJ15" s="49"/>
      <c r="AK15" s="49" t="n">
        <f aca="false">IF(DF15=0,"",DF15)</f>
        <v>23.5</v>
      </c>
      <c r="AL15" s="49"/>
      <c r="AM15" s="49"/>
      <c r="AO15" s="49"/>
      <c r="AP15" s="49" t="n">
        <f aca="false">IF(DH15=0,"",DH15)</f>
        <v>28.5</v>
      </c>
      <c r="AQ15" s="49"/>
      <c r="AR15" s="49"/>
      <c r="AT15" s="49"/>
      <c r="AU15" s="49" t="n">
        <f aca="false">IF(DJ15=0,"",DJ15)</f>
        <v>16.5</v>
      </c>
      <c r="AV15" s="49"/>
      <c r="AW15" s="49"/>
      <c r="AY15" s="49"/>
      <c r="AZ15" s="49" t="n">
        <f aca="false">IF(DL15=0,"",DL15)</f>
        <v>18.5</v>
      </c>
      <c r="BA15" s="49"/>
      <c r="BB15" s="49"/>
      <c r="BD15" s="49"/>
      <c r="BE15" s="49" t="str">
        <f aca="false">IF(DN15=0,"",DN15)</f>
        <v/>
      </c>
      <c r="BF15" s="49"/>
      <c r="BG15" s="49"/>
      <c r="BI15" s="49"/>
      <c r="BJ15" s="49" t="str">
        <f aca="false">IF(DP15=0,"",DP15)</f>
        <v/>
      </c>
      <c r="BK15" s="49"/>
      <c r="BL15" s="49"/>
      <c r="BN15" s="49"/>
      <c r="BO15" s="49" t="str">
        <f aca="false">IF(DR15=0,"",DR15)</f>
        <v/>
      </c>
      <c r="BP15" s="49"/>
      <c r="BQ15" s="49"/>
      <c r="BS15" s="49"/>
      <c r="BT15" s="49" t="str">
        <f aca="false">IF(DT15=0,"",DT15)</f>
        <v/>
      </c>
      <c r="BU15" s="49"/>
      <c r="BV15" s="49"/>
      <c r="BX15" s="49"/>
      <c r="BY15" s="49" t="str">
        <f aca="false">IF(DV15=0,"",DV15)</f>
        <v/>
      </c>
      <c r="BZ15" s="49"/>
      <c r="CA15" s="49"/>
      <c r="CC15" s="49"/>
      <c r="CD15" s="49" t="str">
        <f aca="false">IF(DX15=0,"",DX15)</f>
        <v/>
      </c>
      <c r="CE15" s="49"/>
      <c r="CF15" s="49"/>
      <c r="CH15" s="49"/>
      <c r="CI15" s="49" t="str">
        <f aca="false">IF(DZ15=0,"",DZ15)</f>
        <v/>
      </c>
      <c r="CJ15" s="49"/>
      <c r="CK15" s="49"/>
      <c r="CM15" s="49"/>
      <c r="CN15" s="49" t="str">
        <f aca="false">IF(EB15=0,"",EB15)</f>
        <v/>
      </c>
      <c r="CO15" s="49"/>
      <c r="CP15" s="49"/>
      <c r="CR15" s="49"/>
      <c r="CS15" s="21" t="n">
        <v>82</v>
      </c>
      <c r="CT15" s="22" t="n">
        <f aca="false">IFERROR(CT16+CT17,"")</f>
        <v>22</v>
      </c>
      <c r="CU15" s="21"/>
      <c r="CV15" s="22" t="str">
        <f aca="false">IFERROR(CV16+CV17,"")</f>
        <v/>
      </c>
      <c r="CW15" s="21" t="n">
        <v>81</v>
      </c>
      <c r="CX15" s="22" t="n">
        <f aca="false">IFERROR(CX16+CX17,"")</f>
        <v>23.5</v>
      </c>
      <c r="CY15" s="21" t="n">
        <v>76</v>
      </c>
      <c r="CZ15" s="22" t="n">
        <f aca="false">IFERROR(CZ16+CZ17,"")</f>
        <v>26</v>
      </c>
      <c r="DA15" s="21" t="n">
        <v>80</v>
      </c>
      <c r="DB15" s="22" t="n">
        <f aca="false">IFERROR(DB16+DB17,"")</f>
        <v>22</v>
      </c>
      <c r="DC15" s="21" t="n">
        <v>85</v>
      </c>
      <c r="DD15" s="22" t="n">
        <f aca="false">IFERROR(DD16+DD17,"")</f>
        <v>11.5</v>
      </c>
      <c r="DE15" s="21" t="n">
        <v>76</v>
      </c>
      <c r="DF15" s="22" t="n">
        <f aca="false">IFERROR(DF16+DF17,"")</f>
        <v>23.5</v>
      </c>
      <c r="DG15" s="21" t="n">
        <v>74</v>
      </c>
      <c r="DH15" s="22" t="n">
        <f aca="false">IFERROR(DH16+DH17,"")</f>
        <v>28.5</v>
      </c>
      <c r="DI15" s="21" t="n">
        <v>80</v>
      </c>
      <c r="DJ15" s="22" t="n">
        <f aca="false">IFERROR(DJ16+DJ17,"")</f>
        <v>16.5</v>
      </c>
      <c r="DK15" s="21" t="n">
        <v>74</v>
      </c>
      <c r="DL15" s="22" t="n">
        <f aca="false">IFERROR(DL16+DL17,"")</f>
        <v>18.5</v>
      </c>
      <c r="DM15" s="21"/>
      <c r="DN15" s="22" t="str">
        <f aca="false">IFERROR(DN16+DN17,"")</f>
        <v/>
      </c>
      <c r="DO15" s="21"/>
      <c r="DP15" s="22" t="str">
        <f aca="false">IFERROR(DP16+DP17,"")</f>
        <v/>
      </c>
      <c r="DQ15" s="21"/>
      <c r="DR15" s="22" t="str">
        <f aca="false">IFERROR(DR16+DR17,"")</f>
        <v/>
      </c>
      <c r="DS15" s="21"/>
      <c r="DT15" s="22" t="str">
        <f aca="false">IFERROR(DT16+DT17,"")</f>
        <v/>
      </c>
      <c r="DU15" s="21"/>
      <c r="DV15" s="22" t="str">
        <f aca="false">IFERROR(DV16+DV17,"")</f>
        <v/>
      </c>
      <c r="DW15" s="21"/>
      <c r="DX15" s="22" t="str">
        <f aca="false">IFERROR(DX16+DX17,"")</f>
        <v/>
      </c>
      <c r="DY15" s="21"/>
      <c r="DZ15" s="22" t="str">
        <f aca="false">IFERROR(DZ16+DZ17,"")</f>
        <v/>
      </c>
      <c r="EA15" s="21"/>
      <c r="EB15" s="22" t="str">
        <f aca="false">IFERROR(EB16+EB17,"")</f>
        <v/>
      </c>
      <c r="EC15" s="17" t="n">
        <f aca="false">IFERROR(LARGE($G15:$CN15,1),0)+IFERROR(LARGE($G15:$CN15,2),0)+IFERROR(LARGE($G15:$CN15,3),0)+IFERROR(LARGE($G15:$CN15,4),0)+IFERROR(LARGE($G15:$CN15,5),0)+IFERROR(LARGE($G15:$CN15,6),0)+IFERROR(LARGE($G15:$CN15,7),0)+IFERROR(LARGE($G15:$CN15,8),0)+IFERROR(LARGE($G15:$CN15,9),0)+IFERROR(LARGE($G15:$CN15,10),0)</f>
        <v>192</v>
      </c>
      <c r="ED15" s="23" t="n">
        <f aca="false">AVERAGE(CT15,CV15,CX15,CZ15,DB15,DD15,DF15,DH15,DJ15,DL15,DN15,DP15,DR15,DT15,DV15,DX15,DZ15,EB15)</f>
        <v>21.3333333333333</v>
      </c>
    </row>
    <row r="16" s="1" customFormat="true" ht="14.25" hidden="false" customHeight="false" outlineLevel="1" collapsed="false">
      <c r="B16" s="24" t="n">
        <f aca="false">B15+0.12</f>
        <v>4.12</v>
      </c>
      <c r="D16" s="1" t="s">
        <v>88</v>
      </c>
      <c r="E16" s="7" t="s">
        <v>43</v>
      </c>
      <c r="F16" s="7"/>
      <c r="G16" s="7"/>
      <c r="H16" s="7" t="n">
        <f aca="false">IF(CS16=0,"",CS16)</f>
        <v>29</v>
      </c>
      <c r="I16" s="7"/>
      <c r="J16" s="49" t="n">
        <f aca="false">IFERROR(RANK(H16,H$6:H$116,0),"")</f>
        <v>13</v>
      </c>
      <c r="K16" s="7"/>
      <c r="L16" s="7"/>
      <c r="M16" s="7" t="str">
        <f aca="false">IF(CU16=0,"",CU16)</f>
        <v/>
      </c>
      <c r="N16" s="7"/>
      <c r="O16" s="49" t="str">
        <f aca="false">IFERROR(RANK(M16,M$6:M$116,0),"")</f>
        <v/>
      </c>
      <c r="P16" s="7"/>
      <c r="Q16" s="7"/>
      <c r="R16" s="7" t="n">
        <f aca="false">IF(CW16=0,"",CW16)</f>
        <v>32</v>
      </c>
      <c r="S16" s="7"/>
      <c r="T16" s="49" t="n">
        <f aca="false">IFERROR(RANK(R16,R$6:R$116,0),"")</f>
        <v>6</v>
      </c>
      <c r="U16" s="7"/>
      <c r="V16" s="7"/>
      <c r="W16" s="7" t="n">
        <f aca="false">IF(CY16=0,"",CY16)</f>
        <v>33</v>
      </c>
      <c r="X16" s="7"/>
      <c r="Y16" s="49" t="n">
        <f aca="false">IFERROR(RANK(W16,W$6:W$116,0),"")</f>
        <v>1</v>
      </c>
      <c r="Z16" s="7"/>
      <c r="AA16" s="7"/>
      <c r="AB16" s="7" t="n">
        <f aca="false">IF(DA16=0,"",DA16)</f>
        <v>33</v>
      </c>
      <c r="AC16" s="7"/>
      <c r="AD16" s="49" t="n">
        <f aca="false">IFERROR(RANK(AB16,AB$6:AB$116,0),"")</f>
        <v>4</v>
      </c>
      <c r="AE16" s="7"/>
      <c r="AF16" s="7"/>
      <c r="AG16" s="7" t="n">
        <f aca="false">IF(DC16=0,"",DC16)</f>
        <v>29</v>
      </c>
      <c r="AH16" s="7"/>
      <c r="AI16" s="49" t="n">
        <f aca="false">IFERROR(RANK(AG16,AG$6:AG$116,0),"")</f>
        <v>11</v>
      </c>
      <c r="AJ16" s="7"/>
      <c r="AK16" s="7"/>
      <c r="AL16" s="7" t="n">
        <f aca="false">IF(DE16=0,"",DE16)</f>
        <v>34</v>
      </c>
      <c r="AM16" s="7"/>
      <c r="AN16" s="49" t="n">
        <f aca="false">IFERROR(RANK(AL16,AL$6:AL$116,0),"")</f>
        <v>5</v>
      </c>
      <c r="AO16" s="7"/>
      <c r="AP16" s="7"/>
      <c r="AQ16" s="7" t="n">
        <f aca="false">IF(DG16=0,"",DG16)</f>
        <v>38</v>
      </c>
      <c r="AR16" s="7"/>
      <c r="AS16" s="49" t="n">
        <f aca="false">IFERROR(RANK(AQ16,AQ$6:AQ$116,0),"")</f>
        <v>1</v>
      </c>
      <c r="AT16" s="7"/>
      <c r="AU16" s="7"/>
      <c r="AV16" s="7" t="n">
        <f aca="false">IF(DI16=0,"",DI16)</f>
        <v>33</v>
      </c>
      <c r="AW16" s="7"/>
      <c r="AX16" s="49" t="n">
        <f aca="false">IFERROR(RANK(AV16,AV$6:AV$116,0),"")</f>
        <v>10</v>
      </c>
      <c r="AY16" s="7"/>
      <c r="AZ16" s="7"/>
      <c r="BA16" s="7" t="n">
        <f aca="false">IF(DK16=0,"",DK16)</f>
        <v>34</v>
      </c>
      <c r="BB16" s="7"/>
      <c r="BC16" s="49" t="n">
        <f aca="false">IFERROR(RANK(BA16,BA$6:BA$116,0),"")</f>
        <v>5</v>
      </c>
      <c r="BD16" s="7"/>
      <c r="BE16" s="7"/>
      <c r="BF16" s="7" t="str">
        <f aca="false">IF(DM16=0,"",DM16)</f>
        <v/>
      </c>
      <c r="BG16" s="7"/>
      <c r="BH16" s="49" t="str">
        <f aca="false">IFERROR(RANK(BF16,BF$6:BF$116,0),"")</f>
        <v/>
      </c>
      <c r="BI16" s="7"/>
      <c r="BJ16" s="7"/>
      <c r="BK16" s="7" t="str">
        <f aca="false">IF(DO16=0,"",DO16)</f>
        <v/>
      </c>
      <c r="BL16" s="7"/>
      <c r="BM16" s="49" t="str">
        <f aca="false">IFERROR(RANK(BK16,BK$6:BK$116,0),"")</f>
        <v/>
      </c>
      <c r="BN16" s="7"/>
      <c r="BO16" s="7"/>
      <c r="BP16" s="7" t="str">
        <f aca="false">IF(DQ16=0,"",DQ16)</f>
        <v/>
      </c>
      <c r="BQ16" s="7"/>
      <c r="BR16" s="49" t="str">
        <f aca="false">IFERROR(RANK(BP16,BP$6:BP$116,0),"")</f>
        <v/>
      </c>
      <c r="BS16" s="7"/>
      <c r="BT16" s="7"/>
      <c r="BU16" s="7" t="str">
        <f aca="false">IF(DS16=0,"",DS16)</f>
        <v/>
      </c>
      <c r="BV16" s="7"/>
      <c r="BW16" s="49" t="str">
        <f aca="false">IFERROR(RANK(BU16,BU$6:BU$116,0),"")</f>
        <v/>
      </c>
      <c r="BX16" s="7"/>
      <c r="BY16" s="7"/>
      <c r="BZ16" s="7" t="str">
        <f aca="false">IF(DU16=0,"",DU16)</f>
        <v/>
      </c>
      <c r="CA16" s="7"/>
      <c r="CB16" s="49" t="str">
        <f aca="false">IFERROR(RANK(BZ16,BZ$6:BZ$116,0),"")</f>
        <v/>
      </c>
      <c r="CC16" s="7"/>
      <c r="CD16" s="7"/>
      <c r="CE16" s="7" t="str">
        <f aca="false">IF(DW16=0,"",DW16)</f>
        <v/>
      </c>
      <c r="CF16" s="7"/>
      <c r="CG16" s="49" t="str">
        <f aca="false">IFERROR(RANK(CE16,CE$6:CE$116,0),"")</f>
        <v/>
      </c>
      <c r="CH16" s="7"/>
      <c r="CI16" s="7"/>
      <c r="CJ16" s="7" t="str">
        <f aca="false">IF(DY16=0,"",DY16)</f>
        <v/>
      </c>
      <c r="CK16" s="7"/>
      <c r="CL16" s="49" t="str">
        <f aca="false">IFERROR(RANK(CJ16,CJ$6:CJ$116,0),"")</f>
        <v/>
      </c>
      <c r="CM16" s="7"/>
      <c r="CN16" s="7"/>
      <c r="CO16" s="7" t="str">
        <f aca="false">IF(EA16=0,"",EA16)</f>
        <v/>
      </c>
      <c r="CP16" s="7"/>
      <c r="CQ16" s="49" t="str">
        <f aca="false">IFERROR(RANK(CO16,CO$6:CO$116,0),"")</f>
        <v/>
      </c>
      <c r="CR16" s="7"/>
      <c r="CS16" s="21" t="n">
        <v>29</v>
      </c>
      <c r="CT16" s="25" t="n">
        <f aca="true">IFERROR(AVERAGE(OFFSET('Data - For Rank'!B$2,J16,0,COUNTIF($J$7:J$116,J16)))+IFERROR(VLOOKUP((COUNT($H$6:$H$116)/4),$ER$9:$ES$13,2,FALSE()),0),"")</f>
        <v>6</v>
      </c>
      <c r="CU16" s="21"/>
      <c r="CV16" s="25" t="str">
        <f aca="true">IFERROR(AVERAGE(OFFSET('Data - For Rank'!$C$2,O16,0,COUNTIF(O$7:O$116,O16)))+IFERROR(VLOOKUP((COUNT(M$6:M$116)/4),$ER$9:$ES$13,2,FALSE()),0),"")</f>
        <v/>
      </c>
      <c r="CW16" s="21" t="n">
        <v>32</v>
      </c>
      <c r="CX16" s="25" t="n">
        <f aca="true">IFERROR(AVERAGE(OFFSET('Data - For Rank'!D$2,T16,0,COUNTIF(T$7:T$116,T16)))+IFERROR(VLOOKUP((COUNT(R$6:R$116)/4),$ER$9:$ES$13,2,FALSE()),0),"")</f>
        <v>11</v>
      </c>
      <c r="CY16" s="21" t="n">
        <v>33</v>
      </c>
      <c r="CZ16" s="25" t="n">
        <f aca="true">IFERROR(AVERAGE(OFFSET('Data - For Rank'!E$2,Y16,0,COUNTIF(Y$7:Y$116,Y16)))+IFERROR(VLOOKUP((COUNT(W$6:W$116)/4),$ER$9:$ES$13,2,FALSE()),0),"")</f>
        <v>14</v>
      </c>
      <c r="DA16" s="21" t="n">
        <v>33</v>
      </c>
      <c r="DB16" s="25" t="n">
        <f aca="true">IFERROR(AVERAGE(OFFSET('Data - For Rank'!F$2,AD16,0,COUNTIF(AD$7:AD$116,AD16)))+IFERROR(VLOOKUP((COUNT(AB$6:AB$116)/4),$ER$9:$ES$13,2,FALSE()),0),"")</f>
        <v>14</v>
      </c>
      <c r="DC16" s="21" t="n">
        <v>29</v>
      </c>
      <c r="DD16" s="25" t="n">
        <f aca="true">IFERROR(AVERAGE(OFFSET('Data - For Rank'!G$2,AI16,0,COUNTIF(AI$7:AI$116,AI16)))+IFERROR(VLOOKUP((COUNT(AG$6:AG$116)/4),$ER$9:$ES$13,2,FALSE()),0),"")</f>
        <v>7.5</v>
      </c>
      <c r="DE16" s="21" t="n">
        <v>34</v>
      </c>
      <c r="DF16" s="25" t="n">
        <f aca="true">IFERROR(AVERAGE(OFFSET('Data - For Rank'!$H$2,AN16,0,COUNTIF(AN$7:AN$116,AN16)))+IFERROR(VLOOKUP((COUNT(AL$6:AL$116)/4),$ER$9:$ES$13,2,FALSE()),0),"")</f>
        <v>10.5</v>
      </c>
      <c r="DG16" s="21" t="n">
        <v>38</v>
      </c>
      <c r="DH16" s="25" t="n">
        <f aca="true">IFERROR(AVERAGE(OFFSET('Data - For Rank'!$I$2,AS16,0,COUNTIF(AS$7:AS$116,AS16)))+IFERROR(VLOOKUP((COUNT(AQ$6:AQ$116)/4),$ER$9:$ES$13,2,FALSE()),0),"")</f>
        <v>18</v>
      </c>
      <c r="DI16" s="21" t="n">
        <v>33</v>
      </c>
      <c r="DJ16" s="25" t="n">
        <f aca="true">IFERROR(AVERAGE(OFFSET('Data - For Rank'!$J$2,AX16,0,COUNTIF(AX$7:AX$116,AX16)))+IFERROR(VLOOKUP((COUNT(AV$6:AV$116)/4),$ER$9:$ES$13,2,FALSE()),0),"")</f>
        <v>8.5</v>
      </c>
      <c r="DK16" s="21" t="n">
        <v>34</v>
      </c>
      <c r="DL16" s="25" t="n">
        <f aca="true">IFERROR(AVERAGE(OFFSET('Data - For Rank'!$K$2,BC16,0,COUNTIF(BC$7:BC$116,BC16)))+IFERROR(VLOOKUP((COUNT(BA$6:BA$116)/4),$ER$9:$ES$13,2,FALSE()),0),"")</f>
        <v>11.5</v>
      </c>
      <c r="DM16" s="21"/>
      <c r="DN16" s="25" t="str">
        <f aca="true">IFERROR(AVERAGE(OFFSET('Data - For Rank'!$L$2,BH16,0,COUNTIF(BH$7:BH$116,BH16)))+IFERROR(VLOOKUP((COUNT(BF$6:BF$116)/4),$ER$9:$ES$13,2,FALSE()),0),"")</f>
        <v/>
      </c>
      <c r="DO16" s="21"/>
      <c r="DP16" s="25" t="str">
        <f aca="true">IFERROR(AVERAGE(OFFSET('Data - For Rank'!$M$2,BM16,0,COUNTIF(BM$7:BM$116,BM16)))+IFERROR(VLOOKUP((COUNT(BK$6:BK$116)/4),$ER$9:$ES$13,2,FALSE()),0),"")</f>
        <v/>
      </c>
      <c r="DQ16" s="21"/>
      <c r="DR16" s="25" t="str">
        <f aca="true">IFERROR(AVERAGE(OFFSET('Data - For Rank'!$N$2,BR16,0,COUNTIF(BR$7:BR$116,BR16)))+IFERROR(VLOOKUP((COUNT(BP$6:BP$116)/4),$ER$9:$ES$13,2,FALSE()),0),"")</f>
        <v/>
      </c>
      <c r="DS16" s="21"/>
      <c r="DT16" s="25" t="str">
        <f aca="true">IFERROR(AVERAGE(OFFSET('Data - For Rank'!$O$2,BW16,0,COUNTIF(BW$7:BW$116,BW16)))+IFERROR(VLOOKUP((COUNT(BU$6:BU$116)/4),$ER$9:$ES$13,2,FALSE()),0),"")</f>
        <v/>
      </c>
      <c r="DU16" s="21"/>
      <c r="DV16" s="25" t="str">
        <f aca="true">IFERROR(AVERAGE(OFFSET('Data - For Rank'!$P$2,CB16,0,COUNTIF(CB$7:CB$116,CB16)))+IFERROR(VLOOKUP((COUNT(BZ$6:BZ$116)/4),$ER$9:$ES$13,2,FALSE()),0),"")</f>
        <v/>
      </c>
      <c r="DW16" s="21"/>
      <c r="DX16" s="25" t="str">
        <f aca="true">IFERROR(AVERAGE(OFFSET('Data - For Rank'!$Q$2,CG16,0,COUNTIF(CG$7:CG$116,CG16)))+IFERROR(VLOOKUP((COUNT(CE$6:CE$116)/4),$ER$9:$ES$13,2,FALSE()),0),"")</f>
        <v/>
      </c>
      <c r="DY16" s="21"/>
      <c r="DZ16" s="25" t="str">
        <f aca="true">IFERROR(AVERAGE(OFFSET('Data - For Rank'!$R$2,CL16,0,COUNTIF(CL$7:CL$116,CL16)))+IFERROR(VLOOKUP((COUNT(CJ$6:CJ$116)/4),$ER$9:$ES$13,2,FALSE()),0),"")</f>
        <v/>
      </c>
      <c r="EA16" s="21"/>
      <c r="EB16" s="25" t="str">
        <f aca="true">IFERROR(AVERAGE(OFFSET('Data - For Rank'!$S$2,CQ16,0,COUNTIF(CQ$7:CQ$116,CQ16)))+IFERROR(VLOOKUP((COUNT(CO$6:CO$116)/4),$ER$9:$ES$13,2,FALSE()),0),"")</f>
        <v/>
      </c>
      <c r="EC16" s="26" t="n">
        <f aca="false">AVERAGE(CS16,CU16,CW16,CY16,DA16,DC16,DE16,DG16,DI16,DK16,DM16,DO16,DQ16,DS16,DU16,DW16,DY16,EA16)</f>
        <v>32.7777777777778</v>
      </c>
      <c r="ED16" s="23" t="n">
        <f aca="false">AVERAGE(CT16,CV16,CX16,CZ16,DB16,DD16,DF16,DH16,DJ16,DL16,DN16,DP16,DR16,DT16,DV16,DX16,DZ16,EB16)</f>
        <v>11.2222222222222</v>
      </c>
      <c r="EM16" s="56" t="s">
        <v>89</v>
      </c>
    </row>
    <row r="17" s="1" customFormat="true" ht="13.5" hidden="false" customHeight="false" outlineLevel="1" collapsed="false">
      <c r="B17" s="27" t="n">
        <f aca="false">B15+0.022</f>
        <v>4.022</v>
      </c>
      <c r="D17" s="51" t="s">
        <v>90</v>
      </c>
      <c r="E17" s="28" t="s">
        <v>44</v>
      </c>
      <c r="F17" s="29" t="n">
        <f aca="false">IF(COUNT(G15:CN15)&gt;10,SMALL(G15:CN15,COUNT(G15:CN15)-10),MIN(G15:CN15))</f>
        <v>11.5</v>
      </c>
      <c r="G17" s="29"/>
      <c r="H17" s="29"/>
      <c r="I17" s="53" t="n">
        <f aca="false">IF(CS17=0,"",CS17)</f>
        <v>12</v>
      </c>
      <c r="J17" s="53"/>
      <c r="K17" s="54" t="n">
        <f aca="false">IFERROR(_xlfn.RANK.EQ(I17,I$6:I$116,0),"")</f>
        <v>3</v>
      </c>
      <c r="L17" s="29"/>
      <c r="M17" s="29"/>
      <c r="N17" s="53" t="str">
        <f aca="false">IF(CU17=0,"",CU17)</f>
        <v/>
      </c>
      <c r="O17" s="53"/>
      <c r="P17" s="54" t="str">
        <f aca="false">IFERROR(_xlfn.RANK.EQ(N17,N$6:N$116,0),"")</f>
        <v/>
      </c>
      <c r="Q17" s="29"/>
      <c r="R17" s="29"/>
      <c r="S17" s="53" t="n">
        <f aca="false">IF(CW17=0,"",CW17)</f>
        <v>4</v>
      </c>
      <c r="T17" s="53"/>
      <c r="U17" s="54" t="n">
        <f aca="false">IFERROR(_xlfn.RANK.EQ(S17,S$6:S$116,0),"")</f>
        <v>4</v>
      </c>
      <c r="V17" s="29"/>
      <c r="W17" s="29"/>
      <c r="X17" s="53" t="n">
        <f aca="false">IF(CY17=0,"",CY17)</f>
        <v>13</v>
      </c>
      <c r="Y17" s="53"/>
      <c r="Z17" s="54" t="n">
        <f aca="false">IFERROR(_xlfn.RANK.EQ(X17,X$6:X$116,0),"")</f>
        <v>3</v>
      </c>
      <c r="AA17" s="29"/>
      <c r="AB17" s="29"/>
      <c r="AC17" s="53" t="n">
        <f aca="false">IF(DA17=0,"",DA17)</f>
        <v>-6</v>
      </c>
      <c r="AD17" s="53"/>
      <c r="AE17" s="54" t="n">
        <f aca="false">IFERROR(_xlfn.RANK.EQ(AC17,AC$6:AC$116,0),"")</f>
        <v>11</v>
      </c>
      <c r="AF17" s="29"/>
      <c r="AG17" s="29"/>
      <c r="AH17" s="53" t="n">
        <f aca="false">IF(DC17=0,"",DC17)</f>
        <v>-28</v>
      </c>
      <c r="AI17" s="53"/>
      <c r="AJ17" s="54" t="n">
        <f aca="false">IFERROR(_xlfn.RANK.EQ(AH17,AH$6:AH$116,0),"")</f>
        <v>15</v>
      </c>
      <c r="AK17" s="29"/>
      <c r="AL17" s="29"/>
      <c r="AM17" s="53" t="n">
        <f aca="false">IF(DE17=0,"",DE17)</f>
        <v>4</v>
      </c>
      <c r="AN17" s="53"/>
      <c r="AO17" s="54" t="n">
        <f aca="false">IFERROR(_xlfn.RANK.EQ(AM17,AM$6:AM$116,0),"")</f>
        <v>4</v>
      </c>
      <c r="AP17" s="29"/>
      <c r="AQ17" s="29"/>
      <c r="AR17" s="53" t="n">
        <f aca="false">IF(DG17=0,"",DG17)</f>
        <v>-0.0001</v>
      </c>
      <c r="AS17" s="53"/>
      <c r="AT17" s="54" t="n">
        <f aca="false">IFERROR(_xlfn.RANK.EQ(AR17,AR$6:AR$116,0),"")</f>
        <v>8</v>
      </c>
      <c r="AU17" s="29"/>
      <c r="AV17" s="29"/>
      <c r="AW17" s="53" t="n">
        <f aca="false">IF(DI17=0,"",DI17)</f>
        <v>-9</v>
      </c>
      <c r="AX17" s="53"/>
      <c r="AY17" s="54" t="n">
        <f aca="false">IFERROR(_xlfn.RANK.EQ(AW17,AW$6:AW$116,0),"")</f>
        <v>11</v>
      </c>
      <c r="AZ17" s="29"/>
      <c r="BA17" s="29"/>
      <c r="BB17" s="53" t="n">
        <f aca="false">IF(DK17=0,"",DK17)</f>
        <v>-18</v>
      </c>
      <c r="BC17" s="53"/>
      <c r="BD17" s="54" t="n">
        <f aca="false">IFERROR(_xlfn.RANK.EQ(BB17,BB$6:BB$116,0),"")</f>
        <v>10</v>
      </c>
      <c r="BE17" s="29"/>
      <c r="BF17" s="29"/>
      <c r="BG17" s="53" t="str">
        <f aca="false">IF(DM17=0,"",DM17)</f>
        <v/>
      </c>
      <c r="BH17" s="53"/>
      <c r="BI17" s="54" t="str">
        <f aca="false">IFERROR(_xlfn.RANK.EQ(BG17,BG$6:BG$116,0),"")</f>
        <v/>
      </c>
      <c r="BJ17" s="29"/>
      <c r="BK17" s="29"/>
      <c r="BL17" s="53" t="str">
        <f aca="false">IF(DO17=0,"",DO17)</f>
        <v/>
      </c>
      <c r="BM17" s="53"/>
      <c r="BN17" s="54" t="str">
        <f aca="false">IFERROR(_xlfn.RANK.EQ(BL17,BL$6:BL$116,0),"")</f>
        <v/>
      </c>
      <c r="BO17" s="29"/>
      <c r="BP17" s="29"/>
      <c r="BQ17" s="53" t="str">
        <f aca="false">IF(DQ17=0,"",DQ17)</f>
        <v/>
      </c>
      <c r="BR17" s="53"/>
      <c r="BS17" s="54" t="str">
        <f aca="false">IFERROR(_xlfn.RANK.EQ(BQ17,BQ$6:BQ$116,0),"")</f>
        <v/>
      </c>
      <c r="BT17" s="29"/>
      <c r="BU17" s="29"/>
      <c r="BV17" s="53" t="str">
        <f aca="false">IF(DS17=0,"",DS17)</f>
        <v/>
      </c>
      <c r="BW17" s="53"/>
      <c r="BX17" s="54" t="str">
        <f aca="false">IFERROR(_xlfn.RANK.EQ(BV17,BV$6:BV$116,0),"")</f>
        <v/>
      </c>
      <c r="BY17" s="29"/>
      <c r="BZ17" s="29"/>
      <c r="CA17" s="53" t="str">
        <f aca="false">IF(DU17=0,"",DU17)</f>
        <v/>
      </c>
      <c r="CB17" s="53"/>
      <c r="CC17" s="54" t="str">
        <f aca="false">IFERROR(_xlfn.RANK.EQ(CA17,CA$6:CA$116,0),"")</f>
        <v/>
      </c>
      <c r="CD17" s="29"/>
      <c r="CE17" s="29"/>
      <c r="CF17" s="53" t="str">
        <f aca="false">IF(DW17=0,"",DW17)</f>
        <v/>
      </c>
      <c r="CG17" s="53"/>
      <c r="CH17" s="54" t="str">
        <f aca="false">IFERROR(_xlfn.RANK.EQ(CF17,CF$6:CF$116,0),"")</f>
        <v/>
      </c>
      <c r="CI17" s="29"/>
      <c r="CJ17" s="29"/>
      <c r="CK17" s="53" t="str">
        <f aca="false">IF(DY17=0,"",DY17)</f>
        <v/>
      </c>
      <c r="CL17" s="53"/>
      <c r="CM17" s="54" t="str">
        <f aca="false">IFERROR(_xlfn.RANK.EQ(CK17,CK$6:CK$116,0),"")</f>
        <v/>
      </c>
      <c r="CN17" s="29"/>
      <c r="CO17" s="29"/>
      <c r="CP17" s="53" t="str">
        <f aca="false">IF(EA17=0,"",EA17)</f>
        <v/>
      </c>
      <c r="CQ17" s="53"/>
      <c r="CR17" s="54" t="str">
        <f aca="false">IFERROR(_xlfn.RANK.EQ(CP17,CP$6:CP$116,0),"")</f>
        <v/>
      </c>
      <c r="CS17" s="30" t="n">
        <v>12</v>
      </c>
      <c r="CT17" s="31" t="n">
        <f aca="true">IFERROR(AVERAGE(OFFSET('Data - For Rank'!B$2,K17,0,COUNTIF(K$6:K$116,K17)))+IFERROR(VLOOKUP((COUNT($I$6:$I$116)/4),$ER$9:$ES$13,2,FALSE()),0),"")</f>
        <v>16</v>
      </c>
      <c r="CU17" s="30"/>
      <c r="CV17" s="31" t="str">
        <f aca="true">IFERROR(AVERAGE(OFFSET('Data - For Rank'!$C$2,P17,0,COUNTIF(P$6:P$116,P17)))+IFERROR(VLOOKUP((COUNT(N$6:N$116)/4),$ER$9:$ES$13,2,FALSE()),0),"")</f>
        <v/>
      </c>
      <c r="CW17" s="30" t="n">
        <v>4</v>
      </c>
      <c r="CX17" s="31" t="n">
        <f aca="true">IFERROR(AVERAGE(OFFSET('Data - For Rank'!D$2,U17,0,COUNTIF(U$6:$U125,U17)))+IFERROR(VLOOKUP((COUNT(S$6:S$116)/4),$ER$9:$ES$13,2,FALSE()),0),"")</f>
        <v>12.5</v>
      </c>
      <c r="CY17" s="30" t="n">
        <v>13</v>
      </c>
      <c r="CZ17" s="31" t="n">
        <f aca="true">IFERROR(AVERAGE(OFFSET('Data - For Rank'!E$2,Z17,0,COUNTIF(Z$6:Z$116,Z17)))+IFERROR(VLOOKUP((COUNT(W$6:W$116)/4),$ER$9:$ES$13,2,FALSE()),0),"")</f>
        <v>12</v>
      </c>
      <c r="DA17" s="30" t="n">
        <v>-6</v>
      </c>
      <c r="DB17" s="31" t="n">
        <f aca="true">IFERROR(AVERAGE(OFFSET('Data - For Rank'!F$2,AE17,0,COUNTIF(AE$6:AE$116,AE17)))+IFERROR(VLOOKUP((COUNT(AC$6:AC$116)/4),$ER$9:$ES$13,2,FALSE()),0),"")</f>
        <v>8</v>
      </c>
      <c r="DC17" s="30" t="n">
        <v>-28</v>
      </c>
      <c r="DD17" s="31" t="n">
        <f aca="true">IFERROR(AVERAGE(OFFSET('Data - For Rank'!G$2,AJ17,0,COUNTIF(AJ$6:AJ$116,AJ17)))+IFERROR(VLOOKUP((COUNT(AH$6:AH$116)/4),$ER$9:$ES$13,2,FALSE()),0),"")</f>
        <v>4</v>
      </c>
      <c r="DE17" s="30" t="n">
        <v>4</v>
      </c>
      <c r="DF17" s="31" t="n">
        <f aca="true">IFERROR(AVERAGE(OFFSET('Data - For Rank'!$H$2,AO17,0,COUNTIF(AO$6:AO$116,AO17)))+IFERROR(VLOOKUP((COUNT(AM$6:AM$116)/4),$ER$9:$ES$13,2,FALSE()),0),"")</f>
        <v>13</v>
      </c>
      <c r="DG17" s="30" t="n">
        <v>-0.0001</v>
      </c>
      <c r="DH17" s="31" t="n">
        <f aca="true">IFERROR(AVERAGE(OFFSET('Data - For Rank'!$I$2,AT17,0,COUNTIF(AT$6:AT$116,AT17)))+IFERROR(VLOOKUP((COUNT(AR$6:AR$116)/4),$ER$9:$ES$13,2,FALSE()),0),"")</f>
        <v>10.5</v>
      </c>
      <c r="DI17" s="30" t="n">
        <v>-9</v>
      </c>
      <c r="DJ17" s="31" t="n">
        <f aca="true">IFERROR(AVERAGE(OFFSET('Data - For Rank'!$J$2,AY17,0,COUNTIF(AY$6:AY$116,AY17)))+IFERROR(VLOOKUP((COUNT(AW$6:AW$116)/4),$ER$9:$ES$13,2,FALSE()),0),"")</f>
        <v>8</v>
      </c>
      <c r="DK17" s="30" t="n">
        <v>-18</v>
      </c>
      <c r="DL17" s="31" t="n">
        <f aca="true">IFERROR(AVERAGE(OFFSET('Data - For Rank'!$K$2,BD17,0,COUNTIF(BD$6:BD$116,BD17)))+IFERROR(VLOOKUP((COUNT(BB$6:BB$116)/4),$ER$9:$ES$13,2,FALSE()),0),"")</f>
        <v>7</v>
      </c>
      <c r="DM17" s="30"/>
      <c r="DN17" s="31" t="str">
        <f aca="true">IFERROR(AVERAGE(OFFSET('Data - For Rank'!$L$2,BI17,0,COUNTIF(BI$6:BI$116,BI17)))+IFERROR(VLOOKUP((COUNT(BG$6:BG$116)/4),$ER$9:$ES$13,2,FALSE()),0),"")</f>
        <v/>
      </c>
      <c r="DO17" s="30"/>
      <c r="DP17" s="31" t="str">
        <f aca="true">IFERROR(AVERAGE(OFFSET('Data - For Rank'!$M$2,BN17,0,COUNTIF(BN$6:BN$116,BN17)))+IFERROR(VLOOKUP((COUNT(BL$6:BL$116)/4),$ER$9:$ES$13,2,FALSE()),0),"")</f>
        <v/>
      </c>
      <c r="DQ17" s="30"/>
      <c r="DR17" s="31" t="str">
        <f aca="true">IFERROR(AVERAGE(OFFSET('Data - For Rank'!$N$2,BS17,0,COUNTIF(BS$6:BS$116,BS17)))+IFERROR(VLOOKUP((COUNT(BQ$6:BQ$116)/4),$ER$9:$ES$13,2,FALSE()),0),"")</f>
        <v/>
      </c>
      <c r="DS17" s="30"/>
      <c r="DT17" s="31" t="str">
        <f aca="true">IFERROR(AVERAGE(OFFSET('Data - For Rank'!$O$2,BX17,0,COUNTIF(BX$6:BX$116,BX17)))+IFERROR(VLOOKUP((COUNT(BV$6:BV$116)/4),$ER$9:$ES$13,2,FALSE()),0),"")</f>
        <v/>
      </c>
      <c r="DU17" s="30"/>
      <c r="DV17" s="31" t="str">
        <f aca="true">IFERROR(AVERAGE(OFFSET('Data - For Rank'!$P$2,CC17,0,COUNTIF(CC$6:CC$116,CC17)))+IFERROR(VLOOKUP((COUNT(CA$6:CA$116)/4),$ER$9:$ES$13,2,FALSE()),0),"")</f>
        <v/>
      </c>
      <c r="DW17" s="30"/>
      <c r="DX17" s="31" t="str">
        <f aca="true">IFERROR(AVERAGE(OFFSET('Data - For Rank'!$Q$2,CH17,0,COUNTIF(CH$6:CH$116,CH17)))+IFERROR(VLOOKUP((COUNT(CF$6:CF$116)/4),$ER$9:$ES$13,2,FALSE()),0),"")</f>
        <v/>
      </c>
      <c r="DY17" s="30"/>
      <c r="DZ17" s="31" t="str">
        <f aca="true">IFERROR(AVERAGE(OFFSET('Data - For Rank'!$R$2,CM17,0,COUNTIF(CM$6:CM$116,CM17)))+IFERROR(VLOOKUP((COUNT(CK$6:CK$116)/4),$ER$9:$ES$13,2,FALSE()),0),"")</f>
        <v/>
      </c>
      <c r="EA17" s="30"/>
      <c r="EB17" s="31" t="str">
        <f aca="true">IFERROR(AVERAGE(OFFSET('Data - For Rank'!$S$2,CR17,0,COUNTIF(CR$6:CR$116,CR17)))+IFERROR(VLOOKUP((COUNT(CP$6:CP$116)/4),$ER$9:$ES$13,2,FALSE()),0),"")</f>
        <v/>
      </c>
      <c r="EC17" s="32" t="n">
        <f aca="false">CS17+CU17+CW17+CY17+DA17+DC17+DE17+DG17+DI17+DK17+DM17+DO17+DQ17+DS17+DU17+DW17+DY17+EA17</f>
        <v>-28.0001</v>
      </c>
      <c r="ED17" s="33" t="n">
        <f aca="false">AVERAGE(CT17,CV17,CX17,CZ17,DB17,DD17,DF17,DH17,DJ17,DL17,DN17,DP17,DR17,DT17,DV17,DX17,DZ17,EB17)</f>
        <v>10.1111111111111</v>
      </c>
    </row>
    <row r="18" customFormat="false" ht="13.5" hidden="false" customHeight="false" outlineLevel="0" collapsed="false">
      <c r="B18" s="8" t="n">
        <f aca="false">_xlfn.RANK.EQ(C18,$C$6:$C$63,)</f>
        <v>5</v>
      </c>
      <c r="C18" s="43" t="n">
        <f aca="false">EC18</f>
        <v>173.5</v>
      </c>
      <c r="D18" s="43" t="s">
        <v>91</v>
      </c>
      <c r="E18" s="9" t="s">
        <v>48</v>
      </c>
      <c r="F18" s="20" t="n">
        <f aca="false">COUNT(CT18,CV18,CX18,CZ18,DB18,DD18,DF18,DH18,DJ18,DL18,DN18,DP18,DR18,DT18,DV18,DX18,DZ18,EB18)</f>
        <v>7</v>
      </c>
      <c r="G18" s="49" t="n">
        <f aca="false">IF(CT18=0,"",CT18)</f>
        <v>22</v>
      </c>
      <c r="H18" s="49"/>
      <c r="I18" s="49"/>
      <c r="K18" s="49"/>
      <c r="L18" s="49" t="str">
        <f aca="false">IF(CV18=0,"",CV18)</f>
        <v/>
      </c>
      <c r="M18" s="49"/>
      <c r="N18" s="49"/>
      <c r="P18" s="49"/>
      <c r="Q18" s="49" t="str">
        <f aca="false">IF(CX18=0,"",CX18)</f>
        <v/>
      </c>
      <c r="R18" s="49"/>
      <c r="S18" s="49"/>
      <c r="U18" s="49"/>
      <c r="V18" s="49" t="str">
        <f aca="false">IF(CZ18=0,"",CZ18)</f>
        <v/>
      </c>
      <c r="W18" s="49"/>
      <c r="X18" s="49"/>
      <c r="Z18" s="49"/>
      <c r="AA18" s="49" t="n">
        <f aca="false">IF(DB18=0,"",DB18)</f>
        <v>34</v>
      </c>
      <c r="AB18" s="49"/>
      <c r="AC18" s="49"/>
      <c r="AE18" s="49"/>
      <c r="AF18" s="49" t="n">
        <f aca="false">IF(DD18=0,"",DD18)</f>
        <v>32.5</v>
      </c>
      <c r="AG18" s="49"/>
      <c r="AH18" s="49"/>
      <c r="AJ18" s="49"/>
      <c r="AK18" s="49" t="n">
        <f aca="false">IF(DF18=0,"",DF18)</f>
        <v>22</v>
      </c>
      <c r="AL18" s="49"/>
      <c r="AM18" s="49"/>
      <c r="AO18" s="49"/>
      <c r="AP18" s="49" t="n">
        <f aca="false">IF(DH18=0,"",DH18)</f>
        <v>21.5</v>
      </c>
      <c r="AQ18" s="49"/>
      <c r="AR18" s="49"/>
      <c r="AT18" s="49"/>
      <c r="AU18" s="49" t="n">
        <f aca="false">IF(DJ18=0,"",DJ18)</f>
        <v>23.5</v>
      </c>
      <c r="AV18" s="49"/>
      <c r="AW18" s="49"/>
      <c r="AY18" s="49"/>
      <c r="AZ18" s="49" t="n">
        <f aca="false">IF(DL18=0,"",DL18)</f>
        <v>18</v>
      </c>
      <c r="BA18" s="49"/>
      <c r="BB18" s="49"/>
      <c r="BD18" s="49"/>
      <c r="BE18" s="49" t="str">
        <f aca="false">IF(DN18=0,"",DN18)</f>
        <v/>
      </c>
      <c r="BF18" s="49"/>
      <c r="BG18" s="49"/>
      <c r="BI18" s="49"/>
      <c r="BJ18" s="49" t="str">
        <f aca="false">IF(DP18=0,"",DP18)</f>
        <v/>
      </c>
      <c r="BK18" s="49"/>
      <c r="BL18" s="49"/>
      <c r="BN18" s="49"/>
      <c r="BO18" s="49" t="str">
        <f aca="false">IF(DR18=0,"",DR18)</f>
        <v/>
      </c>
      <c r="BP18" s="49"/>
      <c r="BQ18" s="49"/>
      <c r="BS18" s="49"/>
      <c r="BT18" s="49" t="str">
        <f aca="false">IF(DT18=0,"",DT18)</f>
        <v/>
      </c>
      <c r="BU18" s="49"/>
      <c r="BV18" s="49"/>
      <c r="BX18" s="49"/>
      <c r="BY18" s="49" t="str">
        <f aca="false">IF(DV18=0,"",DV18)</f>
        <v/>
      </c>
      <c r="BZ18" s="49"/>
      <c r="CA18" s="49"/>
      <c r="CC18" s="49"/>
      <c r="CD18" s="49" t="str">
        <f aca="false">IF(DX18=0,"",DX18)</f>
        <v/>
      </c>
      <c r="CE18" s="49"/>
      <c r="CF18" s="49"/>
      <c r="CH18" s="49"/>
      <c r="CI18" s="49" t="str">
        <f aca="false">IF(DZ18=0,"",DZ18)</f>
        <v/>
      </c>
      <c r="CJ18" s="49"/>
      <c r="CK18" s="49"/>
      <c r="CM18" s="49"/>
      <c r="CN18" s="49" t="str">
        <f aca="false">IF(EB18=0,"",EB18)</f>
        <v/>
      </c>
      <c r="CO18" s="49"/>
      <c r="CP18" s="49"/>
      <c r="CR18" s="49"/>
      <c r="CS18" s="21" t="n">
        <v>85</v>
      </c>
      <c r="CT18" s="22" t="n">
        <f aca="false">IFERROR(CT19+CT20,"")</f>
        <v>22</v>
      </c>
      <c r="CU18" s="21"/>
      <c r="CV18" s="22" t="str">
        <f aca="false">IFERROR(CV19+CV20,"")</f>
        <v/>
      </c>
      <c r="CW18" s="21"/>
      <c r="CX18" s="22" t="str">
        <f aca="false">IFERROR(CX19+CX20,"")</f>
        <v/>
      </c>
      <c r="CY18" s="21"/>
      <c r="CZ18" s="22" t="str">
        <f aca="false">IFERROR(CZ19+CZ20,"")</f>
        <v/>
      </c>
      <c r="DA18" s="21" t="n">
        <v>80</v>
      </c>
      <c r="DB18" s="22" t="n">
        <f aca="false">IFERROR(DB19+DB20,"")</f>
        <v>34</v>
      </c>
      <c r="DC18" s="21" t="n">
        <v>80</v>
      </c>
      <c r="DD18" s="22" t="n">
        <f aca="false">IFERROR(DD19+DD20,"")</f>
        <v>32.5</v>
      </c>
      <c r="DE18" s="21" t="n">
        <v>74</v>
      </c>
      <c r="DF18" s="22" t="n">
        <f aca="false">IFERROR(DF19+DF20,"")</f>
        <v>22</v>
      </c>
      <c r="DG18" s="21" t="n">
        <v>81</v>
      </c>
      <c r="DH18" s="22" t="n">
        <f aca="false">IFERROR(DH19+DH20,"")</f>
        <v>21.5</v>
      </c>
      <c r="DI18" s="21" t="n">
        <v>83</v>
      </c>
      <c r="DJ18" s="22" t="n">
        <f aca="false">IFERROR(DJ19+DJ20,"")</f>
        <v>23.5</v>
      </c>
      <c r="DK18" s="21" t="n">
        <v>77</v>
      </c>
      <c r="DL18" s="22" t="n">
        <f aca="false">IFERROR(DL19+DL20,"")</f>
        <v>18</v>
      </c>
      <c r="DM18" s="21"/>
      <c r="DN18" s="22" t="str">
        <f aca="false">IFERROR(DN19+DN20,"")</f>
        <v/>
      </c>
      <c r="DO18" s="21"/>
      <c r="DP18" s="22" t="str">
        <f aca="false">IFERROR(DP19+DP20,"")</f>
        <v/>
      </c>
      <c r="DQ18" s="21"/>
      <c r="DR18" s="22" t="str">
        <f aca="false">IFERROR(DR19+DR20,"")</f>
        <v/>
      </c>
      <c r="DS18" s="21"/>
      <c r="DT18" s="22" t="str">
        <f aca="false">IFERROR(DT19+DT20,"")</f>
        <v/>
      </c>
      <c r="DU18" s="21"/>
      <c r="DV18" s="22" t="str">
        <f aca="false">IFERROR(DV19+DV20,"")</f>
        <v/>
      </c>
      <c r="DW18" s="21"/>
      <c r="DX18" s="22" t="str">
        <f aca="false">IFERROR(DX19+DX20,"")</f>
        <v/>
      </c>
      <c r="DY18" s="21"/>
      <c r="DZ18" s="22" t="str">
        <f aca="false">IFERROR(DZ19+DZ20,"")</f>
        <v/>
      </c>
      <c r="EA18" s="21"/>
      <c r="EB18" s="22" t="str">
        <f aca="false">IFERROR(EB19+EB20,"")</f>
        <v/>
      </c>
      <c r="EC18" s="17" t="n">
        <f aca="false">IFERROR(LARGE($G18:$CN18,1),0)+IFERROR(LARGE($G18:$CN18,2),0)+IFERROR(LARGE($G18:$CN18,3),0)+IFERROR(LARGE($G18:$CN18,4),0)+IFERROR(LARGE($G18:$CN18,5),0)+IFERROR(LARGE($G18:$CN18,6),0)+IFERROR(LARGE($G18:$CN18,7),0)+IFERROR(LARGE($G18:$CN18,8),0)+IFERROR(LARGE($G18:$CN18,9),0)+IFERROR(LARGE($G18:$CN18,10),0)</f>
        <v>173.5</v>
      </c>
      <c r="ED18" s="23" t="n">
        <f aca="false">AVERAGE(CT18,CV18,CX18,CZ18,DB18,DD18,DF18,DH18,DJ18,DL18,DN18,DP18,DR18,DT18,DV18,DX18,DZ18,EB18)</f>
        <v>24.7857142857143</v>
      </c>
    </row>
    <row r="19" s="1" customFormat="true" ht="13.5" hidden="false" customHeight="false" outlineLevel="1" collapsed="false">
      <c r="B19" s="24" t="n">
        <f aca="false">B18+0.111</f>
        <v>5.111</v>
      </c>
      <c r="D19" s="51" t="s">
        <v>92</v>
      </c>
      <c r="E19" s="7" t="s">
        <v>43</v>
      </c>
      <c r="F19" s="7"/>
      <c r="G19" s="7"/>
      <c r="H19" s="7" t="n">
        <f aca="false">IF(CS19=0,"",CS19)</f>
        <v>32</v>
      </c>
      <c r="I19" s="7"/>
      <c r="J19" s="49" t="n">
        <f aca="false">IFERROR(RANK(H19,H$6:H$116,0),"")</f>
        <v>6</v>
      </c>
      <c r="K19" s="7"/>
      <c r="L19" s="7"/>
      <c r="M19" s="7" t="str">
        <f aca="false">IF(CU19=0,"",CU19)</f>
        <v/>
      </c>
      <c r="N19" s="7"/>
      <c r="O19" s="49" t="str">
        <f aca="false">IFERROR(RANK(M19,M$6:M$116,0),"")</f>
        <v/>
      </c>
      <c r="P19" s="7"/>
      <c r="Q19" s="7"/>
      <c r="R19" s="7" t="str">
        <f aca="false">IF(CW19=0,"",CW19)</f>
        <v/>
      </c>
      <c r="S19" s="7"/>
      <c r="T19" s="49" t="str">
        <f aca="false">IFERROR(RANK(R19,R$6:R$116,0),"")</f>
        <v/>
      </c>
      <c r="U19" s="7"/>
      <c r="V19" s="7"/>
      <c r="W19" s="7" t="str">
        <f aca="false">IF(CY19=0,"",CY19)</f>
        <v/>
      </c>
      <c r="X19" s="7"/>
      <c r="Y19" s="49" t="str">
        <f aca="false">IFERROR(RANK(W19,W$6:W$116,0),"")</f>
        <v/>
      </c>
      <c r="Z19" s="7"/>
      <c r="AA19" s="7"/>
      <c r="AB19" s="7" t="n">
        <f aca="false">IF(DA19=0,"",DA19)</f>
        <v>37</v>
      </c>
      <c r="AC19" s="7"/>
      <c r="AD19" s="49" t="n">
        <f aca="false">IFERROR(RANK(AB19,AB$6:AB$116,0),"")</f>
        <v>1</v>
      </c>
      <c r="AE19" s="7"/>
      <c r="AF19" s="7"/>
      <c r="AG19" s="7" t="n">
        <f aca="false">IF(DC19=0,"",DC19)</f>
        <v>37</v>
      </c>
      <c r="AH19" s="7"/>
      <c r="AI19" s="49" t="n">
        <f aca="false">IFERROR(RANK(AG19,AG$6:AG$116,0),"")</f>
        <v>2</v>
      </c>
      <c r="AJ19" s="7"/>
      <c r="AK19" s="7"/>
      <c r="AL19" s="7" t="n">
        <f aca="false">IF(DE19=0,"",DE19)</f>
        <v>39</v>
      </c>
      <c r="AM19" s="7"/>
      <c r="AN19" s="49" t="n">
        <f aca="false">IFERROR(RANK(AL19,AL$6:AL$116,0),"")</f>
        <v>1</v>
      </c>
      <c r="AO19" s="7"/>
      <c r="AP19" s="7"/>
      <c r="AQ19" s="7" t="n">
        <f aca="false">IF(DG19=0,"",DG19)</f>
        <v>34</v>
      </c>
      <c r="AR19" s="7"/>
      <c r="AS19" s="49" t="n">
        <f aca="false">IFERROR(RANK(AQ19,AQ$6:AQ$116,0),"")</f>
        <v>6</v>
      </c>
      <c r="AT19" s="7"/>
      <c r="AU19" s="7"/>
      <c r="AV19" s="7" t="n">
        <f aca="false">IF(DI19=0,"",DI19)</f>
        <v>33</v>
      </c>
      <c r="AW19" s="7"/>
      <c r="AX19" s="49" t="n">
        <f aca="false">IFERROR(RANK(AV19,AV$6:AV$116,0),"")</f>
        <v>10</v>
      </c>
      <c r="AY19" s="7"/>
      <c r="AZ19" s="7"/>
      <c r="BA19" s="7" t="n">
        <f aca="false">IF(DK19=0,"",DK19)</f>
        <v>33</v>
      </c>
      <c r="BB19" s="7"/>
      <c r="BC19" s="49" t="n">
        <f aca="false">IFERROR(RANK(BA19,BA$6:BA$116,0),"")</f>
        <v>7</v>
      </c>
      <c r="BD19" s="7"/>
      <c r="BE19" s="7"/>
      <c r="BF19" s="7" t="str">
        <f aca="false">IF(DM19=0,"",DM19)</f>
        <v/>
      </c>
      <c r="BG19" s="7"/>
      <c r="BH19" s="49" t="str">
        <f aca="false">IFERROR(RANK(BF19,BF$6:BF$116,0),"")</f>
        <v/>
      </c>
      <c r="BI19" s="7"/>
      <c r="BJ19" s="7"/>
      <c r="BK19" s="7" t="str">
        <f aca="false">IF(DO19=0,"",DO19)</f>
        <v/>
      </c>
      <c r="BL19" s="7"/>
      <c r="BM19" s="49" t="str">
        <f aca="false">IFERROR(RANK(BK19,BK$6:BK$116,0),"")</f>
        <v/>
      </c>
      <c r="BN19" s="7"/>
      <c r="BO19" s="7"/>
      <c r="BP19" s="7" t="str">
        <f aca="false">IF(DQ19=0,"",DQ19)</f>
        <v/>
      </c>
      <c r="BQ19" s="7"/>
      <c r="BR19" s="49" t="str">
        <f aca="false">IFERROR(RANK(BP19,BP$6:BP$116,0),"")</f>
        <v/>
      </c>
      <c r="BS19" s="7"/>
      <c r="BT19" s="7"/>
      <c r="BU19" s="7" t="str">
        <f aca="false">IF(DS19=0,"",DS19)</f>
        <v/>
      </c>
      <c r="BV19" s="7"/>
      <c r="BW19" s="49" t="str">
        <f aca="false">IFERROR(RANK(BU19,BU$6:BU$116,0),"")</f>
        <v/>
      </c>
      <c r="BX19" s="7"/>
      <c r="BY19" s="7"/>
      <c r="BZ19" s="7" t="str">
        <f aca="false">IF(DU19=0,"",DU19)</f>
        <v/>
      </c>
      <c r="CA19" s="7"/>
      <c r="CB19" s="49" t="str">
        <f aca="false">IFERROR(RANK(BZ19,BZ$6:BZ$116,0),"")</f>
        <v/>
      </c>
      <c r="CC19" s="7"/>
      <c r="CD19" s="7"/>
      <c r="CE19" s="7" t="str">
        <f aca="false">IF(DW19=0,"",DW19)</f>
        <v/>
      </c>
      <c r="CF19" s="7"/>
      <c r="CG19" s="49" t="str">
        <f aca="false">IFERROR(RANK(CE19,CE$6:CE$116,0),"")</f>
        <v/>
      </c>
      <c r="CH19" s="7"/>
      <c r="CI19" s="7"/>
      <c r="CJ19" s="7" t="str">
        <f aca="false">IF(DY19=0,"",DY19)</f>
        <v/>
      </c>
      <c r="CK19" s="7"/>
      <c r="CL19" s="49" t="str">
        <f aca="false">IFERROR(RANK(CJ19,CJ$6:CJ$116,0),"")</f>
        <v/>
      </c>
      <c r="CM19" s="7"/>
      <c r="CN19" s="7"/>
      <c r="CO19" s="7" t="str">
        <f aca="false">IF(EA19=0,"",EA19)</f>
        <v/>
      </c>
      <c r="CP19" s="7"/>
      <c r="CQ19" s="49" t="str">
        <f aca="false">IFERROR(RANK(CO19,CO$6:CO$116,0),"")</f>
        <v/>
      </c>
      <c r="CR19" s="7"/>
      <c r="CS19" s="21" t="n">
        <v>32</v>
      </c>
      <c r="CT19" s="25" t="n">
        <f aca="true">IFERROR(AVERAGE(OFFSET('Data - For Rank'!B$2,J19,0,COUNTIF($J$7:J$116,J19)))+IFERROR(VLOOKUP((COUNT($H$6:$H$116)/4),$ER$9:$ES$13,2,FALSE()),0),"")</f>
        <v>12.5</v>
      </c>
      <c r="CU19" s="21"/>
      <c r="CV19" s="25" t="str">
        <f aca="true">IFERROR(AVERAGE(OFFSET('Data - For Rank'!$C$2,O19,0,COUNTIF(O$7:O$116,O19)))+IFERROR(VLOOKUP((COUNT(M$6:M$116)/4),$ER$9:$ES$13,2,FALSE()),0),"")</f>
        <v/>
      </c>
      <c r="CW19" s="21"/>
      <c r="CX19" s="25" t="str">
        <f aca="true">IFERROR(AVERAGE(OFFSET('Data - For Rank'!D$2,T19,0,COUNTIF(T$7:T$116,T19)))+IFERROR(VLOOKUP((COUNT(R$6:R$116)/4),$ER$9:$ES$13,2,FALSE()),0),"")</f>
        <v/>
      </c>
      <c r="CY19" s="21"/>
      <c r="CZ19" s="25" t="str">
        <f aca="true">IFERROR(AVERAGE(OFFSET('Data - For Rank'!E$2,Y19,0,COUNTIF(Y$7:Y$116,Y19)))+IFERROR(VLOOKUP((COUNT(W$6:W$116)/4),$ER$9:$ES$13,2,FALSE()),0),"")</f>
        <v/>
      </c>
      <c r="DA19" s="21" t="n">
        <v>37</v>
      </c>
      <c r="DB19" s="25" t="n">
        <f aca="true">IFERROR(AVERAGE(OFFSET('Data - For Rank'!F$2,AD19,0,COUNTIF(AD$7:AD$116,AD19)))+IFERROR(VLOOKUP((COUNT(AB$6:AB$116)/4),$ER$9:$ES$13,2,FALSE()),0),"")</f>
        <v>18</v>
      </c>
      <c r="DC19" s="21" t="n">
        <v>37</v>
      </c>
      <c r="DD19" s="25" t="n">
        <f aca="true">IFERROR(AVERAGE(OFFSET('Data - For Rank'!G$2,AI19,0,COUNTIF(AI$7:AI$116,AI19)))+IFERROR(VLOOKUP((COUNT(AG$6:AG$116)/4),$ER$9:$ES$13,2,FALSE()),0),"")</f>
        <v>16.5</v>
      </c>
      <c r="DE19" s="21" t="n">
        <v>39</v>
      </c>
      <c r="DF19" s="25" t="n">
        <f aca="true">IFERROR(AVERAGE(OFFSET('Data - For Rank'!$H$2,AN19,0,COUNTIF(AN$7:AN$116,AN19)))+IFERROR(VLOOKUP((COUNT(AL$6:AL$116)/4),$ER$9:$ES$13,2,FALSE()),0),"")</f>
        <v>15.5</v>
      </c>
      <c r="DG19" s="21" t="n">
        <v>34</v>
      </c>
      <c r="DH19" s="25" t="n">
        <f aca="true">IFERROR(AVERAGE(OFFSET('Data - For Rank'!$I$2,AS19,0,COUNTIF(AS$7:AS$116,AS19)))+IFERROR(VLOOKUP((COUNT(AQ$6:AQ$116)/4),$ER$9:$ES$13,2,FALSE()),0),"")</f>
        <v>13</v>
      </c>
      <c r="DI19" s="21" t="n">
        <v>33</v>
      </c>
      <c r="DJ19" s="25" t="n">
        <f aca="true">IFERROR(AVERAGE(OFFSET('Data - For Rank'!$J$2,AX19,0,COUNTIF(AX$7:AX$116,AX19)))+IFERROR(VLOOKUP((COUNT(AV$6:AV$116)/4),$ER$9:$ES$13,2,FALSE()),0),"")</f>
        <v>8.5</v>
      </c>
      <c r="DK19" s="21" t="n">
        <v>33</v>
      </c>
      <c r="DL19" s="25" t="n">
        <f aca="true">IFERROR(AVERAGE(OFFSET('Data - For Rank'!$K$2,BC19,0,COUNTIF(BC$7:BC$116,BC19)))+IFERROR(VLOOKUP((COUNT(BA$6:BA$116)/4),$ER$9:$ES$13,2,FALSE()),0),"")</f>
        <v>9.5</v>
      </c>
      <c r="DM19" s="21"/>
      <c r="DN19" s="25" t="str">
        <f aca="true">IFERROR(AVERAGE(OFFSET('Data - For Rank'!$L$2,BH19,0,COUNTIF(BH$7:BH$116,BH19)))+IFERROR(VLOOKUP((COUNT(BF$6:BF$116)/4),$ER$9:$ES$13,2,FALSE()),0),"")</f>
        <v/>
      </c>
      <c r="DO19" s="21"/>
      <c r="DP19" s="25" t="str">
        <f aca="true">IFERROR(AVERAGE(OFFSET('Data - For Rank'!$M$2,BM19,0,COUNTIF(BM$7:BM$116,BM19)))+IFERROR(VLOOKUP((COUNT(BK$6:BK$116)/4),$ER$9:$ES$13,2,FALSE()),0),"")</f>
        <v/>
      </c>
      <c r="DQ19" s="21"/>
      <c r="DR19" s="25" t="str">
        <f aca="true">IFERROR(AVERAGE(OFFSET('Data - For Rank'!$N$2,BR19,0,COUNTIF(BR$7:BR$116,BR19)))+IFERROR(VLOOKUP((COUNT(BP$6:BP$116)/4),$ER$9:$ES$13,2,FALSE()),0),"")</f>
        <v/>
      </c>
      <c r="DS19" s="21"/>
      <c r="DT19" s="25" t="str">
        <f aca="true">IFERROR(AVERAGE(OFFSET('Data - For Rank'!$O$2,BW19,0,COUNTIF(BW$7:BW$116,BW19)))+IFERROR(VLOOKUP((COUNT(BU$6:BU$116)/4),$ER$9:$ES$13,2,FALSE()),0),"")</f>
        <v/>
      </c>
      <c r="DU19" s="21"/>
      <c r="DV19" s="25" t="str">
        <f aca="true">IFERROR(AVERAGE(OFFSET('Data - For Rank'!$P$2,CB19,0,COUNTIF(CB$7:CB$116,CB19)))+IFERROR(VLOOKUP((COUNT(BZ$6:BZ$116)/4),$ER$9:$ES$13,2,FALSE()),0),"")</f>
        <v/>
      </c>
      <c r="DW19" s="21"/>
      <c r="DX19" s="25" t="str">
        <f aca="true">IFERROR(AVERAGE(OFFSET('Data - For Rank'!$Q$2,CG19,0,COUNTIF(CG$7:CG$116,CG19)))+IFERROR(VLOOKUP((COUNT(CE$6:CE$116)/4),$ER$9:$ES$13,2,FALSE()),0),"")</f>
        <v/>
      </c>
      <c r="DY19" s="21"/>
      <c r="DZ19" s="25" t="str">
        <f aca="true">IFERROR(AVERAGE(OFFSET('Data - For Rank'!$R$2,CL19,0,COUNTIF(CL$7:CL$116,CL19)))+IFERROR(VLOOKUP((COUNT(CJ$6:CJ$116)/4),$ER$9:$ES$13,2,FALSE()),0),"")</f>
        <v/>
      </c>
      <c r="EA19" s="21"/>
      <c r="EB19" s="25" t="str">
        <f aca="true">IFERROR(AVERAGE(OFFSET('Data - For Rank'!$S$2,CQ19,0,COUNTIF(CQ$7:CQ$116,CQ19)))+IFERROR(VLOOKUP((COUNT(CO$6:CO$116)/4),$ER$9:$ES$13,2,FALSE()),0),"")</f>
        <v/>
      </c>
      <c r="EC19" s="26" t="n">
        <f aca="false">AVERAGE(CS19,CU19,CW19,CY19,DA19,DC19,DE19,DG19,DI19,DK19,DM19,DO19,DQ19,DS19,DU19,DW19,DY19,EA19)</f>
        <v>35</v>
      </c>
      <c r="ED19" s="23" t="n">
        <f aca="false">AVERAGE(CT19,CV19,CX19,CZ19,DB19,DD19,DF19,DH19,DJ19,DL19,DN19,DP19,DR19,DT19,DV19,DX19,DZ19,EB19)</f>
        <v>13.3571428571429</v>
      </c>
    </row>
    <row r="20" s="1" customFormat="true" ht="13.5" hidden="false" customHeight="false" outlineLevel="1" collapsed="false">
      <c r="B20" s="27" t="n">
        <f aca="false">B18+0.0211</f>
        <v>5.0211</v>
      </c>
      <c r="D20" s="51" t="s">
        <v>93</v>
      </c>
      <c r="E20" s="28" t="s">
        <v>44</v>
      </c>
      <c r="F20" s="29" t="n">
        <f aca="false">IF(COUNT(G18:CN18)&gt;10,SMALL(G18:CN18,COUNT(G18:CN18)-10),MIN(G18:CN18))</f>
        <v>18</v>
      </c>
      <c r="G20" s="29"/>
      <c r="H20" s="29"/>
      <c r="I20" s="53" t="n">
        <f aca="false">IF(CS20=0,"",CS20)</f>
        <v>-8</v>
      </c>
      <c r="J20" s="53"/>
      <c r="K20" s="54" t="n">
        <f aca="false">IFERROR(_xlfn.RANK.EQ(I20,I$6:I$116,0),"")</f>
        <v>9</v>
      </c>
      <c r="L20" s="29"/>
      <c r="M20" s="29"/>
      <c r="N20" s="53" t="str">
        <f aca="false">IF(CU20=0,"",CU20)</f>
        <v/>
      </c>
      <c r="O20" s="53"/>
      <c r="P20" s="54" t="str">
        <f aca="false">IFERROR(_xlfn.RANK.EQ(N20,N$6:N$116,0),"")</f>
        <v/>
      </c>
      <c r="Q20" s="29"/>
      <c r="R20" s="29"/>
      <c r="S20" s="53" t="str">
        <f aca="false">IF(CW20=0,"",CW20)</f>
        <v/>
      </c>
      <c r="T20" s="53"/>
      <c r="U20" s="54" t="str">
        <f aca="false">IFERROR(_xlfn.RANK.EQ(S20,S$6:S$116,0),"")</f>
        <v/>
      </c>
      <c r="V20" s="29"/>
      <c r="W20" s="29"/>
      <c r="X20" s="53" t="str">
        <f aca="false">IF(CY20=0,"",CY20)</f>
        <v/>
      </c>
      <c r="Y20" s="53"/>
      <c r="Z20" s="54" t="str">
        <f aca="false">IFERROR(_xlfn.RANK.EQ(X20,X$6:X$116,0),"")</f>
        <v/>
      </c>
      <c r="AA20" s="29"/>
      <c r="AB20" s="29"/>
      <c r="AC20" s="53" t="n">
        <f aca="false">IF(DA20=0,"",DA20)</f>
        <v>28</v>
      </c>
      <c r="AD20" s="53"/>
      <c r="AE20" s="54" t="n">
        <f aca="false">IFERROR(_xlfn.RANK.EQ(AC20,AC$6:AC$116,0),"")</f>
        <v>3</v>
      </c>
      <c r="AF20" s="29"/>
      <c r="AG20" s="29"/>
      <c r="AH20" s="53" t="n">
        <f aca="false">IF(DC20=0,"",DC20)</f>
        <v>17</v>
      </c>
      <c r="AI20" s="53"/>
      <c r="AJ20" s="54" t="n">
        <f aca="false">IFERROR(_xlfn.RANK.EQ(AH20,AH$6:AH$116,0),"")</f>
        <v>3</v>
      </c>
      <c r="AK20" s="29"/>
      <c r="AL20" s="29"/>
      <c r="AM20" s="53" t="n">
        <f aca="false">IF(DE20=0,"",DE20)</f>
        <v>-8</v>
      </c>
      <c r="AN20" s="53"/>
      <c r="AO20" s="54" t="n">
        <f aca="false">IFERROR(_xlfn.RANK.EQ(AM20,AM$6:AM$116,0),"")</f>
        <v>10</v>
      </c>
      <c r="AP20" s="29"/>
      <c r="AQ20" s="29"/>
      <c r="AR20" s="53" t="n">
        <f aca="false">IF(DG20=0,"",DG20)</f>
        <v>-2</v>
      </c>
      <c r="AS20" s="53"/>
      <c r="AT20" s="54" t="n">
        <f aca="false">IFERROR(_xlfn.RANK.EQ(AR20,AR$6:AR$116,0),"")</f>
        <v>10</v>
      </c>
      <c r="AU20" s="29"/>
      <c r="AV20" s="29"/>
      <c r="AW20" s="53" t="n">
        <f aca="false">IF(DI20=0,"",DI20)</f>
        <v>13</v>
      </c>
      <c r="AX20" s="53"/>
      <c r="AY20" s="54" t="n">
        <f aca="false">IFERROR(_xlfn.RANK.EQ(AW20,AW$6:AW$116,0),"")</f>
        <v>4</v>
      </c>
      <c r="AZ20" s="29"/>
      <c r="BA20" s="29"/>
      <c r="BB20" s="53" t="n">
        <f aca="false">IF(DK20=0,"",DK20)</f>
        <v>-8</v>
      </c>
      <c r="BC20" s="53"/>
      <c r="BD20" s="54" t="n">
        <f aca="false">IFERROR(_xlfn.RANK.EQ(BB20,BB$6:BB$116,0),"")</f>
        <v>8</v>
      </c>
      <c r="BE20" s="29"/>
      <c r="BF20" s="29"/>
      <c r="BG20" s="53" t="str">
        <f aca="false">IF(DM20=0,"",DM20)</f>
        <v/>
      </c>
      <c r="BH20" s="53"/>
      <c r="BI20" s="54" t="str">
        <f aca="false">IFERROR(_xlfn.RANK.EQ(BG20,BG$6:BG$116,0),"")</f>
        <v/>
      </c>
      <c r="BJ20" s="29"/>
      <c r="BK20" s="29"/>
      <c r="BL20" s="53" t="str">
        <f aca="false">IF(DO20=0,"",DO20)</f>
        <v/>
      </c>
      <c r="BM20" s="53"/>
      <c r="BN20" s="54" t="str">
        <f aca="false">IFERROR(_xlfn.RANK.EQ(BL20,BL$6:BL$116,0),"")</f>
        <v/>
      </c>
      <c r="BO20" s="29"/>
      <c r="BP20" s="29"/>
      <c r="BQ20" s="53" t="str">
        <f aca="false">IF(DQ20=0,"",DQ20)</f>
        <v/>
      </c>
      <c r="BR20" s="53"/>
      <c r="BS20" s="54" t="str">
        <f aca="false">IFERROR(_xlfn.RANK.EQ(BQ20,BQ$6:BQ$116,0),"")</f>
        <v/>
      </c>
      <c r="BT20" s="29"/>
      <c r="BU20" s="29"/>
      <c r="BV20" s="53" t="str">
        <f aca="false">IF(DS20=0,"",DS20)</f>
        <v/>
      </c>
      <c r="BW20" s="53"/>
      <c r="BX20" s="54" t="str">
        <f aca="false">IFERROR(_xlfn.RANK.EQ(BV20,BV$6:BV$116,0),"")</f>
        <v/>
      </c>
      <c r="BY20" s="29"/>
      <c r="BZ20" s="29"/>
      <c r="CA20" s="53" t="str">
        <f aca="false">IF(DU20=0,"",DU20)</f>
        <v/>
      </c>
      <c r="CB20" s="53"/>
      <c r="CC20" s="54" t="str">
        <f aca="false">IFERROR(_xlfn.RANK.EQ(CA20,CA$6:CA$116,0),"")</f>
        <v/>
      </c>
      <c r="CD20" s="29"/>
      <c r="CE20" s="29"/>
      <c r="CF20" s="53" t="str">
        <f aca="false">IF(DW20=0,"",DW20)</f>
        <v/>
      </c>
      <c r="CG20" s="53"/>
      <c r="CH20" s="54" t="str">
        <f aca="false">IFERROR(_xlfn.RANK.EQ(CF20,CF$6:CF$116,0),"")</f>
        <v/>
      </c>
      <c r="CI20" s="29"/>
      <c r="CJ20" s="29"/>
      <c r="CK20" s="53" t="str">
        <f aca="false">IF(DY20=0,"",DY20)</f>
        <v/>
      </c>
      <c r="CL20" s="53"/>
      <c r="CM20" s="54" t="str">
        <f aca="false">IFERROR(_xlfn.RANK.EQ(CK20,CK$6:CK$116,0),"")</f>
        <v/>
      </c>
      <c r="CN20" s="29"/>
      <c r="CO20" s="29"/>
      <c r="CP20" s="53" t="str">
        <f aca="false">IF(EA20=0,"",EA20)</f>
        <v/>
      </c>
      <c r="CQ20" s="53"/>
      <c r="CR20" s="54" t="str">
        <f aca="false">IFERROR(_xlfn.RANK.EQ(CP20,CP$6:CP$116,0),"")</f>
        <v/>
      </c>
      <c r="CS20" s="30" t="n">
        <v>-8</v>
      </c>
      <c r="CT20" s="31" t="n">
        <f aca="true">IFERROR(AVERAGE(OFFSET('Data - For Rank'!B$2,K20,0,COUNTIF(K$6:K$116,K20)))+IFERROR(VLOOKUP((COUNT($I$6:$I$116)/4),$ER$9:$ES$13,2,FALSE()),0),"")</f>
        <v>9.5</v>
      </c>
      <c r="CU20" s="30"/>
      <c r="CV20" s="31" t="str">
        <f aca="true">IFERROR(AVERAGE(OFFSET('Data - For Rank'!$C$2,P20,0,COUNTIF(P$6:P$116,P20)))+IFERROR(VLOOKUP((COUNT(N$6:N$116)/4),$ER$9:$ES$13,2,FALSE()),0),"")</f>
        <v/>
      </c>
      <c r="CW20" s="30"/>
      <c r="CX20" s="31" t="str">
        <f aca="true">IFERROR(AVERAGE(OFFSET('Data - For Rank'!D$2,U20,0,COUNTIF(U$6:$U128,U20)))+IFERROR(VLOOKUP((COUNT(S$6:S$116)/4),$ER$9:$ES$13,2,FALSE()),0),"")</f>
        <v/>
      </c>
      <c r="CY20" s="30"/>
      <c r="CZ20" s="31" t="str">
        <f aca="true">IFERROR(AVERAGE(OFFSET('Data - For Rank'!E$2,Z20,0,COUNTIF(Z$6:Z$116,Z20)))+IFERROR(VLOOKUP((COUNT(W$6:W$116)/4),$ER$9:$ES$13,2,FALSE()),0),"")</f>
        <v/>
      </c>
      <c r="DA20" s="30" t="n">
        <v>28</v>
      </c>
      <c r="DB20" s="31" t="n">
        <f aca="true">IFERROR(AVERAGE(OFFSET('Data - For Rank'!F$2,AE20,0,COUNTIF(AE$6:AE$116,AE20)))+IFERROR(VLOOKUP((COUNT(AC$6:AC$116)/4),$ER$9:$ES$13,2,FALSE()),0),"")</f>
        <v>16</v>
      </c>
      <c r="DC20" s="30" t="n">
        <v>17</v>
      </c>
      <c r="DD20" s="31" t="n">
        <f aca="true">IFERROR(AVERAGE(OFFSET('Data - For Rank'!G$2,AJ20,0,COUNTIF(AJ$6:AJ$116,AJ20)))+IFERROR(VLOOKUP((COUNT(AH$6:AH$116)/4),$ER$9:$ES$13,2,FALSE()),0),"")</f>
        <v>16</v>
      </c>
      <c r="DE20" s="30" t="n">
        <v>-8</v>
      </c>
      <c r="DF20" s="31" t="n">
        <f aca="true">IFERROR(AVERAGE(OFFSET('Data - For Rank'!$H$2,AO20,0,COUNTIF(AO$6:AO$116,AO20)))+IFERROR(VLOOKUP((COUNT(AM$6:AM$116)/4),$ER$9:$ES$13,2,FALSE()),0),"")</f>
        <v>6.5</v>
      </c>
      <c r="DG20" s="30" t="n">
        <v>-2</v>
      </c>
      <c r="DH20" s="31" t="n">
        <f aca="true">IFERROR(AVERAGE(OFFSET('Data - For Rank'!$I$2,AT20,0,COUNTIF(AT$6:AT$116,AT20)))+IFERROR(VLOOKUP((COUNT(AR$6:AR$116)/4),$ER$9:$ES$13,2,FALSE()),0),"")</f>
        <v>8.5</v>
      </c>
      <c r="DI20" s="30" t="n">
        <v>13</v>
      </c>
      <c r="DJ20" s="31" t="n">
        <f aca="true">IFERROR(AVERAGE(OFFSET('Data - For Rank'!$J$2,AY20,0,COUNTIF(AY$6:AY$116,AY20)))+IFERROR(VLOOKUP((COUNT(AW$6:AW$116)/4),$ER$9:$ES$13,2,FALSE()),0),"")</f>
        <v>15</v>
      </c>
      <c r="DK20" s="30" t="n">
        <v>-8</v>
      </c>
      <c r="DL20" s="31" t="n">
        <f aca="true">IFERROR(AVERAGE(OFFSET('Data - For Rank'!$K$2,BD20,0,COUNTIF(BD$6:BD$116,BD20)))+IFERROR(VLOOKUP((COUNT(BB$6:BB$116)/4),$ER$9:$ES$13,2,FALSE()),0),"")</f>
        <v>8.5</v>
      </c>
      <c r="DM20" s="30"/>
      <c r="DN20" s="31" t="str">
        <f aca="true">IFERROR(AVERAGE(OFFSET('Data - For Rank'!$L$2,BI20,0,COUNTIF(BI$6:BI$116,BI20)))+IFERROR(VLOOKUP((COUNT(BG$6:BG$116)/4),$ER$9:$ES$13,2,FALSE()),0),"")</f>
        <v/>
      </c>
      <c r="DO20" s="30"/>
      <c r="DP20" s="31" t="str">
        <f aca="true">IFERROR(AVERAGE(OFFSET('Data - For Rank'!$M$2,BN20,0,COUNTIF(BN$6:BN$116,BN20)))+IFERROR(VLOOKUP((COUNT(BL$6:BL$116)/4),$ER$9:$ES$13,2,FALSE()),0),"")</f>
        <v/>
      </c>
      <c r="DQ20" s="30"/>
      <c r="DR20" s="31" t="str">
        <f aca="true">IFERROR(AVERAGE(OFFSET('Data - For Rank'!$N$2,BS20,0,COUNTIF(BS$6:BS$116,BS20)))+IFERROR(VLOOKUP((COUNT(BQ$6:BQ$116)/4),$ER$9:$ES$13,2,FALSE()),0),"")</f>
        <v/>
      </c>
      <c r="DS20" s="30"/>
      <c r="DT20" s="31" t="str">
        <f aca="true">IFERROR(AVERAGE(OFFSET('Data - For Rank'!$O$2,BX20,0,COUNTIF(BX$6:BX$116,BX20)))+IFERROR(VLOOKUP((COUNT(BV$6:BV$116)/4),$ER$9:$ES$13,2,FALSE()),0),"")</f>
        <v/>
      </c>
      <c r="DU20" s="30"/>
      <c r="DV20" s="31" t="str">
        <f aca="true">IFERROR(AVERAGE(OFFSET('Data - For Rank'!$P$2,CC20,0,COUNTIF(CC$6:CC$116,CC20)))+IFERROR(VLOOKUP((COUNT(CA$6:CA$116)/4),$ER$9:$ES$13,2,FALSE()),0),"")</f>
        <v/>
      </c>
      <c r="DW20" s="30"/>
      <c r="DX20" s="31" t="str">
        <f aca="true">IFERROR(AVERAGE(OFFSET('Data - For Rank'!$Q$2,CH20,0,COUNTIF(CH$6:CH$116,CH20)))+IFERROR(VLOOKUP((COUNT(CF$6:CF$116)/4),$ER$9:$ES$13,2,FALSE()),0),"")</f>
        <v/>
      </c>
      <c r="DY20" s="30"/>
      <c r="DZ20" s="31" t="str">
        <f aca="true">IFERROR(AVERAGE(OFFSET('Data - For Rank'!$R$2,CM20,0,COUNTIF(CM$6:CM$116,CM20)))+IFERROR(VLOOKUP((COUNT(CK$6:CK$116)/4),$ER$9:$ES$13,2,FALSE()),0),"")</f>
        <v/>
      </c>
      <c r="EA20" s="30"/>
      <c r="EB20" s="31" t="str">
        <f aca="true">IFERROR(AVERAGE(OFFSET('Data - For Rank'!$S$2,CR20,0,COUNTIF(CR$6:CR$116,CR20)))+IFERROR(VLOOKUP((COUNT(CP$6:CP$116)/4),$ER$9:$ES$13,2,FALSE()),0),"")</f>
        <v/>
      </c>
      <c r="EC20" s="32" t="n">
        <f aca="false">CS20+CU20+CW20+CY20+DA20+DC20+DE20+DG20+DI20+DK20+DM20+DO20+DQ20+DS20+DU20+DW20+DY20+EA20</f>
        <v>32</v>
      </c>
      <c r="ED20" s="33" t="n">
        <f aca="false">AVERAGE(CT20,CV20,CX20,CZ20,DB20,DD20,DF20,DH20,DJ20,DL20,DN20,DP20,DR20,DT20,DV20,DX20,DZ20,EB20)</f>
        <v>11.4285714285714</v>
      </c>
      <c r="EM20" s="1" t="s">
        <v>94</v>
      </c>
    </row>
    <row r="21" customFormat="false" ht="13.5" hidden="false" customHeight="false" outlineLevel="0" collapsed="false">
      <c r="B21" s="8" t="n">
        <f aca="false">_xlfn.RANK.EQ(C21,$C$6:$C$63,)</f>
        <v>6</v>
      </c>
      <c r="C21" s="43" t="n">
        <f aca="false">EC21</f>
        <v>168</v>
      </c>
      <c r="D21" s="43" t="s">
        <v>95</v>
      </c>
      <c r="E21" s="19" t="s">
        <v>49</v>
      </c>
      <c r="F21" s="20" t="n">
        <f aca="false">COUNT(CT21,CV21,CX21,CZ21,DB21,DD21,DF21,DH21,DJ21,DL21,DN21,DP21,DR21,DT21,DV21,DX21,DZ21,EB21)</f>
        <v>7</v>
      </c>
      <c r="G21" s="49" t="n">
        <f aca="false">IF(CT21=0,"",CT21)</f>
        <v>26.5</v>
      </c>
      <c r="H21" s="49"/>
      <c r="I21" s="49"/>
      <c r="K21" s="49"/>
      <c r="L21" s="49" t="str">
        <f aca="false">IF(CV21=0,"",CV21)</f>
        <v/>
      </c>
      <c r="M21" s="49"/>
      <c r="N21" s="49"/>
      <c r="P21" s="49"/>
      <c r="Q21" s="49" t="str">
        <f aca="false">IF(CX21=0,"",CX21)</f>
        <v/>
      </c>
      <c r="R21" s="49"/>
      <c r="S21" s="49"/>
      <c r="U21" s="49"/>
      <c r="V21" s="49" t="n">
        <f aca="false">IF(CZ21=0,"",CZ21)</f>
        <v>24</v>
      </c>
      <c r="W21" s="49"/>
      <c r="X21" s="49"/>
      <c r="Z21" s="49"/>
      <c r="AA21" s="49" t="n">
        <f aca="false">IF(DB21=0,"",DB21)</f>
        <v>23</v>
      </c>
      <c r="AB21" s="49"/>
      <c r="AC21" s="49"/>
      <c r="AE21" s="49"/>
      <c r="AF21" s="49" t="n">
        <f aca="false">IF(DD21=0,"",DD21)</f>
        <v>29</v>
      </c>
      <c r="AG21" s="49"/>
      <c r="AH21" s="49"/>
      <c r="AJ21" s="49"/>
      <c r="AK21" s="49" t="str">
        <f aca="false">IF(DF21=0,"",DF21)</f>
        <v/>
      </c>
      <c r="AL21" s="49"/>
      <c r="AM21" s="49"/>
      <c r="AO21" s="49"/>
      <c r="AP21" s="49" t="n">
        <f aca="false">IF(DH21=0,"",DH21)</f>
        <v>10.5</v>
      </c>
      <c r="AQ21" s="49"/>
      <c r="AR21" s="49"/>
      <c r="AT21" s="49"/>
      <c r="AU21" s="49" t="n">
        <f aca="false">IF(DJ21=0,"",DJ21)</f>
        <v>33</v>
      </c>
      <c r="AV21" s="49"/>
      <c r="AW21" s="49"/>
      <c r="AY21" s="49"/>
      <c r="AZ21" s="49" t="n">
        <f aca="false">IF(DL21=0,"",DL21)</f>
        <v>22</v>
      </c>
      <c r="BA21" s="49"/>
      <c r="BB21" s="49"/>
      <c r="BD21" s="49"/>
      <c r="BE21" s="49" t="str">
        <f aca="false">IF(DN21=0,"",DN21)</f>
        <v/>
      </c>
      <c r="BF21" s="49"/>
      <c r="BG21" s="49"/>
      <c r="BI21" s="49"/>
      <c r="BJ21" s="49" t="str">
        <f aca="false">IF(DP21=0,"",DP21)</f>
        <v/>
      </c>
      <c r="BK21" s="49"/>
      <c r="BL21" s="49"/>
      <c r="BN21" s="49"/>
      <c r="BO21" s="49" t="str">
        <f aca="false">IF(DR21=0,"",DR21)</f>
        <v/>
      </c>
      <c r="BP21" s="49"/>
      <c r="BQ21" s="49"/>
      <c r="BS21" s="49"/>
      <c r="BT21" s="49" t="str">
        <f aca="false">IF(DT21=0,"",DT21)</f>
        <v/>
      </c>
      <c r="BU21" s="49"/>
      <c r="BV21" s="49"/>
      <c r="BX21" s="49"/>
      <c r="BY21" s="49" t="str">
        <f aca="false">IF(DV21=0,"",DV21)</f>
        <v/>
      </c>
      <c r="BZ21" s="49"/>
      <c r="CA21" s="49"/>
      <c r="CC21" s="49"/>
      <c r="CD21" s="49" t="str">
        <f aca="false">IF(DX21=0,"",DX21)</f>
        <v/>
      </c>
      <c r="CE21" s="49"/>
      <c r="CF21" s="49"/>
      <c r="CH21" s="49"/>
      <c r="CI21" s="49" t="str">
        <f aca="false">IF(DZ21=0,"",DZ21)</f>
        <v/>
      </c>
      <c r="CJ21" s="49"/>
      <c r="CK21" s="49"/>
      <c r="CM21" s="49"/>
      <c r="CN21" s="49" t="str">
        <f aca="false">IF(EB21=0,"",EB21)</f>
        <v/>
      </c>
      <c r="CO21" s="49"/>
      <c r="CP21" s="49"/>
      <c r="CR21" s="49"/>
      <c r="CS21" s="21" t="n">
        <v>83</v>
      </c>
      <c r="CT21" s="22" t="n">
        <f aca="false">IFERROR(CT22+CT23,"")</f>
        <v>26.5</v>
      </c>
      <c r="CU21" s="21"/>
      <c r="CV21" s="22" t="str">
        <f aca="false">IFERROR(CV22+CV23,"")</f>
        <v/>
      </c>
      <c r="CW21" s="21"/>
      <c r="CX21" s="22" t="str">
        <f aca="false">IFERROR(CX22+CX23,"")</f>
        <v/>
      </c>
      <c r="CY21" s="21" t="n">
        <v>84</v>
      </c>
      <c r="CZ21" s="22" t="n">
        <f aca="false">IFERROR(CZ22+CZ23,"")</f>
        <v>24</v>
      </c>
      <c r="DA21" s="21" t="n">
        <v>87</v>
      </c>
      <c r="DB21" s="22" t="n">
        <f aca="false">IFERROR(DB22+DB23,"")</f>
        <v>23</v>
      </c>
      <c r="DC21" s="21" t="n">
        <v>83</v>
      </c>
      <c r="DD21" s="22" t="n">
        <f aca="false">IFERROR(DD22+DD23,"")</f>
        <v>29</v>
      </c>
      <c r="DE21" s="21"/>
      <c r="DF21" s="22" t="str">
        <f aca="false">IFERROR(DF22+DF23,"")</f>
        <v/>
      </c>
      <c r="DG21" s="21" t="n">
        <v>88</v>
      </c>
      <c r="DH21" s="22" t="n">
        <f aca="false">IFERROR(DH22+DH23,"")</f>
        <v>10.5</v>
      </c>
      <c r="DI21" s="21" t="n">
        <v>81</v>
      </c>
      <c r="DJ21" s="22" t="n">
        <f aca="false">IFERROR(DJ22+DJ23,"")</f>
        <v>33</v>
      </c>
      <c r="DK21" s="21" t="n">
        <v>84</v>
      </c>
      <c r="DL21" s="22" t="n">
        <f aca="false">IFERROR(DL22+DL23,"")</f>
        <v>22</v>
      </c>
      <c r="DM21" s="21"/>
      <c r="DN21" s="22" t="str">
        <f aca="false">IFERROR(DN22+DN23,"")</f>
        <v/>
      </c>
      <c r="DO21" s="21"/>
      <c r="DP21" s="22" t="str">
        <f aca="false">IFERROR(DP22+DP23,"")</f>
        <v/>
      </c>
      <c r="DQ21" s="21"/>
      <c r="DR21" s="22" t="str">
        <f aca="false">IFERROR(DR22+DR23,"")</f>
        <v/>
      </c>
      <c r="DS21" s="21"/>
      <c r="DT21" s="22" t="str">
        <f aca="false">IFERROR(DT22+DT23,"")</f>
        <v/>
      </c>
      <c r="DU21" s="21"/>
      <c r="DV21" s="22" t="str">
        <f aca="false">IFERROR(DV22+DV23,"")</f>
        <v/>
      </c>
      <c r="DW21" s="21"/>
      <c r="DX21" s="22" t="str">
        <f aca="false">IFERROR(DX22+DX23,"")</f>
        <v/>
      </c>
      <c r="DY21" s="21"/>
      <c r="DZ21" s="22" t="str">
        <f aca="false">IFERROR(DZ22+DZ23,"")</f>
        <v/>
      </c>
      <c r="EA21" s="21"/>
      <c r="EB21" s="22" t="str">
        <f aca="false">IFERROR(EB22+EB23,"")</f>
        <v/>
      </c>
      <c r="EC21" s="17" t="n">
        <f aca="false">IFERROR(LARGE($G21:$CN21,1),0)+IFERROR(LARGE($G21:$CN21,2),0)+IFERROR(LARGE($G21:$CN21,3),0)+IFERROR(LARGE($G21:$CN21,4),0)+IFERROR(LARGE($G21:$CN21,5),0)+IFERROR(LARGE($G21:$CN21,6),0)+IFERROR(LARGE($G21:$CN21,7),0)+IFERROR(LARGE($G21:$CN21,8),0)+IFERROR(LARGE($G21:$CN21,9),0)+IFERROR(LARGE($G21:$CN21,10),0)</f>
        <v>168</v>
      </c>
      <c r="ED21" s="23" t="n">
        <f aca="false">AVERAGE(CT21,CV21,CX21,CZ21,DB21,DD21,DF21,DH21,DJ21,DL21,DN21,DP21,DR21,DT21,DV21,DX21,DZ21,EB21)</f>
        <v>24</v>
      </c>
      <c r="EM21" s="1" t="s">
        <v>96</v>
      </c>
    </row>
    <row r="22" s="1" customFormat="true" ht="13.5" hidden="false" customHeight="false" outlineLevel="1" collapsed="false">
      <c r="B22" s="24" t="n">
        <f aca="false">B21+0.14</f>
        <v>6.14</v>
      </c>
      <c r="D22" s="51" t="s">
        <v>97</v>
      </c>
      <c r="E22" s="7" t="s">
        <v>43</v>
      </c>
      <c r="F22" s="7"/>
      <c r="G22" s="7"/>
      <c r="H22" s="7" t="n">
        <f aca="false">IF(CS22=0,"",CS22)</f>
        <v>33</v>
      </c>
      <c r="I22" s="7"/>
      <c r="J22" s="49" t="n">
        <f aca="false">IFERROR(RANK(H22,H$6:H$116,0),"")</f>
        <v>4</v>
      </c>
      <c r="K22" s="7"/>
      <c r="L22" s="7"/>
      <c r="M22" s="7" t="str">
        <f aca="false">IF(CU22=0,"",CU22)</f>
        <v/>
      </c>
      <c r="N22" s="7"/>
      <c r="O22" s="49" t="str">
        <f aca="false">IFERROR(RANK(M22,M$6:M$116,0),"")</f>
        <v/>
      </c>
      <c r="P22" s="7"/>
      <c r="Q22" s="7"/>
      <c r="R22" s="7" t="str">
        <f aca="false">IF(CW22=0,"",CW22)</f>
        <v/>
      </c>
      <c r="S22" s="7"/>
      <c r="T22" s="49" t="str">
        <f aca="false">IFERROR(RANK(R22,R$6:R$116,0),"")</f>
        <v/>
      </c>
      <c r="U22" s="7"/>
      <c r="V22" s="7"/>
      <c r="W22" s="7" t="n">
        <f aca="false">IF(CY22=0,"",CY22)</f>
        <v>30</v>
      </c>
      <c r="X22" s="7"/>
      <c r="Y22" s="49" t="n">
        <f aca="false">IFERROR(RANK(W22,W$6:W$116,0),"")</f>
        <v>4</v>
      </c>
      <c r="Z22" s="7"/>
      <c r="AA22" s="7"/>
      <c r="AB22" s="7" t="n">
        <f aca="false">IF(DA22=0,"",DA22)</f>
        <v>31</v>
      </c>
      <c r="AC22" s="7"/>
      <c r="AD22" s="49" t="n">
        <f aca="false">IFERROR(RANK(AB22,AB$6:AB$116,0),"")</f>
        <v>7</v>
      </c>
      <c r="AE22" s="7"/>
      <c r="AF22" s="7"/>
      <c r="AG22" s="7" t="n">
        <f aca="false">IF(DC22=0,"",DC22)</f>
        <v>36</v>
      </c>
      <c r="AH22" s="7"/>
      <c r="AI22" s="49" t="n">
        <f aca="false">IFERROR(RANK(AG22,AG$6:AG$116,0),"")</f>
        <v>4</v>
      </c>
      <c r="AJ22" s="7"/>
      <c r="AK22" s="7"/>
      <c r="AL22" s="7" t="str">
        <f aca="false">IF(DE22=0,"",DE22)</f>
        <v/>
      </c>
      <c r="AM22" s="7"/>
      <c r="AN22" s="49" t="str">
        <f aca="false">IFERROR(RANK(AL22,AL$6:AL$116,0),"")</f>
        <v/>
      </c>
      <c r="AO22" s="7"/>
      <c r="AP22" s="7"/>
      <c r="AQ22" s="7" t="n">
        <f aca="false">IF(DG22=0,"",DG22)</f>
        <v>29</v>
      </c>
      <c r="AR22" s="7"/>
      <c r="AS22" s="49" t="n">
        <f aca="false">IFERROR(RANK(AQ22,AQ$6:AQ$116,0),"")</f>
        <v>12</v>
      </c>
      <c r="AT22" s="7"/>
      <c r="AU22" s="7"/>
      <c r="AV22" s="7" t="n">
        <f aca="false">IF(DI22=0,"",DI22)</f>
        <v>38</v>
      </c>
      <c r="AW22" s="7"/>
      <c r="AX22" s="49" t="n">
        <f aca="false">IFERROR(RANK(AV22,AV$6:AV$116,0),"")</f>
        <v>3</v>
      </c>
      <c r="AY22" s="7"/>
      <c r="AZ22" s="7"/>
      <c r="BA22" s="7" t="n">
        <f aca="false">IF(DK22=0,"",DK22)</f>
        <v>30</v>
      </c>
      <c r="BB22" s="7"/>
      <c r="BC22" s="49" t="n">
        <f aca="false">IFERROR(RANK(BA22,BA$6:BA$116,0),"")</f>
        <v>9</v>
      </c>
      <c r="BD22" s="7"/>
      <c r="BE22" s="7"/>
      <c r="BF22" s="7" t="str">
        <f aca="false">IF(DM22=0,"",DM22)</f>
        <v/>
      </c>
      <c r="BG22" s="7"/>
      <c r="BH22" s="49" t="str">
        <f aca="false">IFERROR(RANK(BF22,BF$6:BF$116,0),"")</f>
        <v/>
      </c>
      <c r="BI22" s="7"/>
      <c r="BJ22" s="7"/>
      <c r="BK22" s="7" t="str">
        <f aca="false">IF(DO22=0,"",DO22)</f>
        <v/>
      </c>
      <c r="BL22" s="7"/>
      <c r="BM22" s="49" t="str">
        <f aca="false">IFERROR(RANK(BK22,BK$6:BK$116,0),"")</f>
        <v/>
      </c>
      <c r="BN22" s="7"/>
      <c r="BO22" s="7"/>
      <c r="BP22" s="7" t="str">
        <f aca="false">IF(DQ22=0,"",DQ22)</f>
        <v/>
      </c>
      <c r="BQ22" s="7"/>
      <c r="BR22" s="49" t="str">
        <f aca="false">IFERROR(RANK(BP22,BP$6:BP$116,0),"")</f>
        <v/>
      </c>
      <c r="BS22" s="7"/>
      <c r="BT22" s="7"/>
      <c r="BU22" s="7" t="str">
        <f aca="false">IF(DS22=0,"",DS22)</f>
        <v/>
      </c>
      <c r="BV22" s="7"/>
      <c r="BW22" s="49" t="str">
        <f aca="false">IFERROR(RANK(BU22,BU$6:BU$116,0),"")</f>
        <v/>
      </c>
      <c r="BX22" s="7"/>
      <c r="BY22" s="7"/>
      <c r="BZ22" s="7" t="str">
        <f aca="false">IF(DU22=0,"",DU22)</f>
        <v/>
      </c>
      <c r="CA22" s="7"/>
      <c r="CB22" s="49" t="str">
        <f aca="false">IFERROR(RANK(BZ22,BZ$6:BZ$116,0),"")</f>
        <v/>
      </c>
      <c r="CC22" s="7"/>
      <c r="CD22" s="7"/>
      <c r="CE22" s="7" t="str">
        <f aca="false">IF(DW22=0,"",DW22)</f>
        <v/>
      </c>
      <c r="CF22" s="7"/>
      <c r="CG22" s="49" t="str">
        <f aca="false">IFERROR(RANK(CE22,CE$6:CE$116,0),"")</f>
        <v/>
      </c>
      <c r="CH22" s="7"/>
      <c r="CI22" s="7"/>
      <c r="CJ22" s="7" t="str">
        <f aca="false">IF(DY22=0,"",DY22)</f>
        <v/>
      </c>
      <c r="CK22" s="7"/>
      <c r="CL22" s="49" t="str">
        <f aca="false">IFERROR(RANK(CJ22,CJ$6:CJ$116,0),"")</f>
        <v/>
      </c>
      <c r="CM22" s="7"/>
      <c r="CN22" s="7"/>
      <c r="CO22" s="7" t="str">
        <f aca="false">IF(EA22=0,"",EA22)</f>
        <v/>
      </c>
      <c r="CP22" s="7"/>
      <c r="CQ22" s="49" t="str">
        <f aca="false">IFERROR(RANK(CO22,CO$6:CO$116,0),"")</f>
        <v/>
      </c>
      <c r="CR22" s="7"/>
      <c r="CS22" s="21" t="n">
        <v>33</v>
      </c>
      <c r="CT22" s="25" t="n">
        <f aca="true">IFERROR(AVERAGE(OFFSET('Data - For Rank'!B$2,J22,0,COUNTIF($J$7:J$116,J22)))+IFERROR(VLOOKUP((COUNT($H$6:$H$116)/4),$ER$9:$ES$13,2,FALSE()),0),"")</f>
        <v>14.5</v>
      </c>
      <c r="CU22" s="21"/>
      <c r="CV22" s="25" t="str">
        <f aca="true">IFERROR(AVERAGE(OFFSET('Data - For Rank'!$C$2,O22,0,COUNTIF(O$7:O$116,O22)))+IFERROR(VLOOKUP((COUNT(M$6:M$116)/4),$ER$9:$ES$13,2,FALSE()),0),"")</f>
        <v/>
      </c>
      <c r="CW22" s="21"/>
      <c r="CX22" s="25" t="str">
        <f aca="true">IFERROR(AVERAGE(OFFSET('Data - For Rank'!D$2,T22,0,COUNTIF(T$7:T$116,T22)))+IFERROR(VLOOKUP((COUNT(R$6:R$116)/4),$ER$9:$ES$13,2,FALSE()),0),"")</f>
        <v/>
      </c>
      <c r="CY22" s="21" t="n">
        <v>30</v>
      </c>
      <c r="CZ22" s="25" t="n">
        <f aca="true">IFERROR(AVERAGE(OFFSET('Data - For Rank'!E$2,Y22,0,COUNTIF(Y$7:Y$116,Y22)))+IFERROR(VLOOKUP((COUNT(W$6:W$116)/4),$ER$9:$ES$13,2,FALSE()),0),"")</f>
        <v>11</v>
      </c>
      <c r="DA22" s="21" t="n">
        <v>31</v>
      </c>
      <c r="DB22" s="25" t="n">
        <f aca="true">IFERROR(AVERAGE(OFFSET('Data - For Rank'!F$2,AD22,0,COUNTIF(AD$7:AD$116,AD22)))+IFERROR(VLOOKUP((COUNT(AB$6:AB$116)/4),$ER$9:$ES$13,2,FALSE()),0),"")</f>
        <v>11</v>
      </c>
      <c r="DC22" s="21" t="n">
        <v>36</v>
      </c>
      <c r="DD22" s="25" t="n">
        <f aca="true">IFERROR(AVERAGE(OFFSET('Data - For Rank'!G$2,AI22,0,COUNTIF(AI$7:AI$116,AI22)))+IFERROR(VLOOKUP((COUNT(AG$6:AG$116)/4),$ER$9:$ES$13,2,FALSE()),0),"")</f>
        <v>15</v>
      </c>
      <c r="DE22" s="21"/>
      <c r="DF22" s="25" t="str">
        <f aca="true">IFERROR(AVERAGE(OFFSET('Data - For Rank'!$H$2,AN22,0,COUNTIF(AN$7:AN$116,AN22)))+IFERROR(VLOOKUP((COUNT(AL$6:AL$116)/4),$ER$9:$ES$13,2,FALSE()),0),"")</f>
        <v/>
      </c>
      <c r="DG22" s="21" t="n">
        <v>29</v>
      </c>
      <c r="DH22" s="25" t="n">
        <f aca="true">IFERROR(AVERAGE(OFFSET('Data - For Rank'!$I$2,AS22,0,COUNTIF(AS$7:AS$116,AS22)))+IFERROR(VLOOKUP((COUNT(AQ$6:AQ$116)/4),$ER$9:$ES$13,2,FALSE()),0),"")</f>
        <v>6.5</v>
      </c>
      <c r="DI22" s="21" t="n">
        <v>38</v>
      </c>
      <c r="DJ22" s="25" t="n">
        <f aca="true">IFERROR(AVERAGE(OFFSET('Data - For Rank'!$J$2,AX22,0,COUNTIF(AX$7:AX$116,AX22)))+IFERROR(VLOOKUP((COUNT(AV$6:AV$116)/4),$ER$9:$ES$13,2,FALSE()),0),"")</f>
        <v>15</v>
      </c>
      <c r="DK22" s="21" t="n">
        <v>30</v>
      </c>
      <c r="DL22" s="25" t="n">
        <f aca="true">IFERROR(AVERAGE(OFFSET('Data - For Rank'!$K$2,BC22,0,COUNTIF(BC$7:BC$116,BC22)))+IFERROR(VLOOKUP((COUNT(BA$6:BA$116)/4),$ER$9:$ES$13,2,FALSE()),0),"")</f>
        <v>8</v>
      </c>
      <c r="DM22" s="21"/>
      <c r="DN22" s="25" t="str">
        <f aca="true">IFERROR(AVERAGE(OFFSET('Data - For Rank'!$L$2,BH22,0,COUNTIF(BH$7:BH$116,BH22)))+IFERROR(VLOOKUP((COUNT(BF$6:BF$116)/4),$ER$9:$ES$13,2,FALSE()),0),"")</f>
        <v/>
      </c>
      <c r="DO22" s="21"/>
      <c r="DP22" s="25" t="str">
        <f aca="true">IFERROR(AVERAGE(OFFSET('Data - For Rank'!$M$2,BM22,0,COUNTIF(BM$7:BM$116,BM22)))+IFERROR(VLOOKUP((COUNT(BK$6:BK$116)/4),$ER$9:$ES$13,2,FALSE()),0),"")</f>
        <v/>
      </c>
      <c r="DQ22" s="21"/>
      <c r="DR22" s="25" t="str">
        <f aca="true">IFERROR(AVERAGE(OFFSET('Data - For Rank'!$N$2,BR22,0,COUNTIF(BR$7:BR$116,BR22)))+IFERROR(VLOOKUP((COUNT(BP$6:BP$116)/4),$ER$9:$ES$13,2,FALSE()),0),"")</f>
        <v/>
      </c>
      <c r="DS22" s="21"/>
      <c r="DT22" s="25" t="str">
        <f aca="true">IFERROR(AVERAGE(OFFSET('Data - For Rank'!$O$2,BW22,0,COUNTIF(BW$7:BW$116,BW22)))+IFERROR(VLOOKUP((COUNT(BU$6:BU$116)/4),$ER$9:$ES$13,2,FALSE()),0),"")</f>
        <v/>
      </c>
      <c r="DU22" s="21"/>
      <c r="DV22" s="25" t="str">
        <f aca="true">IFERROR(AVERAGE(OFFSET('Data - For Rank'!$P$2,CB22,0,COUNTIF(CB$7:CB$116,CB22)))+IFERROR(VLOOKUP((COUNT(BZ$6:BZ$116)/4),$ER$9:$ES$13,2,FALSE()),0),"")</f>
        <v/>
      </c>
      <c r="DW22" s="21"/>
      <c r="DX22" s="25" t="str">
        <f aca="true">IFERROR(AVERAGE(OFFSET('Data - For Rank'!$Q$2,CG22,0,COUNTIF(CG$7:CG$116,CG22)))+IFERROR(VLOOKUP((COUNT(CE$6:CE$116)/4),$ER$9:$ES$13,2,FALSE()),0),"")</f>
        <v/>
      </c>
      <c r="DY22" s="21"/>
      <c r="DZ22" s="25" t="str">
        <f aca="true">IFERROR(AVERAGE(OFFSET('Data - For Rank'!$R$2,CL22,0,COUNTIF(CL$7:CL$116,CL22)))+IFERROR(VLOOKUP((COUNT(CJ$6:CJ$116)/4),$ER$9:$ES$13,2,FALSE()),0),"")</f>
        <v/>
      </c>
      <c r="EA22" s="21"/>
      <c r="EB22" s="25" t="str">
        <f aca="true">IFERROR(AVERAGE(OFFSET('Data - For Rank'!$S$2,CQ22,0,COUNTIF(CQ$7:CQ$116,CQ22)))+IFERROR(VLOOKUP((COUNT(CO$6:CO$116)/4),$ER$9:$ES$13,2,FALSE()),0),"")</f>
        <v/>
      </c>
      <c r="EC22" s="26" t="n">
        <f aca="false">AVERAGE(CS22,CU22,CW22,CY22,DA22,DC22,DE22,DG22,DI22,DK22,DM22,DO22,DQ22,DS22,DU22,DW22,DY22,EA22)</f>
        <v>32.4285714285714</v>
      </c>
      <c r="ED22" s="23" t="n">
        <f aca="false">AVERAGE(CT22,CV22,CX22,CZ22,DB22,DD22,DF22,DH22,DJ22,DL22,DN22,DP22,DR22,DT22,DV22,DX22,DZ22,EB22)</f>
        <v>11.5714285714286</v>
      </c>
    </row>
    <row r="23" s="1" customFormat="true" ht="13.5" hidden="false" customHeight="false" outlineLevel="1" collapsed="false">
      <c r="B23" s="27" t="n">
        <f aca="false">B21+0.024</f>
        <v>6.024</v>
      </c>
      <c r="D23" s="51" t="s">
        <v>98</v>
      </c>
      <c r="E23" s="28" t="s">
        <v>44</v>
      </c>
      <c r="F23" s="29" t="n">
        <f aca="false">IF(COUNT(G21:CN21)&gt;10,SMALL(G21:CN21,COUNT(G21:CN21)-10),MIN(G21:CN21))</f>
        <v>10.5</v>
      </c>
      <c r="G23" s="29"/>
      <c r="H23" s="29"/>
      <c r="I23" s="53" t="n">
        <f aca="false">IF(CS23=0,"",CS23)</f>
        <v>5</v>
      </c>
      <c r="J23" s="53"/>
      <c r="K23" s="54" t="n">
        <f aca="false">IFERROR(_xlfn.RANK.EQ(I23,I$6:I$116,0),"")</f>
        <v>7</v>
      </c>
      <c r="L23" s="29"/>
      <c r="M23" s="29"/>
      <c r="N23" s="53" t="str">
        <f aca="false">IF(CU23=0,"",CU23)</f>
        <v/>
      </c>
      <c r="O23" s="53"/>
      <c r="P23" s="54" t="str">
        <f aca="false">IFERROR(_xlfn.RANK.EQ(N23,N$6:N$116,0),"")</f>
        <v/>
      </c>
      <c r="Q23" s="29"/>
      <c r="R23" s="29"/>
      <c r="S23" s="53" t="str">
        <f aca="false">IF(CW23=0,"",CW23)</f>
        <v/>
      </c>
      <c r="T23" s="53"/>
      <c r="U23" s="54" t="str">
        <f aca="false">IFERROR(_xlfn.RANK.EQ(S23,S$6:S$116,0),"")</f>
        <v/>
      </c>
      <c r="V23" s="29"/>
      <c r="W23" s="29"/>
      <c r="X23" s="53" t="n">
        <f aca="false">IF(CY23=0,"",CY23)</f>
        <v>41</v>
      </c>
      <c r="Y23" s="53"/>
      <c r="Z23" s="54" t="n">
        <f aca="false">IFERROR(_xlfn.RANK.EQ(X23,X$6:X$116,0),"")</f>
        <v>2</v>
      </c>
      <c r="AA23" s="29"/>
      <c r="AB23" s="29"/>
      <c r="AC23" s="53" t="n">
        <f aca="false">IF(DA23=0,"",DA23)</f>
        <v>8</v>
      </c>
      <c r="AD23" s="53"/>
      <c r="AE23" s="54" t="n">
        <f aca="false">IFERROR(_xlfn.RANK.EQ(AC23,AC$6:AC$116,0),"")</f>
        <v>6</v>
      </c>
      <c r="AF23" s="29"/>
      <c r="AG23" s="29"/>
      <c r="AH23" s="53" t="n">
        <f aca="false">IF(DC23=0,"",DC23)</f>
        <v>12</v>
      </c>
      <c r="AI23" s="53"/>
      <c r="AJ23" s="54" t="n">
        <f aca="false">IFERROR(_xlfn.RANK.EQ(AH23,AH$6:AH$116,0),"")</f>
        <v>5</v>
      </c>
      <c r="AK23" s="29"/>
      <c r="AL23" s="29"/>
      <c r="AM23" s="53" t="str">
        <f aca="false">IF(DE23=0,"",DE23)</f>
        <v/>
      </c>
      <c r="AN23" s="53"/>
      <c r="AO23" s="54" t="str">
        <f aca="false">IFERROR(_xlfn.RANK.EQ(AM23,AM$6:AM$116,0),"")</f>
        <v/>
      </c>
      <c r="AP23" s="29"/>
      <c r="AQ23" s="29"/>
      <c r="AR23" s="53" t="n">
        <f aca="false">IF(DG23=0,"",DG23)</f>
        <v>-32</v>
      </c>
      <c r="AS23" s="53"/>
      <c r="AT23" s="54" t="n">
        <f aca="false">IFERROR(_xlfn.RANK.EQ(AR23,AR$6:AR$116,0),"")</f>
        <v>15</v>
      </c>
      <c r="AU23" s="29"/>
      <c r="AV23" s="29"/>
      <c r="AW23" s="53" t="n">
        <f aca="false">IF(DI23=0,"",DI23)</f>
        <v>29</v>
      </c>
      <c r="AX23" s="53"/>
      <c r="AY23" s="54" t="n">
        <f aca="false">IFERROR(_xlfn.RANK.EQ(AW23,AW$6:AW$116,0),"")</f>
        <v>1</v>
      </c>
      <c r="AZ23" s="29"/>
      <c r="BA23" s="29"/>
      <c r="BB23" s="53" t="n">
        <f aca="false">IF(DK23=0,"",DK23)</f>
        <v>16</v>
      </c>
      <c r="BC23" s="53"/>
      <c r="BD23" s="54" t="n">
        <f aca="false">IFERROR(_xlfn.RANK.EQ(BB23,BB$6:BB$116,0),"")</f>
        <v>2</v>
      </c>
      <c r="BE23" s="29"/>
      <c r="BF23" s="29"/>
      <c r="BG23" s="53" t="str">
        <f aca="false">IF(DM23=0,"",DM23)</f>
        <v/>
      </c>
      <c r="BH23" s="53"/>
      <c r="BI23" s="54" t="str">
        <f aca="false">IFERROR(_xlfn.RANK.EQ(BG23,BG$6:BG$116,0),"")</f>
        <v/>
      </c>
      <c r="BJ23" s="29"/>
      <c r="BK23" s="29"/>
      <c r="BL23" s="53" t="str">
        <f aca="false">IF(DO23=0,"",DO23)</f>
        <v/>
      </c>
      <c r="BM23" s="53"/>
      <c r="BN23" s="54" t="str">
        <f aca="false">IFERROR(_xlfn.RANK.EQ(BL23,BL$6:BL$116,0),"")</f>
        <v/>
      </c>
      <c r="BO23" s="29"/>
      <c r="BP23" s="29"/>
      <c r="BQ23" s="53" t="str">
        <f aca="false">IF(DQ23=0,"",DQ23)</f>
        <v/>
      </c>
      <c r="BR23" s="53"/>
      <c r="BS23" s="54" t="str">
        <f aca="false">IFERROR(_xlfn.RANK.EQ(BQ23,BQ$6:BQ$116,0),"")</f>
        <v/>
      </c>
      <c r="BT23" s="29"/>
      <c r="BU23" s="29"/>
      <c r="BV23" s="53" t="str">
        <f aca="false">IF(DS23=0,"",DS23)</f>
        <v/>
      </c>
      <c r="BW23" s="53"/>
      <c r="BX23" s="54" t="str">
        <f aca="false">IFERROR(_xlfn.RANK.EQ(BV23,BV$6:BV$116,0),"")</f>
        <v/>
      </c>
      <c r="BY23" s="29"/>
      <c r="BZ23" s="29"/>
      <c r="CA23" s="53" t="str">
        <f aca="false">IF(DU23=0,"",DU23)</f>
        <v/>
      </c>
      <c r="CB23" s="53"/>
      <c r="CC23" s="54" t="str">
        <f aca="false">IFERROR(_xlfn.RANK.EQ(CA23,CA$6:CA$116,0),"")</f>
        <v/>
      </c>
      <c r="CD23" s="29"/>
      <c r="CE23" s="29"/>
      <c r="CF23" s="53" t="str">
        <f aca="false">IF(DW23=0,"",DW23)</f>
        <v/>
      </c>
      <c r="CG23" s="53"/>
      <c r="CH23" s="54" t="str">
        <f aca="false">IFERROR(_xlfn.RANK.EQ(CF23,CF$6:CF$116,0),"")</f>
        <v/>
      </c>
      <c r="CI23" s="29"/>
      <c r="CJ23" s="29"/>
      <c r="CK23" s="53" t="str">
        <f aca="false">IF(DY23=0,"",DY23)</f>
        <v/>
      </c>
      <c r="CL23" s="53"/>
      <c r="CM23" s="54" t="str">
        <f aca="false">IFERROR(_xlfn.RANK.EQ(CK23,CK$6:CK$116,0),"")</f>
        <v/>
      </c>
      <c r="CN23" s="29"/>
      <c r="CO23" s="29"/>
      <c r="CP23" s="53" t="str">
        <f aca="false">IF(EA23=0,"",EA23)</f>
        <v/>
      </c>
      <c r="CQ23" s="53"/>
      <c r="CR23" s="54" t="str">
        <f aca="false">IFERROR(_xlfn.RANK.EQ(CP23,CP$6:CP$116,0),"")</f>
        <v/>
      </c>
      <c r="CS23" s="30" t="n">
        <v>5</v>
      </c>
      <c r="CT23" s="31" t="n">
        <f aca="true">IFERROR(AVERAGE(OFFSET('Data - For Rank'!B$2,K23,0,COUNTIF(K$6:K$116,K23)))+IFERROR(VLOOKUP((COUNT($I$6:$I$116)/4),$ER$9:$ES$13,2,FALSE()),0),"")</f>
        <v>12</v>
      </c>
      <c r="CU23" s="30"/>
      <c r="CV23" s="31" t="str">
        <f aca="true">IFERROR(AVERAGE(OFFSET('Data - For Rank'!$C$2,P23,0,COUNTIF(P$6:P$116,P23)))+IFERROR(VLOOKUP((COUNT(N$6:N$116)/4),$ER$9:$ES$13,2,FALSE()),0),"")</f>
        <v/>
      </c>
      <c r="CW23" s="30"/>
      <c r="CX23" s="31" t="str">
        <f aca="true">IFERROR(AVERAGE(OFFSET('Data - For Rank'!D$2,U23,0,COUNTIF(U$6:$U131,U23)))+IFERROR(VLOOKUP((COUNT(S$6:S$116)/4),$ER$9:$ES$13,2,FALSE()),0),"")</f>
        <v/>
      </c>
      <c r="CY23" s="30" t="n">
        <v>41</v>
      </c>
      <c r="CZ23" s="31" t="n">
        <f aca="true">IFERROR(AVERAGE(OFFSET('Data - For Rank'!E$2,Z23,0,COUNTIF(Z$6:Z$116,Z23)))+IFERROR(VLOOKUP((COUNT(W$6:W$116)/4),$ER$9:$ES$13,2,FALSE()),0),"")</f>
        <v>13</v>
      </c>
      <c r="DA23" s="30" t="n">
        <v>8</v>
      </c>
      <c r="DB23" s="31" t="n">
        <f aca="true">IFERROR(AVERAGE(OFFSET('Data - For Rank'!F$2,AE23,0,COUNTIF(AE$6:AE$116,AE23)))+IFERROR(VLOOKUP((COUNT(AC$6:AC$116)/4),$ER$9:$ES$13,2,FALSE()),0),"")</f>
        <v>12</v>
      </c>
      <c r="DC23" s="30" t="n">
        <v>12</v>
      </c>
      <c r="DD23" s="31" t="n">
        <f aca="true">IFERROR(AVERAGE(OFFSET('Data - For Rank'!G$2,AJ23,0,COUNTIF(AJ$6:AJ$116,AJ23)))+IFERROR(VLOOKUP((COUNT(AH$6:AH$116)/4),$ER$9:$ES$13,2,FALSE()),0),"")</f>
        <v>14</v>
      </c>
      <c r="DE23" s="30"/>
      <c r="DF23" s="31" t="str">
        <f aca="true">IFERROR(AVERAGE(OFFSET('Data - For Rank'!$H$2,AO23,0,COUNTIF(AO$6:AO$116,AO23)))+IFERROR(VLOOKUP((COUNT(AM$6:AM$116)/4),$ER$9:$ES$13,2,FALSE()),0),"")</f>
        <v/>
      </c>
      <c r="DG23" s="30" t="n">
        <v>-32</v>
      </c>
      <c r="DH23" s="31" t="n">
        <f aca="true">IFERROR(AVERAGE(OFFSET('Data - For Rank'!$I$2,AT23,0,COUNTIF(AT$6:AT$116,AT23)))+IFERROR(VLOOKUP((COUNT(AR$6:AR$116)/4),$ER$9:$ES$13,2,FALSE()),0),"")</f>
        <v>4</v>
      </c>
      <c r="DI23" s="30" t="n">
        <v>29</v>
      </c>
      <c r="DJ23" s="31" t="n">
        <f aca="true">IFERROR(AVERAGE(OFFSET('Data - For Rank'!$J$2,AY23,0,COUNTIF(AY$6:AY$116,AY23)))+IFERROR(VLOOKUP((COUNT(AW$6:AW$116)/4),$ER$9:$ES$13,2,FALSE()),0),"")</f>
        <v>18</v>
      </c>
      <c r="DK23" s="30" t="n">
        <v>16</v>
      </c>
      <c r="DL23" s="31" t="n">
        <f aca="true">IFERROR(AVERAGE(OFFSET('Data - For Rank'!$K$2,BD23,0,COUNTIF(BD$6:BD$116,BD23)))+IFERROR(VLOOKUP((COUNT(BB$6:BB$116)/4),$ER$9:$ES$13,2,FALSE()),0),"")</f>
        <v>14</v>
      </c>
      <c r="DM23" s="30"/>
      <c r="DN23" s="31" t="str">
        <f aca="true">IFERROR(AVERAGE(OFFSET('Data - For Rank'!$L$2,BI23,0,COUNTIF(BI$6:BI$116,BI23)))+IFERROR(VLOOKUP((COUNT(BG$6:BG$116)/4),$ER$9:$ES$13,2,FALSE()),0),"")</f>
        <v/>
      </c>
      <c r="DO23" s="30"/>
      <c r="DP23" s="31" t="str">
        <f aca="true">IFERROR(AVERAGE(OFFSET('Data - For Rank'!$M$2,BN23,0,COUNTIF(BN$6:BN$116,BN23)))+IFERROR(VLOOKUP((COUNT(BL$6:BL$116)/4),$ER$9:$ES$13,2,FALSE()),0),"")</f>
        <v/>
      </c>
      <c r="DQ23" s="30"/>
      <c r="DR23" s="31" t="str">
        <f aca="true">IFERROR(AVERAGE(OFFSET('Data - For Rank'!$N$2,BS23,0,COUNTIF(BS$6:BS$116,BS23)))+IFERROR(VLOOKUP((COUNT(BQ$6:BQ$116)/4),$ER$9:$ES$13,2,FALSE()),0),"")</f>
        <v/>
      </c>
      <c r="DS23" s="30"/>
      <c r="DT23" s="31" t="str">
        <f aca="true">IFERROR(AVERAGE(OFFSET('Data - For Rank'!$O$2,BX23,0,COUNTIF(BX$6:BX$116,BX23)))+IFERROR(VLOOKUP((COUNT(BV$6:BV$116)/4),$ER$9:$ES$13,2,FALSE()),0),"")</f>
        <v/>
      </c>
      <c r="DU23" s="30"/>
      <c r="DV23" s="31" t="str">
        <f aca="true">IFERROR(AVERAGE(OFFSET('Data - For Rank'!$P$2,CC23,0,COUNTIF(CC$6:CC$116,CC23)))+IFERROR(VLOOKUP((COUNT(CA$6:CA$116)/4),$ER$9:$ES$13,2,FALSE()),0),"")</f>
        <v/>
      </c>
      <c r="DW23" s="30"/>
      <c r="DX23" s="31" t="str">
        <f aca="true">IFERROR(AVERAGE(OFFSET('Data - For Rank'!$Q$2,CH23,0,COUNTIF(CH$6:CH$116,CH23)))+IFERROR(VLOOKUP((COUNT(CF$6:CF$116)/4),$ER$9:$ES$13,2,FALSE()),0),"")</f>
        <v/>
      </c>
      <c r="DY23" s="30"/>
      <c r="DZ23" s="31" t="str">
        <f aca="true">IFERROR(AVERAGE(OFFSET('Data - For Rank'!$R$2,CM23,0,COUNTIF(CM$6:CM$116,CM23)))+IFERROR(VLOOKUP((COUNT(CK$6:CK$116)/4),$ER$9:$ES$13,2,FALSE()),0),"")</f>
        <v/>
      </c>
      <c r="EA23" s="30"/>
      <c r="EB23" s="31" t="str">
        <f aca="true">IFERROR(AVERAGE(OFFSET('Data - For Rank'!$S$2,CR23,0,COUNTIF(CR$6:CR$116,CR23)))+IFERROR(VLOOKUP((COUNT(CP$6:CP$116)/4),$ER$9:$ES$13,2,FALSE()),0),"")</f>
        <v/>
      </c>
      <c r="EC23" s="32" t="n">
        <f aca="false">CS23+CU23+CW23+CY23+DA23+DC23+DE23+DG23+DI23+DK23+DM23+DO23+DQ23+DS23+DU23+DW23+DY23+EA23</f>
        <v>79</v>
      </c>
      <c r="ED23" s="33" t="n">
        <f aca="false">AVERAGE(CT23,CV23,CX23,CZ23,DB23,DD23,DF23,DH23,DJ23,DL23,DN23,DP23,DR23,DT23,DV23,DX23,DZ23,EB23)</f>
        <v>12.4285714285714</v>
      </c>
    </row>
    <row r="24" customFormat="false" ht="13.5" hidden="false" customHeight="false" outlineLevel="0" collapsed="false">
      <c r="B24" s="8" t="n">
        <f aca="false">_xlfn.RANK.EQ(C24,$C$6:$C$63,)</f>
        <v>7</v>
      </c>
      <c r="C24" s="43" t="n">
        <f aca="false">EC24</f>
        <v>167.5</v>
      </c>
      <c r="D24" s="43" t="s">
        <v>99</v>
      </c>
      <c r="E24" s="34" t="s">
        <v>50</v>
      </c>
      <c r="F24" s="20" t="n">
        <f aca="false">COUNT(CT24,CV24,CX24,CZ24,DB24,DD24,DF24,DH24,DJ24,DL24,DN24,DP24,DR24,DT24,DV24,DX24,DZ24,EB24)</f>
        <v>7</v>
      </c>
      <c r="G24" s="49" t="n">
        <f aca="false">IF(CT24=0,"",CT24)</f>
        <v>27</v>
      </c>
      <c r="H24" s="49"/>
      <c r="I24" s="49"/>
      <c r="K24" s="49"/>
      <c r="L24" s="49" t="str">
        <f aca="false">IF(CV24=0,"",CV24)</f>
        <v/>
      </c>
      <c r="M24" s="49"/>
      <c r="N24" s="49"/>
      <c r="P24" s="49"/>
      <c r="Q24" s="49" t="n">
        <f aca="false">IF(CX24=0,"",CX24)</f>
        <v>31</v>
      </c>
      <c r="R24" s="49"/>
      <c r="S24" s="49"/>
      <c r="U24" s="49"/>
      <c r="V24" s="49" t="str">
        <f aca="false">IF(CZ24=0,"",CZ24)</f>
        <v/>
      </c>
      <c r="W24" s="49"/>
      <c r="X24" s="49"/>
      <c r="Z24" s="49"/>
      <c r="AA24" s="49" t="n">
        <f aca="false">IF(DB24=0,"",DB24)</f>
        <v>12</v>
      </c>
      <c r="AB24" s="49"/>
      <c r="AC24" s="49"/>
      <c r="AE24" s="49"/>
      <c r="AF24" s="49" t="n">
        <f aca="false">IF(DD24=0,"",DD24)</f>
        <v>34.5</v>
      </c>
      <c r="AG24" s="49"/>
      <c r="AH24" s="49"/>
      <c r="AJ24" s="49"/>
      <c r="AK24" s="49" t="n">
        <f aca="false">IF(DF24=0,"",DF24)</f>
        <v>21.5</v>
      </c>
      <c r="AL24" s="49"/>
      <c r="AM24" s="49"/>
      <c r="AO24" s="49"/>
      <c r="AP24" s="49" t="n">
        <f aca="false">IF(DH24=0,"",DH24)</f>
        <v>22</v>
      </c>
      <c r="AQ24" s="49"/>
      <c r="AR24" s="49"/>
      <c r="AT24" s="49"/>
      <c r="AU24" s="49" t="str">
        <f aca="false">IF(DJ24=0,"",DJ24)</f>
        <v/>
      </c>
      <c r="AV24" s="49"/>
      <c r="AW24" s="49"/>
      <c r="AY24" s="49"/>
      <c r="AZ24" s="49" t="n">
        <f aca="false">IF(DL24=0,"",DL24)</f>
        <v>19.5</v>
      </c>
      <c r="BA24" s="49"/>
      <c r="BB24" s="49"/>
      <c r="BD24" s="49"/>
      <c r="BE24" s="49" t="str">
        <f aca="false">IF(DN24=0,"",DN24)</f>
        <v/>
      </c>
      <c r="BF24" s="49"/>
      <c r="BG24" s="49"/>
      <c r="BI24" s="49"/>
      <c r="BJ24" s="49" t="str">
        <f aca="false">IF(DP24=0,"",DP24)</f>
        <v/>
      </c>
      <c r="BK24" s="49"/>
      <c r="BL24" s="49"/>
      <c r="BN24" s="49"/>
      <c r="BO24" s="49" t="str">
        <f aca="false">IF(DR24=0,"",DR24)</f>
        <v/>
      </c>
      <c r="BP24" s="49"/>
      <c r="BQ24" s="49"/>
      <c r="BS24" s="49"/>
      <c r="BT24" s="49" t="str">
        <f aca="false">IF(DT24=0,"",DT24)</f>
        <v/>
      </c>
      <c r="BU24" s="49"/>
      <c r="BV24" s="49"/>
      <c r="BX24" s="49"/>
      <c r="BY24" s="49" t="str">
        <f aca="false">IF(DV24=0,"",DV24)</f>
        <v/>
      </c>
      <c r="BZ24" s="49"/>
      <c r="CA24" s="49"/>
      <c r="CC24" s="49"/>
      <c r="CD24" s="49" t="str">
        <f aca="false">IF(DX24=0,"",DX24)</f>
        <v/>
      </c>
      <c r="CE24" s="49"/>
      <c r="CF24" s="49"/>
      <c r="CH24" s="49"/>
      <c r="CI24" s="49" t="str">
        <f aca="false">IF(DZ24=0,"",DZ24)</f>
        <v/>
      </c>
      <c r="CJ24" s="49"/>
      <c r="CK24" s="49"/>
      <c r="CM24" s="49"/>
      <c r="CN24" s="49" t="str">
        <f aca="false">IF(EB24=0,"",EB24)</f>
        <v/>
      </c>
      <c r="CO24" s="49"/>
      <c r="CP24" s="49"/>
      <c r="CR24" s="49"/>
      <c r="CS24" s="21" t="n">
        <v>96</v>
      </c>
      <c r="CT24" s="22" t="n">
        <f aca="false">IFERROR(CT25+CT26,"")</f>
        <v>27</v>
      </c>
      <c r="CU24" s="21"/>
      <c r="CV24" s="22" t="str">
        <f aca="false">IFERROR(CV25+CV26,"")</f>
        <v/>
      </c>
      <c r="CW24" s="21" t="n">
        <v>89</v>
      </c>
      <c r="CX24" s="22" t="n">
        <f aca="false">IFERROR(CX25+CX26,"")</f>
        <v>31</v>
      </c>
      <c r="CY24" s="21"/>
      <c r="CZ24" s="22" t="str">
        <f aca="false">IFERROR(CZ25+CZ26,"")</f>
        <v/>
      </c>
      <c r="DA24" s="21" t="n">
        <v>100</v>
      </c>
      <c r="DB24" s="22" t="n">
        <f aca="false">IFERROR(DB25+DB26,"")</f>
        <v>12</v>
      </c>
      <c r="DC24" s="21" t="n">
        <v>92</v>
      </c>
      <c r="DD24" s="22" t="n">
        <f aca="false">IFERROR(DD25+DD26,"")</f>
        <v>34.5</v>
      </c>
      <c r="DE24" s="21" t="n">
        <v>89</v>
      </c>
      <c r="DF24" s="22" t="n">
        <f aca="false">IFERROR(DF25+DF26,"")</f>
        <v>21.5</v>
      </c>
      <c r="DG24" s="21" t="n">
        <v>93</v>
      </c>
      <c r="DH24" s="22" t="n">
        <f aca="false">IFERROR(DH25+DH26,"")</f>
        <v>22</v>
      </c>
      <c r="DI24" s="21"/>
      <c r="DJ24" s="22" t="str">
        <f aca="false">IFERROR(DJ25+DJ26,"")</f>
        <v/>
      </c>
      <c r="DK24" s="21" t="n">
        <v>86</v>
      </c>
      <c r="DL24" s="22" t="n">
        <f aca="false">IFERROR(DL25+DL26,"")</f>
        <v>19.5</v>
      </c>
      <c r="DM24" s="21"/>
      <c r="DN24" s="22" t="str">
        <f aca="false">IFERROR(DN25+DN26,"")</f>
        <v/>
      </c>
      <c r="DO24" s="21"/>
      <c r="DP24" s="22" t="str">
        <f aca="false">IFERROR(DP25+DP26,"")</f>
        <v/>
      </c>
      <c r="DQ24" s="21"/>
      <c r="DR24" s="22" t="str">
        <f aca="false">IFERROR(DR25+DR26,"")</f>
        <v/>
      </c>
      <c r="DS24" s="21"/>
      <c r="DT24" s="22" t="str">
        <f aca="false">IFERROR(DT25+DT26,"")</f>
        <v/>
      </c>
      <c r="DU24" s="21"/>
      <c r="DV24" s="22" t="str">
        <f aca="false">IFERROR(DV25+DV26,"")</f>
        <v/>
      </c>
      <c r="DW24" s="21"/>
      <c r="DX24" s="22" t="str">
        <f aca="false">IFERROR(DX25+DX26,"")</f>
        <v/>
      </c>
      <c r="DY24" s="21"/>
      <c r="DZ24" s="22" t="str">
        <f aca="false">IFERROR(DZ25+DZ26,"")</f>
        <v/>
      </c>
      <c r="EA24" s="21"/>
      <c r="EB24" s="22" t="str">
        <f aca="false">IFERROR(EB25+EB26,"")</f>
        <v/>
      </c>
      <c r="EC24" s="17" t="n">
        <f aca="false">IFERROR(LARGE($G24:$CN24,1),0)+IFERROR(LARGE($G24:$CN24,2),0)+IFERROR(LARGE($G24:$CN24,3),0)+IFERROR(LARGE($G24:$CN24,4),0)+IFERROR(LARGE($G24:$CN24,5),0)+IFERROR(LARGE($G24:$CN24,6),0)+IFERROR(LARGE($G24:$CN24,7),0)+IFERROR(LARGE($G24:$CN24,8),0)+IFERROR(LARGE($G24:$CN24,9),0)+IFERROR(LARGE($G24:$CN24,10),0)</f>
        <v>167.5</v>
      </c>
      <c r="ED24" s="23" t="n">
        <f aca="false">AVERAGE(CT24,CV24,CX24,CZ24,DB24,DD24,DF24,DH24,DJ24,DL24,DN24,DP24,DR24,DT24,DV24,DX24,DZ24,EB24)</f>
        <v>23.9285714285714</v>
      </c>
      <c r="EM24" s="57" t="s">
        <v>100</v>
      </c>
    </row>
    <row r="25" s="1" customFormat="true" ht="13.5" hidden="false" customHeight="false" outlineLevel="1" collapsed="false">
      <c r="B25" s="24" t="n">
        <f aca="false">B24+0.16</f>
        <v>7.16</v>
      </c>
      <c r="D25" s="51" t="s">
        <v>101</v>
      </c>
      <c r="E25" s="7" t="s">
        <v>43</v>
      </c>
      <c r="F25" s="7"/>
      <c r="G25" s="7"/>
      <c r="H25" s="7" t="n">
        <f aca="false">IF(CS25=0,"",CS25)</f>
        <v>31</v>
      </c>
      <c r="I25" s="7"/>
      <c r="J25" s="49" t="n">
        <f aca="false">IFERROR(RANK(H25,H$6:H$116,0),"")</f>
        <v>8</v>
      </c>
      <c r="K25" s="7"/>
      <c r="L25" s="7"/>
      <c r="M25" s="7" t="str">
        <f aca="false">IF(CU25=0,"",CU25)</f>
        <v/>
      </c>
      <c r="N25" s="7"/>
      <c r="O25" s="49" t="str">
        <f aca="false">IFERROR(RANK(M25,M$6:M$116,0),"")</f>
        <v/>
      </c>
      <c r="P25" s="7"/>
      <c r="Q25" s="7"/>
      <c r="R25" s="7" t="n">
        <f aca="false">IF(CW25=0,"",CW25)</f>
        <v>40</v>
      </c>
      <c r="S25" s="7"/>
      <c r="T25" s="49" t="n">
        <f aca="false">IFERROR(RANK(R25,R$6:R$116,0),"")</f>
        <v>1</v>
      </c>
      <c r="U25" s="7"/>
      <c r="V25" s="7"/>
      <c r="W25" s="7" t="str">
        <f aca="false">IF(CY25=0,"",CY25)</f>
        <v/>
      </c>
      <c r="X25" s="7"/>
      <c r="Y25" s="49" t="str">
        <f aca="false">IFERROR(RANK(W25,W$6:W$116,0),"")</f>
        <v/>
      </c>
      <c r="Z25" s="7"/>
      <c r="AA25" s="7"/>
      <c r="AB25" s="7" t="n">
        <f aca="false">IF(DA25=0,"",DA25)</f>
        <v>27</v>
      </c>
      <c r="AC25" s="7"/>
      <c r="AD25" s="49" t="n">
        <f aca="false">IFERROR(RANK(AB25,AB$6:AB$116,0),"")</f>
        <v>12</v>
      </c>
      <c r="AE25" s="7"/>
      <c r="AF25" s="7"/>
      <c r="AG25" s="7" t="n">
        <f aca="false">IF(DC25=0,"",DC25)</f>
        <v>37</v>
      </c>
      <c r="AH25" s="7"/>
      <c r="AI25" s="49" t="n">
        <f aca="false">IFERROR(RANK(AG25,AG$6:AG$116,0),"")</f>
        <v>2</v>
      </c>
      <c r="AJ25" s="7"/>
      <c r="AK25" s="7"/>
      <c r="AL25" s="7" t="n">
        <f aca="false">IF(DE25=0,"",DE25)</f>
        <v>34</v>
      </c>
      <c r="AM25" s="7"/>
      <c r="AN25" s="49" t="n">
        <f aca="false">IFERROR(RANK(AL25,AL$6:AL$116,0),"")</f>
        <v>5</v>
      </c>
      <c r="AO25" s="7"/>
      <c r="AP25" s="7"/>
      <c r="AQ25" s="7" t="n">
        <f aca="false">IF(DG25=0,"",DG25)</f>
        <v>32</v>
      </c>
      <c r="AR25" s="7"/>
      <c r="AS25" s="49" t="n">
        <f aca="false">IFERROR(RANK(AQ25,AQ$6:AQ$116,0),"")</f>
        <v>9</v>
      </c>
      <c r="AT25" s="7"/>
      <c r="AU25" s="7"/>
      <c r="AV25" s="7" t="str">
        <f aca="false">IF(DI25=0,"",DI25)</f>
        <v/>
      </c>
      <c r="AW25" s="7"/>
      <c r="AX25" s="49" t="str">
        <f aca="false">IFERROR(RANK(AV25,AV$6:AV$116,0),"")</f>
        <v/>
      </c>
      <c r="AY25" s="7"/>
      <c r="AZ25" s="7"/>
      <c r="BA25" s="7" t="n">
        <f aca="false">IF(DK25=0,"",DK25)</f>
        <v>36</v>
      </c>
      <c r="BB25" s="7"/>
      <c r="BC25" s="49" t="n">
        <f aca="false">IFERROR(RANK(BA25,BA$6:BA$116,0),"")</f>
        <v>3</v>
      </c>
      <c r="BD25" s="7"/>
      <c r="BE25" s="7"/>
      <c r="BF25" s="7" t="str">
        <f aca="false">IF(DM25=0,"",DM25)</f>
        <v/>
      </c>
      <c r="BG25" s="7"/>
      <c r="BH25" s="49" t="str">
        <f aca="false">IFERROR(RANK(BF25,BF$6:BF$116,0),"")</f>
        <v/>
      </c>
      <c r="BI25" s="7"/>
      <c r="BJ25" s="7"/>
      <c r="BK25" s="7" t="str">
        <f aca="false">IF(DO25=0,"",DO25)</f>
        <v/>
      </c>
      <c r="BL25" s="7"/>
      <c r="BM25" s="49" t="str">
        <f aca="false">IFERROR(RANK(BK25,BK$6:BK$116,0),"")</f>
        <v/>
      </c>
      <c r="BN25" s="7"/>
      <c r="BO25" s="7"/>
      <c r="BP25" s="7" t="str">
        <f aca="false">IF(DQ25=0,"",DQ25)</f>
        <v/>
      </c>
      <c r="BQ25" s="7"/>
      <c r="BR25" s="49" t="str">
        <f aca="false">IFERROR(RANK(BP25,BP$6:BP$116,0),"")</f>
        <v/>
      </c>
      <c r="BS25" s="7"/>
      <c r="BT25" s="7"/>
      <c r="BU25" s="7" t="str">
        <f aca="false">IF(DS25=0,"",DS25)</f>
        <v/>
      </c>
      <c r="BV25" s="7"/>
      <c r="BW25" s="49" t="str">
        <f aca="false">IFERROR(RANK(BU25,BU$6:BU$116,0),"")</f>
        <v/>
      </c>
      <c r="BX25" s="7"/>
      <c r="BY25" s="7"/>
      <c r="BZ25" s="7" t="str">
        <f aca="false">IF(DU25=0,"",DU25)</f>
        <v/>
      </c>
      <c r="CA25" s="7"/>
      <c r="CB25" s="49" t="str">
        <f aca="false">IFERROR(RANK(BZ25,BZ$6:BZ$116,0),"")</f>
        <v/>
      </c>
      <c r="CC25" s="7"/>
      <c r="CD25" s="7"/>
      <c r="CE25" s="7" t="str">
        <f aca="false">IF(DW25=0,"",DW25)</f>
        <v/>
      </c>
      <c r="CF25" s="7"/>
      <c r="CG25" s="49" t="str">
        <f aca="false">IFERROR(RANK(CE25,CE$6:CE$116,0),"")</f>
        <v/>
      </c>
      <c r="CH25" s="7"/>
      <c r="CI25" s="7"/>
      <c r="CJ25" s="7" t="str">
        <f aca="false">IF(DY25=0,"",DY25)</f>
        <v/>
      </c>
      <c r="CK25" s="7"/>
      <c r="CL25" s="49" t="str">
        <f aca="false">IFERROR(RANK(CJ25,CJ$6:CJ$116,0),"")</f>
        <v/>
      </c>
      <c r="CM25" s="7"/>
      <c r="CN25" s="7"/>
      <c r="CO25" s="7" t="str">
        <f aca="false">IF(EA25=0,"",EA25)</f>
        <v/>
      </c>
      <c r="CP25" s="7"/>
      <c r="CQ25" s="49" t="str">
        <f aca="false">IFERROR(RANK(CO25,CO$6:CO$116,0),"")</f>
        <v/>
      </c>
      <c r="CR25" s="7"/>
      <c r="CS25" s="21" t="n">
        <v>31</v>
      </c>
      <c r="CT25" s="25" t="n">
        <f aca="true">IFERROR(AVERAGE(OFFSET('Data - For Rank'!B$2,J25,0,COUNTIF($J$7:J$116,J25)))+IFERROR(VLOOKUP((COUNT($H$6:$H$116)/4),$ER$9:$ES$13,2,FALSE()),0),"")</f>
        <v>10</v>
      </c>
      <c r="CU25" s="21"/>
      <c r="CV25" s="25" t="str">
        <f aca="true">IFERROR(AVERAGE(OFFSET('Data - For Rank'!$C$2,O25,0,COUNTIF(O$7:O$116,O25)))+IFERROR(VLOOKUP((COUNT(M$6:M$116)/4),$ER$9:$ES$13,2,FALSE()),0),"")</f>
        <v/>
      </c>
      <c r="CW25" s="21" t="n">
        <v>40</v>
      </c>
      <c r="CX25" s="25" t="n">
        <f aca="true">IFERROR(AVERAGE(OFFSET('Data - For Rank'!D$2,T25,0,COUNTIF(T$7:T$116,T25)))+IFERROR(VLOOKUP((COUNT(R$6:R$116)/4),$ER$9:$ES$13,2,FALSE()),0),"")</f>
        <v>16</v>
      </c>
      <c r="CY25" s="21"/>
      <c r="CZ25" s="25" t="str">
        <f aca="true">IFERROR(AVERAGE(OFFSET('Data - For Rank'!E$2,Y25,0,COUNTIF(Y$7:Y$116,Y25)))+IFERROR(VLOOKUP((COUNT(W$6:W$116)/4),$ER$9:$ES$13,2,FALSE()),0),"")</f>
        <v/>
      </c>
      <c r="DA25" s="21" t="n">
        <v>27</v>
      </c>
      <c r="DB25" s="25" t="n">
        <f aca="true">IFERROR(AVERAGE(OFFSET('Data - For Rank'!F$2,AD25,0,COUNTIF(AD$7:AD$116,AD25)))+IFERROR(VLOOKUP((COUNT(AB$6:AB$116)/4),$ER$9:$ES$13,2,FALSE()),0),"")</f>
        <v>7</v>
      </c>
      <c r="DC25" s="21" t="n">
        <v>37</v>
      </c>
      <c r="DD25" s="25" t="n">
        <f aca="true">IFERROR(AVERAGE(OFFSET('Data - For Rank'!G$2,AI25,0,COUNTIF(AI$7:AI$116,AI25)))+IFERROR(VLOOKUP((COUNT(AG$6:AG$116)/4),$ER$9:$ES$13,2,FALSE()),0),"")</f>
        <v>16.5</v>
      </c>
      <c r="DE25" s="21" t="n">
        <v>34</v>
      </c>
      <c r="DF25" s="25" t="n">
        <f aca="true">IFERROR(AVERAGE(OFFSET('Data - For Rank'!$H$2,AN25,0,COUNTIF(AN$7:AN$116,AN25)))+IFERROR(VLOOKUP((COUNT(AL$6:AL$116)/4),$ER$9:$ES$13,2,FALSE()),0),"")</f>
        <v>10.5</v>
      </c>
      <c r="DG25" s="21" t="n">
        <v>32</v>
      </c>
      <c r="DH25" s="25" t="n">
        <f aca="true">IFERROR(AVERAGE(OFFSET('Data - For Rank'!$I$2,AS25,0,COUNTIF(AS$7:AS$116,AS25)))+IFERROR(VLOOKUP((COUNT(AQ$6:AQ$116)/4),$ER$9:$ES$13,2,FALSE()),0),"")</f>
        <v>10</v>
      </c>
      <c r="DI25" s="21"/>
      <c r="DJ25" s="25" t="str">
        <f aca="true">IFERROR(AVERAGE(OFFSET('Data - For Rank'!$J$2,AX25,0,COUNTIF(AX$7:AX$116,AX25)))+IFERROR(VLOOKUP((COUNT(AV$6:AV$116)/4),$ER$9:$ES$13,2,FALSE()),0),"")</f>
        <v/>
      </c>
      <c r="DK25" s="21" t="n">
        <v>36</v>
      </c>
      <c r="DL25" s="25" t="n">
        <f aca="true">IFERROR(AVERAGE(OFFSET('Data - For Rank'!$K$2,BC25,0,COUNTIF(BC$7:BC$116,BC25)))+IFERROR(VLOOKUP((COUNT(BA$6:BA$116)/4),$ER$9:$ES$13,2,FALSE()),0),"")</f>
        <v>13.5</v>
      </c>
      <c r="DM25" s="21"/>
      <c r="DN25" s="25" t="str">
        <f aca="true">IFERROR(AVERAGE(OFFSET('Data - For Rank'!$L$2,BH25,0,COUNTIF(BH$7:BH$116,BH25)))+IFERROR(VLOOKUP((COUNT(BF$6:BF$116)/4),$ER$9:$ES$13,2,FALSE()),0),"")</f>
        <v/>
      </c>
      <c r="DO25" s="21"/>
      <c r="DP25" s="25" t="str">
        <f aca="true">IFERROR(AVERAGE(OFFSET('Data - For Rank'!$M$2,BM25,0,COUNTIF(BM$7:BM$116,BM25)))+IFERROR(VLOOKUP((COUNT(BK$6:BK$116)/4),$ER$9:$ES$13,2,FALSE()),0),"")</f>
        <v/>
      </c>
      <c r="DQ25" s="21"/>
      <c r="DR25" s="25" t="str">
        <f aca="true">IFERROR(AVERAGE(OFFSET('Data - For Rank'!$N$2,BR25,0,COUNTIF(BR$7:BR$116,BR25)))+IFERROR(VLOOKUP((COUNT(BP$6:BP$116)/4),$ER$9:$ES$13,2,FALSE()),0),"")</f>
        <v/>
      </c>
      <c r="DS25" s="21"/>
      <c r="DT25" s="25" t="str">
        <f aca="true">IFERROR(AVERAGE(OFFSET('Data - For Rank'!$O$2,BW25,0,COUNTIF(BW$7:BW$116,BW25)))+IFERROR(VLOOKUP((COUNT(BU$6:BU$116)/4),$ER$9:$ES$13,2,FALSE()),0),"")</f>
        <v/>
      </c>
      <c r="DU25" s="21"/>
      <c r="DV25" s="25" t="str">
        <f aca="true">IFERROR(AVERAGE(OFFSET('Data - For Rank'!$P$2,CB25,0,COUNTIF(CB$7:CB$116,CB25)))+IFERROR(VLOOKUP((COUNT(BZ$6:BZ$116)/4),$ER$9:$ES$13,2,FALSE()),0),"")</f>
        <v/>
      </c>
      <c r="DW25" s="21"/>
      <c r="DX25" s="25" t="str">
        <f aca="true">IFERROR(AVERAGE(OFFSET('Data - For Rank'!$Q$2,CG25,0,COUNTIF(CG$7:CG$116,CG25)))+IFERROR(VLOOKUP((COUNT(CE$6:CE$116)/4),$ER$9:$ES$13,2,FALSE()),0),"")</f>
        <v/>
      </c>
      <c r="DY25" s="21"/>
      <c r="DZ25" s="25" t="str">
        <f aca="true">IFERROR(AVERAGE(OFFSET('Data - For Rank'!$R$2,CL25,0,COUNTIF(CL$7:CL$116,CL25)))+IFERROR(VLOOKUP((COUNT(CJ$6:CJ$116)/4),$ER$9:$ES$13,2,FALSE()),0),"")</f>
        <v/>
      </c>
      <c r="EA25" s="21"/>
      <c r="EB25" s="25" t="str">
        <f aca="true">IFERROR(AVERAGE(OFFSET('Data - For Rank'!$S$2,CQ25,0,COUNTIF(CQ$7:CQ$116,CQ25)))+IFERROR(VLOOKUP((COUNT(CO$6:CO$116)/4),$ER$9:$ES$13,2,FALSE()),0),"")</f>
        <v/>
      </c>
      <c r="EC25" s="26" t="n">
        <f aca="false">AVERAGE(CS25,CU25,CW25,CY25,DA25,DC25,DE25,DG25,DI25,DK25,DM25,DO25,DQ25,DS25,DU25,DW25,DY25,EA25)</f>
        <v>33.8571428571429</v>
      </c>
      <c r="ED25" s="23" t="n">
        <f aca="false">AVERAGE(CT25,CV25,CX25,CZ25,DB25,DD25,DF25,DH25,DJ25,DL25,DN25,DP25,DR25,DT25,DV25,DX25,DZ25,EB25)</f>
        <v>11.9285714285714</v>
      </c>
      <c r="EF25" s="25"/>
    </row>
    <row r="26" s="1" customFormat="true" ht="13.5" hidden="false" customHeight="false" outlineLevel="1" collapsed="false">
      <c r="B26" s="27" t="n">
        <f aca="false">B24+0.026</f>
        <v>7.026</v>
      </c>
      <c r="D26" s="51" t="s">
        <v>102</v>
      </c>
      <c r="E26" s="28" t="s">
        <v>44</v>
      </c>
      <c r="F26" s="29" t="n">
        <f aca="false">IF(COUNT(G24:CN24)&gt;10,SMALL(G24:CN24,COUNT(G24:CN24)-10),MIN(G24:CN24))</f>
        <v>12</v>
      </c>
      <c r="G26" s="29"/>
      <c r="H26" s="29"/>
      <c r="I26" s="53" t="n">
        <f aca="false">IF(CS26=0,"",CS26)</f>
        <v>27</v>
      </c>
      <c r="J26" s="53"/>
      <c r="K26" s="54" t="n">
        <f aca="false">IFERROR(_xlfn.RANK.EQ(I26,I$6:I$116,0),"")</f>
        <v>2</v>
      </c>
      <c r="L26" s="29"/>
      <c r="M26" s="29"/>
      <c r="N26" s="53" t="str">
        <f aca="false">IF(CU26=0,"",CU26)</f>
        <v/>
      </c>
      <c r="O26" s="53"/>
      <c r="P26" s="54" t="str">
        <f aca="false">IFERROR(_xlfn.RANK.EQ(N26,N$6:N$116,0),"")</f>
        <v/>
      </c>
      <c r="Q26" s="29"/>
      <c r="R26" s="29"/>
      <c r="S26" s="53" t="n">
        <f aca="false">IF(CW26=0,"",CW26)</f>
        <v>21</v>
      </c>
      <c r="T26" s="53"/>
      <c r="U26" s="54" t="n">
        <f aca="false">IFERROR(_xlfn.RANK.EQ(S26,S$6:S$116,0),"")</f>
        <v>2</v>
      </c>
      <c r="V26" s="29"/>
      <c r="W26" s="29"/>
      <c r="X26" s="53" t="str">
        <f aca="false">IF(CY26=0,"",CY26)</f>
        <v/>
      </c>
      <c r="Y26" s="53"/>
      <c r="Z26" s="54" t="str">
        <f aca="false">IFERROR(_xlfn.RANK.EQ(X26,X$6:X$116,0),"")</f>
        <v/>
      </c>
      <c r="AA26" s="29"/>
      <c r="AB26" s="29"/>
      <c r="AC26" s="53" t="n">
        <f aca="false">IF(DA26=0,"",DA26)</f>
        <v>-20</v>
      </c>
      <c r="AD26" s="53"/>
      <c r="AE26" s="54" t="n">
        <f aca="false">IFERROR(_xlfn.RANK.EQ(AC26,AC$6:AC$116,0),"")</f>
        <v>14</v>
      </c>
      <c r="AF26" s="29"/>
      <c r="AG26" s="29"/>
      <c r="AH26" s="53" t="n">
        <f aca="false">IF(DC26=0,"",DC26)</f>
        <v>28</v>
      </c>
      <c r="AI26" s="53"/>
      <c r="AJ26" s="54" t="n">
        <f aca="false">IFERROR(_xlfn.RANK.EQ(AH26,AH$6:AH$116,0),"")</f>
        <v>1</v>
      </c>
      <c r="AK26" s="29"/>
      <c r="AL26" s="29"/>
      <c r="AM26" s="53" t="n">
        <f aca="false">IF(DE26=0,"",DE26)</f>
        <v>2</v>
      </c>
      <c r="AN26" s="53"/>
      <c r="AO26" s="54" t="n">
        <f aca="false">IFERROR(_xlfn.RANK.EQ(AM26,AM$6:AM$116,0),"")</f>
        <v>5</v>
      </c>
      <c r="AP26" s="29"/>
      <c r="AQ26" s="29"/>
      <c r="AR26" s="53" t="n">
        <f aca="false">IF(DG26=0,"",DG26)</f>
        <v>8</v>
      </c>
      <c r="AS26" s="53"/>
      <c r="AT26" s="54" t="n">
        <f aca="false">IFERROR(_xlfn.RANK.EQ(AR26,AR$6:AR$116,0),"")</f>
        <v>7</v>
      </c>
      <c r="AU26" s="29"/>
      <c r="AV26" s="29"/>
      <c r="AW26" s="53" t="str">
        <f aca="false">IF(DI26=0,"",DI26)</f>
        <v/>
      </c>
      <c r="AX26" s="53"/>
      <c r="AY26" s="54" t="str">
        <f aca="false">IFERROR(_xlfn.RANK.EQ(AW26,AW$6:AW$116,0),"")</f>
        <v/>
      </c>
      <c r="AZ26" s="29"/>
      <c r="BA26" s="29"/>
      <c r="BB26" s="53" t="n">
        <f aca="false">IF(DK26=0,"",DK26)</f>
        <v>-20</v>
      </c>
      <c r="BC26" s="53"/>
      <c r="BD26" s="54" t="n">
        <f aca="false">IFERROR(_xlfn.RANK.EQ(BB26,BB$6:BB$116,0),"")</f>
        <v>11</v>
      </c>
      <c r="BE26" s="29"/>
      <c r="BF26" s="29"/>
      <c r="BG26" s="53" t="str">
        <f aca="false">IF(DM26=0,"",DM26)</f>
        <v/>
      </c>
      <c r="BH26" s="53"/>
      <c r="BI26" s="54" t="str">
        <f aca="false">IFERROR(_xlfn.RANK.EQ(BG26,BG$6:BG$116,0),"")</f>
        <v/>
      </c>
      <c r="BJ26" s="29"/>
      <c r="BK26" s="29"/>
      <c r="BL26" s="53" t="str">
        <f aca="false">IF(DO26=0,"",DO26)</f>
        <v/>
      </c>
      <c r="BM26" s="53"/>
      <c r="BN26" s="54" t="str">
        <f aca="false">IFERROR(_xlfn.RANK.EQ(BL26,BL$6:BL$116,0),"")</f>
        <v/>
      </c>
      <c r="BO26" s="29"/>
      <c r="BP26" s="29"/>
      <c r="BQ26" s="53" t="str">
        <f aca="false">IF(DQ26=0,"",DQ26)</f>
        <v/>
      </c>
      <c r="BR26" s="53"/>
      <c r="BS26" s="54" t="str">
        <f aca="false">IFERROR(_xlfn.RANK.EQ(BQ26,BQ$6:BQ$116,0),"")</f>
        <v/>
      </c>
      <c r="BT26" s="29"/>
      <c r="BU26" s="29"/>
      <c r="BV26" s="53" t="str">
        <f aca="false">IF(DS26=0,"",DS26)</f>
        <v/>
      </c>
      <c r="BW26" s="53"/>
      <c r="BX26" s="54" t="str">
        <f aca="false">IFERROR(_xlfn.RANK.EQ(BV26,BV$6:BV$116,0),"")</f>
        <v/>
      </c>
      <c r="BY26" s="29"/>
      <c r="BZ26" s="29"/>
      <c r="CA26" s="53" t="str">
        <f aca="false">IF(DU26=0,"",DU26)</f>
        <v/>
      </c>
      <c r="CB26" s="53"/>
      <c r="CC26" s="54" t="str">
        <f aca="false">IFERROR(_xlfn.RANK.EQ(CA26,CA$6:CA$116,0),"")</f>
        <v/>
      </c>
      <c r="CD26" s="29"/>
      <c r="CE26" s="29"/>
      <c r="CF26" s="53" t="str">
        <f aca="false">IF(DW26=0,"",DW26)</f>
        <v/>
      </c>
      <c r="CG26" s="53"/>
      <c r="CH26" s="54" t="str">
        <f aca="false">IFERROR(_xlfn.RANK.EQ(CF26,CF$6:CF$116,0),"")</f>
        <v/>
      </c>
      <c r="CI26" s="29"/>
      <c r="CJ26" s="29"/>
      <c r="CK26" s="53" t="str">
        <f aca="false">IF(DY26=0,"",DY26)</f>
        <v/>
      </c>
      <c r="CL26" s="53"/>
      <c r="CM26" s="54" t="str">
        <f aca="false">IFERROR(_xlfn.RANK.EQ(CK26,CK$6:CK$116,0),"")</f>
        <v/>
      </c>
      <c r="CN26" s="29"/>
      <c r="CO26" s="29"/>
      <c r="CP26" s="53" t="str">
        <f aca="false">IF(EA26=0,"",EA26)</f>
        <v/>
      </c>
      <c r="CQ26" s="53"/>
      <c r="CR26" s="54" t="str">
        <f aca="false">IFERROR(_xlfn.RANK.EQ(CP26,CP$6:CP$116,0),"")</f>
        <v/>
      </c>
      <c r="CS26" s="30" t="n">
        <v>27</v>
      </c>
      <c r="CT26" s="31" t="n">
        <f aca="true">IFERROR(AVERAGE(OFFSET('Data - For Rank'!B$2,K26,0,COUNTIF(K$6:K$116,K26)))+IFERROR(VLOOKUP((COUNT($I$6:$I$116)/4),$ER$9:$ES$13,2,FALSE()),0),"")</f>
        <v>17</v>
      </c>
      <c r="CU26" s="30"/>
      <c r="CV26" s="31" t="str">
        <f aca="true">IFERROR(AVERAGE(OFFSET('Data - For Rank'!$C$2,P26,0,COUNTIF(P$6:P$116,P26)))+IFERROR(VLOOKUP((COUNT(N$6:N$116)/4),$ER$9:$ES$13,2,FALSE()),0),"")</f>
        <v/>
      </c>
      <c r="CW26" s="30" t="n">
        <v>21</v>
      </c>
      <c r="CX26" s="31" t="n">
        <f aca="true">IFERROR(AVERAGE(OFFSET('Data - For Rank'!D$2,U26,0,COUNTIF(U$6:$U134,U26)))+IFERROR(VLOOKUP((COUNT(S$6:S$116)/4),$ER$9:$ES$13,2,FALSE()),0),"")</f>
        <v>15</v>
      </c>
      <c r="CY26" s="30"/>
      <c r="CZ26" s="31" t="str">
        <f aca="true">IFERROR(AVERAGE(OFFSET('Data - For Rank'!E$2,Z26,0,COUNTIF(Z$6:Z$116,Z26)))+IFERROR(VLOOKUP((COUNT(W$6:W$116)/4),$ER$9:$ES$13,2,FALSE()),0),"")</f>
        <v/>
      </c>
      <c r="DA26" s="30" t="n">
        <v>-20</v>
      </c>
      <c r="DB26" s="31" t="n">
        <f aca="true">IFERROR(AVERAGE(OFFSET('Data - For Rank'!F$2,AE26,0,COUNTIF(AE$6:AE$116,AE26)))+IFERROR(VLOOKUP((COUNT(AC$6:AC$116)/4),$ER$9:$ES$13,2,FALSE()),0),"")</f>
        <v>5</v>
      </c>
      <c r="DC26" s="30" t="n">
        <v>28</v>
      </c>
      <c r="DD26" s="31" t="n">
        <f aca="true">IFERROR(AVERAGE(OFFSET('Data - For Rank'!G$2,AJ26,0,COUNTIF(AJ$6:AJ$116,AJ26)))+IFERROR(VLOOKUP((COUNT(AH$6:AH$116)/4),$ER$9:$ES$13,2,FALSE()),0),"")</f>
        <v>18</v>
      </c>
      <c r="DE26" s="30" t="n">
        <v>2</v>
      </c>
      <c r="DF26" s="31" t="n">
        <f aca="true">IFERROR(AVERAGE(OFFSET('Data - For Rank'!$H$2,AO26,0,COUNTIF(AO$6:AO$116,AO26)))+IFERROR(VLOOKUP((COUNT(AM$6:AM$116)/4),$ER$9:$ES$13,2,FALSE()),0),"")</f>
        <v>11</v>
      </c>
      <c r="DG26" s="30" t="n">
        <v>8</v>
      </c>
      <c r="DH26" s="31" t="n">
        <f aca="true">IFERROR(AVERAGE(OFFSET('Data - For Rank'!$I$2,AT26,0,COUNTIF(AT$6:AT$116,AT26)))+IFERROR(VLOOKUP((COUNT(AR$6:AR$116)/4),$ER$9:$ES$13,2,FALSE()),0),"")</f>
        <v>12</v>
      </c>
      <c r="DI26" s="30"/>
      <c r="DJ26" s="31" t="str">
        <f aca="true">IFERROR(AVERAGE(OFFSET('Data - For Rank'!$J$2,AY26,0,COUNTIF(AY$6:AY$116,AY26)))+IFERROR(VLOOKUP((COUNT(AW$6:AW$116)/4),$ER$9:$ES$13,2,FALSE()),0),"")</f>
        <v/>
      </c>
      <c r="DK26" s="30" t="n">
        <v>-20</v>
      </c>
      <c r="DL26" s="31" t="n">
        <f aca="true">IFERROR(AVERAGE(OFFSET('Data - For Rank'!$K$2,BD26,0,COUNTIF(BD$6:BD$116,BD26)))+IFERROR(VLOOKUP((COUNT(BB$6:BB$116)/4),$ER$9:$ES$13,2,FALSE()),0),"")</f>
        <v>6</v>
      </c>
      <c r="DM26" s="30"/>
      <c r="DN26" s="31" t="str">
        <f aca="true">IFERROR(AVERAGE(OFFSET('Data - For Rank'!$L$2,BI26,0,COUNTIF(BI$6:BI$116,BI26)))+IFERROR(VLOOKUP((COUNT(BG$6:BG$116)/4),$ER$9:$ES$13,2,FALSE()),0),"")</f>
        <v/>
      </c>
      <c r="DO26" s="30"/>
      <c r="DP26" s="31" t="str">
        <f aca="true">IFERROR(AVERAGE(OFFSET('Data - For Rank'!$M$2,BN26,0,COUNTIF(BN$6:BN$116,BN26)))+IFERROR(VLOOKUP((COUNT(BL$6:BL$116)/4),$ER$9:$ES$13,2,FALSE()),0),"")</f>
        <v/>
      </c>
      <c r="DQ26" s="30"/>
      <c r="DR26" s="31" t="str">
        <f aca="true">IFERROR(AVERAGE(OFFSET('Data - For Rank'!$N$2,BS26,0,COUNTIF(BS$6:BS$116,BS26)))+IFERROR(VLOOKUP((COUNT(BQ$6:BQ$116)/4),$ER$9:$ES$13,2,FALSE()),0),"")</f>
        <v/>
      </c>
      <c r="DS26" s="30"/>
      <c r="DT26" s="31" t="str">
        <f aca="true">IFERROR(AVERAGE(OFFSET('Data - For Rank'!$O$2,BX26,0,COUNTIF(BX$6:BX$116,BX26)))+IFERROR(VLOOKUP((COUNT(BV$6:BV$116)/4),$ER$9:$ES$13,2,FALSE()),0),"")</f>
        <v/>
      </c>
      <c r="DU26" s="30"/>
      <c r="DV26" s="31" t="str">
        <f aca="true">IFERROR(AVERAGE(OFFSET('Data - For Rank'!$P$2,CC26,0,COUNTIF(CC$6:CC$116,CC26)))+IFERROR(VLOOKUP((COUNT(CA$6:CA$116)/4),$ER$9:$ES$13,2,FALSE()),0),"")</f>
        <v/>
      </c>
      <c r="DW26" s="30"/>
      <c r="DX26" s="31" t="str">
        <f aca="true">IFERROR(AVERAGE(OFFSET('Data - For Rank'!$Q$2,CH26,0,COUNTIF(CH$6:CH$116,CH26)))+IFERROR(VLOOKUP((COUNT(CF$6:CF$116)/4),$ER$9:$ES$13,2,FALSE()),0),"")</f>
        <v/>
      </c>
      <c r="DY26" s="30"/>
      <c r="DZ26" s="31" t="str">
        <f aca="true">IFERROR(AVERAGE(OFFSET('Data - For Rank'!$R$2,CM26,0,COUNTIF(CM$6:CM$116,CM26)))+IFERROR(VLOOKUP((COUNT(CK$6:CK$116)/4),$ER$9:$ES$13,2,FALSE()),0),"")</f>
        <v/>
      </c>
      <c r="EA26" s="30"/>
      <c r="EB26" s="31" t="str">
        <f aca="true">IFERROR(AVERAGE(OFFSET('Data - For Rank'!$S$2,CR26,0,COUNTIF(CR$6:CR$116,CR26)))+IFERROR(VLOOKUP((COUNT(CP$6:CP$116)/4),$ER$9:$ES$13,2,FALSE()),0),"")</f>
        <v/>
      </c>
      <c r="EC26" s="32" t="n">
        <f aca="false">CS26+CU26+CW26+CY26+DA26+DC26+DE26+DG26+DI26+DK26+DM26+DO26+DQ26+DS26+DU26+DW26+DY26+EA26</f>
        <v>46</v>
      </c>
      <c r="ED26" s="33" t="n">
        <f aca="false">AVERAGE(CT26,CV26,CX26,CZ26,DB26,DD26,DF26,DH26,DJ26,DL26,DN26,DP26,DR26,DT26,DV26,DX26,DZ26,EB26)</f>
        <v>12</v>
      </c>
    </row>
    <row r="27" customFormat="false" ht="13.5" hidden="false" customHeight="false" outlineLevel="0" collapsed="false">
      <c r="B27" s="8" t="n">
        <f aca="false">_xlfn.RANK.EQ(C27,$C$6:$C$63,)</f>
        <v>8</v>
      </c>
      <c r="C27" s="43" t="n">
        <f aca="false">EC27</f>
        <v>148.5</v>
      </c>
      <c r="D27" s="43" t="s">
        <v>103</v>
      </c>
      <c r="E27" s="19" t="s">
        <v>51</v>
      </c>
      <c r="F27" s="20" t="n">
        <f aca="false">COUNT(CT27,CV27,CX27,CZ27,DB27,DD27,DF27,DH27,DJ27,DL27,DN27,DP27,DR27,DT27,DV27,DX27,DZ27,EB27)</f>
        <v>7</v>
      </c>
      <c r="G27" s="49" t="n">
        <f aca="false">IF(CT27=0,"",CT27)</f>
        <v>31.5</v>
      </c>
      <c r="H27" s="49"/>
      <c r="I27" s="49"/>
      <c r="K27" s="49"/>
      <c r="L27" s="49" t="str">
        <f aca="false">IF(CV27=0,"",CV27)</f>
        <v/>
      </c>
      <c r="M27" s="49"/>
      <c r="N27" s="49"/>
      <c r="P27" s="49"/>
      <c r="Q27" s="49" t="n">
        <f aca="false">IF(CX27=0,"",CX27)</f>
        <v>15</v>
      </c>
      <c r="R27" s="49"/>
      <c r="S27" s="49"/>
      <c r="U27" s="49"/>
      <c r="V27" s="49" t="str">
        <f aca="false">IF(CZ27=0,"",CZ27)</f>
        <v/>
      </c>
      <c r="W27" s="49"/>
      <c r="X27" s="49"/>
      <c r="Z27" s="49"/>
      <c r="AA27" s="49" t="n">
        <f aca="false">IF(DB27=0,"",DB27)</f>
        <v>23.5</v>
      </c>
      <c r="AB27" s="49"/>
      <c r="AC27" s="49"/>
      <c r="AE27" s="49"/>
      <c r="AF27" s="49" t="n">
        <f aca="false">IF(DD27=0,"",DD27)</f>
        <v>23</v>
      </c>
      <c r="AG27" s="49"/>
      <c r="AH27" s="49"/>
      <c r="AJ27" s="49"/>
      <c r="AK27" s="49" t="n">
        <f aca="false">IF(DF27=0,"",DF27)</f>
        <v>16</v>
      </c>
      <c r="AL27" s="49"/>
      <c r="AM27" s="49"/>
      <c r="AO27" s="49"/>
      <c r="AP27" s="49" t="str">
        <f aca="false">IF(DH27=0,"",DH27)</f>
        <v/>
      </c>
      <c r="AQ27" s="49"/>
      <c r="AR27" s="49"/>
      <c r="AT27" s="49"/>
      <c r="AU27" s="49" t="n">
        <f aca="false">IF(DJ27=0,"",DJ27)</f>
        <v>10</v>
      </c>
      <c r="AV27" s="49"/>
      <c r="AW27" s="49"/>
      <c r="AY27" s="49"/>
      <c r="AZ27" s="49" t="n">
        <f aca="false">IF(DL27=0,"",DL27)</f>
        <v>29.5</v>
      </c>
      <c r="BA27" s="49"/>
      <c r="BB27" s="49"/>
      <c r="BD27" s="49"/>
      <c r="BE27" s="49" t="str">
        <f aca="false">IF(DN27=0,"",DN27)</f>
        <v/>
      </c>
      <c r="BF27" s="49"/>
      <c r="BG27" s="49"/>
      <c r="BI27" s="49"/>
      <c r="BJ27" s="49" t="str">
        <f aca="false">IF(DP27=0,"",DP27)</f>
        <v/>
      </c>
      <c r="BK27" s="49"/>
      <c r="BL27" s="49"/>
      <c r="BN27" s="49"/>
      <c r="BO27" s="49" t="str">
        <f aca="false">IF(DR27=0,"",DR27)</f>
        <v/>
      </c>
      <c r="BP27" s="49"/>
      <c r="BQ27" s="49"/>
      <c r="BS27" s="49"/>
      <c r="BT27" s="49" t="str">
        <f aca="false">IF(DT27=0,"",DT27)</f>
        <v/>
      </c>
      <c r="BU27" s="49"/>
      <c r="BV27" s="49"/>
      <c r="BX27" s="49"/>
      <c r="BY27" s="49" t="str">
        <f aca="false">IF(DV27=0,"",DV27)</f>
        <v/>
      </c>
      <c r="BZ27" s="49"/>
      <c r="CA27" s="49"/>
      <c r="CC27" s="49"/>
      <c r="CD27" s="49" t="str">
        <f aca="false">IF(DX27=0,"",DX27)</f>
        <v/>
      </c>
      <c r="CE27" s="49"/>
      <c r="CF27" s="49"/>
      <c r="CH27" s="49"/>
      <c r="CI27" s="49" t="str">
        <f aca="false">IF(DZ27=0,"",DZ27)</f>
        <v/>
      </c>
      <c r="CJ27" s="49"/>
      <c r="CK27" s="49"/>
      <c r="CM27" s="49"/>
      <c r="CN27" s="49" t="str">
        <f aca="false">IF(EB27=0,"",EB27)</f>
        <v/>
      </c>
      <c r="CO27" s="49"/>
      <c r="CP27" s="49"/>
      <c r="CR27" s="49"/>
      <c r="CS27" s="21" t="n">
        <v>77</v>
      </c>
      <c r="CT27" s="22" t="n">
        <f aca="false">IFERROR(CT28+CT29,"")</f>
        <v>31.5</v>
      </c>
      <c r="CU27" s="21"/>
      <c r="CV27" s="22" t="str">
        <f aca="false">IFERROR(CV28+CV29,"")</f>
        <v/>
      </c>
      <c r="CW27" s="21" t="n">
        <v>87</v>
      </c>
      <c r="CX27" s="22" t="n">
        <f aca="false">IFERROR(CX28+CX29,"")</f>
        <v>15</v>
      </c>
      <c r="CY27" s="21"/>
      <c r="CZ27" s="22" t="str">
        <f aca="false">IFERROR(CZ28+CZ29,"")</f>
        <v/>
      </c>
      <c r="DA27" s="21" t="n">
        <v>81</v>
      </c>
      <c r="DB27" s="22" t="n">
        <f aca="false">IFERROR(DB28+DB29,"")</f>
        <v>23.5</v>
      </c>
      <c r="DC27" s="21" t="n">
        <v>84</v>
      </c>
      <c r="DD27" s="22" t="n">
        <f aca="false">IFERROR(DD28+DD29,"")</f>
        <v>23</v>
      </c>
      <c r="DE27" s="21" t="n">
        <v>82</v>
      </c>
      <c r="DF27" s="22" t="n">
        <f aca="false">IFERROR(DF28+DF29,"")</f>
        <v>16</v>
      </c>
      <c r="DG27" s="21"/>
      <c r="DH27" s="22" t="str">
        <f aca="false">IFERROR(DH28+DH29,"")</f>
        <v/>
      </c>
      <c r="DI27" s="21" t="n">
        <v>87</v>
      </c>
      <c r="DJ27" s="22" t="n">
        <f aca="false">IFERROR(DJ28+DJ29,"")</f>
        <v>10</v>
      </c>
      <c r="DK27" s="21" t="n">
        <v>76</v>
      </c>
      <c r="DL27" s="22" t="n">
        <f aca="false">IFERROR(DL28+DL29,"")</f>
        <v>29.5</v>
      </c>
      <c r="DM27" s="21"/>
      <c r="DN27" s="22" t="str">
        <f aca="false">IFERROR(DN28+DN29,"")</f>
        <v/>
      </c>
      <c r="DO27" s="21"/>
      <c r="DP27" s="22" t="str">
        <f aca="false">IFERROR(DP28+DP29,"")</f>
        <v/>
      </c>
      <c r="DQ27" s="21"/>
      <c r="DR27" s="22" t="str">
        <f aca="false">IFERROR(DR28+DR29,"")</f>
        <v/>
      </c>
      <c r="DS27" s="21"/>
      <c r="DT27" s="22" t="str">
        <f aca="false">IFERROR(DT28+DT29,"")</f>
        <v/>
      </c>
      <c r="DU27" s="21"/>
      <c r="DV27" s="22" t="str">
        <f aca="false">IFERROR(DV28+DV29,"")</f>
        <v/>
      </c>
      <c r="DW27" s="21"/>
      <c r="DX27" s="22" t="str">
        <f aca="false">IFERROR(DX28+DX29,"")</f>
        <v/>
      </c>
      <c r="DY27" s="21"/>
      <c r="DZ27" s="22" t="str">
        <f aca="false">IFERROR(DZ28+DZ29,"")</f>
        <v/>
      </c>
      <c r="EA27" s="21"/>
      <c r="EB27" s="22" t="str">
        <f aca="false">IFERROR(EB28+EB29,"")</f>
        <v/>
      </c>
      <c r="EC27" s="17" t="n">
        <f aca="false">IFERROR(LARGE($G27:$CN27,1),0)+IFERROR(LARGE($G27:$CN27,2),0)+IFERROR(LARGE($G27:$CN27,3),0)+IFERROR(LARGE($G27:$CN27,4),0)+IFERROR(LARGE($G27:$CN27,5),0)+IFERROR(LARGE($G27:$CN27,6),0)+IFERROR(LARGE($G27:$CN27,7),0)+IFERROR(LARGE($G27:$CN27,8),0)+IFERROR(LARGE($G27:$CN27,9),0)+IFERROR(LARGE($G27:$CN27,10),0)</f>
        <v>148.5</v>
      </c>
      <c r="ED27" s="23" t="n">
        <f aca="false">AVERAGE(CT27,CV27,CX27,CZ27,DB27,DD27,DF27,DH27,DJ27,DL27,DN27,DP27,DR27,DT27,DV27,DX27,DZ27,EB27)</f>
        <v>21.2142857142857</v>
      </c>
      <c r="ET27" s="51"/>
      <c r="EU27" s="51"/>
    </row>
    <row r="28" s="1" customFormat="true" ht="13.5" hidden="false" customHeight="false" outlineLevel="1" collapsed="false">
      <c r="B28" s="24" t="n">
        <f aca="false">B27+0.17</f>
        <v>8.17</v>
      </c>
      <c r="D28" s="51" t="s">
        <v>104</v>
      </c>
      <c r="E28" s="7" t="s">
        <v>43</v>
      </c>
      <c r="F28" s="35"/>
      <c r="G28" s="35"/>
      <c r="H28" s="7" t="n">
        <f aca="false">IF(CS28=0,"",CS28)</f>
        <v>39</v>
      </c>
      <c r="I28" s="35"/>
      <c r="J28" s="49" t="n">
        <f aca="false">IFERROR(RANK(H28,H$6:H$116,0),"")</f>
        <v>2</v>
      </c>
      <c r="K28" s="7"/>
      <c r="L28" s="7"/>
      <c r="M28" s="7" t="str">
        <f aca="false">IF(CU28=0,"",CU28)</f>
        <v/>
      </c>
      <c r="N28" s="7"/>
      <c r="O28" s="49" t="str">
        <f aca="false">IFERROR(RANK(M28,M$6:M$116,0),"")</f>
        <v/>
      </c>
      <c r="P28" s="7"/>
      <c r="Q28" s="7"/>
      <c r="R28" s="7" t="n">
        <f aca="false">IF(CW28=0,"",CW28)</f>
        <v>31</v>
      </c>
      <c r="S28" s="7"/>
      <c r="T28" s="49" t="n">
        <f aca="false">IFERROR(RANK(R28,R$6:R$116,0),"")</f>
        <v>7</v>
      </c>
      <c r="U28" s="7"/>
      <c r="V28" s="7"/>
      <c r="W28" s="7" t="str">
        <f aca="false">IF(CY28=0,"",CY28)</f>
        <v/>
      </c>
      <c r="X28" s="7"/>
      <c r="Y28" s="49" t="str">
        <f aca="false">IFERROR(RANK(W28,W$6:W$116,0),"")</f>
        <v/>
      </c>
      <c r="Z28" s="7"/>
      <c r="AA28" s="7"/>
      <c r="AB28" s="7" t="n">
        <f aca="false">IF(DA28=0,"",DA28)</f>
        <v>34</v>
      </c>
      <c r="AC28" s="7"/>
      <c r="AD28" s="49" t="n">
        <f aca="false">IFERROR(RANK(AB28,AB$6:AB$116,0),"")</f>
        <v>2</v>
      </c>
      <c r="AE28" s="7"/>
      <c r="AF28" s="7"/>
      <c r="AG28" s="7" t="n">
        <f aca="false">IF(DC28=0,"",DC28)</f>
        <v>33</v>
      </c>
      <c r="AH28" s="7"/>
      <c r="AI28" s="49" t="n">
        <f aca="false">IFERROR(RANK(AG28,AG$6:AG$116,0),"")</f>
        <v>9</v>
      </c>
      <c r="AJ28" s="7"/>
      <c r="AK28" s="7"/>
      <c r="AL28" s="7" t="n">
        <f aca="false">IF(DE28=0,"",DE28)</f>
        <v>30</v>
      </c>
      <c r="AM28" s="7"/>
      <c r="AN28" s="49" t="n">
        <f aca="false">IFERROR(RANK(AL28,AL$6:AL$116,0),"")</f>
        <v>12</v>
      </c>
      <c r="AO28" s="7"/>
      <c r="AP28" s="7"/>
      <c r="AQ28" s="7" t="str">
        <f aca="false">IF(DG28=0,"",DG28)</f>
        <v/>
      </c>
      <c r="AR28" s="7"/>
      <c r="AS28" s="49" t="str">
        <f aca="false">IFERROR(RANK(AQ28,AQ$6:AQ$116,0),"")</f>
        <v/>
      </c>
      <c r="AT28" s="7"/>
      <c r="AU28" s="7"/>
      <c r="AV28" s="7" t="n">
        <f aca="false">IF(DI28=0,"",DI28)</f>
        <v>30</v>
      </c>
      <c r="AW28" s="7"/>
      <c r="AX28" s="49" t="n">
        <f aca="false">IFERROR(RANK(AV28,AV$6:AV$116,0),"")</f>
        <v>12</v>
      </c>
      <c r="AY28" s="7"/>
      <c r="AZ28" s="7"/>
      <c r="BA28" s="7" t="n">
        <f aca="false">IF(DK28=0,"",DK28)</f>
        <v>36</v>
      </c>
      <c r="BB28" s="7"/>
      <c r="BC28" s="49" t="n">
        <f aca="false">IFERROR(RANK(BA28,BA$6:BA$116,0),"")</f>
        <v>3</v>
      </c>
      <c r="BD28" s="7"/>
      <c r="BE28" s="7"/>
      <c r="BF28" s="7" t="str">
        <f aca="false">IF(DM28=0,"",DM28)</f>
        <v/>
      </c>
      <c r="BG28" s="7"/>
      <c r="BH28" s="49" t="str">
        <f aca="false">IFERROR(RANK(BF28,BF$6:BF$116,0),"")</f>
        <v/>
      </c>
      <c r="BI28" s="7"/>
      <c r="BJ28" s="7"/>
      <c r="BK28" s="7" t="str">
        <f aca="false">IF(DO28=0,"",DO28)</f>
        <v/>
      </c>
      <c r="BL28" s="7"/>
      <c r="BM28" s="49" t="str">
        <f aca="false">IFERROR(RANK(BK28,BK$6:BK$116,0),"")</f>
        <v/>
      </c>
      <c r="BN28" s="7"/>
      <c r="BO28" s="7"/>
      <c r="BP28" s="7" t="str">
        <f aca="false">IF(DQ28=0,"",DQ28)</f>
        <v/>
      </c>
      <c r="BQ28" s="7"/>
      <c r="BR28" s="49" t="str">
        <f aca="false">IFERROR(RANK(BP28,BP$6:BP$116,0),"")</f>
        <v/>
      </c>
      <c r="BS28" s="7"/>
      <c r="BT28" s="7"/>
      <c r="BU28" s="7" t="str">
        <f aca="false">IF(DS28=0,"",DS28)</f>
        <v/>
      </c>
      <c r="BV28" s="7"/>
      <c r="BW28" s="49" t="str">
        <f aca="false">IFERROR(RANK(BU28,BU$6:BU$116,0),"")</f>
        <v/>
      </c>
      <c r="BX28" s="7"/>
      <c r="BY28" s="7"/>
      <c r="BZ28" s="7" t="str">
        <f aca="false">IF(DU28=0,"",DU28)</f>
        <v/>
      </c>
      <c r="CA28" s="7"/>
      <c r="CB28" s="49" t="str">
        <f aca="false">IFERROR(RANK(BZ28,BZ$6:BZ$116,0),"")</f>
        <v/>
      </c>
      <c r="CC28" s="7"/>
      <c r="CD28" s="7"/>
      <c r="CE28" s="7" t="str">
        <f aca="false">IF(DW28=0,"",DW28)</f>
        <v/>
      </c>
      <c r="CF28" s="7"/>
      <c r="CG28" s="49" t="str">
        <f aca="false">IFERROR(RANK(CE28,CE$6:CE$116,0),"")</f>
        <v/>
      </c>
      <c r="CH28" s="7"/>
      <c r="CI28" s="7"/>
      <c r="CJ28" s="7" t="str">
        <f aca="false">IF(DY28=0,"",DY28)</f>
        <v/>
      </c>
      <c r="CK28" s="7"/>
      <c r="CL28" s="49" t="str">
        <f aca="false">IFERROR(RANK(CJ28,CJ$6:CJ$116,0),"")</f>
        <v/>
      </c>
      <c r="CM28" s="7"/>
      <c r="CN28" s="7"/>
      <c r="CO28" s="7" t="str">
        <f aca="false">IF(EA28=0,"",EA28)</f>
        <v/>
      </c>
      <c r="CP28" s="7"/>
      <c r="CQ28" s="49" t="str">
        <f aca="false">IFERROR(RANK(CO28,CO$6:CO$116,0),"")</f>
        <v/>
      </c>
      <c r="CR28" s="7"/>
      <c r="CS28" s="21" t="n">
        <v>39</v>
      </c>
      <c r="CT28" s="25" t="n">
        <f aca="true">IFERROR(AVERAGE(OFFSET('Data - For Rank'!B$2,J28,0,COUNTIF($J$7:J$116,J28)))+IFERROR(VLOOKUP((COUNT($H$6:$H$116)/4),$ER$9:$ES$13,2,FALSE()),0),"")</f>
        <v>17</v>
      </c>
      <c r="CU28" s="21"/>
      <c r="CV28" s="25" t="str">
        <f aca="true">IFERROR(AVERAGE(OFFSET('Data - For Rank'!$C$2,O28,0,COUNTIF(O$7:O$116,O28)))+IFERROR(VLOOKUP((COUNT(M$6:M$116)/4),$ER$9:$ES$13,2,FALSE()),0),"")</f>
        <v/>
      </c>
      <c r="CW28" s="21" t="n">
        <v>31</v>
      </c>
      <c r="CX28" s="25" t="n">
        <f aca="true">IFERROR(AVERAGE(OFFSET('Data - For Rank'!D$2,T28,0,COUNTIF(T$7:T$116,T28)))+IFERROR(VLOOKUP((COUNT(R$6:R$116)/4),$ER$9:$ES$13,2,FALSE()),0),"")</f>
        <v>10</v>
      </c>
      <c r="CY28" s="21"/>
      <c r="CZ28" s="25" t="str">
        <f aca="true">IFERROR(AVERAGE(OFFSET('Data - For Rank'!E$2,Y28,0,COUNTIF(Y$7:Y$116,Y28)))+IFERROR(VLOOKUP((COUNT(W$6:W$116)/4),$ER$9:$ES$13,2,FALSE()),0),"")</f>
        <v/>
      </c>
      <c r="DA28" s="21" t="n">
        <v>34</v>
      </c>
      <c r="DB28" s="25" t="n">
        <f aca="true">IFERROR(AVERAGE(OFFSET('Data - For Rank'!F$2,AD28,0,COUNTIF(AD$7:AD$116,AD28)))+IFERROR(VLOOKUP((COUNT(AB$6:AB$116)/4),$ER$9:$ES$13,2,FALSE()),0),"")</f>
        <v>16.5</v>
      </c>
      <c r="DC28" s="21" t="n">
        <v>33</v>
      </c>
      <c r="DD28" s="25" t="n">
        <f aca="true">IFERROR(AVERAGE(OFFSET('Data - For Rank'!G$2,AI28,0,COUNTIF(AI$7:AI$116,AI28)))+IFERROR(VLOOKUP((COUNT(AG$6:AG$116)/4),$ER$9:$ES$13,2,FALSE()),0),"")</f>
        <v>10</v>
      </c>
      <c r="DE28" s="21" t="n">
        <v>30</v>
      </c>
      <c r="DF28" s="25" t="n">
        <f aca="true">IFERROR(AVERAGE(OFFSET('Data - For Rank'!$H$2,AN28,0,COUNTIF(AN$7:AN$116,AN28)))+IFERROR(VLOOKUP((COUNT(AL$6:AL$116)/4),$ER$9:$ES$13,2,FALSE()),0),"")</f>
        <v>5</v>
      </c>
      <c r="DG28" s="21"/>
      <c r="DH28" s="25" t="str">
        <f aca="true">IFERROR(AVERAGE(OFFSET('Data - For Rank'!$I$2,AS28,0,COUNTIF(AS$7:AS$116,AS28)))+IFERROR(VLOOKUP((COUNT(AQ$6:AQ$116)/4),$ER$9:$ES$13,2,FALSE()),0),"")</f>
        <v/>
      </c>
      <c r="DI28" s="21" t="n">
        <v>30</v>
      </c>
      <c r="DJ28" s="25" t="n">
        <f aca="true">IFERROR(AVERAGE(OFFSET('Data - For Rank'!$J$2,AX28,0,COUNTIF(AX$7:AX$116,AX28)))+IFERROR(VLOOKUP((COUNT(AV$6:AV$116)/4),$ER$9:$ES$13,2,FALSE()),0),"")</f>
        <v>7</v>
      </c>
      <c r="DK28" s="21" t="n">
        <v>36</v>
      </c>
      <c r="DL28" s="25" t="n">
        <f aca="true">IFERROR(AVERAGE(OFFSET('Data - For Rank'!$K$2,BC28,0,COUNTIF(BC$7:BC$116,BC28)))+IFERROR(VLOOKUP((COUNT(BA$6:BA$116)/4),$ER$9:$ES$13,2,FALSE()),0),"")</f>
        <v>13.5</v>
      </c>
      <c r="DM28" s="21"/>
      <c r="DN28" s="25" t="str">
        <f aca="true">IFERROR(AVERAGE(OFFSET('Data - For Rank'!$L$2,BH28,0,COUNTIF(BH$7:BH$116,BH28)))+IFERROR(VLOOKUP((COUNT(BF$6:BF$116)/4),$ER$9:$ES$13,2,FALSE()),0),"")</f>
        <v/>
      </c>
      <c r="DO28" s="21"/>
      <c r="DP28" s="25" t="str">
        <f aca="true">IFERROR(AVERAGE(OFFSET('Data - For Rank'!$M$2,BM28,0,COUNTIF(BM$7:BM$116,BM28)))+IFERROR(VLOOKUP((COUNT(BK$6:BK$116)/4),$ER$9:$ES$13,2,FALSE()),0),"")</f>
        <v/>
      </c>
      <c r="DQ28" s="21"/>
      <c r="DR28" s="25" t="str">
        <f aca="true">IFERROR(AVERAGE(OFFSET('Data - For Rank'!$N$2,BR28,0,COUNTIF(BR$7:BR$116,BR28)))+IFERROR(VLOOKUP((COUNT(BP$6:BP$116)/4),$ER$9:$ES$13,2,FALSE()),0),"")</f>
        <v/>
      </c>
      <c r="DS28" s="21"/>
      <c r="DT28" s="25" t="str">
        <f aca="true">IFERROR(AVERAGE(OFFSET('Data - For Rank'!$O$2,BW28,0,COUNTIF(BW$7:BW$116,BW28)))+IFERROR(VLOOKUP((COUNT(BU$6:BU$116)/4),$ER$9:$ES$13,2,FALSE()),0),"")</f>
        <v/>
      </c>
      <c r="DU28" s="21"/>
      <c r="DV28" s="25" t="str">
        <f aca="true">IFERROR(AVERAGE(OFFSET('Data - For Rank'!$P$2,CB28,0,COUNTIF(CB$7:CB$116,CB28)))+IFERROR(VLOOKUP((COUNT(BZ$6:BZ$116)/4),$ER$9:$ES$13,2,FALSE()),0),"")</f>
        <v/>
      </c>
      <c r="DW28" s="21"/>
      <c r="DX28" s="25" t="str">
        <f aca="true">IFERROR(AVERAGE(OFFSET('Data - For Rank'!$Q$2,CG28,0,COUNTIF(CG$7:CG$116,CG28)))+IFERROR(VLOOKUP((COUNT(CE$6:CE$116)/4),$ER$9:$ES$13,2,FALSE()),0),"")</f>
        <v/>
      </c>
      <c r="DY28" s="21"/>
      <c r="DZ28" s="25" t="str">
        <f aca="true">IFERROR(AVERAGE(OFFSET('Data - For Rank'!$R$2,CL28,0,COUNTIF(CL$7:CL$116,CL28)))+IFERROR(VLOOKUP((COUNT(CJ$6:CJ$116)/4),$ER$9:$ES$13,2,FALSE()),0),"")</f>
        <v/>
      </c>
      <c r="EA28" s="21"/>
      <c r="EB28" s="25" t="str">
        <f aca="true">IFERROR(AVERAGE(OFFSET('Data - For Rank'!$S$2,CQ28,0,COUNTIF(CQ$7:CQ$116,CQ28)))+IFERROR(VLOOKUP((COUNT(CO$6:CO$116)/4),$ER$9:$ES$13,2,FALSE()),0),"")</f>
        <v/>
      </c>
      <c r="EC28" s="26" t="n">
        <f aca="false">AVERAGE(CS28,CU28,CW28,CY28,DA28,DC28,DE28,DG28,DI28,DK28,DM28,DO28,DQ28,DS28,DU28,DW28,DY28,EA28)</f>
        <v>33.2857142857143</v>
      </c>
      <c r="ED28" s="23" t="n">
        <f aca="false">AVERAGE(CT28,CV28,CX28,CZ28,DB28,DD28,DF28,DH28,DJ28,DL28,DN28,DP28,DR28,DT28,DV28,DX28,DZ28,EB28)</f>
        <v>11.2857142857143</v>
      </c>
      <c r="EP28" s="51"/>
    </row>
    <row r="29" s="1" customFormat="true" ht="13.5" hidden="false" customHeight="false" outlineLevel="1" collapsed="false">
      <c r="B29" s="27" t="n">
        <f aca="false">B27+0.027</f>
        <v>8.027</v>
      </c>
      <c r="D29" s="51" t="s">
        <v>105</v>
      </c>
      <c r="E29" s="28" t="s">
        <v>44</v>
      </c>
      <c r="F29" s="29" t="n">
        <f aca="false">IF(COUNT(G27:CN27)&gt;10,SMALL(G27:CN27,COUNT(G27:CN27)-10),MIN(G27:CN27))</f>
        <v>10</v>
      </c>
      <c r="G29" s="29"/>
      <c r="H29" s="29"/>
      <c r="I29" s="53" t="n">
        <f aca="false">IF(CS29=0,"",CS29)</f>
        <v>10</v>
      </c>
      <c r="J29" s="53"/>
      <c r="K29" s="54" t="n">
        <f aca="false">IFERROR(_xlfn.RANK.EQ(I29,I$6:I$116,0),"")</f>
        <v>4</v>
      </c>
      <c r="L29" s="29"/>
      <c r="M29" s="29"/>
      <c r="N29" s="53" t="str">
        <f aca="false">IF(CU29=0,"",CU29)</f>
        <v/>
      </c>
      <c r="O29" s="53"/>
      <c r="P29" s="54" t="str">
        <f aca="false">IFERROR(_xlfn.RANK.EQ(N29,N$6:N$116,0),"")</f>
        <v/>
      </c>
      <c r="Q29" s="29"/>
      <c r="R29" s="29"/>
      <c r="S29" s="53" t="n">
        <f aca="false">IF(CW29=0,"",CW29)</f>
        <v>-32</v>
      </c>
      <c r="T29" s="53"/>
      <c r="U29" s="54" t="n">
        <f aca="false">IFERROR(_xlfn.RANK.EQ(S29,S$6:S$116,0),"")</f>
        <v>12</v>
      </c>
      <c r="V29" s="29"/>
      <c r="W29" s="29"/>
      <c r="X29" s="53" t="str">
        <f aca="false">IF(CY29=0,"",CY29)</f>
        <v/>
      </c>
      <c r="Y29" s="53"/>
      <c r="Z29" s="54" t="str">
        <f aca="false">IFERROR(_xlfn.RANK.EQ(X29,X$6:X$116,0),"")</f>
        <v/>
      </c>
      <c r="AA29" s="29"/>
      <c r="AB29" s="29"/>
      <c r="AC29" s="53" t="n">
        <f aca="false">IF(DA29=0,"",DA29)</f>
        <v>-8</v>
      </c>
      <c r="AD29" s="53"/>
      <c r="AE29" s="54" t="n">
        <f aca="false">IFERROR(_xlfn.RANK.EQ(AC29,AC$6:AC$116,0),"")</f>
        <v>12</v>
      </c>
      <c r="AF29" s="29"/>
      <c r="AG29" s="29"/>
      <c r="AH29" s="53" t="n">
        <f aca="false">IF(DC29=0,"",DC29)</f>
        <v>10</v>
      </c>
      <c r="AI29" s="53"/>
      <c r="AJ29" s="54" t="n">
        <f aca="false">IFERROR(_xlfn.RANK.EQ(AH29,AH$6:AH$116,0),"")</f>
        <v>6</v>
      </c>
      <c r="AK29" s="29"/>
      <c r="AL29" s="29"/>
      <c r="AM29" s="53" t="n">
        <f aca="false">IF(DE29=0,"",DE29)</f>
        <v>2</v>
      </c>
      <c r="AN29" s="53"/>
      <c r="AO29" s="54" t="n">
        <f aca="false">IFERROR(_xlfn.RANK.EQ(AM29,AM$6:AM$116,0),"")</f>
        <v>5</v>
      </c>
      <c r="AP29" s="29"/>
      <c r="AQ29" s="29"/>
      <c r="AR29" s="53" t="str">
        <f aca="false">IF(DG29=0,"",DG29)</f>
        <v/>
      </c>
      <c r="AS29" s="53"/>
      <c r="AT29" s="54" t="str">
        <f aca="false">IFERROR(_xlfn.RANK.EQ(AR29,AR$6:AR$116,0),"")</f>
        <v/>
      </c>
      <c r="AU29" s="29"/>
      <c r="AV29" s="29"/>
      <c r="AW29" s="53" t="n">
        <f aca="false">IF(DI29=0,"",DI29)</f>
        <v>-33</v>
      </c>
      <c r="AX29" s="53"/>
      <c r="AY29" s="54" t="n">
        <f aca="false">IFERROR(_xlfn.RANK.EQ(AW29,AW$6:AW$116,0),"")</f>
        <v>16</v>
      </c>
      <c r="AZ29" s="29"/>
      <c r="BA29" s="29"/>
      <c r="BB29" s="53" t="n">
        <f aca="false">IF(DK29=0,"",DK29)</f>
        <v>28</v>
      </c>
      <c r="BC29" s="53"/>
      <c r="BD29" s="54" t="n">
        <f aca="false">IFERROR(_xlfn.RANK.EQ(BB29,BB$6:BB$116,0),"")</f>
        <v>1</v>
      </c>
      <c r="BE29" s="29"/>
      <c r="BF29" s="29"/>
      <c r="BG29" s="53" t="str">
        <f aca="false">IF(DM29=0,"",DM29)</f>
        <v/>
      </c>
      <c r="BH29" s="53"/>
      <c r="BI29" s="54" t="str">
        <f aca="false">IFERROR(_xlfn.RANK.EQ(BG29,BG$6:BG$116,0),"")</f>
        <v/>
      </c>
      <c r="BJ29" s="29"/>
      <c r="BK29" s="29"/>
      <c r="BL29" s="53" t="str">
        <f aca="false">IF(DO29=0,"",DO29)</f>
        <v/>
      </c>
      <c r="BM29" s="53"/>
      <c r="BN29" s="54" t="str">
        <f aca="false">IFERROR(_xlfn.RANK.EQ(BL29,BL$6:BL$116,0),"")</f>
        <v/>
      </c>
      <c r="BO29" s="29"/>
      <c r="BP29" s="29"/>
      <c r="BQ29" s="53" t="str">
        <f aca="false">IF(DQ29=0,"",DQ29)</f>
        <v/>
      </c>
      <c r="BR29" s="53"/>
      <c r="BS29" s="54" t="str">
        <f aca="false">IFERROR(_xlfn.RANK.EQ(BQ29,BQ$6:BQ$116,0),"")</f>
        <v/>
      </c>
      <c r="BT29" s="29"/>
      <c r="BU29" s="29"/>
      <c r="BV29" s="53" t="str">
        <f aca="false">IF(DS29=0,"",DS29)</f>
        <v/>
      </c>
      <c r="BW29" s="53"/>
      <c r="BX29" s="54" t="str">
        <f aca="false">IFERROR(_xlfn.RANK.EQ(BV29,BV$6:BV$116,0),"")</f>
        <v/>
      </c>
      <c r="BY29" s="29"/>
      <c r="BZ29" s="29"/>
      <c r="CA29" s="53" t="str">
        <f aca="false">IF(DU29=0,"",DU29)</f>
        <v/>
      </c>
      <c r="CB29" s="53"/>
      <c r="CC29" s="54" t="str">
        <f aca="false">IFERROR(_xlfn.RANK.EQ(CA29,CA$6:CA$116,0),"")</f>
        <v/>
      </c>
      <c r="CD29" s="29"/>
      <c r="CE29" s="29"/>
      <c r="CF29" s="53" t="str">
        <f aca="false">IF(DW29=0,"",DW29)</f>
        <v/>
      </c>
      <c r="CG29" s="53"/>
      <c r="CH29" s="54" t="str">
        <f aca="false">IFERROR(_xlfn.RANK.EQ(CF29,CF$6:CF$116,0),"")</f>
        <v/>
      </c>
      <c r="CI29" s="29"/>
      <c r="CJ29" s="29"/>
      <c r="CK29" s="53" t="str">
        <f aca="false">IF(DY29=0,"",DY29)</f>
        <v/>
      </c>
      <c r="CL29" s="53"/>
      <c r="CM29" s="54" t="str">
        <f aca="false">IFERROR(_xlfn.RANK.EQ(CK29,CK$6:CK$116,0),"")</f>
        <v/>
      </c>
      <c r="CN29" s="29"/>
      <c r="CO29" s="29"/>
      <c r="CP29" s="53" t="str">
        <f aca="false">IF(EA29=0,"",EA29)</f>
        <v/>
      </c>
      <c r="CQ29" s="53"/>
      <c r="CR29" s="54" t="str">
        <f aca="false">IFERROR(_xlfn.RANK.EQ(CP29,CP$6:CP$116,0),"")</f>
        <v/>
      </c>
      <c r="CS29" s="30" t="n">
        <v>10</v>
      </c>
      <c r="CT29" s="31" t="n">
        <f aca="true">IFERROR(AVERAGE(OFFSET('Data - For Rank'!B$2,K29,0,COUNTIF(K$6:K$116,K29)))+IFERROR(VLOOKUP((COUNT($I$6:$I$116)/4),$ER$9:$ES$13,2,FALSE()),0),"")</f>
        <v>14.5</v>
      </c>
      <c r="CU29" s="30"/>
      <c r="CV29" s="31" t="str">
        <f aca="true">IFERROR(AVERAGE(OFFSET('Data - For Rank'!$C$2,P29,0,COUNTIF(P$6:P$116,P29)))+IFERROR(VLOOKUP((COUNT(N$6:N$116)/4),$ER$9:$ES$13,2,FALSE()),0),"")</f>
        <v/>
      </c>
      <c r="CW29" s="30" t="n">
        <v>-32</v>
      </c>
      <c r="CX29" s="31" t="n">
        <f aca="true">IFERROR(AVERAGE(OFFSET('Data - For Rank'!D$2,U29,0,COUNTIF(U$6:$U137,U29)))+IFERROR(VLOOKUP((COUNT(S$6:S$116)/4),$ER$9:$ES$13,2,FALSE()),0),"")</f>
        <v>5</v>
      </c>
      <c r="CY29" s="30"/>
      <c r="CZ29" s="31" t="str">
        <f aca="true">IFERROR(AVERAGE(OFFSET('Data - For Rank'!E$2,Z29,0,COUNTIF(Z$6:Z$116,Z29)))+IFERROR(VLOOKUP((COUNT(W$6:W$116)/4),$ER$9:$ES$13,2,FALSE()),0),"")</f>
        <v/>
      </c>
      <c r="DA29" s="30" t="n">
        <v>-8</v>
      </c>
      <c r="DB29" s="31" t="n">
        <f aca="true">IFERROR(AVERAGE(OFFSET('Data - For Rank'!F$2,AE29,0,COUNTIF(AE$6:AE$116,AE29)))+IFERROR(VLOOKUP((COUNT(AC$6:AC$116)/4),$ER$9:$ES$13,2,FALSE()),0),"")</f>
        <v>7</v>
      </c>
      <c r="DC29" s="30" t="n">
        <v>10</v>
      </c>
      <c r="DD29" s="31" t="n">
        <f aca="true">IFERROR(AVERAGE(OFFSET('Data - For Rank'!G$2,AJ29,0,COUNTIF(AJ$6:AJ$116,AJ29)))+IFERROR(VLOOKUP((COUNT(AH$6:AH$116)/4),$ER$9:$ES$13,2,FALSE()),0),"")</f>
        <v>13</v>
      </c>
      <c r="DE29" s="30" t="n">
        <v>2</v>
      </c>
      <c r="DF29" s="31" t="n">
        <f aca="true">IFERROR(AVERAGE(OFFSET('Data - For Rank'!$H$2,AO29,0,COUNTIF(AO$6:AO$116,AO29)))+IFERROR(VLOOKUP((COUNT(AM$6:AM$116)/4),$ER$9:$ES$13,2,FALSE()),0),"")</f>
        <v>11</v>
      </c>
      <c r="DG29" s="30"/>
      <c r="DH29" s="31" t="str">
        <f aca="true">IFERROR(AVERAGE(OFFSET('Data - For Rank'!$I$2,AT29,0,COUNTIF(AT$6:AT$116,AT29)))+IFERROR(VLOOKUP((COUNT(AR$6:AR$116)/4),$ER$9:$ES$13,2,FALSE()),0),"")</f>
        <v/>
      </c>
      <c r="DI29" s="30" t="n">
        <v>-33</v>
      </c>
      <c r="DJ29" s="31" t="n">
        <f aca="true">IFERROR(AVERAGE(OFFSET('Data - For Rank'!$J$2,AY29,0,COUNTIF(AY$6:AY$116,AY29)))+IFERROR(VLOOKUP((COUNT(AW$6:AW$116)/4),$ER$9:$ES$13,2,FALSE()),0),"")</f>
        <v>3</v>
      </c>
      <c r="DK29" s="30" t="n">
        <v>28</v>
      </c>
      <c r="DL29" s="31" t="n">
        <f aca="true">IFERROR(AVERAGE(OFFSET('Data - For Rank'!$K$2,BD29,0,COUNTIF(BD$6:BD$116,BD29)))+IFERROR(VLOOKUP((COUNT(BB$6:BB$116)/4),$ER$9:$ES$13,2,FALSE()),0),"")</f>
        <v>16</v>
      </c>
      <c r="DM29" s="30"/>
      <c r="DN29" s="31" t="str">
        <f aca="true">IFERROR(AVERAGE(OFFSET('Data - For Rank'!$L$2,BI29,0,COUNTIF(BI$6:BI$116,BI29)))+IFERROR(VLOOKUP((COUNT(BG$6:BG$116)/4),$ER$9:$ES$13,2,FALSE()),0),"")</f>
        <v/>
      </c>
      <c r="DO29" s="30"/>
      <c r="DP29" s="31" t="str">
        <f aca="true">IFERROR(AVERAGE(OFFSET('Data - For Rank'!$M$2,BN29,0,COUNTIF(BN$6:BN$116,BN29)))+IFERROR(VLOOKUP((COUNT(BL$6:BL$116)/4),$ER$9:$ES$13,2,FALSE()),0),"")</f>
        <v/>
      </c>
      <c r="DQ29" s="30"/>
      <c r="DR29" s="31" t="str">
        <f aca="true">IFERROR(AVERAGE(OFFSET('Data - For Rank'!$N$2,BS29,0,COUNTIF(BS$6:BS$116,BS29)))+IFERROR(VLOOKUP((COUNT(BQ$6:BQ$116)/4),$ER$9:$ES$13,2,FALSE()),0),"")</f>
        <v/>
      </c>
      <c r="DS29" s="30"/>
      <c r="DT29" s="31" t="str">
        <f aca="true">IFERROR(AVERAGE(OFFSET('Data - For Rank'!$O$2,BX29,0,COUNTIF(BX$6:BX$116,BX29)))+IFERROR(VLOOKUP((COUNT(BV$6:BV$116)/4),$ER$9:$ES$13,2,FALSE()),0),"")</f>
        <v/>
      </c>
      <c r="DU29" s="30"/>
      <c r="DV29" s="31" t="str">
        <f aca="true">IFERROR(AVERAGE(OFFSET('Data - For Rank'!$P$2,CC29,0,COUNTIF(CC$6:CC$116,CC29)))+IFERROR(VLOOKUP((COUNT(CA$6:CA$116)/4),$ER$9:$ES$13,2,FALSE()),0),"")</f>
        <v/>
      </c>
      <c r="DW29" s="30"/>
      <c r="DX29" s="31" t="str">
        <f aca="true">IFERROR(AVERAGE(OFFSET('Data - For Rank'!$Q$2,CH29,0,COUNTIF(CH$6:CH$116,CH29)))+IFERROR(VLOOKUP((COUNT(CF$6:CF$116)/4),$ER$9:$ES$13,2,FALSE()),0),"")</f>
        <v/>
      </c>
      <c r="DY29" s="30"/>
      <c r="DZ29" s="31" t="str">
        <f aca="true">IFERROR(AVERAGE(OFFSET('Data - For Rank'!$R$2,CM29,0,COUNTIF(CM$6:CM$116,CM29)))+IFERROR(VLOOKUP((COUNT(CK$6:CK$116)/4),$ER$9:$ES$13,2,FALSE()),0),"")</f>
        <v/>
      </c>
      <c r="EA29" s="30"/>
      <c r="EB29" s="31" t="str">
        <f aca="true">IFERROR(AVERAGE(OFFSET('Data - For Rank'!$S$2,CR29,0,COUNTIF(CR$6:CR$116,CR29)))+IFERROR(VLOOKUP((COUNT(CP$6:CP$116)/4),$ER$9:$ES$13,2,FALSE()),0),"")</f>
        <v/>
      </c>
      <c r="EC29" s="32" t="n">
        <f aca="false">CS29+CU29+CW29+CY29+DA29+DC29+DE29+DG29+DI29+DK29+DM29+DO29+DQ29+DS29+DU29+DW29+DY29+EA29</f>
        <v>-23</v>
      </c>
      <c r="ED29" s="33" t="n">
        <f aca="false">AVERAGE(CT29,CV29,CX29,CZ29,DB29,DD29,DF29,DH29,DJ29,DL29,DN29,DP29,DR29,DT29,DV29,DX29,DZ29,EB29)</f>
        <v>9.92857142857143</v>
      </c>
      <c r="EP29" s="51"/>
    </row>
    <row r="30" customFormat="false" ht="13.5" hidden="false" customHeight="false" outlineLevel="0" collapsed="false">
      <c r="B30" s="8" t="n">
        <f aca="false">_xlfn.RANK.EQ(C30,$C$6:$C$63,)</f>
        <v>9</v>
      </c>
      <c r="C30" s="43" t="n">
        <f aca="false">EC30</f>
        <v>142.5</v>
      </c>
      <c r="D30" s="43" t="s">
        <v>106</v>
      </c>
      <c r="E30" s="9" t="s">
        <v>52</v>
      </c>
      <c r="F30" s="20" t="n">
        <f aca="false">COUNT(CT30,CV30,CX30,CZ30,DB30,DD30,DF30,DH30,DJ30,DL30,DN30,DP30,DR30,DT30,DV30,DX30,DZ30,EB30)</f>
        <v>7</v>
      </c>
      <c r="G30" s="49" t="n">
        <f aca="false">IF(CT30=0,"",CT30)</f>
        <v>24.5</v>
      </c>
      <c r="H30" s="49"/>
      <c r="I30" s="49"/>
      <c r="K30" s="49"/>
      <c r="L30" s="49" t="str">
        <f aca="false">IF(CV30=0,"",CV30)</f>
        <v/>
      </c>
      <c r="M30" s="49"/>
      <c r="N30" s="49"/>
      <c r="P30" s="49"/>
      <c r="Q30" s="49" t="n">
        <f aca="false">IF(CX30=0,"",CX30)</f>
        <v>27</v>
      </c>
      <c r="R30" s="49"/>
      <c r="S30" s="49"/>
      <c r="U30" s="49"/>
      <c r="V30" s="49" t="str">
        <f aca="false">IF(CZ30=0,"",CZ30)</f>
        <v/>
      </c>
      <c r="W30" s="49"/>
      <c r="X30" s="49"/>
      <c r="Z30" s="49"/>
      <c r="AA30" s="49" t="n">
        <f aca="false">IF(DB30=0,"",DB30)</f>
        <v>9</v>
      </c>
      <c r="AB30" s="49"/>
      <c r="AC30" s="49"/>
      <c r="AE30" s="49"/>
      <c r="AF30" s="49" t="n">
        <f aca="false">IF(DD30=0,"",DD30)</f>
        <v>18.5</v>
      </c>
      <c r="AG30" s="49"/>
      <c r="AH30" s="49"/>
      <c r="AJ30" s="49"/>
      <c r="AK30" s="49" t="str">
        <f aca="false">IF(DF30=0,"",DF30)</f>
        <v/>
      </c>
      <c r="AL30" s="49"/>
      <c r="AM30" s="49"/>
      <c r="AO30" s="49"/>
      <c r="AP30" s="49" t="n">
        <f aca="false">IF(DH30=0,"",DH30)</f>
        <v>9.5</v>
      </c>
      <c r="AQ30" s="49"/>
      <c r="AR30" s="49"/>
      <c r="AT30" s="49"/>
      <c r="AU30" s="49" t="n">
        <f aca="false">IF(DJ30=0,"",DJ30)</f>
        <v>30.5</v>
      </c>
      <c r="AV30" s="49"/>
      <c r="AW30" s="49"/>
      <c r="AY30" s="49"/>
      <c r="AZ30" s="49" t="n">
        <f aca="false">IF(DL30=0,"",DL30)</f>
        <v>23.5</v>
      </c>
      <c r="BA30" s="49"/>
      <c r="BB30" s="49"/>
      <c r="BD30" s="49"/>
      <c r="BE30" s="49" t="str">
        <f aca="false">IF(DN30=0,"",DN30)</f>
        <v/>
      </c>
      <c r="BF30" s="49"/>
      <c r="BG30" s="49"/>
      <c r="BI30" s="49"/>
      <c r="BJ30" s="49" t="str">
        <f aca="false">IF(DP30=0,"",DP30)</f>
        <v/>
      </c>
      <c r="BK30" s="49"/>
      <c r="BL30" s="49"/>
      <c r="BN30" s="49"/>
      <c r="BO30" s="49" t="str">
        <f aca="false">IF(DR30=0,"",DR30)</f>
        <v/>
      </c>
      <c r="BP30" s="49"/>
      <c r="BQ30" s="49"/>
      <c r="BS30" s="49"/>
      <c r="BT30" s="49" t="str">
        <f aca="false">IF(DT30=0,"",DT30)</f>
        <v/>
      </c>
      <c r="BU30" s="49"/>
      <c r="BV30" s="49"/>
      <c r="BX30" s="49"/>
      <c r="BY30" s="49" t="str">
        <f aca="false">IF(DV30=0,"",DV30)</f>
        <v/>
      </c>
      <c r="BZ30" s="49"/>
      <c r="CA30" s="49"/>
      <c r="CC30" s="49"/>
      <c r="CD30" s="49" t="str">
        <f aca="false">IF(DX30=0,"",DX30)</f>
        <v/>
      </c>
      <c r="CE30" s="49"/>
      <c r="CF30" s="49"/>
      <c r="CH30" s="49"/>
      <c r="CI30" s="49" t="str">
        <f aca="false">IF(DZ30=0,"",DZ30)</f>
        <v/>
      </c>
      <c r="CJ30" s="49"/>
      <c r="CK30" s="49"/>
      <c r="CM30" s="49"/>
      <c r="CN30" s="49" t="str">
        <f aca="false">IF(EB30=0,"",EB30)</f>
        <v/>
      </c>
      <c r="CO30" s="49"/>
      <c r="CP30" s="49"/>
      <c r="CR30" s="49"/>
      <c r="CS30" s="21" t="n">
        <v>96</v>
      </c>
      <c r="CT30" s="22" t="n">
        <f aca="false">IFERROR(CT31+CT32,"")</f>
        <v>24.5</v>
      </c>
      <c r="CU30" s="21"/>
      <c r="CV30" s="22" t="str">
        <f aca="false">IFERROR(CV31+CV32,"")</f>
        <v/>
      </c>
      <c r="CW30" s="21" t="n">
        <v>95</v>
      </c>
      <c r="CX30" s="22" t="n">
        <f aca="false">IFERROR(CX31+CX32,"")</f>
        <v>27</v>
      </c>
      <c r="CY30" s="21"/>
      <c r="CZ30" s="22" t="str">
        <f aca="false">IFERROR(CZ31+CZ32,"")</f>
        <v/>
      </c>
      <c r="DA30" s="21" t="n">
        <v>102</v>
      </c>
      <c r="DB30" s="22" t="n">
        <f aca="false">IFERROR(DB31+DB32,"")</f>
        <v>9</v>
      </c>
      <c r="DC30" s="21" t="n">
        <v>98</v>
      </c>
      <c r="DD30" s="22" t="n">
        <f aca="false">IFERROR(DD31+DD32,"")</f>
        <v>18.5</v>
      </c>
      <c r="DE30" s="21"/>
      <c r="DF30" s="22" t="str">
        <f aca="false">IFERROR(DF31+DF32,"")</f>
        <v/>
      </c>
      <c r="DG30" s="21" t="n">
        <v>99</v>
      </c>
      <c r="DH30" s="22" t="n">
        <f aca="false">IFERROR(DH31+DH32,"")</f>
        <v>9.5</v>
      </c>
      <c r="DI30" s="21" t="n">
        <v>87</v>
      </c>
      <c r="DJ30" s="22" t="n">
        <f aca="false">IFERROR(DJ31+DJ32,"")</f>
        <v>30.5</v>
      </c>
      <c r="DK30" s="21" t="n">
        <v>89</v>
      </c>
      <c r="DL30" s="22" t="n">
        <f aca="false">IFERROR(DL31+DL32,"")</f>
        <v>23.5</v>
      </c>
      <c r="DM30" s="21"/>
      <c r="DN30" s="22" t="str">
        <f aca="false">IFERROR(DN31+DN32,"")</f>
        <v/>
      </c>
      <c r="DO30" s="21"/>
      <c r="DP30" s="22" t="str">
        <f aca="false">IFERROR(DP31+DP32,"")</f>
        <v/>
      </c>
      <c r="DQ30" s="21"/>
      <c r="DR30" s="22" t="str">
        <f aca="false">IFERROR(DR31+DR32,"")</f>
        <v/>
      </c>
      <c r="DS30" s="21"/>
      <c r="DT30" s="22" t="str">
        <f aca="false">IFERROR(DT31+DT32,"")</f>
        <v/>
      </c>
      <c r="DU30" s="21"/>
      <c r="DV30" s="22" t="str">
        <f aca="false">IFERROR(DV31+DV32,"")</f>
        <v/>
      </c>
      <c r="DW30" s="21"/>
      <c r="DX30" s="22" t="str">
        <f aca="false">IFERROR(DX31+DX32,"")</f>
        <v/>
      </c>
      <c r="DY30" s="21"/>
      <c r="DZ30" s="22" t="str">
        <f aca="false">IFERROR(DZ31+DZ32,"")</f>
        <v/>
      </c>
      <c r="EA30" s="21"/>
      <c r="EB30" s="22" t="str">
        <f aca="false">IFERROR(EB31+EB32,"")</f>
        <v/>
      </c>
      <c r="EC30" s="17" t="n">
        <f aca="false">IFERROR(LARGE($G30:$CN30,1),0)+IFERROR(LARGE($G30:$CN30,2),0)+IFERROR(LARGE($G30:$CN30,3),0)+IFERROR(LARGE($G30:$CN30,4),0)+IFERROR(LARGE($G30:$CN30,5),0)+IFERROR(LARGE($G30:$CN30,6),0)+IFERROR(LARGE($G30:$CN30,7),0)+IFERROR(LARGE($G30:$CN30,8),0)+IFERROR(LARGE($G30:$CN30,9),0)+IFERROR(LARGE($G30:$CN30,10),0)</f>
        <v>142.5</v>
      </c>
      <c r="ED30" s="23" t="n">
        <f aca="false">AVERAGE(CT30,CV30,CX30,CZ30,DB30,DD30,DF30,DH30,DJ30,DL30,DN30,DP30,DR30,DT30,DV30,DX30,DZ30,EB30)</f>
        <v>20.3571428571429</v>
      </c>
      <c r="EP30" s="51"/>
    </row>
    <row r="31" s="1" customFormat="true" ht="13.5" hidden="false" customHeight="false" outlineLevel="1" collapsed="false">
      <c r="B31" s="24" t="n">
        <f aca="false">B30+0.19</f>
        <v>9.19</v>
      </c>
      <c r="D31" s="51" t="s">
        <v>107</v>
      </c>
      <c r="E31" s="7" t="s">
        <v>43</v>
      </c>
      <c r="F31" s="7"/>
      <c r="G31" s="7"/>
      <c r="H31" s="7" t="n">
        <f aca="false">IF(CS31=0,"",CS31)</f>
        <v>31</v>
      </c>
      <c r="I31" s="7"/>
      <c r="J31" s="49" t="n">
        <f aca="false">IFERROR(RANK(H31,H$6:H$116,0),"")</f>
        <v>8</v>
      </c>
      <c r="K31" s="7"/>
      <c r="L31" s="7"/>
      <c r="M31" s="7" t="str">
        <f aca="false">IF(CU31=0,"",CU31)</f>
        <v/>
      </c>
      <c r="N31" s="7"/>
      <c r="O31" s="49" t="str">
        <f aca="false">IFERROR(RANK(M31,M$6:M$116,0),"")</f>
        <v/>
      </c>
      <c r="P31" s="7"/>
      <c r="Q31" s="7"/>
      <c r="R31" s="7" t="n">
        <f aca="false">IF(CW31=0,"",CW31)</f>
        <v>35</v>
      </c>
      <c r="S31" s="7"/>
      <c r="T31" s="49" t="n">
        <f aca="false">IFERROR(RANK(R31,R$6:R$116,0),"")</f>
        <v>4</v>
      </c>
      <c r="U31" s="7"/>
      <c r="V31" s="7"/>
      <c r="W31" s="7" t="str">
        <f aca="false">IF(CY31=0,"",CY31)</f>
        <v/>
      </c>
      <c r="X31" s="7"/>
      <c r="Y31" s="49" t="str">
        <f aca="false">IFERROR(RANK(W31,W$6:W$116,0),"")</f>
        <v/>
      </c>
      <c r="Z31" s="7"/>
      <c r="AA31" s="7"/>
      <c r="AB31" s="7" t="n">
        <f aca="false">IF(DA31=0,"",DA31)</f>
        <v>23</v>
      </c>
      <c r="AC31" s="7"/>
      <c r="AD31" s="49" t="n">
        <f aca="false">IFERROR(RANK(AB31,AB$6:AB$116,0),"")</f>
        <v>13</v>
      </c>
      <c r="AE31" s="7"/>
      <c r="AF31" s="7"/>
      <c r="AG31" s="7" t="n">
        <f aca="false">IF(DC31=0,"",DC31)</f>
        <v>30</v>
      </c>
      <c r="AH31" s="7"/>
      <c r="AI31" s="49" t="n">
        <f aca="false">IFERROR(RANK(AG31,AG$6:AG$116,0),"")</f>
        <v>10</v>
      </c>
      <c r="AJ31" s="7"/>
      <c r="AK31" s="7"/>
      <c r="AL31" s="7" t="str">
        <f aca="false">IF(DE31=0,"",DE31)</f>
        <v/>
      </c>
      <c r="AM31" s="7"/>
      <c r="AN31" s="49" t="str">
        <f aca="false">IFERROR(RANK(AL31,AL$6:AL$116,0),"")</f>
        <v/>
      </c>
      <c r="AO31" s="7"/>
      <c r="AP31" s="7"/>
      <c r="AQ31" s="7" t="n">
        <f aca="false">IF(DG31=0,"",DG31)</f>
        <v>25</v>
      </c>
      <c r="AR31" s="7"/>
      <c r="AS31" s="49" t="n">
        <f aca="false">IFERROR(RANK(AQ31,AQ$6:AQ$116,0),"")</f>
        <v>16</v>
      </c>
      <c r="AT31" s="7"/>
      <c r="AU31" s="7"/>
      <c r="AV31" s="7" t="n">
        <f aca="false">IF(DI31=0,"",DI31)</f>
        <v>40</v>
      </c>
      <c r="AW31" s="7"/>
      <c r="AX31" s="49" t="n">
        <f aca="false">IFERROR(RANK(AV31,AV$6:AV$116,0),"")</f>
        <v>2</v>
      </c>
      <c r="AY31" s="7"/>
      <c r="AZ31" s="7"/>
      <c r="BA31" s="7" t="n">
        <f aca="false">IF(DK31=0,"",DK31)</f>
        <v>34</v>
      </c>
      <c r="BB31" s="7"/>
      <c r="BC31" s="49" t="n">
        <f aca="false">IFERROR(RANK(BA31,BA$6:BA$116,0),"")</f>
        <v>5</v>
      </c>
      <c r="BD31" s="7"/>
      <c r="BE31" s="7"/>
      <c r="BF31" s="7" t="str">
        <f aca="false">IF(DM31=0,"",DM31)</f>
        <v/>
      </c>
      <c r="BG31" s="7"/>
      <c r="BH31" s="49" t="str">
        <f aca="false">IFERROR(RANK(BF31,BF$6:BF$116,0),"")</f>
        <v/>
      </c>
      <c r="BI31" s="7"/>
      <c r="BJ31" s="7"/>
      <c r="BK31" s="7" t="str">
        <f aca="false">IF(DO31=0,"",DO31)</f>
        <v/>
      </c>
      <c r="BL31" s="7"/>
      <c r="BM31" s="49" t="str">
        <f aca="false">IFERROR(RANK(BK31,BK$6:BK$116,0),"")</f>
        <v/>
      </c>
      <c r="BN31" s="7"/>
      <c r="BO31" s="7"/>
      <c r="BP31" s="7" t="str">
        <f aca="false">IF(DQ31=0,"",DQ31)</f>
        <v/>
      </c>
      <c r="BQ31" s="7"/>
      <c r="BR31" s="49" t="str">
        <f aca="false">IFERROR(RANK(BP31,BP$6:BP$116,0),"")</f>
        <v/>
      </c>
      <c r="BS31" s="7"/>
      <c r="BT31" s="7"/>
      <c r="BU31" s="7" t="str">
        <f aca="false">IF(DS31=0,"",DS31)</f>
        <v/>
      </c>
      <c r="BV31" s="7"/>
      <c r="BW31" s="49" t="str">
        <f aca="false">IFERROR(RANK(BU31,BU$6:BU$116,0),"")</f>
        <v/>
      </c>
      <c r="BX31" s="7"/>
      <c r="BY31" s="7"/>
      <c r="BZ31" s="7" t="str">
        <f aca="false">IF(DU31=0,"",DU31)</f>
        <v/>
      </c>
      <c r="CA31" s="7"/>
      <c r="CB31" s="49" t="str">
        <f aca="false">IFERROR(RANK(BZ31,BZ$6:BZ$116,0),"")</f>
        <v/>
      </c>
      <c r="CC31" s="7"/>
      <c r="CD31" s="7"/>
      <c r="CE31" s="7" t="str">
        <f aca="false">IF(DW31=0,"",DW31)</f>
        <v/>
      </c>
      <c r="CF31" s="7"/>
      <c r="CG31" s="49" t="str">
        <f aca="false">IFERROR(RANK(CE31,CE$6:CE$116,0),"")</f>
        <v/>
      </c>
      <c r="CH31" s="7"/>
      <c r="CI31" s="7"/>
      <c r="CJ31" s="7" t="str">
        <f aca="false">IF(DY31=0,"",DY31)</f>
        <v/>
      </c>
      <c r="CK31" s="7"/>
      <c r="CL31" s="49" t="str">
        <f aca="false">IFERROR(RANK(CJ31,CJ$6:CJ$116,0),"")</f>
        <v/>
      </c>
      <c r="CM31" s="7"/>
      <c r="CN31" s="7"/>
      <c r="CO31" s="7" t="str">
        <f aca="false">IF(EA31=0,"",EA31)</f>
        <v/>
      </c>
      <c r="CP31" s="7"/>
      <c r="CQ31" s="49" t="str">
        <f aca="false">IFERROR(RANK(CO31,CO$6:CO$116,0),"")</f>
        <v/>
      </c>
      <c r="CR31" s="7"/>
      <c r="CS31" s="21" t="n">
        <v>31</v>
      </c>
      <c r="CT31" s="25" t="n">
        <f aca="true">IFERROR(AVERAGE(OFFSET('Data - For Rank'!B$2,J31,0,COUNTIF($J$7:J$116,J31)))+IFERROR(VLOOKUP((COUNT($H$6:$H$116)/4),$ER$9:$ES$13,2,FALSE()),0),"")</f>
        <v>10</v>
      </c>
      <c r="CU31" s="21"/>
      <c r="CV31" s="25" t="str">
        <f aca="true">IFERROR(AVERAGE(OFFSET('Data - For Rank'!$C$2,O31,0,COUNTIF(O$7:O$116,O31)))+IFERROR(VLOOKUP((COUNT(M$6:M$116)/4),$ER$9:$ES$13,2,FALSE()),0),"")</f>
        <v/>
      </c>
      <c r="CW31" s="21" t="n">
        <v>35</v>
      </c>
      <c r="CX31" s="25" t="n">
        <f aca="true">IFERROR(AVERAGE(OFFSET('Data - For Rank'!D$2,T31,0,COUNTIF(T$7:T$116,T31)))+IFERROR(VLOOKUP((COUNT(R$6:R$116)/4),$ER$9:$ES$13,2,FALSE()),0),"")</f>
        <v>13</v>
      </c>
      <c r="CY31" s="21"/>
      <c r="CZ31" s="25" t="str">
        <f aca="true">IFERROR(AVERAGE(OFFSET('Data - For Rank'!E$2,Y31,0,COUNTIF(Y$7:Y$116,Y31)))+IFERROR(VLOOKUP((COUNT(W$6:W$116)/4),$ER$9:$ES$13,2,FALSE()),0),"")</f>
        <v/>
      </c>
      <c r="DA31" s="21" t="n">
        <v>23</v>
      </c>
      <c r="DB31" s="25" t="n">
        <f aca="true">IFERROR(AVERAGE(OFFSET('Data - For Rank'!F$2,AD31,0,COUNTIF(AD$7:AD$116,AD31)))+IFERROR(VLOOKUP((COUNT(AB$6:AB$116)/4),$ER$9:$ES$13,2,FALSE()),0),"")</f>
        <v>6</v>
      </c>
      <c r="DC31" s="21" t="n">
        <v>30</v>
      </c>
      <c r="DD31" s="25" t="n">
        <f aca="true">IFERROR(AVERAGE(OFFSET('Data - For Rank'!G$2,AI31,0,COUNTIF(AI$7:AI$116,AI31)))+IFERROR(VLOOKUP((COUNT(AG$6:AG$116)/4),$ER$9:$ES$13,2,FALSE()),0),"")</f>
        <v>9</v>
      </c>
      <c r="DE31" s="21"/>
      <c r="DF31" s="25" t="str">
        <f aca="true">IFERROR(AVERAGE(OFFSET('Data - For Rank'!$H$2,AN31,0,COUNTIF(AN$7:AN$116,AN31)))+IFERROR(VLOOKUP((COUNT(AL$6:AL$116)/4),$ER$9:$ES$13,2,FALSE()),0),"")</f>
        <v/>
      </c>
      <c r="DG31" s="21" t="n">
        <v>25</v>
      </c>
      <c r="DH31" s="25" t="n">
        <f aca="true">IFERROR(AVERAGE(OFFSET('Data - For Rank'!$I$2,AS31,0,COUNTIF(AS$7:AS$116,AS31)))+IFERROR(VLOOKUP((COUNT(AQ$6:AQ$116)/4),$ER$9:$ES$13,2,FALSE()),0),"")</f>
        <v>3</v>
      </c>
      <c r="DI31" s="21" t="n">
        <v>40</v>
      </c>
      <c r="DJ31" s="25" t="n">
        <f aca="true">IFERROR(AVERAGE(OFFSET('Data - For Rank'!$J$2,AX31,0,COUNTIF(AX$7:AX$116,AX31)))+IFERROR(VLOOKUP((COUNT(AV$6:AV$116)/4),$ER$9:$ES$13,2,FALSE()),0),"")</f>
        <v>17</v>
      </c>
      <c r="DK31" s="21" t="n">
        <v>34</v>
      </c>
      <c r="DL31" s="25" t="n">
        <f aca="true">IFERROR(AVERAGE(OFFSET('Data - For Rank'!$K$2,BC31,0,COUNTIF(BC$7:BC$116,BC31)))+IFERROR(VLOOKUP((COUNT(BA$6:BA$116)/4),$ER$9:$ES$13,2,FALSE()),0),"")</f>
        <v>11.5</v>
      </c>
      <c r="DM31" s="21"/>
      <c r="DN31" s="25" t="str">
        <f aca="true">IFERROR(AVERAGE(OFFSET('Data - For Rank'!$L$2,BH31,0,COUNTIF(BH$7:BH$116,BH31)))+IFERROR(VLOOKUP((COUNT(BF$6:BF$116)/4),$ER$9:$ES$13,2,FALSE()),0),"")</f>
        <v/>
      </c>
      <c r="DO31" s="21"/>
      <c r="DP31" s="25" t="str">
        <f aca="true">IFERROR(AVERAGE(OFFSET('Data - For Rank'!$M$2,BM31,0,COUNTIF(BM$7:BM$116,BM31)))+IFERROR(VLOOKUP((COUNT(BK$6:BK$116)/4),$ER$9:$ES$13,2,FALSE()),0),"")</f>
        <v/>
      </c>
      <c r="DQ31" s="21"/>
      <c r="DR31" s="25" t="str">
        <f aca="true">IFERROR(AVERAGE(OFFSET('Data - For Rank'!$N$2,BR31,0,COUNTIF(BR$7:BR$116,BR31)))+IFERROR(VLOOKUP((COUNT(BP$6:BP$116)/4),$ER$9:$ES$13,2,FALSE()),0),"")</f>
        <v/>
      </c>
      <c r="DS31" s="21"/>
      <c r="DT31" s="25" t="str">
        <f aca="true">IFERROR(AVERAGE(OFFSET('Data - For Rank'!$O$2,BW31,0,COUNTIF(BW$7:BW$116,BW31)))+IFERROR(VLOOKUP((COUNT(BU$6:BU$116)/4),$ER$9:$ES$13,2,FALSE()),0),"")</f>
        <v/>
      </c>
      <c r="DU31" s="21"/>
      <c r="DV31" s="25" t="str">
        <f aca="true">IFERROR(AVERAGE(OFFSET('Data - For Rank'!$P$2,CB31,0,COUNTIF(CB$7:CB$116,CB31)))+IFERROR(VLOOKUP((COUNT(BZ$6:BZ$116)/4),$ER$9:$ES$13,2,FALSE()),0),"")</f>
        <v/>
      </c>
      <c r="DW31" s="21"/>
      <c r="DX31" s="25" t="str">
        <f aca="true">IFERROR(AVERAGE(OFFSET('Data - For Rank'!$Q$2,CG31,0,COUNTIF(CG$7:CG$116,CG31)))+IFERROR(VLOOKUP((COUNT(CE$6:CE$116)/4),$ER$9:$ES$13,2,FALSE()),0),"")</f>
        <v/>
      </c>
      <c r="DY31" s="21"/>
      <c r="DZ31" s="25" t="str">
        <f aca="true">IFERROR(AVERAGE(OFFSET('Data - For Rank'!$R$2,CL31,0,COUNTIF(CL$7:CL$116,CL31)))+IFERROR(VLOOKUP((COUNT(CJ$6:CJ$116)/4),$ER$9:$ES$13,2,FALSE()),0),"")</f>
        <v/>
      </c>
      <c r="EA31" s="21"/>
      <c r="EB31" s="25" t="str">
        <f aca="true">IFERROR(AVERAGE(OFFSET('Data - For Rank'!$S$2,CQ31,0,COUNTIF(CQ$7:CQ$116,CQ31)))+IFERROR(VLOOKUP((COUNT(CO$6:CO$116)/4),$ER$9:$ES$13,2,FALSE()),0),"")</f>
        <v/>
      </c>
      <c r="EC31" s="26" t="n">
        <f aca="false">AVERAGE(CS31,CU31,CW31,CY31,DA31,DC31,DE31,DG31,DI31,DK31,DM31,DO31,DQ31,DS31,DU31,DW31,DY31,EA31)</f>
        <v>31.1428571428571</v>
      </c>
      <c r="ED31" s="23" t="n">
        <f aca="false">AVERAGE(CT31,CV31,CX31,CZ31,DB31,DD31,DF31,DH31,DJ31,DL31,DN31,DP31,DR31,DT31,DV31,DX31,DZ31,EB31)</f>
        <v>9.92857142857143</v>
      </c>
      <c r="EN31" s="51"/>
      <c r="EO31" s="51"/>
      <c r="EP31" s="51"/>
      <c r="ET31" s="51"/>
      <c r="EU31" s="51"/>
    </row>
    <row r="32" s="1" customFormat="true" ht="13.5" hidden="false" customHeight="false" outlineLevel="1" collapsed="false">
      <c r="B32" s="27" t="n">
        <f aca="false">B30+0.029</f>
        <v>9.029</v>
      </c>
      <c r="D32" s="51" t="s">
        <v>108</v>
      </c>
      <c r="E32" s="28" t="s">
        <v>44</v>
      </c>
      <c r="F32" s="29" t="n">
        <f aca="false">IF(COUNT(G30:CN30)&gt;10,SMALL(G30:CN30,COUNT(G30:CN30)-10),MIN(G30:CN30))</f>
        <v>9</v>
      </c>
      <c r="G32" s="29"/>
      <c r="H32" s="29"/>
      <c r="I32" s="53" t="n">
        <f aca="false">IF(CS32=0,"",CS32)</f>
        <v>10</v>
      </c>
      <c r="J32" s="53"/>
      <c r="K32" s="54" t="n">
        <f aca="false">IFERROR(_xlfn.RANK.EQ(I32,I$6:I$116,0),"")</f>
        <v>4</v>
      </c>
      <c r="L32" s="29"/>
      <c r="M32" s="29"/>
      <c r="N32" s="53" t="str">
        <f aca="false">IF(CU32=0,"",CU32)</f>
        <v/>
      </c>
      <c r="O32" s="53"/>
      <c r="P32" s="54" t="str">
        <f aca="false">IFERROR(_xlfn.RANK.EQ(N32,N$6:N$116,0),"")</f>
        <v/>
      </c>
      <c r="Q32" s="29"/>
      <c r="R32" s="29"/>
      <c r="S32" s="53" t="n">
        <f aca="false">IF(CW32=0,"",CW32)</f>
        <v>17</v>
      </c>
      <c r="T32" s="53"/>
      <c r="U32" s="54" t="n">
        <f aca="false">IFERROR(_xlfn.RANK.EQ(S32,S$6:S$116,0),"")</f>
        <v>3</v>
      </c>
      <c r="V32" s="29"/>
      <c r="W32" s="29"/>
      <c r="X32" s="53" t="str">
        <f aca="false">IF(CY32=0,"",CY32)</f>
        <v/>
      </c>
      <c r="Y32" s="53"/>
      <c r="Z32" s="54" t="str">
        <f aca="false">IFERROR(_xlfn.RANK.EQ(X32,X$6:X$116,0),"")</f>
        <v/>
      </c>
      <c r="AA32" s="29"/>
      <c r="AB32" s="29"/>
      <c r="AC32" s="53" t="n">
        <f aca="false">IF(DA32=0,"",DA32)</f>
        <v>-74</v>
      </c>
      <c r="AD32" s="53"/>
      <c r="AE32" s="54" t="n">
        <f aca="false">IFERROR(_xlfn.RANK.EQ(AC32,AC$6:AC$116,0),"")</f>
        <v>16</v>
      </c>
      <c r="AF32" s="29"/>
      <c r="AG32" s="29"/>
      <c r="AH32" s="53" t="n">
        <f aca="false">IF(DC32=0,"",DC32)</f>
        <v>-0.001</v>
      </c>
      <c r="AI32" s="53"/>
      <c r="AJ32" s="54" t="n">
        <f aca="false">IFERROR(_xlfn.RANK.EQ(AH32,AH$6:AH$116,0),"")</f>
        <v>8</v>
      </c>
      <c r="AK32" s="29"/>
      <c r="AL32" s="29"/>
      <c r="AM32" s="53" t="str">
        <f aca="false">IF(DE32=0,"",DE32)</f>
        <v/>
      </c>
      <c r="AN32" s="53"/>
      <c r="AO32" s="54" t="str">
        <f aca="false">IFERROR(_xlfn.RANK.EQ(AM32,AM$6:AM$116,0),"")</f>
        <v/>
      </c>
      <c r="AP32" s="29"/>
      <c r="AQ32" s="29"/>
      <c r="AR32" s="53" t="n">
        <f aca="false">IF(DG32=0,"",DG32)</f>
        <v>-10</v>
      </c>
      <c r="AS32" s="53"/>
      <c r="AT32" s="54" t="n">
        <f aca="false">IFERROR(_xlfn.RANK.EQ(AR32,AR$6:AR$116,0),"")</f>
        <v>12</v>
      </c>
      <c r="AU32" s="29"/>
      <c r="AV32" s="29"/>
      <c r="AW32" s="53" t="n">
        <f aca="false">IF(DI32=0,"",DI32)</f>
        <v>5</v>
      </c>
      <c r="AX32" s="53"/>
      <c r="AY32" s="54" t="n">
        <f aca="false">IFERROR(_xlfn.RANK.EQ(AW32,AW$6:AW$116,0),"")</f>
        <v>5</v>
      </c>
      <c r="AZ32" s="29"/>
      <c r="BA32" s="29"/>
      <c r="BB32" s="53" t="n">
        <f aca="false">IF(DK32=0,"",DK32)</f>
        <v>12</v>
      </c>
      <c r="BC32" s="53"/>
      <c r="BD32" s="54" t="n">
        <f aca="false">IFERROR(_xlfn.RANK.EQ(BB32,BB$6:BB$116,0),"")</f>
        <v>5</v>
      </c>
      <c r="BE32" s="29"/>
      <c r="BF32" s="29"/>
      <c r="BG32" s="53" t="str">
        <f aca="false">IF(DM32=0,"",DM32)</f>
        <v/>
      </c>
      <c r="BH32" s="53"/>
      <c r="BI32" s="54" t="str">
        <f aca="false">IFERROR(_xlfn.RANK.EQ(BG32,BG$6:BG$116,0),"")</f>
        <v/>
      </c>
      <c r="BJ32" s="29"/>
      <c r="BK32" s="29"/>
      <c r="BL32" s="53" t="str">
        <f aca="false">IF(DO32=0,"",DO32)</f>
        <v/>
      </c>
      <c r="BM32" s="53"/>
      <c r="BN32" s="54" t="str">
        <f aca="false">IFERROR(_xlfn.RANK.EQ(BL32,BL$6:BL$116,0),"")</f>
        <v/>
      </c>
      <c r="BO32" s="29"/>
      <c r="BP32" s="29"/>
      <c r="BQ32" s="53" t="str">
        <f aca="false">IF(DQ32=0,"",DQ32)</f>
        <v/>
      </c>
      <c r="BR32" s="53"/>
      <c r="BS32" s="54" t="str">
        <f aca="false">IFERROR(_xlfn.RANK.EQ(BQ32,BQ$6:BQ$116,0),"")</f>
        <v/>
      </c>
      <c r="BT32" s="29"/>
      <c r="BU32" s="29"/>
      <c r="BV32" s="53" t="str">
        <f aca="false">IF(DS32=0,"",DS32)</f>
        <v/>
      </c>
      <c r="BW32" s="53"/>
      <c r="BX32" s="54" t="str">
        <f aca="false">IFERROR(_xlfn.RANK.EQ(BV32,BV$6:BV$116,0),"")</f>
        <v/>
      </c>
      <c r="BY32" s="29"/>
      <c r="BZ32" s="29"/>
      <c r="CA32" s="53" t="str">
        <f aca="false">IF(DU32=0,"",DU32)</f>
        <v/>
      </c>
      <c r="CB32" s="53"/>
      <c r="CC32" s="54" t="str">
        <f aca="false">IFERROR(_xlfn.RANK.EQ(CA32,CA$6:CA$116,0),"")</f>
        <v/>
      </c>
      <c r="CD32" s="29"/>
      <c r="CE32" s="29"/>
      <c r="CF32" s="53" t="str">
        <f aca="false">IF(DW32=0,"",DW32)</f>
        <v/>
      </c>
      <c r="CG32" s="53"/>
      <c r="CH32" s="54" t="str">
        <f aca="false">IFERROR(_xlfn.RANK.EQ(CF32,CF$6:CF$116,0),"")</f>
        <v/>
      </c>
      <c r="CI32" s="29"/>
      <c r="CJ32" s="29"/>
      <c r="CK32" s="53" t="str">
        <f aca="false">IF(DY32=0,"",DY32)</f>
        <v/>
      </c>
      <c r="CL32" s="53"/>
      <c r="CM32" s="54" t="str">
        <f aca="false">IFERROR(_xlfn.RANK.EQ(CK32,CK$6:CK$116,0),"")</f>
        <v/>
      </c>
      <c r="CN32" s="29"/>
      <c r="CO32" s="29"/>
      <c r="CP32" s="53" t="str">
        <f aca="false">IF(EA32=0,"",EA32)</f>
        <v/>
      </c>
      <c r="CQ32" s="53"/>
      <c r="CR32" s="54" t="str">
        <f aca="false">IFERROR(_xlfn.RANK.EQ(CP32,CP$6:CP$116,0),"")</f>
        <v/>
      </c>
      <c r="CS32" s="30" t="n">
        <v>10</v>
      </c>
      <c r="CT32" s="31" t="n">
        <f aca="true">IFERROR(AVERAGE(OFFSET('Data - For Rank'!B$2,K32,0,COUNTIF(K$6:K$116,K32)))+IFERROR(VLOOKUP((COUNT($I$6:$I$116)/4),$ER$9:$ES$13,2,FALSE()),0),"")</f>
        <v>14.5</v>
      </c>
      <c r="CU32" s="30"/>
      <c r="CV32" s="31" t="str">
        <f aca="true">IFERROR(AVERAGE(OFFSET('Data - For Rank'!$C$2,P32,0,COUNTIF(P$6:P$116,P32)))+IFERROR(VLOOKUP((COUNT(N$6:N$116)/4),$ER$9:$ES$13,2,FALSE()),0),"")</f>
        <v/>
      </c>
      <c r="CW32" s="30" t="n">
        <v>17</v>
      </c>
      <c r="CX32" s="31" t="n">
        <f aca="true">IFERROR(AVERAGE(OFFSET('Data - For Rank'!D$2,U32,0,COUNTIF(U$6:$U140,U32)))+IFERROR(VLOOKUP((COUNT(S$6:S$116)/4),$ER$9:$ES$13,2,FALSE()),0),"")</f>
        <v>14</v>
      </c>
      <c r="CY32" s="30"/>
      <c r="CZ32" s="31" t="str">
        <f aca="true">IFERROR(AVERAGE(OFFSET('Data - For Rank'!E$2,Z32,0,COUNTIF(Z$6:Z$116,Z32)))+IFERROR(VLOOKUP((COUNT(W$6:W$116)/4),$ER$9:$ES$13,2,FALSE()),0),"")</f>
        <v/>
      </c>
      <c r="DA32" s="30" t="n">
        <v>-74</v>
      </c>
      <c r="DB32" s="31" t="n">
        <f aca="true">IFERROR(AVERAGE(OFFSET('Data - For Rank'!F$2,AE32,0,COUNTIF(AE$6:AE$116,AE32)))+IFERROR(VLOOKUP((COUNT(AC$6:AC$116)/4),$ER$9:$ES$13,2,FALSE()),0),"")</f>
        <v>3</v>
      </c>
      <c r="DC32" s="30" t="n">
        <v>-0.001</v>
      </c>
      <c r="DD32" s="31" t="n">
        <f aca="true">IFERROR(AVERAGE(OFFSET('Data - For Rank'!G$2,AJ32,0,COUNTIF(AJ$6:AJ$116,AJ32)))+IFERROR(VLOOKUP((COUNT(AH$6:AH$116)/4),$ER$9:$ES$13,2,FALSE()),0),"")</f>
        <v>9.5</v>
      </c>
      <c r="DE32" s="30"/>
      <c r="DF32" s="31" t="str">
        <f aca="true">IFERROR(AVERAGE(OFFSET('Data - For Rank'!$H$2,AO32,0,COUNTIF(AO$6:AO$116,AO32)))+IFERROR(VLOOKUP((COUNT(AM$6:AM$116)/4),$ER$9:$ES$13,2,FALSE()),0),"")</f>
        <v/>
      </c>
      <c r="DG32" s="30" t="n">
        <v>-10</v>
      </c>
      <c r="DH32" s="31" t="n">
        <f aca="true">IFERROR(AVERAGE(OFFSET('Data - For Rank'!$I$2,AT32,0,COUNTIF(AT$6:AT$116,AT32)))+IFERROR(VLOOKUP((COUNT(AR$6:AR$116)/4),$ER$9:$ES$13,2,FALSE()),0),"")</f>
        <v>6.5</v>
      </c>
      <c r="DI32" s="30" t="n">
        <v>5</v>
      </c>
      <c r="DJ32" s="31" t="n">
        <f aca="true">IFERROR(AVERAGE(OFFSET('Data - For Rank'!$J$2,AY32,0,COUNTIF(AY$6:AY$116,AY32)))+IFERROR(VLOOKUP((COUNT(AW$6:AW$116)/4),$ER$9:$ES$13,2,FALSE()),0),"")</f>
        <v>13.5</v>
      </c>
      <c r="DK32" s="30" t="n">
        <v>12</v>
      </c>
      <c r="DL32" s="31" t="n">
        <f aca="true">IFERROR(AVERAGE(OFFSET('Data - For Rank'!$K$2,BD32,0,COUNTIF(BD$6:BD$116,BD32)))+IFERROR(VLOOKUP((COUNT(BB$6:BB$116)/4),$ER$9:$ES$13,2,FALSE()),0),"")</f>
        <v>12</v>
      </c>
      <c r="DM32" s="30"/>
      <c r="DN32" s="31" t="str">
        <f aca="true">IFERROR(AVERAGE(OFFSET('Data - For Rank'!$L$2,BI32,0,COUNTIF(BI$6:BI$116,BI32)))+IFERROR(VLOOKUP((COUNT(BG$6:BG$116)/4),$ER$9:$ES$13,2,FALSE()),0),"")</f>
        <v/>
      </c>
      <c r="DO32" s="30"/>
      <c r="DP32" s="31" t="str">
        <f aca="true">IFERROR(AVERAGE(OFFSET('Data - For Rank'!$M$2,BN32,0,COUNTIF(BN$6:BN$116,BN32)))+IFERROR(VLOOKUP((COUNT(BL$6:BL$116)/4),$ER$9:$ES$13,2,FALSE()),0),"")</f>
        <v/>
      </c>
      <c r="DQ32" s="30"/>
      <c r="DR32" s="31" t="str">
        <f aca="true">IFERROR(AVERAGE(OFFSET('Data - For Rank'!$N$2,BS32,0,COUNTIF(BS$6:BS$116,BS32)))+IFERROR(VLOOKUP((COUNT(BQ$6:BQ$116)/4),$ER$9:$ES$13,2,FALSE()),0),"")</f>
        <v/>
      </c>
      <c r="DS32" s="30"/>
      <c r="DT32" s="31" t="str">
        <f aca="true">IFERROR(AVERAGE(OFFSET('Data - For Rank'!$O$2,BX32,0,COUNTIF(BX$6:BX$116,BX32)))+IFERROR(VLOOKUP((COUNT(BV$6:BV$116)/4),$ER$9:$ES$13,2,FALSE()),0),"")</f>
        <v/>
      </c>
      <c r="DU32" s="30"/>
      <c r="DV32" s="31" t="str">
        <f aca="true">IFERROR(AVERAGE(OFFSET('Data - For Rank'!$P$2,CC32,0,COUNTIF(CC$6:CC$116,CC32)))+IFERROR(VLOOKUP((COUNT(CA$6:CA$116)/4),$ER$9:$ES$13,2,FALSE()),0),"")</f>
        <v/>
      </c>
      <c r="DW32" s="30"/>
      <c r="DX32" s="31" t="str">
        <f aca="true">IFERROR(AVERAGE(OFFSET('Data - For Rank'!$Q$2,CH32,0,COUNTIF(CH$6:CH$116,CH32)))+IFERROR(VLOOKUP((COUNT(CF$6:CF$116)/4),$ER$9:$ES$13,2,FALSE()),0),"")</f>
        <v/>
      </c>
      <c r="DY32" s="30"/>
      <c r="DZ32" s="31" t="str">
        <f aca="true">IFERROR(AVERAGE(OFFSET('Data - For Rank'!$R$2,CM32,0,COUNTIF(CM$6:CM$116,CM32)))+IFERROR(VLOOKUP((COUNT(CK$6:CK$116)/4),$ER$9:$ES$13,2,FALSE()),0),"")</f>
        <v/>
      </c>
      <c r="EA32" s="30"/>
      <c r="EB32" s="31" t="str">
        <f aca="true">IFERROR(AVERAGE(OFFSET('Data - For Rank'!$S$2,CR32,0,COUNTIF(CR$6:CR$116,CR32)))+IFERROR(VLOOKUP((COUNT(CP$6:CP$116)/4),$ER$9:$ES$13,2,FALSE()),0),"")</f>
        <v/>
      </c>
      <c r="EC32" s="32" t="n">
        <f aca="false">CS32+CU32+CW32+CY32+DA32+DC32+DE32+DG32+DI32+DK32+DM32+DO32+DQ32+DS32+DU32+DW32+DY32+EA32</f>
        <v>-40.001</v>
      </c>
      <c r="ED32" s="33" t="n">
        <f aca="false">AVERAGE(CT32,CV32,CX32,CZ32,DB32,DD32,DF32,DH32,DJ32,DL32,DN32,DP32,DR32,DT32,DV32,DX32,DZ32,EB32)</f>
        <v>10.4285714285714</v>
      </c>
      <c r="EN32" s="51"/>
      <c r="EO32" s="51"/>
      <c r="EP32" s="51"/>
      <c r="ET32" s="51"/>
      <c r="EU32" s="51"/>
    </row>
    <row r="33" customFormat="false" ht="13.5" hidden="false" customHeight="false" outlineLevel="0" collapsed="false">
      <c r="B33" s="8" t="n">
        <f aca="false">_xlfn.RANK.EQ(C33,$C$6:$C$63,)</f>
        <v>10</v>
      </c>
      <c r="C33" s="43" t="n">
        <f aca="false">EC33</f>
        <v>135.5</v>
      </c>
      <c r="D33" s="43" t="s">
        <v>109</v>
      </c>
      <c r="E33" s="9" t="s">
        <v>53</v>
      </c>
      <c r="F33" s="20" t="n">
        <f aca="false">COUNT(CT33,CV33,CX33,CZ33,DB33,DD33,DF33,DH33,DJ33,DL33,DN33,DP33,DR33,DT33,DV33,DX33,DZ33,EB33)</f>
        <v>8</v>
      </c>
      <c r="G33" s="49" t="n">
        <f aca="false">IF(CT33=0,"",CT33)</f>
        <v>10.5</v>
      </c>
      <c r="H33" s="49"/>
      <c r="I33" s="49"/>
      <c r="K33" s="49"/>
      <c r="L33" s="49" t="str">
        <f aca="false">IF(CV33=0,"",CV33)</f>
        <v/>
      </c>
      <c r="M33" s="49"/>
      <c r="N33" s="49"/>
      <c r="P33" s="49"/>
      <c r="Q33" s="49" t="n">
        <f aca="false">IF(CX33=0,"",CX33)</f>
        <v>14.5</v>
      </c>
      <c r="R33" s="49"/>
      <c r="S33" s="49"/>
      <c r="U33" s="49"/>
      <c r="V33" s="49" t="str">
        <f aca="false">IF(CZ33=0,"",CZ33)</f>
        <v/>
      </c>
      <c r="W33" s="49"/>
      <c r="X33" s="49"/>
      <c r="Z33" s="49"/>
      <c r="AA33" s="49" t="n">
        <f aca="false">IF(DB33=0,"",DB33)</f>
        <v>25</v>
      </c>
      <c r="AB33" s="49"/>
      <c r="AC33" s="49"/>
      <c r="AE33" s="49"/>
      <c r="AF33" s="49" t="n">
        <f aca="false">IF(DD33=0,"",DD33)</f>
        <v>24.5</v>
      </c>
      <c r="AG33" s="49"/>
      <c r="AH33" s="49"/>
      <c r="AJ33" s="49"/>
      <c r="AK33" s="49" t="n">
        <f aca="false">IF(DF33=0,"",DF33)</f>
        <v>15.5</v>
      </c>
      <c r="AL33" s="49"/>
      <c r="AM33" s="49"/>
      <c r="AO33" s="49"/>
      <c r="AP33" s="49" t="n">
        <f aca="false">IF(DH33=0,"",DH33)</f>
        <v>18.5</v>
      </c>
      <c r="AQ33" s="49"/>
      <c r="AR33" s="49"/>
      <c r="AT33" s="49"/>
      <c r="AU33" s="49" t="n">
        <f aca="false">IF(DJ33=0,"",DJ33)</f>
        <v>17</v>
      </c>
      <c r="AV33" s="49"/>
      <c r="AW33" s="49"/>
      <c r="AY33" s="49"/>
      <c r="AZ33" s="49" t="n">
        <f aca="false">IF(DL33=0,"",DL33)</f>
        <v>10</v>
      </c>
      <c r="BA33" s="49"/>
      <c r="BB33" s="49"/>
      <c r="BD33" s="49"/>
      <c r="BE33" s="49" t="str">
        <f aca="false">IF(DN33=0,"",DN33)</f>
        <v/>
      </c>
      <c r="BF33" s="49"/>
      <c r="BG33" s="49"/>
      <c r="BI33" s="49"/>
      <c r="BJ33" s="49" t="str">
        <f aca="false">IF(DP33=0,"",DP33)</f>
        <v/>
      </c>
      <c r="BK33" s="49"/>
      <c r="BL33" s="49"/>
      <c r="BN33" s="49"/>
      <c r="BO33" s="49" t="str">
        <f aca="false">IF(DR33=0,"",DR33)</f>
        <v/>
      </c>
      <c r="BP33" s="49"/>
      <c r="BQ33" s="49"/>
      <c r="BS33" s="49"/>
      <c r="BT33" s="49" t="str">
        <f aca="false">IF(DT33=0,"",DT33)</f>
        <v/>
      </c>
      <c r="BU33" s="49"/>
      <c r="BV33" s="49"/>
      <c r="BX33" s="49"/>
      <c r="BY33" s="49" t="str">
        <f aca="false">IF(DV33=0,"",DV33)</f>
        <v/>
      </c>
      <c r="BZ33" s="49"/>
      <c r="CA33" s="49"/>
      <c r="CC33" s="49"/>
      <c r="CD33" s="49" t="str">
        <f aca="false">IF(DX33=0,"",DX33)</f>
        <v/>
      </c>
      <c r="CE33" s="49"/>
      <c r="CF33" s="49"/>
      <c r="CH33" s="49"/>
      <c r="CI33" s="49" t="str">
        <f aca="false">IF(DZ33=0,"",DZ33)</f>
        <v/>
      </c>
      <c r="CJ33" s="49"/>
      <c r="CK33" s="49"/>
      <c r="CM33" s="49"/>
      <c r="CN33" s="49" t="str">
        <f aca="false">IF(EB33=0,"",EB33)</f>
        <v/>
      </c>
      <c r="CO33" s="49"/>
      <c r="CP33" s="49"/>
      <c r="CR33" s="49"/>
      <c r="CS33" s="21" t="n">
        <v>93</v>
      </c>
      <c r="CT33" s="22" t="n">
        <f aca="false">IFERROR(CT34+CT35,"")</f>
        <v>10.5</v>
      </c>
      <c r="CU33" s="21"/>
      <c r="CV33" s="22" t="str">
        <f aca="false">IFERROR(CV34+CV35,"")</f>
        <v/>
      </c>
      <c r="CW33" s="21" t="n">
        <v>101</v>
      </c>
      <c r="CX33" s="22" t="n">
        <f aca="false">IFERROR(CX34+CX35,"")</f>
        <v>14.5</v>
      </c>
      <c r="CY33" s="21"/>
      <c r="CZ33" s="22" t="str">
        <f aca="false">IFERROR(CZ34+CZ35,"")</f>
        <v/>
      </c>
      <c r="DA33" s="21" t="n">
        <v>92</v>
      </c>
      <c r="DB33" s="22" t="n">
        <f aca="false">IFERROR(DB34+DB35,"")</f>
        <v>25</v>
      </c>
      <c r="DC33" s="21" t="n">
        <v>96</v>
      </c>
      <c r="DD33" s="22" t="n">
        <f aca="false">IFERROR(DD34+DD35,"")</f>
        <v>24.5</v>
      </c>
      <c r="DE33" s="21" t="n">
        <v>87</v>
      </c>
      <c r="DF33" s="22" t="n">
        <f aca="false">IFERROR(DF34+DF35,"")</f>
        <v>15.5</v>
      </c>
      <c r="DG33" s="21" t="n">
        <v>90</v>
      </c>
      <c r="DH33" s="22" t="n">
        <f aca="false">IFERROR(DH34+DH35,"")</f>
        <v>18.5</v>
      </c>
      <c r="DI33" s="21" t="n">
        <v>89</v>
      </c>
      <c r="DJ33" s="22" t="n">
        <f aca="false">IFERROR(DJ34+DJ35,"")</f>
        <v>17</v>
      </c>
      <c r="DK33" s="21" t="n">
        <v>92</v>
      </c>
      <c r="DL33" s="22" t="n">
        <f aca="false">IFERROR(DL34+DL35,"")</f>
        <v>10</v>
      </c>
      <c r="DM33" s="21"/>
      <c r="DN33" s="22" t="str">
        <f aca="false">IFERROR(DN34+DN35,"")</f>
        <v/>
      </c>
      <c r="DO33" s="21"/>
      <c r="DP33" s="22" t="str">
        <f aca="false">IFERROR(DP34+DP35,"")</f>
        <v/>
      </c>
      <c r="DQ33" s="21"/>
      <c r="DR33" s="22" t="str">
        <f aca="false">IFERROR(DR34+DR35,"")</f>
        <v/>
      </c>
      <c r="DS33" s="21"/>
      <c r="DT33" s="22" t="str">
        <f aca="false">IFERROR(DT34+DT35,"")</f>
        <v/>
      </c>
      <c r="DU33" s="21"/>
      <c r="DV33" s="22" t="str">
        <f aca="false">IFERROR(DV34+DV35,"")</f>
        <v/>
      </c>
      <c r="DW33" s="21"/>
      <c r="DX33" s="22" t="str">
        <f aca="false">IFERROR(DX34+DX35,"")</f>
        <v/>
      </c>
      <c r="DY33" s="21"/>
      <c r="DZ33" s="22" t="str">
        <f aca="false">IFERROR(DZ34+DZ35,"")</f>
        <v/>
      </c>
      <c r="EA33" s="21"/>
      <c r="EB33" s="22" t="str">
        <f aca="false">IFERROR(EB34+EB35,"")</f>
        <v/>
      </c>
      <c r="EC33" s="17" t="n">
        <f aca="false">IFERROR(LARGE($G33:$CN33,1),0)+IFERROR(LARGE($G33:$CN33,2),0)+IFERROR(LARGE($G33:$CN33,3),0)+IFERROR(LARGE($G33:$CN33,4),0)+IFERROR(LARGE($G33:$CN33,5),0)+IFERROR(LARGE($G33:$CN33,6),0)+IFERROR(LARGE($G33:$CN33,7),0)+IFERROR(LARGE($G33:$CN33,8),0)+IFERROR(LARGE($G33:$CN33,9),0)+IFERROR(LARGE($G33:$CN33,10),0)</f>
        <v>135.5</v>
      </c>
      <c r="ED33" s="23" t="n">
        <f aca="false">AVERAGE(CT33,CV33,CX33,CZ33,DB33,DD33,DF33,DH33,DJ33,DL33,DN33,DP33,DR33,DT33,DV33,DX33,DZ33,EB33)</f>
        <v>16.9375</v>
      </c>
      <c r="EN33" s="51"/>
      <c r="EO33" s="51"/>
      <c r="EP33" s="51"/>
      <c r="ET33" s="51"/>
      <c r="EU33" s="51"/>
    </row>
    <row r="34" s="1" customFormat="true" ht="13.5" hidden="false" customHeight="false" outlineLevel="1" collapsed="false">
      <c r="B34" s="24" t="n">
        <f aca="false">B33+0.113</f>
        <v>10.113</v>
      </c>
      <c r="D34" s="51" t="s">
        <v>110</v>
      </c>
      <c r="E34" s="7" t="s">
        <v>43</v>
      </c>
      <c r="F34" s="7"/>
      <c r="G34" s="7"/>
      <c r="H34" s="7" t="n">
        <f aca="false">IF(CS34=0,"",CS34)</f>
        <v>30</v>
      </c>
      <c r="I34" s="7"/>
      <c r="J34" s="49" t="n">
        <f aca="false">IFERROR(RANK(H34,H$6:H$116,0),"")</f>
        <v>11</v>
      </c>
      <c r="K34" s="7"/>
      <c r="L34" s="7"/>
      <c r="M34" s="7" t="str">
        <f aca="false">IF(CU34=0,"",CU34)</f>
        <v/>
      </c>
      <c r="N34" s="7"/>
      <c r="O34" s="49" t="str">
        <f aca="false">IFERROR(RANK(M34,M$6:M$116,0),"")</f>
        <v/>
      </c>
      <c r="P34" s="7"/>
      <c r="Q34" s="7"/>
      <c r="R34" s="7" t="n">
        <f aca="false">IF(CW34=0,"",CW34)</f>
        <v>24</v>
      </c>
      <c r="S34" s="7"/>
      <c r="T34" s="49" t="n">
        <f aca="false">IFERROR(RANK(R34,R$6:R$116,0),"")</f>
        <v>11</v>
      </c>
      <c r="U34" s="7"/>
      <c r="V34" s="7"/>
      <c r="W34" s="7" t="str">
        <f aca="false">IF(CY34=0,"",CY34)</f>
        <v/>
      </c>
      <c r="X34" s="7"/>
      <c r="Y34" s="49" t="str">
        <f aca="false">IFERROR(RANK(W34,W$6:W$116,0),"")</f>
        <v/>
      </c>
      <c r="Z34" s="7"/>
      <c r="AA34" s="7"/>
      <c r="AB34" s="7" t="n">
        <f aca="false">IF(DA34=0,"",DA34)</f>
        <v>31</v>
      </c>
      <c r="AC34" s="7"/>
      <c r="AD34" s="49" t="n">
        <f aca="false">IFERROR(RANK(AB34,AB$6:AB$116,0),"")</f>
        <v>7</v>
      </c>
      <c r="AE34" s="7"/>
      <c r="AF34" s="7"/>
      <c r="AG34" s="7" t="n">
        <f aca="false">IF(DC34=0,"",DC34)</f>
        <v>29</v>
      </c>
      <c r="AH34" s="7"/>
      <c r="AI34" s="49" t="n">
        <f aca="false">IFERROR(RANK(AG34,AG$6:AG$116,0),"")</f>
        <v>11</v>
      </c>
      <c r="AJ34" s="7"/>
      <c r="AK34" s="7"/>
      <c r="AL34" s="7" t="n">
        <f aca="false">IF(DE34=0,"",DE34)</f>
        <v>31</v>
      </c>
      <c r="AM34" s="7"/>
      <c r="AN34" s="49" t="n">
        <f aca="false">IFERROR(RANK(AL34,AL$6:AL$116,0),"")</f>
        <v>10</v>
      </c>
      <c r="AO34" s="7"/>
      <c r="AP34" s="7"/>
      <c r="AQ34" s="7" t="n">
        <f aca="false">IF(DG34=0,"",DG34)</f>
        <v>30</v>
      </c>
      <c r="AR34" s="7"/>
      <c r="AS34" s="49" t="n">
        <f aca="false">IFERROR(RANK(AQ34,AQ$6:AQ$116,0),"")</f>
        <v>11</v>
      </c>
      <c r="AT34" s="7"/>
      <c r="AU34" s="7"/>
      <c r="AV34" s="7" t="n">
        <f aca="false">IF(DI34=0,"",DI34)</f>
        <v>34</v>
      </c>
      <c r="AW34" s="7"/>
      <c r="AX34" s="49" t="n">
        <f aca="false">IFERROR(RANK(AV34,AV$6:AV$116,0),"")</f>
        <v>7</v>
      </c>
      <c r="AY34" s="7"/>
      <c r="AZ34" s="7"/>
      <c r="BA34" s="7" t="n">
        <f aca="false">IF(DK34=0,"",DK34)</f>
        <v>25</v>
      </c>
      <c r="BB34" s="7"/>
      <c r="BC34" s="49" t="n">
        <f aca="false">IFERROR(RANK(BA34,BA$6:BA$116,0),"")</f>
        <v>12</v>
      </c>
      <c r="BD34" s="7"/>
      <c r="BE34" s="7"/>
      <c r="BF34" s="7" t="str">
        <f aca="false">IF(DM34=0,"",DM34)</f>
        <v/>
      </c>
      <c r="BG34" s="7"/>
      <c r="BH34" s="49" t="str">
        <f aca="false">IFERROR(RANK(BF34,BF$6:BF$116,0),"")</f>
        <v/>
      </c>
      <c r="BI34" s="7"/>
      <c r="BJ34" s="7"/>
      <c r="BK34" s="7" t="str">
        <f aca="false">IF(DO34=0,"",DO34)</f>
        <v/>
      </c>
      <c r="BL34" s="7"/>
      <c r="BM34" s="49" t="str">
        <f aca="false">IFERROR(RANK(BK34,BK$6:BK$116,0),"")</f>
        <v/>
      </c>
      <c r="BN34" s="7"/>
      <c r="BO34" s="7"/>
      <c r="BP34" s="7" t="str">
        <f aca="false">IF(DQ34=0,"",DQ34)</f>
        <v/>
      </c>
      <c r="BQ34" s="7"/>
      <c r="BR34" s="49" t="str">
        <f aca="false">IFERROR(RANK(BP34,BP$6:BP$116,0),"")</f>
        <v/>
      </c>
      <c r="BS34" s="7"/>
      <c r="BT34" s="7"/>
      <c r="BU34" s="7" t="str">
        <f aca="false">IF(DS34=0,"",DS34)</f>
        <v/>
      </c>
      <c r="BV34" s="7"/>
      <c r="BW34" s="49" t="str">
        <f aca="false">IFERROR(RANK(BU34,BU$6:BU$116,0),"")</f>
        <v/>
      </c>
      <c r="BX34" s="7"/>
      <c r="BY34" s="7"/>
      <c r="BZ34" s="7" t="str">
        <f aca="false">IF(DU34=0,"",DU34)</f>
        <v/>
      </c>
      <c r="CA34" s="7"/>
      <c r="CB34" s="49" t="str">
        <f aca="false">IFERROR(RANK(BZ34,BZ$6:BZ$116,0),"")</f>
        <v/>
      </c>
      <c r="CC34" s="7"/>
      <c r="CD34" s="7"/>
      <c r="CE34" s="7" t="str">
        <f aca="false">IF(DW34=0,"",DW34)</f>
        <v/>
      </c>
      <c r="CF34" s="7"/>
      <c r="CG34" s="49" t="str">
        <f aca="false">IFERROR(RANK(CE34,CE$6:CE$116,0),"")</f>
        <v/>
      </c>
      <c r="CH34" s="7"/>
      <c r="CI34" s="7"/>
      <c r="CJ34" s="7" t="str">
        <f aca="false">IF(DY34=0,"",DY34)</f>
        <v/>
      </c>
      <c r="CK34" s="7"/>
      <c r="CL34" s="49" t="str">
        <f aca="false">IFERROR(RANK(CJ34,CJ$6:CJ$116,0),"")</f>
        <v/>
      </c>
      <c r="CM34" s="7"/>
      <c r="CN34" s="7"/>
      <c r="CO34" s="7" t="str">
        <f aca="false">IF(EA34=0,"",EA34)</f>
        <v/>
      </c>
      <c r="CP34" s="7"/>
      <c r="CQ34" s="49" t="str">
        <f aca="false">IFERROR(RANK(CO34,CO$6:CO$116,0),"")</f>
        <v/>
      </c>
      <c r="CR34" s="7"/>
      <c r="CS34" s="21" t="n">
        <v>30</v>
      </c>
      <c r="CT34" s="25" t="n">
        <f aca="true">IFERROR(AVERAGE(OFFSET('Data - For Rank'!B$2,J34,0,COUNTIF($J$7:J$116,J34)))+IFERROR(VLOOKUP((COUNT($H$6:$H$116)/4),$ER$9:$ES$13,2,FALSE()),0),"")</f>
        <v>7.5</v>
      </c>
      <c r="CU34" s="21"/>
      <c r="CV34" s="25" t="str">
        <f aca="true">IFERROR(AVERAGE(OFFSET('Data - For Rank'!$C$2,O34,0,COUNTIF(O$7:O$116,O34)))+IFERROR(VLOOKUP((COUNT(M$6:M$116)/4),$ER$9:$ES$13,2,FALSE()),0),"")</f>
        <v/>
      </c>
      <c r="CW34" s="21" t="n">
        <v>24</v>
      </c>
      <c r="CX34" s="25" t="n">
        <f aca="true">IFERROR(AVERAGE(OFFSET('Data - For Rank'!D$2,T34,0,COUNTIF(T$7:T$116,T34)))+IFERROR(VLOOKUP((COUNT(R$6:R$116)/4),$ER$9:$ES$13,2,FALSE()),0),"")</f>
        <v>6</v>
      </c>
      <c r="CY34" s="21"/>
      <c r="CZ34" s="25" t="str">
        <f aca="true">IFERROR(AVERAGE(OFFSET('Data - For Rank'!E$2,Y34,0,COUNTIF(Y$7:Y$116,Y34)))+IFERROR(VLOOKUP((COUNT(W$6:W$116)/4),$ER$9:$ES$13,2,FALSE()),0),"")</f>
        <v/>
      </c>
      <c r="DA34" s="21" t="n">
        <v>31</v>
      </c>
      <c r="DB34" s="25" t="n">
        <f aca="true">IFERROR(AVERAGE(OFFSET('Data - For Rank'!F$2,AD34,0,COUNTIF(AD$7:AD$116,AD34)))+IFERROR(VLOOKUP((COUNT(AB$6:AB$116)/4),$ER$9:$ES$13,2,FALSE()),0),"")</f>
        <v>11</v>
      </c>
      <c r="DC34" s="21" t="n">
        <v>29</v>
      </c>
      <c r="DD34" s="25" t="n">
        <f aca="true">IFERROR(AVERAGE(OFFSET('Data - For Rank'!G$2,AI34,0,COUNTIF(AI$7:AI$116,AI34)))+IFERROR(VLOOKUP((COUNT(AG$6:AG$116)/4),$ER$9:$ES$13,2,FALSE()),0),"")</f>
        <v>7.5</v>
      </c>
      <c r="DE34" s="21" t="n">
        <v>31</v>
      </c>
      <c r="DF34" s="25" t="n">
        <f aca="true">IFERROR(AVERAGE(OFFSET('Data - For Rank'!$H$2,AN34,0,COUNTIF(AN$7:AN$116,AN34)))+IFERROR(VLOOKUP((COUNT(AL$6:AL$116)/4),$ER$9:$ES$13,2,FALSE()),0),"")</f>
        <v>6.5</v>
      </c>
      <c r="DG34" s="21" t="n">
        <v>30</v>
      </c>
      <c r="DH34" s="25" t="n">
        <f aca="true">IFERROR(AVERAGE(OFFSET('Data - For Rank'!$I$2,AS34,0,COUNTIF(AS$7:AS$116,AS34)))+IFERROR(VLOOKUP((COUNT(AQ$6:AQ$116)/4),$ER$9:$ES$13,2,FALSE()),0),"")</f>
        <v>8</v>
      </c>
      <c r="DI34" s="21" t="n">
        <v>34</v>
      </c>
      <c r="DJ34" s="25" t="n">
        <f aca="true">IFERROR(AVERAGE(OFFSET('Data - For Rank'!$J$2,AX34,0,COUNTIF(AX$7:AX$116,AX34)))+IFERROR(VLOOKUP((COUNT(AV$6:AV$116)/4),$ER$9:$ES$13,2,FALSE()),0),"")</f>
        <v>11</v>
      </c>
      <c r="DK34" s="21" t="n">
        <v>25</v>
      </c>
      <c r="DL34" s="25" t="n">
        <f aca="true">IFERROR(AVERAGE(OFFSET('Data - For Rank'!$K$2,BC34,0,COUNTIF(BC$7:BC$116,BC34)))+IFERROR(VLOOKUP((COUNT(BA$6:BA$116)/4),$ER$9:$ES$13,2,FALSE()),0),"")</f>
        <v>5</v>
      </c>
      <c r="DM34" s="21"/>
      <c r="DN34" s="25" t="str">
        <f aca="true">IFERROR(AVERAGE(OFFSET('Data - For Rank'!$L$2,BH34,0,COUNTIF(BH$7:BH$116,BH34)))+IFERROR(VLOOKUP((COUNT(BF$6:BF$116)/4),$ER$9:$ES$13,2,FALSE()),0),"")</f>
        <v/>
      </c>
      <c r="DO34" s="21"/>
      <c r="DP34" s="25" t="str">
        <f aca="true">IFERROR(AVERAGE(OFFSET('Data - For Rank'!$M$2,BM34,0,COUNTIF(BM$7:BM$116,BM34)))+IFERROR(VLOOKUP((COUNT(BK$6:BK$116)/4),$ER$9:$ES$13,2,FALSE()),0),"")</f>
        <v/>
      </c>
      <c r="DQ34" s="21"/>
      <c r="DR34" s="25" t="str">
        <f aca="true">IFERROR(AVERAGE(OFFSET('Data - For Rank'!$N$2,BR34,0,COUNTIF(BR$7:BR$116,BR34)))+IFERROR(VLOOKUP((COUNT(BP$6:BP$116)/4),$ER$9:$ES$13,2,FALSE()),0),"")</f>
        <v/>
      </c>
      <c r="DS34" s="21"/>
      <c r="DT34" s="25" t="str">
        <f aca="true">IFERROR(AVERAGE(OFFSET('Data - For Rank'!$O$2,BW34,0,COUNTIF(BW$7:BW$116,BW34)))+IFERROR(VLOOKUP((COUNT(BU$6:BU$116)/4),$ER$9:$ES$13,2,FALSE()),0),"")</f>
        <v/>
      </c>
      <c r="DU34" s="21"/>
      <c r="DV34" s="25" t="str">
        <f aca="true">IFERROR(AVERAGE(OFFSET('Data - For Rank'!$P$2,CB34,0,COUNTIF(CB$7:CB$116,CB34)))+IFERROR(VLOOKUP((COUNT(BZ$6:BZ$116)/4),$ER$9:$ES$13,2,FALSE()),0),"")</f>
        <v/>
      </c>
      <c r="DW34" s="21"/>
      <c r="DX34" s="25" t="str">
        <f aca="true">IFERROR(AVERAGE(OFFSET('Data - For Rank'!$Q$2,CG34,0,COUNTIF(CG$7:CG$116,CG34)))+IFERROR(VLOOKUP((COUNT(CE$6:CE$116)/4),$ER$9:$ES$13,2,FALSE()),0),"")</f>
        <v/>
      </c>
      <c r="DY34" s="21"/>
      <c r="DZ34" s="25" t="str">
        <f aca="true">IFERROR(AVERAGE(OFFSET('Data - For Rank'!$R$2,CL34,0,COUNTIF(CL$7:CL$116,CL34)))+IFERROR(VLOOKUP((COUNT(CJ$6:CJ$116)/4),$ER$9:$ES$13,2,FALSE()),0),"")</f>
        <v/>
      </c>
      <c r="EA34" s="21"/>
      <c r="EB34" s="25" t="str">
        <f aca="true">IFERROR(AVERAGE(OFFSET('Data - For Rank'!$S$2,CQ34,0,COUNTIF(CQ$7:CQ$116,CQ34)))+IFERROR(VLOOKUP((COUNT(CO$6:CO$116)/4),$ER$9:$ES$13,2,FALSE()),0),"")</f>
        <v/>
      </c>
      <c r="EC34" s="26" t="n">
        <f aca="false">AVERAGE(CS34,CU34,CW34,CY34,DA34,DC34,DE34,DG34,DI34,DK34,DM34,DO34,DQ34,DS34,DU34,DW34,DY34,EA34)</f>
        <v>29.25</v>
      </c>
      <c r="ED34" s="23" t="n">
        <f aca="false">AVERAGE(CT34,CV34,CX34,CZ34,DB34,DD34,DF34,DH34,DJ34,DL34,DN34,DP34,DR34,DT34,DV34,DX34,DZ34,EB34)</f>
        <v>7.8125</v>
      </c>
      <c r="EN34" s="51"/>
      <c r="EO34" s="51"/>
      <c r="EP34" s="51"/>
      <c r="ET34" s="51"/>
      <c r="EU34" s="51"/>
    </row>
    <row r="35" s="1" customFormat="true" ht="13.5" hidden="false" customHeight="false" outlineLevel="1" collapsed="false">
      <c r="B35" s="27" t="n">
        <f aca="false">B33+0.0213</f>
        <v>10.0213</v>
      </c>
      <c r="D35" s="51" t="s">
        <v>111</v>
      </c>
      <c r="E35" s="28" t="s">
        <v>44</v>
      </c>
      <c r="F35" s="29" t="n">
        <f aca="false">IF(COUNT(G33:CN33)&gt;10,SMALL(G33:CN33,COUNT(G33:CN33)-10),MIN(G33:CN33))</f>
        <v>10</v>
      </c>
      <c r="G35" s="29"/>
      <c r="H35" s="29"/>
      <c r="I35" s="53" t="n">
        <f aca="false">IF(CS35=0,"",CS35)</f>
        <v>-27</v>
      </c>
      <c r="J35" s="53"/>
      <c r="K35" s="54" t="n">
        <f aca="false">IFERROR(_xlfn.RANK.EQ(I35,I$6:I$116,0),"")</f>
        <v>16</v>
      </c>
      <c r="L35" s="29"/>
      <c r="M35" s="29"/>
      <c r="N35" s="53" t="str">
        <f aca="false">IF(CU35=0,"",CU35)</f>
        <v/>
      </c>
      <c r="O35" s="53"/>
      <c r="P35" s="54" t="str">
        <f aca="false">IFERROR(_xlfn.RANK.EQ(N35,N$6:N$116,0),"")</f>
        <v/>
      </c>
      <c r="Q35" s="29"/>
      <c r="R35" s="29"/>
      <c r="S35" s="53" t="n">
        <f aca="false">IF(CW35=0,"",CW35)</f>
        <v>-9</v>
      </c>
      <c r="T35" s="53"/>
      <c r="U35" s="54" t="n">
        <f aca="false">IFERROR(_xlfn.RANK.EQ(S35,S$6:S$116,0),"")</f>
        <v>8</v>
      </c>
      <c r="V35" s="29"/>
      <c r="W35" s="29"/>
      <c r="X35" s="53" t="str">
        <f aca="false">IF(CY35=0,"",CY35)</f>
        <v/>
      </c>
      <c r="Y35" s="53"/>
      <c r="Z35" s="54" t="str">
        <f aca="false">IFERROR(_xlfn.RANK.EQ(X35,X$6:X$116,0),"")</f>
        <v/>
      </c>
      <c r="AA35" s="29"/>
      <c r="AB35" s="29"/>
      <c r="AC35" s="53" t="n">
        <f aca="false">IF(DA35=0,"",DA35)</f>
        <v>18</v>
      </c>
      <c r="AD35" s="53"/>
      <c r="AE35" s="54" t="n">
        <f aca="false">IFERROR(_xlfn.RANK.EQ(AC35,AC$6:AC$116,0),"")</f>
        <v>5</v>
      </c>
      <c r="AF35" s="29"/>
      <c r="AG35" s="29"/>
      <c r="AH35" s="53" t="n">
        <f aca="false">IF(DC35=0,"",DC35)</f>
        <v>21</v>
      </c>
      <c r="AI35" s="53"/>
      <c r="AJ35" s="54" t="n">
        <f aca="false">IFERROR(_xlfn.RANK.EQ(AH35,AH$6:AH$116,0),"")</f>
        <v>2</v>
      </c>
      <c r="AK35" s="29"/>
      <c r="AL35" s="29"/>
      <c r="AM35" s="53" t="n">
        <f aca="false">IF(DE35=0,"",DE35)</f>
        <v>-2</v>
      </c>
      <c r="AN35" s="53"/>
      <c r="AO35" s="54" t="n">
        <f aca="false">IFERROR(_xlfn.RANK.EQ(AM35,AM$6:AM$116,0),"")</f>
        <v>8</v>
      </c>
      <c r="AP35" s="29"/>
      <c r="AQ35" s="29"/>
      <c r="AR35" s="53" t="n">
        <f aca="false">IF(DG35=0,"",DG35)</f>
        <v>-0.0001</v>
      </c>
      <c r="AS35" s="53"/>
      <c r="AT35" s="54" t="n">
        <f aca="false">IFERROR(_xlfn.RANK.EQ(AR35,AR$6:AR$116,0),"")</f>
        <v>8</v>
      </c>
      <c r="AU35" s="29"/>
      <c r="AV35" s="29"/>
      <c r="AW35" s="53" t="n">
        <f aca="false">IF(DI35=0,"",DI35)</f>
        <v>-13</v>
      </c>
      <c r="AX35" s="53"/>
      <c r="AY35" s="54" t="n">
        <f aca="false">IFERROR(_xlfn.RANK.EQ(AW35,AW$6:AW$116,0),"")</f>
        <v>13</v>
      </c>
      <c r="AZ35" s="29"/>
      <c r="BA35" s="29"/>
      <c r="BB35" s="53" t="n">
        <f aca="false">IF(DK35=0,"",DK35)</f>
        <v>-50</v>
      </c>
      <c r="BC35" s="53"/>
      <c r="BD35" s="54" t="n">
        <f aca="false">IFERROR(_xlfn.RANK.EQ(BB35,BB$6:BB$116,0),"")</f>
        <v>12</v>
      </c>
      <c r="BE35" s="29"/>
      <c r="BF35" s="29"/>
      <c r="BG35" s="53" t="str">
        <f aca="false">IF(DM35=0,"",DM35)</f>
        <v/>
      </c>
      <c r="BH35" s="53"/>
      <c r="BI35" s="54" t="str">
        <f aca="false">IFERROR(_xlfn.RANK.EQ(BG35,BG$6:BG$116,0),"")</f>
        <v/>
      </c>
      <c r="BJ35" s="29"/>
      <c r="BK35" s="29"/>
      <c r="BL35" s="53" t="str">
        <f aca="false">IF(DO35=0,"",DO35)</f>
        <v/>
      </c>
      <c r="BM35" s="53"/>
      <c r="BN35" s="54" t="str">
        <f aca="false">IFERROR(_xlfn.RANK.EQ(BL35,BL$6:BL$116,0),"")</f>
        <v/>
      </c>
      <c r="BO35" s="29"/>
      <c r="BP35" s="29"/>
      <c r="BQ35" s="53" t="str">
        <f aca="false">IF(DQ35=0,"",DQ35)</f>
        <v/>
      </c>
      <c r="BR35" s="53"/>
      <c r="BS35" s="54" t="str">
        <f aca="false">IFERROR(_xlfn.RANK.EQ(BQ35,BQ$6:BQ$116,0),"")</f>
        <v/>
      </c>
      <c r="BT35" s="29"/>
      <c r="BU35" s="29"/>
      <c r="BV35" s="53" t="str">
        <f aca="false">IF(DS35=0,"",DS35)</f>
        <v/>
      </c>
      <c r="BW35" s="53"/>
      <c r="BX35" s="54" t="str">
        <f aca="false">IFERROR(_xlfn.RANK.EQ(BV35,BV$6:BV$116,0),"")</f>
        <v/>
      </c>
      <c r="BY35" s="29"/>
      <c r="BZ35" s="29"/>
      <c r="CA35" s="53" t="str">
        <f aca="false">IF(DU35=0,"",DU35)</f>
        <v/>
      </c>
      <c r="CB35" s="53"/>
      <c r="CC35" s="54" t="str">
        <f aca="false">IFERROR(_xlfn.RANK.EQ(CA35,CA$6:CA$116,0),"")</f>
        <v/>
      </c>
      <c r="CD35" s="29"/>
      <c r="CE35" s="29"/>
      <c r="CF35" s="53" t="str">
        <f aca="false">IF(DW35=0,"",DW35)</f>
        <v/>
      </c>
      <c r="CG35" s="53"/>
      <c r="CH35" s="54" t="str">
        <f aca="false">IFERROR(_xlfn.RANK.EQ(CF35,CF$6:CF$116,0),"")</f>
        <v/>
      </c>
      <c r="CI35" s="29"/>
      <c r="CJ35" s="29"/>
      <c r="CK35" s="53" t="str">
        <f aca="false">IF(DY35=0,"",DY35)</f>
        <v/>
      </c>
      <c r="CL35" s="53"/>
      <c r="CM35" s="54" t="str">
        <f aca="false">IFERROR(_xlfn.RANK.EQ(CK35,CK$6:CK$116,0),"")</f>
        <v/>
      </c>
      <c r="CN35" s="29"/>
      <c r="CO35" s="29"/>
      <c r="CP35" s="53" t="str">
        <f aca="false">IF(EA35=0,"",EA35)</f>
        <v/>
      </c>
      <c r="CQ35" s="53"/>
      <c r="CR35" s="54" t="str">
        <f aca="false">IFERROR(_xlfn.RANK.EQ(CP35,CP$6:CP$116,0),"")</f>
        <v/>
      </c>
      <c r="CS35" s="30" t="n">
        <v>-27</v>
      </c>
      <c r="CT35" s="31" t="n">
        <f aca="true">IFERROR(AVERAGE(OFFSET('Data - For Rank'!B$2,K35,0,COUNTIF(K$6:K$116,K35)))+IFERROR(VLOOKUP((COUNT($I$6:$I$116)/4),$ER$9:$ES$13,2,FALSE()),0),"")</f>
        <v>3</v>
      </c>
      <c r="CU35" s="30"/>
      <c r="CV35" s="31" t="str">
        <f aca="true">IFERROR(AVERAGE(OFFSET('Data - For Rank'!$C$2,P35,0,COUNTIF(P$6:P$116,P35)))+IFERROR(VLOOKUP((COUNT(N$6:N$116)/4),$ER$9:$ES$13,2,FALSE()),0),"")</f>
        <v/>
      </c>
      <c r="CW35" s="30" t="n">
        <v>-9</v>
      </c>
      <c r="CX35" s="31" t="n">
        <f aca="true">IFERROR(AVERAGE(OFFSET('Data - For Rank'!D$2,U35,0,COUNTIF(U$6:$U143,U35)))+IFERROR(VLOOKUP((COUNT(S$6:S$116)/4),$ER$9:$ES$13,2,FALSE()),0),"")</f>
        <v>8.5</v>
      </c>
      <c r="CY35" s="30"/>
      <c r="CZ35" s="31" t="str">
        <f aca="true">IFERROR(AVERAGE(OFFSET('Data - For Rank'!E$2,Z35,0,COUNTIF(Z$6:Z$116,Z35)))+IFERROR(VLOOKUP((COUNT(W$6:W$116)/4),$ER$9:$ES$13,2,FALSE()),0),"")</f>
        <v/>
      </c>
      <c r="DA35" s="30" t="n">
        <v>18</v>
      </c>
      <c r="DB35" s="31" t="n">
        <f aca="true">IFERROR(AVERAGE(OFFSET('Data - For Rank'!F$2,AE35,0,COUNTIF(AE$6:AE$116,AE35)))+IFERROR(VLOOKUP((COUNT(AC$6:AC$116)/4),$ER$9:$ES$13,2,FALSE()),0),"")</f>
        <v>14</v>
      </c>
      <c r="DC35" s="30" t="n">
        <v>21</v>
      </c>
      <c r="DD35" s="31" t="n">
        <f aca="true">IFERROR(AVERAGE(OFFSET('Data - For Rank'!G$2,AJ35,0,COUNTIF(AJ$6:AJ$116,AJ35)))+IFERROR(VLOOKUP((COUNT(AH$6:AH$116)/4),$ER$9:$ES$13,2,FALSE()),0),"")</f>
        <v>17</v>
      </c>
      <c r="DE35" s="30" t="n">
        <v>-2</v>
      </c>
      <c r="DF35" s="31" t="n">
        <f aca="true">IFERROR(AVERAGE(OFFSET('Data - For Rank'!$H$2,AO35,0,COUNTIF(AO$6:AO$116,AO35)))+IFERROR(VLOOKUP((COUNT(AM$6:AM$116)/4),$ER$9:$ES$13,2,FALSE()),0),"")</f>
        <v>9</v>
      </c>
      <c r="DG35" s="30" t="n">
        <v>-0.0001</v>
      </c>
      <c r="DH35" s="31" t="n">
        <f aca="true">IFERROR(AVERAGE(OFFSET('Data - For Rank'!$I$2,AT35,0,COUNTIF(AT$6:AT$116,AT35)))+IFERROR(VLOOKUP((COUNT(AR$6:AR$116)/4),$ER$9:$ES$13,2,FALSE()),0),"")</f>
        <v>10.5</v>
      </c>
      <c r="DI35" s="30" t="n">
        <v>-13</v>
      </c>
      <c r="DJ35" s="31" t="n">
        <f aca="true">IFERROR(AVERAGE(OFFSET('Data - For Rank'!$J$2,AY35,0,COUNTIF(AY$6:AY$116,AY35)))+IFERROR(VLOOKUP((COUNT(AW$6:AW$116)/4),$ER$9:$ES$13,2,FALSE()),0),"")</f>
        <v>6</v>
      </c>
      <c r="DK35" s="30" t="n">
        <v>-50</v>
      </c>
      <c r="DL35" s="31" t="n">
        <f aca="true">IFERROR(AVERAGE(OFFSET('Data - For Rank'!$K$2,BD35,0,COUNTIF(BD$6:BD$116,BD35)))+IFERROR(VLOOKUP((COUNT(BB$6:BB$116)/4),$ER$9:$ES$13,2,FALSE()),0),"")</f>
        <v>5</v>
      </c>
      <c r="DM35" s="30"/>
      <c r="DN35" s="31" t="str">
        <f aca="true">IFERROR(AVERAGE(OFFSET('Data - For Rank'!$L$2,BI35,0,COUNTIF(BI$6:BI$116,BI35)))+IFERROR(VLOOKUP((COUNT(BG$6:BG$116)/4),$ER$9:$ES$13,2,FALSE()),0),"")</f>
        <v/>
      </c>
      <c r="DO35" s="30"/>
      <c r="DP35" s="31" t="str">
        <f aca="true">IFERROR(AVERAGE(OFFSET('Data - For Rank'!$M$2,BN35,0,COUNTIF(BN$6:BN$116,BN35)))+IFERROR(VLOOKUP((COUNT(BL$6:BL$116)/4),$ER$9:$ES$13,2,FALSE()),0),"")</f>
        <v/>
      </c>
      <c r="DQ35" s="30"/>
      <c r="DR35" s="31" t="str">
        <f aca="true">IFERROR(AVERAGE(OFFSET('Data - For Rank'!$N$2,BS35,0,COUNTIF(BS$6:BS$116,BS35)))+IFERROR(VLOOKUP((COUNT(BQ$6:BQ$116)/4),$ER$9:$ES$13,2,FALSE()),0),"")</f>
        <v/>
      </c>
      <c r="DS35" s="30"/>
      <c r="DT35" s="31" t="str">
        <f aca="true">IFERROR(AVERAGE(OFFSET('Data - For Rank'!$O$2,BX35,0,COUNTIF(BX$6:BX$116,BX35)))+IFERROR(VLOOKUP((COUNT(BV$6:BV$116)/4),$ER$9:$ES$13,2,FALSE()),0),"")</f>
        <v/>
      </c>
      <c r="DU35" s="30"/>
      <c r="DV35" s="31" t="str">
        <f aca="true">IFERROR(AVERAGE(OFFSET('Data - For Rank'!$P$2,CC35,0,COUNTIF(CC$6:CC$116,CC35)))+IFERROR(VLOOKUP((COUNT(CA$6:CA$116)/4),$ER$9:$ES$13,2,FALSE()),0),"")</f>
        <v/>
      </c>
      <c r="DW35" s="30"/>
      <c r="DX35" s="31" t="str">
        <f aca="true">IFERROR(AVERAGE(OFFSET('Data - For Rank'!$Q$2,CH35,0,COUNTIF(CH$6:CH$116,CH35)))+IFERROR(VLOOKUP((COUNT(CF$6:CF$116)/4),$ER$9:$ES$13,2,FALSE()),0),"")</f>
        <v/>
      </c>
      <c r="DY35" s="30"/>
      <c r="DZ35" s="31" t="str">
        <f aca="true">IFERROR(AVERAGE(OFFSET('Data - For Rank'!$R$2,CM35,0,COUNTIF(CM$6:CM$116,CM35)))+IFERROR(VLOOKUP((COUNT(CK$6:CK$116)/4),$ER$9:$ES$13,2,FALSE()),0),"")</f>
        <v/>
      </c>
      <c r="EA35" s="30"/>
      <c r="EB35" s="31" t="str">
        <f aca="true">IFERROR(AVERAGE(OFFSET('Data - For Rank'!$S$2,CR35,0,COUNTIF(CR$6:CR$116,CR35)))+IFERROR(VLOOKUP((COUNT(CP$6:CP$116)/4),$ER$9:$ES$13,2,FALSE()),0),"")</f>
        <v/>
      </c>
      <c r="EC35" s="32" t="n">
        <f aca="false">CS35+CU35+CW35+CY35+DA35+DC35+DE35+DG35+DI35+DK35+DM35+DO35+DQ35+DS35+DU35+DW35+DY35+EA35</f>
        <v>-62.0001</v>
      </c>
      <c r="ED35" s="33" t="n">
        <f aca="false">AVERAGE(CT35,CV35,CX35,CZ35,DB35,DD35,DF35,DH35,DJ35,DL35,DN35,DP35,DR35,DT35,DV35,DX35,DZ35,EB35)</f>
        <v>9.125</v>
      </c>
      <c r="EN35" s="51"/>
      <c r="EO35" s="51"/>
      <c r="EP35" s="51"/>
      <c r="ET35" s="51"/>
      <c r="EU35" s="51"/>
    </row>
    <row r="36" customFormat="false" ht="13.5" hidden="false" customHeight="false" outlineLevel="0" collapsed="false">
      <c r="B36" s="8" t="n">
        <f aca="false">_xlfn.RANK.EQ(C36,$C$6:$C$63,)</f>
        <v>11</v>
      </c>
      <c r="C36" s="43" t="n">
        <f aca="false">EC36</f>
        <v>121</v>
      </c>
      <c r="D36" s="43" t="s">
        <v>112</v>
      </c>
      <c r="E36" s="19" t="s">
        <v>54</v>
      </c>
      <c r="F36" s="20" t="n">
        <f aca="false">COUNT(CT36,CV36,CX36,CZ36,DB36,DD36,DF36,DH36,DJ36,DL36,DN36,DP36,DR36,DT36,DV36,DX36,DZ36,EB36)</f>
        <v>6</v>
      </c>
      <c r="G36" s="49" t="n">
        <f aca="false">IF(CT36=0,"",CT36)</f>
        <v>18.5</v>
      </c>
      <c r="H36" s="49"/>
      <c r="I36" s="49"/>
      <c r="K36" s="49"/>
      <c r="L36" s="49" t="str">
        <f aca="false">IF(CV36=0,"",CV36)</f>
        <v/>
      </c>
      <c r="M36" s="49"/>
      <c r="N36" s="49"/>
      <c r="P36" s="49"/>
      <c r="Q36" s="49" t="n">
        <f aca="false">IF(CX36=0,"",CX36)</f>
        <v>19</v>
      </c>
      <c r="R36" s="49"/>
      <c r="S36" s="49"/>
      <c r="U36" s="49"/>
      <c r="V36" s="49" t="n">
        <f aca="false">IF(CZ36=0,"",CZ36)</f>
        <v>17</v>
      </c>
      <c r="W36" s="49"/>
      <c r="X36" s="49"/>
      <c r="Z36" s="49"/>
      <c r="AA36" s="49" t="str">
        <f aca="false">IF(DB36=0,"",DB36)</f>
        <v/>
      </c>
      <c r="AB36" s="49"/>
      <c r="AC36" s="49"/>
      <c r="AE36" s="49"/>
      <c r="AF36" s="49" t="str">
        <f aca="false">IF(DD36=0,"",DD36)</f>
        <v/>
      </c>
      <c r="AG36" s="49"/>
      <c r="AH36" s="49"/>
      <c r="AJ36" s="49"/>
      <c r="AK36" s="49" t="n">
        <f aca="false">IF(DF36=0,"",DF36)</f>
        <v>22</v>
      </c>
      <c r="AL36" s="49"/>
      <c r="AM36" s="49"/>
      <c r="AO36" s="49"/>
      <c r="AP36" s="49" t="str">
        <f aca="false">IF(DH36=0,"",DH36)</f>
        <v/>
      </c>
      <c r="AQ36" s="49"/>
      <c r="AR36" s="49"/>
      <c r="AT36" s="49"/>
      <c r="AU36" s="49" t="n">
        <f aca="false">IF(DJ36=0,"",DJ36)</f>
        <v>15</v>
      </c>
      <c r="AV36" s="49"/>
      <c r="AW36" s="49"/>
      <c r="AY36" s="49"/>
      <c r="AZ36" s="49" t="n">
        <f aca="false">IF(DL36=0,"",DL36)</f>
        <v>29.5</v>
      </c>
      <c r="BA36" s="49"/>
      <c r="BB36" s="49"/>
      <c r="BD36" s="49"/>
      <c r="BE36" s="49" t="str">
        <f aca="false">IF(DN36=0,"",DN36)</f>
        <v/>
      </c>
      <c r="BF36" s="49"/>
      <c r="BG36" s="49"/>
      <c r="BI36" s="49"/>
      <c r="BJ36" s="49" t="str">
        <f aca="false">IF(DP36=0,"",DP36)</f>
        <v/>
      </c>
      <c r="BK36" s="49"/>
      <c r="BL36" s="49"/>
      <c r="BN36" s="49"/>
      <c r="BO36" s="49" t="str">
        <f aca="false">IF(DR36=0,"",DR36)</f>
        <v/>
      </c>
      <c r="BP36" s="49"/>
      <c r="BQ36" s="49"/>
      <c r="BS36" s="49"/>
      <c r="BT36" s="49" t="str">
        <f aca="false">IF(DT36=0,"",DT36)</f>
        <v/>
      </c>
      <c r="BU36" s="49"/>
      <c r="BV36" s="49"/>
      <c r="BX36" s="49"/>
      <c r="BY36" s="49" t="str">
        <f aca="false">IF(DV36=0,"",DV36)</f>
        <v/>
      </c>
      <c r="BZ36" s="49"/>
      <c r="CA36" s="49"/>
      <c r="CC36" s="49"/>
      <c r="CD36" s="49" t="str">
        <f aca="false">IF(DX36=0,"",DX36)</f>
        <v/>
      </c>
      <c r="CE36" s="49"/>
      <c r="CF36" s="49"/>
      <c r="CH36" s="49"/>
      <c r="CI36" s="49" t="str">
        <f aca="false">IF(DZ36=0,"",DZ36)</f>
        <v/>
      </c>
      <c r="CJ36" s="49"/>
      <c r="CK36" s="49"/>
      <c r="CM36" s="49"/>
      <c r="CN36" s="49" t="str">
        <f aca="false">IF(EB36=0,"",EB36)</f>
        <v/>
      </c>
      <c r="CO36" s="49"/>
      <c r="CP36" s="49"/>
      <c r="CR36" s="49"/>
      <c r="CS36" s="21" t="n">
        <v>89</v>
      </c>
      <c r="CT36" s="22" t="n">
        <f aca="false">IFERROR(CT37+CT38,"")</f>
        <v>18.5</v>
      </c>
      <c r="CU36" s="21"/>
      <c r="CV36" s="22" t="str">
        <f aca="false">IFERROR(CV37+CV38,"")</f>
        <v/>
      </c>
      <c r="CW36" s="21" t="n">
        <v>91</v>
      </c>
      <c r="CX36" s="22" t="n">
        <f aca="false">IFERROR(CX37+CX38,"")</f>
        <v>19</v>
      </c>
      <c r="CY36" s="21" t="n">
        <v>93</v>
      </c>
      <c r="CZ36" s="22" t="n">
        <f aca="false">IFERROR(CZ37+CZ38,"")</f>
        <v>17</v>
      </c>
      <c r="DA36" s="21"/>
      <c r="DB36" s="22" t="str">
        <f aca="false">IFERROR(DB37+DB38,"")</f>
        <v/>
      </c>
      <c r="DC36" s="21"/>
      <c r="DD36" s="22" t="str">
        <f aca="false">IFERROR(DD37+DD38,"")</f>
        <v/>
      </c>
      <c r="DE36" s="21" t="n">
        <v>80</v>
      </c>
      <c r="DF36" s="22" t="n">
        <f aca="false">IFERROR(DF37+DF38,"")</f>
        <v>22</v>
      </c>
      <c r="DG36" s="21"/>
      <c r="DH36" s="22" t="str">
        <f aca="false">IFERROR(DH37+DH38,"")</f>
        <v/>
      </c>
      <c r="DI36" s="21" t="n">
        <v>89</v>
      </c>
      <c r="DJ36" s="22" t="n">
        <f aca="false">IFERROR(DJ37+DJ38,"")</f>
        <v>15</v>
      </c>
      <c r="DK36" s="21" t="n">
        <v>81</v>
      </c>
      <c r="DL36" s="22" t="n">
        <f aca="false">IFERROR(DL37+DL38,"")</f>
        <v>29.5</v>
      </c>
      <c r="DM36" s="21"/>
      <c r="DN36" s="22" t="str">
        <f aca="false">IFERROR(DN37+DN38,"")</f>
        <v/>
      </c>
      <c r="DO36" s="21"/>
      <c r="DP36" s="22" t="str">
        <f aca="false">IFERROR(DP37+DP38,"")</f>
        <v/>
      </c>
      <c r="DQ36" s="21"/>
      <c r="DR36" s="22" t="str">
        <f aca="false">IFERROR(DR37+DR38,"")</f>
        <v/>
      </c>
      <c r="DS36" s="21"/>
      <c r="DT36" s="22" t="str">
        <f aca="false">IFERROR(DT37+DT38,"")</f>
        <v/>
      </c>
      <c r="DU36" s="21"/>
      <c r="DV36" s="22" t="str">
        <f aca="false">IFERROR(DV37+DV38,"")</f>
        <v/>
      </c>
      <c r="DW36" s="21"/>
      <c r="DX36" s="22" t="str">
        <f aca="false">IFERROR(DX37+DX38,"")</f>
        <v/>
      </c>
      <c r="DY36" s="21"/>
      <c r="DZ36" s="22" t="str">
        <f aca="false">IFERROR(DZ37+DZ38,"")</f>
        <v/>
      </c>
      <c r="EA36" s="21"/>
      <c r="EB36" s="22" t="str">
        <f aca="false">IFERROR(EB37+EB38,"")</f>
        <v/>
      </c>
      <c r="EC36" s="17" t="n">
        <f aca="false">IFERROR(LARGE($G36:$CN36,1),0)+IFERROR(LARGE($G36:$CN36,2),0)+IFERROR(LARGE($G36:$CN36,3),0)+IFERROR(LARGE($G36:$CN36,4),0)+IFERROR(LARGE($G36:$CN36,5),0)+IFERROR(LARGE($G36:$CN36,6),0)+IFERROR(LARGE($G36:$CN36,7),0)+IFERROR(LARGE($G36:$CN36,8),0)+IFERROR(LARGE($G36:$CN36,9),0)+IFERROR(LARGE($G36:$CN36,10),0)</f>
        <v>121</v>
      </c>
      <c r="ED36" s="23" t="n">
        <f aca="false">AVERAGE(CT36,CV36,CX36,CZ36,DB36,DD36,DF36,DH36,DJ36,DL36,DN36,DP36,DR36,DT36,DV36,DX36,DZ36,EB36)</f>
        <v>20.1666666666667</v>
      </c>
      <c r="ET36" s="51"/>
    </row>
    <row r="37" s="1" customFormat="true" ht="13.5" hidden="false" customHeight="false" outlineLevel="1" collapsed="false">
      <c r="B37" s="24" t="n">
        <f aca="false">B36+0.112</f>
        <v>11.112</v>
      </c>
      <c r="D37" s="51" t="s">
        <v>113</v>
      </c>
      <c r="E37" s="7" t="s">
        <v>43</v>
      </c>
      <c r="F37" s="7"/>
      <c r="G37" s="7"/>
      <c r="H37" s="7" t="n">
        <f aca="false">IF(CS37=0,"",CS37)</f>
        <v>33</v>
      </c>
      <c r="I37" s="7"/>
      <c r="J37" s="49" t="n">
        <f aca="false">IFERROR(RANK(H37,H$6:H$116,0),"")</f>
        <v>4</v>
      </c>
      <c r="K37" s="7"/>
      <c r="L37" s="7"/>
      <c r="M37" s="7" t="str">
        <f aca="false">IF(CU37=0,"",CU37)</f>
        <v/>
      </c>
      <c r="N37" s="7"/>
      <c r="O37" s="49" t="str">
        <f aca="false">IFERROR(RANK(M37,M$6:M$116,0),"")</f>
        <v/>
      </c>
      <c r="P37" s="7"/>
      <c r="Q37" s="7"/>
      <c r="R37" s="7" t="n">
        <f aca="false">IF(CW37=0,"",CW37)</f>
        <v>33</v>
      </c>
      <c r="S37" s="7"/>
      <c r="T37" s="49" t="n">
        <f aca="false">IFERROR(RANK(R37,R$6:R$116,0),"")</f>
        <v>5</v>
      </c>
      <c r="U37" s="7"/>
      <c r="V37" s="7"/>
      <c r="W37" s="7" t="n">
        <f aca="false">IF(CY37=0,"",CY37)</f>
        <v>26</v>
      </c>
      <c r="X37" s="7"/>
      <c r="Y37" s="49" t="n">
        <f aca="false">IFERROR(RANK(W37,W$6:W$116,0),"")</f>
        <v>8</v>
      </c>
      <c r="Z37" s="7"/>
      <c r="AA37" s="7"/>
      <c r="AB37" s="7" t="str">
        <f aca="false">IF(DA37=0,"",DA37)</f>
        <v/>
      </c>
      <c r="AC37" s="7"/>
      <c r="AD37" s="49" t="str">
        <f aca="false">IFERROR(RANK(AB37,AB$6:AB$116,0),"")</f>
        <v/>
      </c>
      <c r="AE37" s="7"/>
      <c r="AF37" s="7"/>
      <c r="AG37" s="7" t="str">
        <f aca="false">IF(DC37=0,"",DC37)</f>
        <v/>
      </c>
      <c r="AH37" s="7"/>
      <c r="AI37" s="49" t="str">
        <f aca="false">IFERROR(RANK(AG37,AG$6:AG$116,0),"")</f>
        <v/>
      </c>
      <c r="AJ37" s="7"/>
      <c r="AK37" s="7"/>
      <c r="AL37" s="7" t="n">
        <f aca="false">IF(DE37=0,"",DE37)</f>
        <v>39</v>
      </c>
      <c r="AM37" s="7"/>
      <c r="AN37" s="49" t="n">
        <f aca="false">IFERROR(RANK(AL37,AL$6:AL$116,0),"")</f>
        <v>1</v>
      </c>
      <c r="AO37" s="7"/>
      <c r="AP37" s="7"/>
      <c r="AQ37" s="7" t="str">
        <f aca="false">IF(DG37=0,"",DG37)</f>
        <v/>
      </c>
      <c r="AR37" s="7"/>
      <c r="AS37" s="49" t="str">
        <f aca="false">IFERROR(RANK(AQ37,AQ$6:AQ$116,0),"")</f>
        <v/>
      </c>
      <c r="AT37" s="7"/>
      <c r="AU37" s="7"/>
      <c r="AV37" s="7" t="n">
        <f aca="false">IF(DI37=0,"",DI37)</f>
        <v>34</v>
      </c>
      <c r="AW37" s="7"/>
      <c r="AX37" s="49" t="n">
        <f aca="false">IFERROR(RANK(AV37,AV$6:AV$116,0),"")</f>
        <v>7</v>
      </c>
      <c r="AY37" s="7"/>
      <c r="AZ37" s="7"/>
      <c r="BA37" s="7" t="n">
        <f aca="false">IF(DK37=0,"",DK37)</f>
        <v>37</v>
      </c>
      <c r="BB37" s="7"/>
      <c r="BC37" s="49" t="n">
        <f aca="false">IFERROR(RANK(BA37,BA$6:BA$116,0),"")</f>
        <v>1</v>
      </c>
      <c r="BD37" s="7"/>
      <c r="BE37" s="7"/>
      <c r="BF37" s="7" t="str">
        <f aca="false">IF(DM37=0,"",DM37)</f>
        <v/>
      </c>
      <c r="BG37" s="7"/>
      <c r="BH37" s="49" t="str">
        <f aca="false">IFERROR(RANK(BF37,BF$6:BF$116,0),"")</f>
        <v/>
      </c>
      <c r="BI37" s="7"/>
      <c r="BJ37" s="7"/>
      <c r="BK37" s="7" t="str">
        <f aca="false">IF(DO37=0,"",DO37)</f>
        <v/>
      </c>
      <c r="BL37" s="7"/>
      <c r="BM37" s="49" t="str">
        <f aca="false">IFERROR(RANK(BK37,BK$6:BK$116,0),"")</f>
        <v/>
      </c>
      <c r="BN37" s="7"/>
      <c r="BO37" s="7"/>
      <c r="BP37" s="7" t="str">
        <f aca="false">IF(DQ37=0,"",DQ37)</f>
        <v/>
      </c>
      <c r="BQ37" s="7"/>
      <c r="BR37" s="49" t="str">
        <f aca="false">IFERROR(RANK(BP37,BP$6:BP$116,0),"")</f>
        <v/>
      </c>
      <c r="BS37" s="7"/>
      <c r="BT37" s="7"/>
      <c r="BU37" s="7" t="str">
        <f aca="false">IF(DS37=0,"",DS37)</f>
        <v/>
      </c>
      <c r="BV37" s="7"/>
      <c r="BW37" s="49" t="str">
        <f aca="false">IFERROR(RANK(BU37,BU$6:BU$116,0),"")</f>
        <v/>
      </c>
      <c r="BX37" s="7"/>
      <c r="BY37" s="7"/>
      <c r="BZ37" s="7" t="str">
        <f aca="false">IF(DU37=0,"",DU37)</f>
        <v/>
      </c>
      <c r="CA37" s="7"/>
      <c r="CB37" s="49" t="str">
        <f aca="false">IFERROR(RANK(BZ37,BZ$6:BZ$116,0),"")</f>
        <v/>
      </c>
      <c r="CC37" s="7"/>
      <c r="CD37" s="7"/>
      <c r="CE37" s="7" t="str">
        <f aca="false">IF(DW37=0,"",DW37)</f>
        <v/>
      </c>
      <c r="CF37" s="7"/>
      <c r="CG37" s="49" t="str">
        <f aca="false">IFERROR(RANK(CE37,CE$6:CE$116,0),"")</f>
        <v/>
      </c>
      <c r="CH37" s="7"/>
      <c r="CI37" s="7"/>
      <c r="CJ37" s="7" t="str">
        <f aca="false">IF(DY37=0,"",DY37)</f>
        <v/>
      </c>
      <c r="CK37" s="7"/>
      <c r="CL37" s="49" t="str">
        <f aca="false">IFERROR(RANK(CJ37,CJ$6:CJ$116,0),"")</f>
        <v/>
      </c>
      <c r="CM37" s="7"/>
      <c r="CN37" s="7"/>
      <c r="CO37" s="7" t="str">
        <f aca="false">IF(EA37=0,"",EA37)</f>
        <v/>
      </c>
      <c r="CP37" s="7"/>
      <c r="CQ37" s="49" t="str">
        <f aca="false">IFERROR(RANK(CO37,CO$6:CO$116,0),"")</f>
        <v/>
      </c>
      <c r="CR37" s="7"/>
      <c r="CS37" s="21" t="n">
        <v>33</v>
      </c>
      <c r="CT37" s="25" t="n">
        <f aca="true">IFERROR(AVERAGE(OFFSET('Data - For Rank'!B$2,J37,0,COUNTIF($J$7:J$116,J37)))+IFERROR(VLOOKUP((COUNT($H$6:$H$116)/4),$ER$9:$ES$13,2,FALSE()),0),"")</f>
        <v>14.5</v>
      </c>
      <c r="CU37" s="21"/>
      <c r="CV37" s="25" t="str">
        <f aca="true">IFERROR(AVERAGE(OFFSET('Data - For Rank'!$C$2,O37,0,COUNTIF(O$7:O$116,O37)))+IFERROR(VLOOKUP((COUNT(M$6:M$116)/4),$ER$9:$ES$13,2,FALSE()),0),"")</f>
        <v/>
      </c>
      <c r="CW37" s="21" t="n">
        <v>33</v>
      </c>
      <c r="CX37" s="25" t="n">
        <f aca="true">IFERROR(AVERAGE(OFFSET('Data - For Rank'!D$2,T37,0,COUNTIF(T$7:T$116,T37)))+IFERROR(VLOOKUP((COUNT(R$6:R$116)/4),$ER$9:$ES$13,2,FALSE()),0),"")</f>
        <v>12</v>
      </c>
      <c r="CY37" s="21" t="n">
        <v>26</v>
      </c>
      <c r="CZ37" s="25" t="n">
        <f aca="true">IFERROR(AVERAGE(OFFSET('Data - For Rank'!E$2,Y37,0,COUNTIF(Y$7:Y$116,Y37)))+IFERROR(VLOOKUP((COUNT(W$6:W$116)/4),$ER$9:$ES$13,2,FALSE()),0),"")</f>
        <v>7</v>
      </c>
      <c r="DA37" s="21"/>
      <c r="DB37" s="25" t="str">
        <f aca="true">IFERROR(AVERAGE(OFFSET('Data - For Rank'!F$2,AD37,0,COUNTIF(AD$7:AD$116,AD37)))+IFERROR(VLOOKUP((COUNT(AB$6:AB$116)/4),$ER$9:$ES$13,2,FALSE()),0),"")</f>
        <v/>
      </c>
      <c r="DC37" s="21"/>
      <c r="DD37" s="25" t="str">
        <f aca="true">IFERROR(AVERAGE(OFFSET('Data - For Rank'!G$2,AI37,0,COUNTIF(AI$7:AI$116,AI37)))+IFERROR(VLOOKUP((COUNT(AG$6:AG$116)/4),$ER$9:$ES$13,2,FALSE()),0),"")</f>
        <v/>
      </c>
      <c r="DE37" s="21" t="n">
        <v>39</v>
      </c>
      <c r="DF37" s="25" t="n">
        <f aca="true">IFERROR(AVERAGE(OFFSET('Data - For Rank'!$H$2,AN37,0,COUNTIF(AN$7:AN$116,AN37)))+IFERROR(VLOOKUP((COUNT(AL$6:AL$116)/4),$ER$9:$ES$13,2,FALSE()),0),"")</f>
        <v>15.5</v>
      </c>
      <c r="DG37" s="21"/>
      <c r="DH37" s="25" t="str">
        <f aca="true">IFERROR(AVERAGE(OFFSET('Data - For Rank'!$I$2,AS37,0,COUNTIF(AS$7:AS$116,AS37)))+IFERROR(VLOOKUP((COUNT(AQ$6:AQ$116)/4),$ER$9:$ES$13,2,FALSE()),0),"")</f>
        <v/>
      </c>
      <c r="DI37" s="21" t="n">
        <v>34</v>
      </c>
      <c r="DJ37" s="25" t="n">
        <f aca="true">IFERROR(AVERAGE(OFFSET('Data - For Rank'!$J$2,AX37,0,COUNTIF(AX$7:AX$116,AX37)))+IFERROR(VLOOKUP((COUNT(AV$6:AV$116)/4),$ER$9:$ES$13,2,FALSE()),0),"")</f>
        <v>11</v>
      </c>
      <c r="DK37" s="21" t="n">
        <v>37</v>
      </c>
      <c r="DL37" s="25" t="n">
        <f aca="true">IFERROR(AVERAGE(OFFSET('Data - For Rank'!$K$2,BC37,0,COUNTIF(BC$7:BC$116,BC37)))+IFERROR(VLOOKUP((COUNT(BA$6:BA$116)/4),$ER$9:$ES$13,2,FALSE()),0),"")</f>
        <v>15.5</v>
      </c>
      <c r="DM37" s="21"/>
      <c r="DN37" s="25" t="str">
        <f aca="true">IFERROR(AVERAGE(OFFSET('Data - For Rank'!$L$2,BH37,0,COUNTIF(BH$7:BH$116,BH37)))+IFERROR(VLOOKUP((COUNT(BF$6:BF$116)/4),$ER$9:$ES$13,2,FALSE()),0),"")</f>
        <v/>
      </c>
      <c r="DO37" s="21"/>
      <c r="DP37" s="25" t="str">
        <f aca="true">IFERROR(AVERAGE(OFFSET('Data - For Rank'!$M$2,BM37,0,COUNTIF(BM$7:BM$116,BM37)))+IFERROR(VLOOKUP((COUNT(BK$6:BK$116)/4),$ER$9:$ES$13,2,FALSE()),0),"")</f>
        <v/>
      </c>
      <c r="DQ37" s="21"/>
      <c r="DR37" s="25" t="str">
        <f aca="true">IFERROR(AVERAGE(OFFSET('Data - For Rank'!$N$2,BR37,0,COUNTIF(BR$7:BR$116,BR37)))+IFERROR(VLOOKUP((COUNT(BP$6:BP$116)/4),$ER$9:$ES$13,2,FALSE()),0),"")</f>
        <v/>
      </c>
      <c r="DS37" s="21"/>
      <c r="DT37" s="25" t="str">
        <f aca="true">IFERROR(AVERAGE(OFFSET('Data - For Rank'!$O$2,BW37,0,COUNTIF(BW$7:BW$116,BW37)))+IFERROR(VLOOKUP((COUNT(BU$6:BU$116)/4),$ER$9:$ES$13,2,FALSE()),0),"")</f>
        <v/>
      </c>
      <c r="DU37" s="21"/>
      <c r="DV37" s="25" t="str">
        <f aca="true">IFERROR(AVERAGE(OFFSET('Data - For Rank'!$P$2,CB37,0,COUNTIF(CB$7:CB$116,CB37)))+IFERROR(VLOOKUP((COUNT(BZ$6:BZ$116)/4),$ER$9:$ES$13,2,FALSE()),0),"")</f>
        <v/>
      </c>
      <c r="DW37" s="21"/>
      <c r="DX37" s="25" t="str">
        <f aca="true">IFERROR(AVERAGE(OFFSET('Data - For Rank'!$Q$2,CG37,0,COUNTIF(CG$7:CG$116,CG37)))+IFERROR(VLOOKUP((COUNT(CE$6:CE$116)/4),$ER$9:$ES$13,2,FALSE()),0),"")</f>
        <v/>
      </c>
      <c r="DY37" s="21"/>
      <c r="DZ37" s="25" t="str">
        <f aca="true">IFERROR(AVERAGE(OFFSET('Data - For Rank'!$R$2,CL37,0,COUNTIF(CL$7:CL$116,CL37)))+IFERROR(VLOOKUP((COUNT(CJ$6:CJ$116)/4),$ER$9:$ES$13,2,FALSE()),0),"")</f>
        <v/>
      </c>
      <c r="EA37" s="21"/>
      <c r="EB37" s="25" t="str">
        <f aca="true">IFERROR(AVERAGE(OFFSET('Data - For Rank'!$S$2,CQ37,0,COUNTIF(CQ$7:CQ$116,CQ37)))+IFERROR(VLOOKUP((COUNT(CO$6:CO$116)/4),$ER$9:$ES$13,2,FALSE()),0),"")</f>
        <v/>
      </c>
      <c r="EC37" s="26" t="n">
        <f aca="false">AVERAGE(CS37,CU37,CW37,CY37,DA37,DC37,DE37,DG37,DI37,DK37,DM37,DO37,DQ37,DS37,DU37,DW37,DY37,EA37)</f>
        <v>33.6666666666667</v>
      </c>
      <c r="ED37" s="23" t="n">
        <f aca="false">AVERAGE(CT37,CV37,CX37,CZ37,DB37,DD37,DF37,DH37,DJ37,DL37,DN37,DP37,DR37,DT37,DV37,DX37,DZ37,EB37)</f>
        <v>12.5833333333333</v>
      </c>
      <c r="ET37" s="51"/>
    </row>
    <row r="38" s="1" customFormat="true" ht="13.5" hidden="false" customHeight="false" outlineLevel="1" collapsed="false">
      <c r="B38" s="27" t="n">
        <f aca="false">B36+0.0212</f>
        <v>11.0212</v>
      </c>
      <c r="D38" s="51" t="s">
        <v>114</v>
      </c>
      <c r="E38" s="36" t="s">
        <v>44</v>
      </c>
      <c r="F38" s="29" t="n">
        <f aca="false">IF(COUNT(G36:CN36)&gt;10,SMALL(G36:CN36,COUNT(G36:CN36)-10),MIN(G36:CN36))</f>
        <v>15</v>
      </c>
      <c r="G38" s="29"/>
      <c r="H38" s="29"/>
      <c r="I38" s="53" t="n">
        <f aca="false">IF(CS38=0,"",CS38)</f>
        <v>-15</v>
      </c>
      <c r="J38" s="53"/>
      <c r="K38" s="54" t="n">
        <f aca="false">IFERROR(_xlfn.RANK.EQ(I38,I$6:I$116,0),"")</f>
        <v>15</v>
      </c>
      <c r="L38" s="29"/>
      <c r="M38" s="29"/>
      <c r="N38" s="53" t="str">
        <f aca="false">IF(CU38=0,"",CU38)</f>
        <v/>
      </c>
      <c r="O38" s="53"/>
      <c r="P38" s="54" t="str">
        <f aca="false">IFERROR(_xlfn.RANK.EQ(N38,N$6:N$116,0),"")</f>
        <v/>
      </c>
      <c r="Q38" s="29"/>
      <c r="R38" s="29"/>
      <c r="S38" s="53" t="n">
        <f aca="false">IF(CW38=0,"",CW38)</f>
        <v>-12</v>
      </c>
      <c r="T38" s="53"/>
      <c r="U38" s="54" t="n">
        <f aca="false">IFERROR(_xlfn.RANK.EQ(S38,S$6:S$116,0),"")</f>
        <v>10</v>
      </c>
      <c r="V38" s="29"/>
      <c r="W38" s="29"/>
      <c r="X38" s="53" t="n">
        <f aca="false">IF(CY38=0,"",CY38)</f>
        <v>-13</v>
      </c>
      <c r="Y38" s="53"/>
      <c r="Z38" s="54" t="n">
        <f aca="false">IFERROR(_xlfn.RANK.EQ(X38,X$6:X$116,0),"")</f>
        <v>5</v>
      </c>
      <c r="AA38" s="29"/>
      <c r="AB38" s="29"/>
      <c r="AC38" s="53" t="str">
        <f aca="false">IF(DA38=0,"",DA38)</f>
        <v/>
      </c>
      <c r="AD38" s="53"/>
      <c r="AE38" s="54" t="str">
        <f aca="false">IFERROR(_xlfn.RANK.EQ(AC38,AC$6:AC$116,0),"")</f>
        <v/>
      </c>
      <c r="AF38" s="29"/>
      <c r="AG38" s="29"/>
      <c r="AH38" s="53" t="str">
        <f aca="false">IF(DC38=0,"",DC38)</f>
        <v/>
      </c>
      <c r="AI38" s="53"/>
      <c r="AJ38" s="54" t="str">
        <f aca="false">IFERROR(_xlfn.RANK.EQ(AH38,AH$6:AH$116,0),"")</f>
        <v/>
      </c>
      <c r="AK38" s="29"/>
      <c r="AL38" s="29"/>
      <c r="AM38" s="53" t="n">
        <f aca="false">IF(DE38=0,"",DE38)</f>
        <v>-8</v>
      </c>
      <c r="AN38" s="53"/>
      <c r="AO38" s="54" t="n">
        <f aca="false">IFERROR(_xlfn.RANK.EQ(AM38,AM$6:AM$116,0),"")</f>
        <v>10</v>
      </c>
      <c r="AP38" s="29"/>
      <c r="AQ38" s="29"/>
      <c r="AR38" s="53" t="str">
        <f aca="false">IF(DG38=0,"",DG38)</f>
        <v/>
      </c>
      <c r="AS38" s="53"/>
      <c r="AT38" s="54" t="str">
        <f aca="false">IFERROR(_xlfn.RANK.EQ(AR38,AR$6:AR$116,0),"")</f>
        <v/>
      </c>
      <c r="AU38" s="29"/>
      <c r="AV38" s="29"/>
      <c r="AW38" s="53" t="n">
        <f aca="false">IF(DI38=0,"",DI38)</f>
        <v>-21</v>
      </c>
      <c r="AX38" s="53"/>
      <c r="AY38" s="54" t="n">
        <f aca="false">IFERROR(_xlfn.RANK.EQ(AW38,AW$6:AW$116,0),"")</f>
        <v>15</v>
      </c>
      <c r="AZ38" s="29"/>
      <c r="BA38" s="29"/>
      <c r="BB38" s="53" t="n">
        <f aca="false">IF(DK38=0,"",DK38)</f>
        <v>16</v>
      </c>
      <c r="BC38" s="53"/>
      <c r="BD38" s="54" t="n">
        <f aca="false">IFERROR(_xlfn.RANK.EQ(BB38,BB$6:BB$116,0),"")</f>
        <v>2</v>
      </c>
      <c r="BE38" s="29"/>
      <c r="BF38" s="29"/>
      <c r="BG38" s="53" t="str">
        <f aca="false">IF(DM38=0,"",DM38)</f>
        <v/>
      </c>
      <c r="BH38" s="53"/>
      <c r="BI38" s="54" t="str">
        <f aca="false">IFERROR(_xlfn.RANK.EQ(BG38,BG$6:BG$116,0),"")</f>
        <v/>
      </c>
      <c r="BJ38" s="29"/>
      <c r="BK38" s="29"/>
      <c r="BL38" s="53" t="str">
        <f aca="false">IF(DO38=0,"",DO38)</f>
        <v/>
      </c>
      <c r="BM38" s="53"/>
      <c r="BN38" s="54" t="str">
        <f aca="false">IFERROR(_xlfn.RANK.EQ(BL38,BL$6:BL$116,0),"")</f>
        <v/>
      </c>
      <c r="BO38" s="29"/>
      <c r="BP38" s="29"/>
      <c r="BQ38" s="53" t="str">
        <f aca="false">IF(DQ38=0,"",DQ38)</f>
        <v/>
      </c>
      <c r="BR38" s="53"/>
      <c r="BS38" s="54" t="str">
        <f aca="false">IFERROR(_xlfn.RANK.EQ(BQ38,BQ$6:BQ$116,0),"")</f>
        <v/>
      </c>
      <c r="BT38" s="29"/>
      <c r="BU38" s="29"/>
      <c r="BV38" s="53" t="str">
        <f aca="false">IF(DS38=0,"",DS38)</f>
        <v/>
      </c>
      <c r="BW38" s="53"/>
      <c r="BX38" s="54" t="str">
        <f aca="false">IFERROR(_xlfn.RANK.EQ(BV38,BV$6:BV$116,0),"")</f>
        <v/>
      </c>
      <c r="BY38" s="29"/>
      <c r="BZ38" s="29"/>
      <c r="CA38" s="53" t="str">
        <f aca="false">IF(DU38=0,"",DU38)</f>
        <v/>
      </c>
      <c r="CB38" s="53"/>
      <c r="CC38" s="54" t="str">
        <f aca="false">IFERROR(_xlfn.RANK.EQ(CA38,CA$6:CA$116,0),"")</f>
        <v/>
      </c>
      <c r="CD38" s="29"/>
      <c r="CE38" s="29"/>
      <c r="CF38" s="53" t="str">
        <f aca="false">IF(DW38=0,"",DW38)</f>
        <v/>
      </c>
      <c r="CG38" s="53"/>
      <c r="CH38" s="54" t="str">
        <f aca="false">IFERROR(_xlfn.RANK.EQ(CF38,CF$6:CF$116,0),"")</f>
        <v/>
      </c>
      <c r="CI38" s="29"/>
      <c r="CJ38" s="29"/>
      <c r="CK38" s="53" t="str">
        <f aca="false">IF(DY38=0,"",DY38)</f>
        <v/>
      </c>
      <c r="CL38" s="53"/>
      <c r="CM38" s="54" t="str">
        <f aca="false">IFERROR(_xlfn.RANK.EQ(CK38,CK$6:CK$116,0),"")</f>
        <v/>
      </c>
      <c r="CN38" s="29"/>
      <c r="CO38" s="29"/>
      <c r="CP38" s="53" t="str">
        <f aca="false">IF(EA38=0,"",EA38)</f>
        <v/>
      </c>
      <c r="CQ38" s="53"/>
      <c r="CR38" s="54" t="str">
        <f aca="false">IFERROR(_xlfn.RANK.EQ(CP38,CP$6:CP$116,0),"")</f>
        <v/>
      </c>
      <c r="CS38" s="30" t="n">
        <v>-15</v>
      </c>
      <c r="CT38" s="31" t="n">
        <f aca="true">IFERROR(AVERAGE(OFFSET('Data - For Rank'!B$2,K38,0,COUNTIF(K$6:K$116,K38)))+IFERROR(VLOOKUP((COUNT($I$6:$I$116)/4),$ER$9:$ES$13,2,FALSE()),0),"")</f>
        <v>4</v>
      </c>
      <c r="CU38" s="30"/>
      <c r="CV38" s="31" t="str">
        <f aca="true">IFERROR(AVERAGE(OFFSET('Data - For Rank'!$C$2,P38,0,COUNTIF(P$6:P$116,P38)))+IFERROR(VLOOKUP((COUNT(N$6:N$116)/4),$ER$9:$ES$13,2,FALSE()),0),"")</f>
        <v/>
      </c>
      <c r="CW38" s="30" t="n">
        <v>-12</v>
      </c>
      <c r="CX38" s="31" t="n">
        <f aca="true">IFERROR(AVERAGE(OFFSET('Data - For Rank'!D$2,U38,0,COUNTIF(U$6:$U146,U38)))+IFERROR(VLOOKUP((COUNT(S$6:S$116)/4),$ER$9:$ES$13,2,FALSE()),0),"")</f>
        <v>7</v>
      </c>
      <c r="CY38" s="30" t="n">
        <v>-13</v>
      </c>
      <c r="CZ38" s="31" t="n">
        <f aca="true">IFERROR(AVERAGE(OFFSET('Data - For Rank'!E$2,Z38,0,COUNTIF(Z$6:Z$116,Z38)))+IFERROR(VLOOKUP((COUNT(W$6:W$116)/4),$ER$9:$ES$13,2,FALSE()),0),"")</f>
        <v>10</v>
      </c>
      <c r="DA38" s="30"/>
      <c r="DB38" s="31" t="str">
        <f aca="true">IFERROR(AVERAGE(OFFSET('Data - For Rank'!F$2,AE38,0,COUNTIF(AE$6:AE$116,AE38)))+IFERROR(VLOOKUP((COUNT(AC$6:AC$116)/4),$ER$9:$ES$13,2,FALSE()),0),"")</f>
        <v/>
      </c>
      <c r="DC38" s="30"/>
      <c r="DD38" s="31" t="str">
        <f aca="true">IFERROR(AVERAGE(OFFSET('Data - For Rank'!G$2,AJ38,0,COUNTIF(AJ$6:AJ$116,AJ38)))+IFERROR(VLOOKUP((COUNT(AH$6:AH$116)/4),$ER$9:$ES$13,2,FALSE()),0),"")</f>
        <v/>
      </c>
      <c r="DE38" s="30" t="n">
        <v>-8</v>
      </c>
      <c r="DF38" s="31" t="n">
        <f aca="true">IFERROR(AVERAGE(OFFSET('Data - For Rank'!$H$2,AO38,0,COUNTIF(AO$6:AO$116,AO38)))+IFERROR(VLOOKUP((COUNT(AM$6:AM$116)/4),$ER$9:$ES$13,2,FALSE()),0),"")</f>
        <v>6.5</v>
      </c>
      <c r="DG38" s="30"/>
      <c r="DH38" s="31" t="str">
        <f aca="true">IFERROR(AVERAGE(OFFSET('Data - For Rank'!$I$2,AT38,0,COUNTIF(AT$6:AT$116,AT38)))+IFERROR(VLOOKUP((COUNT(AR$6:AR$116)/4),$ER$9:$ES$13,2,FALSE()),0),"")</f>
        <v/>
      </c>
      <c r="DI38" s="30" t="n">
        <v>-21</v>
      </c>
      <c r="DJ38" s="31" t="n">
        <f aca="true">IFERROR(AVERAGE(OFFSET('Data - For Rank'!$J$2,AY38,0,COUNTIF(AY$6:AY$116,AY38)))+IFERROR(VLOOKUP((COUNT(AW$6:AW$116)/4),$ER$9:$ES$13,2,FALSE()),0),"")</f>
        <v>4</v>
      </c>
      <c r="DK38" s="30" t="n">
        <v>16</v>
      </c>
      <c r="DL38" s="31" t="n">
        <f aca="true">IFERROR(AVERAGE(OFFSET('Data - For Rank'!$K$2,BD38,0,COUNTIF(BD$6:BD$116,BD38)))+IFERROR(VLOOKUP((COUNT(BB$6:BB$116)/4),$ER$9:$ES$13,2,FALSE()),0),"")</f>
        <v>14</v>
      </c>
      <c r="DM38" s="30"/>
      <c r="DN38" s="31" t="str">
        <f aca="true">IFERROR(AVERAGE(OFFSET('Data - For Rank'!$L$2,BI38,0,COUNTIF(BI$6:BI$116,BI38)))+IFERROR(VLOOKUP((COUNT(BG$6:BG$116)/4),$ER$9:$ES$13,2,FALSE()),0),"")</f>
        <v/>
      </c>
      <c r="DO38" s="30"/>
      <c r="DP38" s="31" t="str">
        <f aca="true">IFERROR(AVERAGE(OFFSET('Data - For Rank'!$M$2,BN38,0,COUNTIF(BN$6:BN$116,BN38)))+IFERROR(VLOOKUP((COUNT(BL$6:BL$116)/4),$ER$9:$ES$13,2,FALSE()),0),"")</f>
        <v/>
      </c>
      <c r="DQ38" s="30"/>
      <c r="DR38" s="31" t="str">
        <f aca="true">IFERROR(AVERAGE(OFFSET('Data - For Rank'!$N$2,BS38,0,COUNTIF(BS$6:BS$116,BS38)))+IFERROR(VLOOKUP((COUNT(BQ$6:BQ$116)/4),$ER$9:$ES$13,2,FALSE()),0),"")</f>
        <v/>
      </c>
      <c r="DS38" s="30"/>
      <c r="DT38" s="31" t="str">
        <f aca="true">IFERROR(AVERAGE(OFFSET('Data - For Rank'!$O$2,BX38,0,COUNTIF(BX$6:BX$116,BX38)))+IFERROR(VLOOKUP((COUNT(BV$6:BV$116)/4),$ER$9:$ES$13,2,FALSE()),0),"")</f>
        <v/>
      </c>
      <c r="DU38" s="30"/>
      <c r="DV38" s="31" t="str">
        <f aca="true">IFERROR(AVERAGE(OFFSET('Data - For Rank'!$P$2,CC38,0,COUNTIF(CC$6:CC$116,CC38)))+IFERROR(VLOOKUP((COUNT(CA$6:CA$116)/4),$ER$9:$ES$13,2,FALSE()),0),"")</f>
        <v/>
      </c>
      <c r="DW38" s="30"/>
      <c r="DX38" s="31" t="str">
        <f aca="true">IFERROR(AVERAGE(OFFSET('Data - For Rank'!$Q$2,CH38,0,COUNTIF(CH$6:CH$116,CH38)))+IFERROR(VLOOKUP((COUNT(CF$6:CF$116)/4),$ER$9:$ES$13,2,FALSE()),0),"")</f>
        <v/>
      </c>
      <c r="DY38" s="30"/>
      <c r="DZ38" s="31" t="str">
        <f aca="true">IFERROR(AVERAGE(OFFSET('Data - For Rank'!$R$2,CM38,0,COUNTIF(CM$6:CM$116,CM38)))+IFERROR(VLOOKUP((COUNT(CK$6:CK$116)/4),$ER$9:$ES$13,2,FALSE()),0),"")</f>
        <v/>
      </c>
      <c r="EA38" s="30"/>
      <c r="EB38" s="31" t="str">
        <f aca="true">IFERROR(AVERAGE(OFFSET('Data - For Rank'!$S$2,CR38,0,COUNTIF(CR$6:CR$116,CR38)))+IFERROR(VLOOKUP((COUNT(CP$6:CP$116)/4),$ER$9:$ES$13,2,FALSE()),0),"")</f>
        <v/>
      </c>
      <c r="EC38" s="32" t="n">
        <f aca="false">CS38+CU38+CW38+CY38+DA38+DC38+DE38+DG38+DI38+DK38+DM38+DO38+DQ38+DS38+DU38+DW38+DY38+EA38</f>
        <v>-53</v>
      </c>
      <c r="ED38" s="33" t="n">
        <f aca="false">AVERAGE(CT38,CV38,CX38,CZ38,DB38,DD38,DF38,DH38,DJ38,DL38,DN38,DP38,DR38,DT38,DV38,DX38,DZ38,EB38)</f>
        <v>7.58333333333333</v>
      </c>
      <c r="ET38" s="51"/>
    </row>
    <row r="39" customFormat="false" ht="13.5" hidden="false" customHeight="false" outlineLevel="0" collapsed="false">
      <c r="B39" s="8" t="n">
        <f aca="false">_xlfn.RANK.EQ(C39,$C$6:$C$63,)</f>
        <v>12</v>
      </c>
      <c r="C39" s="43" t="n">
        <f aca="false">EC39</f>
        <v>115.5</v>
      </c>
      <c r="D39" s="43" t="s">
        <v>115</v>
      </c>
      <c r="E39" s="19" t="s">
        <v>55</v>
      </c>
      <c r="F39" s="20" t="n">
        <f aca="false">COUNT(CT39,CV39,CX39,CZ39,DB39,DD39,DF39,DH39,DJ39,DL39,DN39,DP39,DR39,DT39,DV39,DX39,DZ39,EB39)</f>
        <v>7</v>
      </c>
      <c r="G39" s="49" t="n">
        <f aca="false">IF(CT39=0,"",CT39)</f>
        <v>9.5</v>
      </c>
      <c r="H39" s="49"/>
      <c r="I39" s="49"/>
      <c r="K39" s="49"/>
      <c r="L39" s="49" t="str">
        <f aca="false">IF(CV39=0,"",CV39)</f>
        <v/>
      </c>
      <c r="M39" s="49"/>
      <c r="N39" s="49"/>
      <c r="P39" s="49"/>
      <c r="Q39" s="49" t="str">
        <f aca="false">IF(CX39=0,"",CX39)</f>
        <v/>
      </c>
      <c r="R39" s="49"/>
      <c r="S39" s="49"/>
      <c r="U39" s="49"/>
      <c r="V39" s="49" t="n">
        <f aca="false">IF(CZ39=0,"",CZ39)</f>
        <v>16.5</v>
      </c>
      <c r="W39" s="49"/>
      <c r="X39" s="49"/>
      <c r="Z39" s="49"/>
      <c r="AA39" s="49" t="n">
        <f aca="false">IF(DB39=0,"",DB39)</f>
        <v>17.5</v>
      </c>
      <c r="AB39" s="49"/>
      <c r="AC39" s="49"/>
      <c r="AE39" s="49"/>
      <c r="AF39" s="49" t="n">
        <f aca="false">IF(DD39=0,"",DD39)</f>
        <v>12</v>
      </c>
      <c r="AG39" s="49"/>
      <c r="AH39" s="49"/>
      <c r="AJ39" s="49"/>
      <c r="AK39" s="49" t="n">
        <f aca="false">IF(DF39=0,"",DF39)</f>
        <v>24.5</v>
      </c>
      <c r="AL39" s="49"/>
      <c r="AM39" s="49"/>
      <c r="AO39" s="49"/>
      <c r="AP39" s="49" t="n">
        <f aca="false">IF(DH39=0,"",DH39)</f>
        <v>15.5</v>
      </c>
      <c r="AQ39" s="49"/>
      <c r="AR39" s="49"/>
      <c r="AT39" s="49"/>
      <c r="AU39" s="49" t="n">
        <f aca="false">IF(DJ39=0,"",DJ39)</f>
        <v>20</v>
      </c>
      <c r="AV39" s="49"/>
      <c r="AW39" s="49"/>
      <c r="AY39" s="49"/>
      <c r="AZ39" s="49" t="str">
        <f aca="false">IF(DL39=0,"",DL39)</f>
        <v/>
      </c>
      <c r="BA39" s="49"/>
      <c r="BB39" s="49"/>
      <c r="BD39" s="49"/>
      <c r="BE39" s="49" t="str">
        <f aca="false">IF(DN39=0,"",DN39)</f>
        <v/>
      </c>
      <c r="BF39" s="49"/>
      <c r="BG39" s="49"/>
      <c r="BI39" s="49"/>
      <c r="BJ39" s="49" t="str">
        <f aca="false">IF(DP39=0,"",DP39)</f>
        <v/>
      </c>
      <c r="BK39" s="49"/>
      <c r="BL39" s="49"/>
      <c r="BN39" s="49"/>
      <c r="BO39" s="49" t="str">
        <f aca="false">IF(DR39=0,"",DR39)</f>
        <v/>
      </c>
      <c r="BP39" s="49"/>
      <c r="BQ39" s="49"/>
      <c r="BS39" s="49"/>
      <c r="BT39" s="49" t="str">
        <f aca="false">IF(DT39=0,"",DT39)</f>
        <v/>
      </c>
      <c r="BU39" s="49"/>
      <c r="BV39" s="49"/>
      <c r="BX39" s="49"/>
      <c r="BY39" s="49" t="str">
        <f aca="false">IF(DV39=0,"",DV39)</f>
        <v/>
      </c>
      <c r="BZ39" s="49"/>
      <c r="CA39" s="49"/>
      <c r="CC39" s="49"/>
      <c r="CD39" s="49" t="str">
        <f aca="false">IF(DX39=0,"",DX39)</f>
        <v/>
      </c>
      <c r="CE39" s="49"/>
      <c r="CF39" s="49"/>
      <c r="CH39" s="49"/>
      <c r="CI39" s="49" t="str">
        <f aca="false">IF(DZ39=0,"",DZ39)</f>
        <v/>
      </c>
      <c r="CJ39" s="49"/>
      <c r="CK39" s="49"/>
      <c r="CM39" s="49"/>
      <c r="CN39" s="49" t="str">
        <f aca="false">IF(EB39=0,"",EB39)</f>
        <v/>
      </c>
      <c r="CO39" s="49"/>
      <c r="CP39" s="49"/>
      <c r="CR39" s="49"/>
      <c r="CS39" s="21" t="n">
        <v>87</v>
      </c>
      <c r="CT39" s="22" t="n">
        <f aca="false">IFERROR(CT40+CT41,"")</f>
        <v>9.5</v>
      </c>
      <c r="CU39" s="21"/>
      <c r="CV39" s="22" t="str">
        <f aca="false">IFERROR(CV40+CV41,"")</f>
        <v/>
      </c>
      <c r="CW39" s="21"/>
      <c r="CX39" s="22" t="str">
        <f aca="false">IFERROR(CX40+CX41,"")</f>
        <v/>
      </c>
      <c r="CY39" s="21" t="n">
        <v>84</v>
      </c>
      <c r="CZ39" s="22" t="n">
        <f aca="false">IFERROR(CZ40+CZ41,"")</f>
        <v>16.5</v>
      </c>
      <c r="DA39" s="21" t="n">
        <v>85</v>
      </c>
      <c r="DB39" s="22" t="n">
        <f aca="false">IFERROR(DB40+DB41,"")</f>
        <v>17.5</v>
      </c>
      <c r="DC39" s="21" t="n">
        <v>91</v>
      </c>
      <c r="DD39" s="22" t="n">
        <f aca="false">IFERROR(DD40+DD41,"")</f>
        <v>12</v>
      </c>
      <c r="DE39" s="21" t="n">
        <v>77</v>
      </c>
      <c r="DF39" s="22" t="n">
        <f aca="false">IFERROR(DF40+DF41,"")</f>
        <v>24.5</v>
      </c>
      <c r="DG39" s="21" t="n">
        <v>85</v>
      </c>
      <c r="DH39" s="22" t="n">
        <f aca="false">IFERROR(DH40+DH41,"")</f>
        <v>15.5</v>
      </c>
      <c r="DI39" s="21" t="n">
        <v>84</v>
      </c>
      <c r="DJ39" s="22" t="n">
        <f aca="false">IFERROR(DJ40+DJ41,"")</f>
        <v>20</v>
      </c>
      <c r="DK39" s="21"/>
      <c r="DL39" s="22" t="str">
        <f aca="false">IFERROR(DL40+DL41,"")</f>
        <v/>
      </c>
      <c r="DM39" s="21"/>
      <c r="DN39" s="22" t="str">
        <f aca="false">IFERROR(DN40+DN41,"")</f>
        <v/>
      </c>
      <c r="DO39" s="21"/>
      <c r="DP39" s="22" t="str">
        <f aca="false">IFERROR(DP40+DP41,"")</f>
        <v/>
      </c>
      <c r="DQ39" s="21"/>
      <c r="DR39" s="22" t="str">
        <f aca="false">IFERROR(DR40+DR41,"")</f>
        <v/>
      </c>
      <c r="DS39" s="21"/>
      <c r="DT39" s="22" t="str">
        <f aca="false">IFERROR(DT40+DT41,"")</f>
        <v/>
      </c>
      <c r="DU39" s="21"/>
      <c r="DV39" s="22" t="str">
        <f aca="false">IFERROR(DV40+DV41,"")</f>
        <v/>
      </c>
      <c r="DW39" s="21"/>
      <c r="DX39" s="22" t="str">
        <f aca="false">IFERROR(DX40+DX41,"")</f>
        <v/>
      </c>
      <c r="DY39" s="21"/>
      <c r="DZ39" s="22" t="str">
        <f aca="false">IFERROR(DZ40+DZ41,"")</f>
        <v/>
      </c>
      <c r="EA39" s="21"/>
      <c r="EB39" s="22" t="str">
        <f aca="false">IFERROR(EB40+EB41,"")</f>
        <v/>
      </c>
      <c r="EC39" s="17" t="n">
        <f aca="false">IFERROR(LARGE($G39:$CN39,1),0)+IFERROR(LARGE($G39:$CN39,2),0)+IFERROR(LARGE($G39:$CN39,3),0)+IFERROR(LARGE($G39:$CN39,4),0)+IFERROR(LARGE($G39:$CN39,5),0)+IFERROR(LARGE($G39:$CN39,6),0)+IFERROR(LARGE($G39:$CN39,7),0)+IFERROR(LARGE($G39:$CN39,8),0)+IFERROR(LARGE($G39:$CN39,9),0)+IFERROR(LARGE($G39:$CN39,10),0)</f>
        <v>115.5</v>
      </c>
      <c r="ED39" s="23" t="n">
        <f aca="false">AVERAGE(CT39,CV39,CX39,CZ39,DB39,DD39,DF39,DH39,DJ39,DL39,DN39,DP39,DR39,DT39,DV39,DX39,DZ39,EB39)</f>
        <v>16.5</v>
      </c>
      <c r="ET39" s="51"/>
    </row>
    <row r="40" s="1" customFormat="true" ht="13.5" hidden="false" customHeight="false" outlineLevel="1" collapsed="false">
      <c r="B40" s="24" t="n">
        <f aca="false">B39+0.115</f>
        <v>12.115</v>
      </c>
      <c r="D40" s="51" t="s">
        <v>116</v>
      </c>
      <c r="E40" s="7" t="s">
        <v>43</v>
      </c>
      <c r="F40" s="7"/>
      <c r="G40" s="7"/>
      <c r="H40" s="7" t="n">
        <f aca="false">IF(CS40=0,"",CS40)</f>
        <v>28</v>
      </c>
      <c r="I40" s="7"/>
      <c r="J40" s="49" t="n">
        <f aca="false">IFERROR(RANK(H40,H$6:H$116,0),"")</f>
        <v>14</v>
      </c>
      <c r="K40" s="7"/>
      <c r="L40" s="7"/>
      <c r="M40" s="7" t="str">
        <f aca="false">IF(CU40=0,"",CU40)</f>
        <v/>
      </c>
      <c r="N40" s="7"/>
      <c r="O40" s="49" t="str">
        <f aca="false">IFERROR(RANK(M40,M$6:M$116,0),"")</f>
        <v/>
      </c>
      <c r="P40" s="7"/>
      <c r="Q40" s="7"/>
      <c r="R40" s="7" t="str">
        <f aca="false">IF(CW40=0,"",CW40)</f>
        <v/>
      </c>
      <c r="S40" s="7"/>
      <c r="T40" s="49" t="str">
        <f aca="false">IFERROR(RANK(R40,R$6:R$116,0),"")</f>
        <v/>
      </c>
      <c r="U40" s="7"/>
      <c r="V40" s="7"/>
      <c r="W40" s="7" t="n">
        <f aca="false">IF(CY40=0,"",CY40)</f>
        <v>28</v>
      </c>
      <c r="X40" s="7"/>
      <c r="Y40" s="49" t="n">
        <f aca="false">IFERROR(RANK(W40,W$6:W$116,0),"")</f>
        <v>6</v>
      </c>
      <c r="Z40" s="7"/>
      <c r="AA40" s="7"/>
      <c r="AB40" s="7" t="n">
        <f aca="false">IF(DA40=0,"",DA40)</f>
        <v>30</v>
      </c>
      <c r="AC40" s="7"/>
      <c r="AD40" s="49" t="n">
        <f aca="false">IFERROR(RANK(AB40,AB$6:AB$116,0),"")</f>
        <v>10</v>
      </c>
      <c r="AE40" s="7"/>
      <c r="AF40" s="7"/>
      <c r="AG40" s="7" t="n">
        <f aca="false">IF(DC40=0,"",DC40)</f>
        <v>26</v>
      </c>
      <c r="AH40" s="7"/>
      <c r="AI40" s="49" t="n">
        <f aca="false">IFERROR(RANK(AG40,AG$6:AG$116,0),"")</f>
        <v>14</v>
      </c>
      <c r="AJ40" s="7"/>
      <c r="AK40" s="7"/>
      <c r="AL40" s="7" t="n">
        <f aca="false">IF(DE40=0,"",DE40)</f>
        <v>36</v>
      </c>
      <c r="AM40" s="7"/>
      <c r="AN40" s="49" t="n">
        <f aca="false">IFERROR(RANK(AL40,AL$6:AL$116,0),"")</f>
        <v>3</v>
      </c>
      <c r="AO40" s="7"/>
      <c r="AP40" s="7"/>
      <c r="AQ40" s="7" t="n">
        <f aca="false">IF(DG40=0,"",DG40)</f>
        <v>31</v>
      </c>
      <c r="AR40" s="7"/>
      <c r="AS40" s="49" t="n">
        <f aca="false">IFERROR(RANK(AQ40,AQ$6:AQ$116,0),"")</f>
        <v>10</v>
      </c>
      <c r="AT40" s="7"/>
      <c r="AU40" s="7"/>
      <c r="AV40" s="7" t="n">
        <f aca="false">IF(DI40=0,"",DI40)</f>
        <v>34</v>
      </c>
      <c r="AW40" s="7"/>
      <c r="AX40" s="49" t="n">
        <f aca="false">IFERROR(RANK(AV40,AV$6:AV$116,0),"")</f>
        <v>7</v>
      </c>
      <c r="AY40" s="7"/>
      <c r="AZ40" s="7"/>
      <c r="BA40" s="7" t="str">
        <f aca="false">IF(DK40=0,"",DK40)</f>
        <v/>
      </c>
      <c r="BB40" s="7"/>
      <c r="BC40" s="49" t="str">
        <f aca="false">IFERROR(RANK(BA40,BA$6:BA$116,0),"")</f>
        <v/>
      </c>
      <c r="BD40" s="7"/>
      <c r="BE40" s="7"/>
      <c r="BF40" s="7" t="str">
        <f aca="false">IF(DM40=0,"",DM40)</f>
        <v/>
      </c>
      <c r="BG40" s="7"/>
      <c r="BH40" s="49" t="str">
        <f aca="false">IFERROR(RANK(BF40,BF$6:BF$116,0),"")</f>
        <v/>
      </c>
      <c r="BI40" s="7"/>
      <c r="BJ40" s="7"/>
      <c r="BK40" s="7" t="str">
        <f aca="false">IF(DO40=0,"",DO40)</f>
        <v/>
      </c>
      <c r="BL40" s="7"/>
      <c r="BM40" s="49" t="str">
        <f aca="false">IFERROR(RANK(BK40,BK$6:BK$116,0),"")</f>
        <v/>
      </c>
      <c r="BN40" s="7"/>
      <c r="BO40" s="7"/>
      <c r="BP40" s="7" t="str">
        <f aca="false">IF(DQ40=0,"",DQ40)</f>
        <v/>
      </c>
      <c r="BQ40" s="7"/>
      <c r="BR40" s="49" t="str">
        <f aca="false">IFERROR(RANK(BP40,BP$6:BP$116,0),"")</f>
        <v/>
      </c>
      <c r="BS40" s="7"/>
      <c r="BT40" s="7"/>
      <c r="BU40" s="7" t="str">
        <f aca="false">IF(DS40=0,"",DS40)</f>
        <v/>
      </c>
      <c r="BV40" s="7"/>
      <c r="BW40" s="49" t="str">
        <f aca="false">IFERROR(RANK(BU40,BU$6:BU$116,0),"")</f>
        <v/>
      </c>
      <c r="BX40" s="7"/>
      <c r="BY40" s="7"/>
      <c r="BZ40" s="7" t="str">
        <f aca="false">IF(DU40=0,"",DU40)</f>
        <v/>
      </c>
      <c r="CA40" s="7"/>
      <c r="CB40" s="49" t="str">
        <f aca="false">IFERROR(RANK(BZ40,BZ$6:BZ$116,0),"")</f>
        <v/>
      </c>
      <c r="CC40" s="7"/>
      <c r="CD40" s="7"/>
      <c r="CE40" s="7" t="str">
        <f aca="false">IF(DW40=0,"",DW40)</f>
        <v/>
      </c>
      <c r="CF40" s="7"/>
      <c r="CG40" s="49" t="str">
        <f aca="false">IFERROR(RANK(CE40,CE$6:CE$116,0),"")</f>
        <v/>
      </c>
      <c r="CH40" s="7"/>
      <c r="CI40" s="7"/>
      <c r="CJ40" s="7" t="str">
        <f aca="false">IF(DY40=0,"",DY40)</f>
        <v/>
      </c>
      <c r="CK40" s="7"/>
      <c r="CL40" s="49" t="str">
        <f aca="false">IFERROR(RANK(CJ40,CJ$6:CJ$116,0),"")</f>
        <v/>
      </c>
      <c r="CM40" s="7"/>
      <c r="CN40" s="7"/>
      <c r="CO40" s="7" t="str">
        <f aca="false">IF(EA40=0,"",EA40)</f>
        <v/>
      </c>
      <c r="CP40" s="7"/>
      <c r="CQ40" s="49" t="str">
        <f aca="false">IFERROR(RANK(CO40,CO$6:CO$116,0),"")</f>
        <v/>
      </c>
      <c r="CR40" s="7"/>
      <c r="CS40" s="21" t="n">
        <v>28</v>
      </c>
      <c r="CT40" s="25" t="n">
        <f aca="true">IFERROR(AVERAGE(OFFSET('Data - For Rank'!B$2,J40,0,COUNTIF($J$7:J$116,J40)))+IFERROR(VLOOKUP((COUNT($H$6:$H$116)/4),$ER$9:$ES$13,2,FALSE()),0),"")</f>
        <v>4.5</v>
      </c>
      <c r="CU40" s="21"/>
      <c r="CV40" s="25" t="str">
        <f aca="true">IFERROR(AVERAGE(OFFSET('Data - For Rank'!$C$2,O40,0,COUNTIF(O$7:O$116,O40)))+IFERROR(VLOOKUP((COUNT(M$6:M$116)/4),$ER$9:$ES$13,2,FALSE()),0),"")</f>
        <v/>
      </c>
      <c r="CW40" s="21"/>
      <c r="CX40" s="25" t="str">
        <f aca="true">IFERROR(AVERAGE(OFFSET('Data - For Rank'!D$2,T40,0,COUNTIF(T$7:T$116,T40)))+IFERROR(VLOOKUP((COUNT(R$6:R$116)/4),$ER$9:$ES$13,2,FALSE()),0),"")</f>
        <v/>
      </c>
      <c r="CY40" s="21" t="n">
        <v>28</v>
      </c>
      <c r="CZ40" s="25" t="n">
        <f aca="true">IFERROR(AVERAGE(OFFSET('Data - For Rank'!E$2,Y40,0,COUNTIF(Y$7:Y$116,Y40)))+IFERROR(VLOOKUP((COUNT(W$6:W$116)/4),$ER$9:$ES$13,2,FALSE()),0),"")</f>
        <v>8.5</v>
      </c>
      <c r="DA40" s="21" t="n">
        <v>30</v>
      </c>
      <c r="DB40" s="25" t="n">
        <f aca="true">IFERROR(AVERAGE(OFFSET('Data - For Rank'!F$2,AD40,0,COUNTIF(AD$7:AD$116,AD40)))+IFERROR(VLOOKUP((COUNT(AB$6:AB$116)/4),$ER$9:$ES$13,2,FALSE()),0),"")</f>
        <v>8.5</v>
      </c>
      <c r="DC40" s="21" t="n">
        <v>26</v>
      </c>
      <c r="DD40" s="25" t="n">
        <f aca="true">IFERROR(AVERAGE(OFFSET('Data - For Rank'!G$2,AI40,0,COUNTIF(AI$7:AI$116,AI40)))+IFERROR(VLOOKUP((COUNT(AG$6:AG$116)/4),$ER$9:$ES$13,2,FALSE()),0),"")</f>
        <v>5</v>
      </c>
      <c r="DE40" s="21" t="n">
        <v>36</v>
      </c>
      <c r="DF40" s="25" t="n">
        <f aca="true">IFERROR(AVERAGE(OFFSET('Data - For Rank'!$H$2,AN40,0,COUNTIF(AN$7:AN$116,AN40)))+IFERROR(VLOOKUP((COUNT(AL$6:AL$116)/4),$ER$9:$ES$13,2,FALSE()),0),"")</f>
        <v>13.5</v>
      </c>
      <c r="DG40" s="21" t="n">
        <v>31</v>
      </c>
      <c r="DH40" s="25" t="n">
        <f aca="true">IFERROR(AVERAGE(OFFSET('Data - For Rank'!$I$2,AS40,0,COUNTIF(AS$7:AS$116,AS40)))+IFERROR(VLOOKUP((COUNT(AQ$6:AQ$116)/4),$ER$9:$ES$13,2,FALSE()),0),"")</f>
        <v>9</v>
      </c>
      <c r="DI40" s="21" t="n">
        <v>34</v>
      </c>
      <c r="DJ40" s="25" t="n">
        <f aca="true">IFERROR(AVERAGE(OFFSET('Data - For Rank'!$J$2,AX40,0,COUNTIF(AX$7:AX$116,AX40)))+IFERROR(VLOOKUP((COUNT(AV$6:AV$116)/4),$ER$9:$ES$13,2,FALSE()),0),"")</f>
        <v>11</v>
      </c>
      <c r="DK40" s="21"/>
      <c r="DL40" s="25" t="str">
        <f aca="true">IFERROR(AVERAGE(OFFSET('Data - For Rank'!$K$2,BC40,0,COUNTIF(BC$7:BC$116,BC40)))+IFERROR(VLOOKUP((COUNT(BA$6:BA$116)/4),$ER$9:$ES$13,2,FALSE()),0),"")</f>
        <v/>
      </c>
      <c r="DM40" s="21"/>
      <c r="DN40" s="25" t="str">
        <f aca="true">IFERROR(AVERAGE(OFFSET('Data - For Rank'!$L$2,BH40,0,COUNTIF(BH$7:BH$116,BH40)))+IFERROR(VLOOKUP((COUNT(BF$6:BF$116)/4),$ER$9:$ES$13,2,FALSE()),0),"")</f>
        <v/>
      </c>
      <c r="DO40" s="21"/>
      <c r="DP40" s="25" t="str">
        <f aca="true">IFERROR(AVERAGE(OFFSET('Data - For Rank'!$M$2,BM40,0,COUNTIF(BM$7:BM$116,BM40)))+IFERROR(VLOOKUP((COUNT(BK$6:BK$116)/4),$ER$9:$ES$13,2,FALSE()),0),"")</f>
        <v/>
      </c>
      <c r="DQ40" s="21"/>
      <c r="DR40" s="25" t="str">
        <f aca="true">IFERROR(AVERAGE(OFFSET('Data - For Rank'!$N$2,BR40,0,COUNTIF(BR$7:BR$116,BR40)))+IFERROR(VLOOKUP((COUNT(BP$6:BP$116)/4),$ER$9:$ES$13,2,FALSE()),0),"")</f>
        <v/>
      </c>
      <c r="DS40" s="21"/>
      <c r="DT40" s="25" t="str">
        <f aca="true">IFERROR(AVERAGE(OFFSET('Data - For Rank'!$O$2,BW40,0,COUNTIF(BW$7:BW$116,BW40)))+IFERROR(VLOOKUP((COUNT(BU$6:BU$116)/4),$ER$9:$ES$13,2,FALSE()),0),"")</f>
        <v/>
      </c>
      <c r="DU40" s="21"/>
      <c r="DV40" s="25" t="str">
        <f aca="true">IFERROR(AVERAGE(OFFSET('Data - For Rank'!$P$2,CB40,0,COUNTIF(CB$7:CB$116,CB40)))+IFERROR(VLOOKUP((COUNT(BZ$6:BZ$116)/4),$ER$9:$ES$13,2,FALSE()),0),"")</f>
        <v/>
      </c>
      <c r="DW40" s="21"/>
      <c r="DX40" s="25" t="str">
        <f aca="true">IFERROR(AVERAGE(OFFSET('Data - For Rank'!$Q$2,CG40,0,COUNTIF(CG$7:CG$116,CG40)))+IFERROR(VLOOKUP((COUNT(CE$6:CE$116)/4),$ER$9:$ES$13,2,FALSE()),0),"")</f>
        <v/>
      </c>
      <c r="DY40" s="21"/>
      <c r="DZ40" s="25" t="str">
        <f aca="true">IFERROR(AVERAGE(OFFSET('Data - For Rank'!$R$2,CL40,0,COUNTIF(CL$7:CL$116,CL40)))+IFERROR(VLOOKUP((COUNT(CJ$6:CJ$116)/4),$ER$9:$ES$13,2,FALSE()),0),"")</f>
        <v/>
      </c>
      <c r="EA40" s="21"/>
      <c r="EB40" s="25" t="str">
        <f aca="true">IFERROR(AVERAGE(OFFSET('Data - For Rank'!$S$2,CQ40,0,COUNTIF(CQ$7:CQ$116,CQ40)))+IFERROR(VLOOKUP((COUNT(CO$6:CO$116)/4),$ER$9:$ES$13,2,FALSE()),0),"")</f>
        <v/>
      </c>
      <c r="EC40" s="26" t="n">
        <f aca="false">AVERAGE(CS40,CU40,CW40,CY40,DA40,DC40,DE40,DG40,DI40,DK40,DM40,DO40,DQ40,DS40,DU40,DW40,DY40,EA40)</f>
        <v>30.4285714285714</v>
      </c>
      <c r="ED40" s="23" t="n">
        <f aca="false">AVERAGE(CT40,CV40,CX40,CZ40,DB40,DD40,DF40,DH40,DJ40,DL40,DN40,DP40,DR40,DT40,DV40,DX40,DZ40,EB40)</f>
        <v>8.57142857142857</v>
      </c>
      <c r="ET40" s="51"/>
    </row>
    <row r="41" s="1" customFormat="true" ht="13.5" hidden="false" customHeight="false" outlineLevel="1" collapsed="false">
      <c r="B41" s="27" t="n">
        <f aca="false">B39+0.0215</f>
        <v>12.0215</v>
      </c>
      <c r="D41" s="51" t="s">
        <v>117</v>
      </c>
      <c r="E41" s="28" t="s">
        <v>44</v>
      </c>
      <c r="F41" s="29" t="n">
        <f aca="false">IF(COUNT(G39:CN39)&gt;10,SMALL(G39:CN39,COUNT(G39:CN39)-10),MIN(G39:CN39))</f>
        <v>9.5</v>
      </c>
      <c r="G41" s="29"/>
      <c r="H41" s="29"/>
      <c r="I41" s="53" t="n">
        <f aca="false">IF(CS41=0,"",CS41)</f>
        <v>-12</v>
      </c>
      <c r="J41" s="53"/>
      <c r="K41" s="54" t="n">
        <f aca="false">IFERROR(_xlfn.RANK.EQ(I41,I$6:I$116,0),"")</f>
        <v>14</v>
      </c>
      <c r="L41" s="29"/>
      <c r="M41" s="29"/>
      <c r="N41" s="53" t="str">
        <f aca="false">IF(CU41=0,"",CU41)</f>
        <v/>
      </c>
      <c r="O41" s="53"/>
      <c r="P41" s="54" t="str">
        <f aca="false">IFERROR(_xlfn.RANK.EQ(N41,N$6:N$116,0),"")</f>
        <v/>
      </c>
      <c r="Q41" s="29"/>
      <c r="R41" s="29"/>
      <c r="S41" s="53" t="str">
        <f aca="false">IF(CW41=0,"",CW41)</f>
        <v/>
      </c>
      <c r="T41" s="53"/>
      <c r="U41" s="54" t="str">
        <f aca="false">IFERROR(_xlfn.RANK.EQ(S41,S$6:S$116,0),"")</f>
        <v/>
      </c>
      <c r="V41" s="29"/>
      <c r="W41" s="29"/>
      <c r="X41" s="53" t="n">
        <f aca="false">IF(CY41=0,"",CY41)</f>
        <v>-17</v>
      </c>
      <c r="Y41" s="53"/>
      <c r="Z41" s="54" t="n">
        <f aca="false">IFERROR(_xlfn.RANK.EQ(X41,X$6:X$116,0),"")</f>
        <v>7</v>
      </c>
      <c r="AA41" s="29"/>
      <c r="AB41" s="29"/>
      <c r="AC41" s="53" t="n">
        <f aca="false">IF(DA41=0,"",DA41)</f>
        <v>4</v>
      </c>
      <c r="AD41" s="53"/>
      <c r="AE41" s="54" t="n">
        <f aca="false">IFERROR(_xlfn.RANK.EQ(AC41,AC$6:AC$116,0),"")</f>
        <v>10</v>
      </c>
      <c r="AF41" s="29"/>
      <c r="AG41" s="29"/>
      <c r="AH41" s="53" t="n">
        <f aca="false">IF(DC41=0,"",DC41)</f>
        <v>-4</v>
      </c>
      <c r="AI41" s="53"/>
      <c r="AJ41" s="54" t="n">
        <f aca="false">IFERROR(_xlfn.RANK.EQ(AH41,AH$6:AH$116,0),"")</f>
        <v>12</v>
      </c>
      <c r="AK41" s="29"/>
      <c r="AL41" s="29"/>
      <c r="AM41" s="53" t="n">
        <f aca="false">IF(DE41=0,"",DE41)</f>
        <v>2</v>
      </c>
      <c r="AN41" s="53"/>
      <c r="AO41" s="54" t="n">
        <f aca="false">IFERROR(_xlfn.RANK.EQ(AM41,AM$6:AM$116,0),"")</f>
        <v>5</v>
      </c>
      <c r="AP41" s="29"/>
      <c r="AQ41" s="29"/>
      <c r="AR41" s="53" t="n">
        <f aca="false">IF(DG41=0,"",DG41)</f>
        <v>-10</v>
      </c>
      <c r="AS41" s="53"/>
      <c r="AT41" s="54" t="n">
        <f aca="false">IFERROR(_xlfn.RANK.EQ(AR41,AR$6:AR$116,0),"")</f>
        <v>12</v>
      </c>
      <c r="AU41" s="29"/>
      <c r="AV41" s="29"/>
      <c r="AW41" s="53" t="n">
        <f aca="false">IF(DI41=0,"",DI41)</f>
        <v>-5</v>
      </c>
      <c r="AX41" s="53"/>
      <c r="AY41" s="54" t="n">
        <f aca="false">IFERROR(_xlfn.RANK.EQ(AW41,AW$6:AW$116,0),"")</f>
        <v>10</v>
      </c>
      <c r="AZ41" s="29"/>
      <c r="BA41" s="29"/>
      <c r="BB41" s="53" t="str">
        <f aca="false">IF(DK41=0,"",DK41)</f>
        <v/>
      </c>
      <c r="BC41" s="53"/>
      <c r="BD41" s="54" t="str">
        <f aca="false">IFERROR(_xlfn.RANK.EQ(BB41,BB$6:BB$116,0),"")</f>
        <v/>
      </c>
      <c r="BE41" s="29"/>
      <c r="BF41" s="29"/>
      <c r="BG41" s="53" t="str">
        <f aca="false">IF(DM41=0,"",DM41)</f>
        <v/>
      </c>
      <c r="BH41" s="53"/>
      <c r="BI41" s="54" t="str">
        <f aca="false">IFERROR(_xlfn.RANK.EQ(BG41,BG$6:BG$116,0),"")</f>
        <v/>
      </c>
      <c r="BJ41" s="29"/>
      <c r="BK41" s="29"/>
      <c r="BL41" s="53" t="str">
        <f aca="false">IF(DO41=0,"",DO41)</f>
        <v/>
      </c>
      <c r="BM41" s="53"/>
      <c r="BN41" s="54" t="str">
        <f aca="false">IFERROR(_xlfn.RANK.EQ(BL41,BL$6:BL$116,0),"")</f>
        <v/>
      </c>
      <c r="BO41" s="29"/>
      <c r="BP41" s="29"/>
      <c r="BQ41" s="53" t="str">
        <f aca="false">IF(DQ41=0,"",DQ41)</f>
        <v/>
      </c>
      <c r="BR41" s="53"/>
      <c r="BS41" s="54" t="str">
        <f aca="false">IFERROR(_xlfn.RANK.EQ(BQ41,BQ$6:BQ$116,0),"")</f>
        <v/>
      </c>
      <c r="BT41" s="29"/>
      <c r="BU41" s="29"/>
      <c r="BV41" s="53" t="str">
        <f aca="false">IF(DS41=0,"",DS41)</f>
        <v/>
      </c>
      <c r="BW41" s="53"/>
      <c r="BX41" s="54" t="str">
        <f aca="false">IFERROR(_xlfn.RANK.EQ(BV41,BV$6:BV$116,0),"")</f>
        <v/>
      </c>
      <c r="BY41" s="29"/>
      <c r="BZ41" s="29"/>
      <c r="CA41" s="53" t="str">
        <f aca="false">IF(DU41=0,"",DU41)</f>
        <v/>
      </c>
      <c r="CB41" s="53"/>
      <c r="CC41" s="54" t="str">
        <f aca="false">IFERROR(_xlfn.RANK.EQ(CA41,CA$6:CA$116,0),"")</f>
        <v/>
      </c>
      <c r="CD41" s="29"/>
      <c r="CE41" s="29"/>
      <c r="CF41" s="53" t="str">
        <f aca="false">IF(DW41=0,"",DW41)</f>
        <v/>
      </c>
      <c r="CG41" s="53"/>
      <c r="CH41" s="54" t="str">
        <f aca="false">IFERROR(_xlfn.RANK.EQ(CF41,CF$6:CF$116,0),"")</f>
        <v/>
      </c>
      <c r="CI41" s="29"/>
      <c r="CJ41" s="29"/>
      <c r="CK41" s="53" t="str">
        <f aca="false">IF(DY41=0,"",DY41)</f>
        <v/>
      </c>
      <c r="CL41" s="53"/>
      <c r="CM41" s="54" t="str">
        <f aca="false">IFERROR(_xlfn.RANK.EQ(CK41,CK$6:CK$116,0),"")</f>
        <v/>
      </c>
      <c r="CN41" s="29"/>
      <c r="CO41" s="29"/>
      <c r="CP41" s="53" t="str">
        <f aca="false">IF(EA41=0,"",EA41)</f>
        <v/>
      </c>
      <c r="CQ41" s="53"/>
      <c r="CR41" s="54" t="str">
        <f aca="false">IFERROR(_xlfn.RANK.EQ(CP41,CP$6:CP$116,0),"")</f>
        <v/>
      </c>
      <c r="CS41" s="30" t="n">
        <v>-12</v>
      </c>
      <c r="CT41" s="31" t="n">
        <f aca="true">IFERROR(AVERAGE(OFFSET('Data - For Rank'!B$2,K41,0,COUNTIF(K$6:K$116,K41)))+IFERROR(VLOOKUP((COUNT($I$6:$I$116)/4),$ER$9:$ES$13,2,FALSE()),0),"")</f>
        <v>5</v>
      </c>
      <c r="CU41" s="30"/>
      <c r="CV41" s="31" t="str">
        <f aca="true">IFERROR(AVERAGE(OFFSET('Data - For Rank'!$C$2,P41,0,COUNTIF(P$6:P$116,P41)))+IFERROR(VLOOKUP((COUNT(N$6:N$116)/4),$ER$9:$ES$13,2,FALSE()),0),"")</f>
        <v/>
      </c>
      <c r="CW41" s="30"/>
      <c r="CX41" s="31" t="str">
        <f aca="true">IFERROR(AVERAGE(OFFSET('Data - For Rank'!D$2,U41,0,COUNTIF(U$6:$U149,U41)))+IFERROR(VLOOKUP((COUNT(S$6:S$116)/4),$ER$9:$ES$13,2,FALSE()),0),"")</f>
        <v/>
      </c>
      <c r="CY41" s="30" t="n">
        <v>-17</v>
      </c>
      <c r="CZ41" s="31" t="n">
        <f aca="true">IFERROR(AVERAGE(OFFSET('Data - For Rank'!E$2,Z41,0,COUNTIF(Z$6:Z$116,Z41)))+IFERROR(VLOOKUP((COUNT(W$6:W$116)/4),$ER$9:$ES$13,2,FALSE()),0),"")</f>
        <v>8</v>
      </c>
      <c r="DA41" s="30" t="n">
        <v>4</v>
      </c>
      <c r="DB41" s="31" t="n">
        <f aca="true">IFERROR(AVERAGE(OFFSET('Data - For Rank'!F$2,AE41,0,COUNTIF(AE$6:AE$116,AE41)))+IFERROR(VLOOKUP((COUNT(AC$6:AC$116)/4),$ER$9:$ES$13,2,FALSE()),0),"")</f>
        <v>9</v>
      </c>
      <c r="DC41" s="30" t="n">
        <v>-4</v>
      </c>
      <c r="DD41" s="31" t="n">
        <f aca="true">IFERROR(AVERAGE(OFFSET('Data - For Rank'!G$2,AJ41,0,COUNTIF(AJ$6:AJ$116,AJ41)))+IFERROR(VLOOKUP((COUNT(AH$6:AH$116)/4),$ER$9:$ES$13,2,FALSE()),0),"")</f>
        <v>7</v>
      </c>
      <c r="DE41" s="30" t="n">
        <v>2</v>
      </c>
      <c r="DF41" s="31" t="n">
        <f aca="true">IFERROR(AVERAGE(OFFSET('Data - For Rank'!$H$2,AO41,0,COUNTIF(AO$6:AO$116,AO41)))+IFERROR(VLOOKUP((COUNT(AM$6:AM$116)/4),$ER$9:$ES$13,2,FALSE()),0),"")</f>
        <v>11</v>
      </c>
      <c r="DG41" s="30" t="n">
        <v>-10</v>
      </c>
      <c r="DH41" s="31" t="n">
        <f aca="true">IFERROR(AVERAGE(OFFSET('Data - For Rank'!$I$2,AT41,0,COUNTIF(AT$6:AT$116,AT41)))+IFERROR(VLOOKUP((COUNT(AR$6:AR$116)/4),$ER$9:$ES$13,2,FALSE()),0),"")</f>
        <v>6.5</v>
      </c>
      <c r="DI41" s="30" t="n">
        <v>-5</v>
      </c>
      <c r="DJ41" s="31" t="n">
        <f aca="true">IFERROR(AVERAGE(OFFSET('Data - For Rank'!$J$2,AY41,0,COUNTIF(AY$6:AY$116,AY41)))+IFERROR(VLOOKUP((COUNT(AW$6:AW$116)/4),$ER$9:$ES$13,2,FALSE()),0),"")</f>
        <v>9</v>
      </c>
      <c r="DK41" s="30"/>
      <c r="DL41" s="31" t="str">
        <f aca="true">IFERROR(AVERAGE(OFFSET('Data - For Rank'!$K$2,BD41,0,COUNTIF(BD$6:BD$116,BD41)))+IFERROR(VLOOKUP((COUNT(BB$6:BB$116)/4),$ER$9:$ES$13,2,FALSE()),0),"")</f>
        <v/>
      </c>
      <c r="DM41" s="30"/>
      <c r="DN41" s="31" t="str">
        <f aca="true">IFERROR(AVERAGE(OFFSET('Data - For Rank'!$L$2,BI41,0,COUNTIF(BI$6:BI$116,BI41)))+IFERROR(VLOOKUP((COUNT(BG$6:BG$116)/4),$ER$9:$ES$13,2,FALSE()),0),"")</f>
        <v/>
      </c>
      <c r="DO41" s="30"/>
      <c r="DP41" s="31" t="str">
        <f aca="true">IFERROR(AVERAGE(OFFSET('Data - For Rank'!$M$2,BN41,0,COUNTIF(BN$6:BN$116,BN41)))+IFERROR(VLOOKUP((COUNT(BL$6:BL$116)/4),$ER$9:$ES$13,2,FALSE()),0),"")</f>
        <v/>
      </c>
      <c r="DQ41" s="30"/>
      <c r="DR41" s="31" t="str">
        <f aca="true">IFERROR(AVERAGE(OFFSET('Data - For Rank'!$N$2,BS41,0,COUNTIF(BS$6:BS$116,BS41)))+IFERROR(VLOOKUP((COUNT(BQ$6:BQ$116)/4),$ER$9:$ES$13,2,FALSE()),0),"")</f>
        <v/>
      </c>
      <c r="DS41" s="30"/>
      <c r="DT41" s="31" t="str">
        <f aca="true">IFERROR(AVERAGE(OFFSET('Data - For Rank'!$O$2,BX41,0,COUNTIF(BX$6:BX$116,BX41)))+IFERROR(VLOOKUP((COUNT(BV$6:BV$116)/4),$ER$9:$ES$13,2,FALSE()),0),"")</f>
        <v/>
      </c>
      <c r="DU41" s="30"/>
      <c r="DV41" s="31" t="str">
        <f aca="true">IFERROR(AVERAGE(OFFSET('Data - For Rank'!$P$2,CC41,0,COUNTIF(CC$6:CC$116,CC41)))+IFERROR(VLOOKUP((COUNT(CA$6:CA$116)/4),$ER$9:$ES$13,2,FALSE()),0),"")</f>
        <v/>
      </c>
      <c r="DW41" s="30"/>
      <c r="DX41" s="31" t="str">
        <f aca="true">IFERROR(AVERAGE(OFFSET('Data - For Rank'!$Q$2,CH41,0,COUNTIF(CH$6:CH$116,CH41)))+IFERROR(VLOOKUP((COUNT(CF$6:CF$116)/4),$ER$9:$ES$13,2,FALSE()),0),"")</f>
        <v/>
      </c>
      <c r="DY41" s="30"/>
      <c r="DZ41" s="31" t="str">
        <f aca="true">IFERROR(AVERAGE(OFFSET('Data - For Rank'!$R$2,CM41,0,COUNTIF(CM$6:CM$116,CM41)))+IFERROR(VLOOKUP((COUNT(CK$6:CK$116)/4),$ER$9:$ES$13,2,FALSE()),0),"")</f>
        <v/>
      </c>
      <c r="EA41" s="30"/>
      <c r="EB41" s="31" t="str">
        <f aca="true">IFERROR(AVERAGE(OFFSET('Data - For Rank'!$S$2,CR41,0,COUNTIF(CR$6:CR$116,CR41)))+IFERROR(VLOOKUP((COUNT(CP$6:CP$116)/4),$ER$9:$ES$13,2,FALSE()),0),"")</f>
        <v/>
      </c>
      <c r="EC41" s="32" t="n">
        <f aca="false">CS41+CU41+CW41+CY41+DA41+DC41+DE41+DG41+DI41+DK41+DM41+DO41+DQ41+DS41+DU41+DW41+DY41+EA41</f>
        <v>-42</v>
      </c>
      <c r="ED41" s="33" t="n">
        <f aca="false">AVERAGE(CT41,CV41,CX41,CZ41,DB41,DD41,DF41,DH41,DJ41,DL41,DN41,DP41,DR41,DT41,DV41,DX41,DZ41,EB41)</f>
        <v>7.92857142857143</v>
      </c>
      <c r="ET41" s="51"/>
    </row>
    <row r="42" customFormat="false" ht="13.5" hidden="false" customHeight="false" outlineLevel="0" collapsed="false">
      <c r="B42" s="8" t="n">
        <f aca="false">_xlfn.RANK.EQ(C42,$C$6:$C$63,)</f>
        <v>13</v>
      </c>
      <c r="C42" s="43" t="n">
        <f aca="false">EC42</f>
        <v>112</v>
      </c>
      <c r="D42" s="43" t="s">
        <v>118</v>
      </c>
      <c r="E42" s="9" t="s">
        <v>56</v>
      </c>
      <c r="F42" s="20" t="n">
        <f aca="false">COUNT(CT42,CV42,CX42,CZ42,DB42,DD42,DF42,DH42,DJ42,DL42,DN42,DP42,DR42,DT42,DV42,DX42,DZ42,EB42)</f>
        <v>5</v>
      </c>
      <c r="G42" s="49" t="n">
        <f aca="false">IF(CT42=0,"",CT42)</f>
        <v>23</v>
      </c>
      <c r="H42" s="49"/>
      <c r="I42" s="49"/>
      <c r="K42" s="49"/>
      <c r="L42" s="49" t="str">
        <f aca="false">IF(CV42=0,"",CV42)</f>
        <v/>
      </c>
      <c r="M42" s="49"/>
      <c r="N42" s="49"/>
      <c r="P42" s="49"/>
      <c r="Q42" s="49" t="str">
        <f aca="false">IF(CX42=0,"",CX42)</f>
        <v/>
      </c>
      <c r="R42" s="49"/>
      <c r="S42" s="49"/>
      <c r="U42" s="49"/>
      <c r="V42" s="49" t="n">
        <f aca="false">IF(CZ42=0,"",CZ42)</f>
        <v>19.5</v>
      </c>
      <c r="W42" s="49"/>
      <c r="X42" s="49"/>
      <c r="Z42" s="49"/>
      <c r="AA42" s="49" t="n">
        <f aca="false">IF(DB42=0,"",DB42)</f>
        <v>23</v>
      </c>
      <c r="AB42" s="49"/>
      <c r="AC42" s="49"/>
      <c r="AE42" s="49"/>
      <c r="AF42" s="49" t="str">
        <f aca="false">IF(DD42=0,"",DD42)</f>
        <v/>
      </c>
      <c r="AG42" s="49"/>
      <c r="AH42" s="49"/>
      <c r="AJ42" s="49"/>
      <c r="AK42" s="49" t="str">
        <f aca="false">IF(DF42=0,"",DF42)</f>
        <v/>
      </c>
      <c r="AL42" s="49"/>
      <c r="AM42" s="49"/>
      <c r="AO42" s="49"/>
      <c r="AP42" s="49" t="n">
        <f aca="false">IF(DH42=0,"",DH42)</f>
        <v>29.5</v>
      </c>
      <c r="AQ42" s="49"/>
      <c r="AR42" s="49"/>
      <c r="AT42" s="49"/>
      <c r="AU42" s="49" t="str">
        <f aca="false">IF(DJ42=0,"",DJ42)</f>
        <v/>
      </c>
      <c r="AV42" s="49"/>
      <c r="AW42" s="49"/>
      <c r="AY42" s="49"/>
      <c r="AZ42" s="49" t="n">
        <f aca="false">IF(DL42=0,"",DL42)</f>
        <v>17</v>
      </c>
      <c r="BA42" s="49"/>
      <c r="BB42" s="49"/>
      <c r="BD42" s="49"/>
      <c r="BE42" s="49" t="str">
        <f aca="false">IF(DN42=0,"",DN42)</f>
        <v/>
      </c>
      <c r="BF42" s="49"/>
      <c r="BG42" s="49"/>
      <c r="BI42" s="49"/>
      <c r="BJ42" s="49" t="str">
        <f aca="false">IF(DP42=0,"",DP42)</f>
        <v/>
      </c>
      <c r="BK42" s="49"/>
      <c r="BL42" s="49"/>
      <c r="BN42" s="49"/>
      <c r="BO42" s="49" t="str">
        <f aca="false">IF(DR42=0,"",DR42)</f>
        <v/>
      </c>
      <c r="BP42" s="49"/>
      <c r="BQ42" s="49"/>
      <c r="BS42" s="49"/>
      <c r="BT42" s="49" t="str">
        <f aca="false">IF(DT42=0,"",DT42)</f>
        <v/>
      </c>
      <c r="BU42" s="49"/>
      <c r="BV42" s="49"/>
      <c r="BX42" s="49"/>
      <c r="BY42" s="49" t="str">
        <f aca="false">IF(DV42=0,"",DV42)</f>
        <v/>
      </c>
      <c r="BZ42" s="49"/>
      <c r="CA42" s="49"/>
      <c r="CC42" s="49"/>
      <c r="CD42" s="49" t="str">
        <f aca="false">IF(DX42=0,"",DX42)</f>
        <v/>
      </c>
      <c r="CE42" s="49"/>
      <c r="CF42" s="49"/>
      <c r="CH42" s="49"/>
      <c r="CI42" s="49" t="str">
        <f aca="false">IF(DZ42=0,"",DZ42)</f>
        <v/>
      </c>
      <c r="CJ42" s="49"/>
      <c r="CK42" s="49"/>
      <c r="CM42" s="49"/>
      <c r="CN42" s="49" t="str">
        <f aca="false">IF(EB42=0,"",EB42)</f>
        <v/>
      </c>
      <c r="CO42" s="49"/>
      <c r="CP42" s="49"/>
      <c r="CR42" s="49"/>
      <c r="CS42" s="21" t="n">
        <v>90</v>
      </c>
      <c r="CT42" s="22" t="n">
        <f aca="false">IFERROR(CT43+CT44,"")</f>
        <v>23</v>
      </c>
      <c r="CU42" s="21"/>
      <c r="CV42" s="22" t="str">
        <f aca="false">IFERROR(CV43+CV44,"")</f>
        <v/>
      </c>
      <c r="CW42" s="21"/>
      <c r="CX42" s="22" t="str">
        <f aca="false">IFERROR(CX43+CX44,"")</f>
        <v/>
      </c>
      <c r="CY42" s="21" t="n">
        <v>91</v>
      </c>
      <c r="CZ42" s="22" t="n">
        <f aca="false">IFERROR(CZ43+CZ44,"")</f>
        <v>19.5</v>
      </c>
      <c r="DA42" s="21" t="n">
        <v>94</v>
      </c>
      <c r="DB42" s="22" t="n">
        <f aca="false">IFERROR(DB43+DB44,"")</f>
        <v>23</v>
      </c>
      <c r="DC42" s="21"/>
      <c r="DD42" s="22" t="str">
        <f aca="false">IFERROR(DD43+DD44,"")</f>
        <v/>
      </c>
      <c r="DE42" s="21"/>
      <c r="DF42" s="22" t="str">
        <f aca="false">IFERROR(DF43+DF44,"")</f>
        <v/>
      </c>
      <c r="DG42" s="21" t="n">
        <v>87</v>
      </c>
      <c r="DH42" s="22" t="n">
        <f aca="false">IFERROR(DH43+DH44,"")</f>
        <v>29.5</v>
      </c>
      <c r="DI42" s="21"/>
      <c r="DJ42" s="22" t="str">
        <f aca="false">IFERROR(DJ43+DJ44,"")</f>
        <v/>
      </c>
      <c r="DK42" s="21" t="n">
        <v>93</v>
      </c>
      <c r="DL42" s="22" t="n">
        <f aca="false">IFERROR(DL43+DL44,"")</f>
        <v>17</v>
      </c>
      <c r="DM42" s="21"/>
      <c r="DN42" s="22" t="str">
        <f aca="false">IFERROR(DN43+DN44,"")</f>
        <v/>
      </c>
      <c r="DO42" s="21"/>
      <c r="DP42" s="22" t="str">
        <f aca="false">IFERROR(DP43+DP44,"")</f>
        <v/>
      </c>
      <c r="DQ42" s="21"/>
      <c r="DR42" s="22" t="str">
        <f aca="false">IFERROR(DR43+DR44,"")</f>
        <v/>
      </c>
      <c r="DS42" s="21"/>
      <c r="DT42" s="22" t="str">
        <f aca="false">IFERROR(DT43+DT44,"")</f>
        <v/>
      </c>
      <c r="DU42" s="21"/>
      <c r="DV42" s="22" t="str">
        <f aca="false">IFERROR(DV43+DV44,"")</f>
        <v/>
      </c>
      <c r="DW42" s="21"/>
      <c r="DX42" s="22" t="str">
        <f aca="false">IFERROR(DX43+DX44,"")</f>
        <v/>
      </c>
      <c r="DY42" s="21"/>
      <c r="DZ42" s="22" t="str">
        <f aca="false">IFERROR(DZ43+DZ44,"")</f>
        <v/>
      </c>
      <c r="EA42" s="21"/>
      <c r="EB42" s="22" t="str">
        <f aca="false">IFERROR(EB43+EB44,"")</f>
        <v/>
      </c>
      <c r="EC42" s="17" t="n">
        <f aca="false">IFERROR(LARGE($G42:$CN42,1),0)+IFERROR(LARGE($G42:$CN42,2),0)+IFERROR(LARGE($G42:$CN42,3),0)+IFERROR(LARGE($G42:$CN42,4),0)+IFERROR(LARGE($G42:$CN42,5),0)+IFERROR(LARGE($G42:$CN42,6),0)+IFERROR(LARGE($G42:$CN42,7),0)+IFERROR(LARGE($G42:$CN42,8),0)+IFERROR(LARGE($G42:$CN42,9),0)+IFERROR(LARGE($G42:$CN42,10),0)</f>
        <v>112</v>
      </c>
      <c r="ED42" s="23" t="n">
        <f aca="false">AVERAGE(CT42,CV42,CX42,CZ42,DB42,DD42,DF42,DH42,DJ42,DL42,DN42,DP42,DR42,DT42,DV42,DX42,DZ42,EB42)</f>
        <v>22.4</v>
      </c>
      <c r="ET42" s="51"/>
    </row>
    <row r="43" s="1" customFormat="true" ht="13.5" hidden="false" customHeight="false" outlineLevel="1" collapsed="false">
      <c r="B43" s="24" t="n">
        <f aca="false">B42+0.18</f>
        <v>13.18</v>
      </c>
      <c r="D43" s="51" t="s">
        <v>119</v>
      </c>
      <c r="E43" s="7" t="s">
        <v>43</v>
      </c>
      <c r="F43" s="7"/>
      <c r="G43" s="7"/>
      <c r="H43" s="7" t="n">
        <f aca="false">IF(CS43=0,"",CS43)</f>
        <v>31</v>
      </c>
      <c r="I43" s="7"/>
      <c r="J43" s="49" t="n">
        <f aca="false">IFERROR(RANK(H43,H$6:H$116,0),"")</f>
        <v>8</v>
      </c>
      <c r="K43" s="7"/>
      <c r="L43" s="7"/>
      <c r="M43" s="7" t="str">
        <f aca="false">IF(CU43=0,"",CU43)</f>
        <v/>
      </c>
      <c r="N43" s="7"/>
      <c r="O43" s="49" t="str">
        <f aca="false">IFERROR(RANK(M43,M$6:M$116,0),"")</f>
        <v/>
      </c>
      <c r="P43" s="7"/>
      <c r="Q43" s="7"/>
      <c r="R43" s="7" t="str">
        <f aca="false">IF(CW43=0,"",CW43)</f>
        <v/>
      </c>
      <c r="S43" s="7"/>
      <c r="T43" s="49" t="str">
        <f aca="false">IFERROR(RANK(R43,R$6:R$116,0),"")</f>
        <v/>
      </c>
      <c r="U43" s="7"/>
      <c r="V43" s="7"/>
      <c r="W43" s="7" t="n">
        <f aca="false">IF(CY43=0,"",CY43)</f>
        <v>28</v>
      </c>
      <c r="X43" s="7"/>
      <c r="Y43" s="49" t="n">
        <f aca="false">IFERROR(RANK(W43,W$6:W$116,0),"")</f>
        <v>6</v>
      </c>
      <c r="Z43" s="7"/>
      <c r="AA43" s="7"/>
      <c r="AB43" s="7" t="n">
        <f aca="false">IF(DA43=0,"",DA43)</f>
        <v>31</v>
      </c>
      <c r="AC43" s="7"/>
      <c r="AD43" s="49" t="n">
        <f aca="false">IFERROR(RANK(AB43,AB$6:AB$116,0),"")</f>
        <v>7</v>
      </c>
      <c r="AE43" s="7"/>
      <c r="AF43" s="7"/>
      <c r="AG43" s="7" t="str">
        <f aca="false">IF(DC43=0,"",DC43)</f>
        <v/>
      </c>
      <c r="AH43" s="7"/>
      <c r="AI43" s="49" t="str">
        <f aca="false">IFERROR(RANK(AG43,AG$6:AG$116,0),"")</f>
        <v/>
      </c>
      <c r="AJ43" s="7"/>
      <c r="AK43" s="7"/>
      <c r="AL43" s="7" t="str">
        <f aca="false">IF(DE43=0,"",DE43)</f>
        <v/>
      </c>
      <c r="AM43" s="7"/>
      <c r="AN43" s="49" t="str">
        <f aca="false">IFERROR(RANK(AL43,AL$6:AL$116,0),"")</f>
        <v/>
      </c>
      <c r="AO43" s="7"/>
      <c r="AP43" s="7"/>
      <c r="AQ43" s="7" t="n">
        <f aca="false">IF(DG43=0,"",DG43)</f>
        <v>36</v>
      </c>
      <c r="AR43" s="7"/>
      <c r="AS43" s="49" t="n">
        <f aca="false">IFERROR(RANK(AQ43,AQ$6:AQ$116,0),"")</f>
        <v>3</v>
      </c>
      <c r="AT43" s="7"/>
      <c r="AU43" s="7"/>
      <c r="AV43" s="7" t="str">
        <f aca="false">IF(DI43=0,"",DI43)</f>
        <v/>
      </c>
      <c r="AW43" s="7"/>
      <c r="AX43" s="49" t="str">
        <f aca="false">IFERROR(RANK(AV43,AV$6:AV$116,0),"")</f>
        <v/>
      </c>
      <c r="AY43" s="7"/>
      <c r="AZ43" s="7"/>
      <c r="BA43" s="7" t="n">
        <f aca="false">IF(DK43=0,"",DK43)</f>
        <v>28</v>
      </c>
      <c r="BB43" s="7"/>
      <c r="BC43" s="49" t="n">
        <f aca="false">IFERROR(RANK(BA43,BA$6:BA$116,0),"")</f>
        <v>10</v>
      </c>
      <c r="BD43" s="7"/>
      <c r="BE43" s="7"/>
      <c r="BF43" s="7" t="str">
        <f aca="false">IF(DM43=0,"",DM43)</f>
        <v/>
      </c>
      <c r="BG43" s="7"/>
      <c r="BH43" s="49" t="str">
        <f aca="false">IFERROR(RANK(BF43,BF$6:BF$116,0),"")</f>
        <v/>
      </c>
      <c r="BI43" s="7"/>
      <c r="BJ43" s="7"/>
      <c r="BK43" s="7" t="str">
        <f aca="false">IF(DO43=0,"",DO43)</f>
        <v/>
      </c>
      <c r="BL43" s="7"/>
      <c r="BM43" s="49" t="str">
        <f aca="false">IFERROR(RANK(BK43,BK$6:BK$116,0),"")</f>
        <v/>
      </c>
      <c r="BN43" s="7"/>
      <c r="BO43" s="7"/>
      <c r="BP43" s="7" t="str">
        <f aca="false">IF(DQ43=0,"",DQ43)</f>
        <v/>
      </c>
      <c r="BQ43" s="7"/>
      <c r="BR43" s="49" t="str">
        <f aca="false">IFERROR(RANK(BP43,BP$6:BP$116,0),"")</f>
        <v/>
      </c>
      <c r="BS43" s="7"/>
      <c r="BT43" s="7"/>
      <c r="BU43" s="7" t="str">
        <f aca="false">IF(DS43=0,"",DS43)</f>
        <v/>
      </c>
      <c r="BV43" s="7"/>
      <c r="BW43" s="49" t="str">
        <f aca="false">IFERROR(RANK(BU43,BU$6:BU$116,0),"")</f>
        <v/>
      </c>
      <c r="BX43" s="7"/>
      <c r="BY43" s="7"/>
      <c r="BZ43" s="7" t="str">
        <f aca="false">IF(DU43=0,"",DU43)</f>
        <v/>
      </c>
      <c r="CA43" s="7"/>
      <c r="CB43" s="49" t="str">
        <f aca="false">IFERROR(RANK(BZ43,BZ$6:BZ$116,0),"")</f>
        <v/>
      </c>
      <c r="CC43" s="7"/>
      <c r="CD43" s="7"/>
      <c r="CE43" s="7" t="str">
        <f aca="false">IF(DW43=0,"",DW43)</f>
        <v/>
      </c>
      <c r="CF43" s="7"/>
      <c r="CG43" s="49" t="str">
        <f aca="false">IFERROR(RANK(CE43,CE$6:CE$116,0),"")</f>
        <v/>
      </c>
      <c r="CH43" s="7"/>
      <c r="CI43" s="7"/>
      <c r="CJ43" s="7" t="str">
        <f aca="false">IF(DY43=0,"",DY43)</f>
        <v/>
      </c>
      <c r="CK43" s="7"/>
      <c r="CL43" s="49" t="str">
        <f aca="false">IFERROR(RANK(CJ43,CJ$6:CJ$116,0),"")</f>
        <v/>
      </c>
      <c r="CM43" s="7"/>
      <c r="CN43" s="7"/>
      <c r="CO43" s="7" t="str">
        <f aca="false">IF(EA43=0,"",EA43)</f>
        <v/>
      </c>
      <c r="CP43" s="7"/>
      <c r="CQ43" s="49" t="str">
        <f aca="false">IFERROR(RANK(CO43,CO$6:CO$116,0),"")</f>
        <v/>
      </c>
      <c r="CR43" s="7"/>
      <c r="CS43" s="21" t="n">
        <v>31</v>
      </c>
      <c r="CT43" s="25" t="n">
        <f aca="true">IFERROR(AVERAGE(OFFSET('Data - For Rank'!B$2,J43,0,COUNTIF($J$7:J$116,J43)))+IFERROR(VLOOKUP((COUNT($H$6:$H$116)/4),$ER$9:$ES$13,2,FALSE()),0),"")</f>
        <v>10</v>
      </c>
      <c r="CU43" s="21"/>
      <c r="CV43" s="25" t="str">
        <f aca="true">IFERROR(AVERAGE(OFFSET('Data - For Rank'!$C$2,O43,0,COUNTIF(O$7:O$116,O43)))+IFERROR(VLOOKUP((COUNT(M$6:M$116)/4),$ER$9:$ES$13,2,FALSE()),0),"")</f>
        <v/>
      </c>
      <c r="CW43" s="21"/>
      <c r="CX43" s="25" t="str">
        <f aca="true">IFERROR(AVERAGE(OFFSET('Data - For Rank'!D$2,T43,0,COUNTIF(T$7:T$116,T43)))+IFERROR(VLOOKUP((COUNT(R$6:R$116)/4),$ER$9:$ES$13,2,FALSE()),0),"")</f>
        <v/>
      </c>
      <c r="CY43" s="21" t="n">
        <v>28</v>
      </c>
      <c r="CZ43" s="25" t="n">
        <f aca="true">IFERROR(AVERAGE(OFFSET('Data - For Rank'!E$2,Y43,0,COUNTIF(Y$7:Y$116,Y43)))+IFERROR(VLOOKUP((COUNT(W$6:W$116)/4),$ER$9:$ES$13,2,FALSE()),0),"")</f>
        <v>8.5</v>
      </c>
      <c r="DA43" s="21" t="n">
        <v>31</v>
      </c>
      <c r="DB43" s="25" t="n">
        <f aca="true">IFERROR(AVERAGE(OFFSET('Data - For Rank'!F$2,AD43,0,COUNTIF(AD$7:AD$116,AD43)))+IFERROR(VLOOKUP((COUNT(AB$6:AB$116)/4),$ER$9:$ES$13,2,FALSE()),0),"")</f>
        <v>11</v>
      </c>
      <c r="DC43" s="21"/>
      <c r="DD43" s="25" t="str">
        <f aca="true">IFERROR(AVERAGE(OFFSET('Data - For Rank'!G$2,AI43,0,COUNTIF(AI$7:AI$116,AI43)))+IFERROR(VLOOKUP((COUNT(AG$6:AG$116)/4),$ER$9:$ES$13,2,FALSE()),0),"")</f>
        <v/>
      </c>
      <c r="DE43" s="21"/>
      <c r="DF43" s="25" t="str">
        <f aca="true">IFERROR(AVERAGE(OFFSET('Data - For Rank'!$H$2,AN43,0,COUNTIF(AN$7:AN$116,AN43)))+IFERROR(VLOOKUP((COUNT(AL$6:AL$116)/4),$ER$9:$ES$13,2,FALSE()),0),"")</f>
        <v/>
      </c>
      <c r="DG43" s="21" t="n">
        <v>36</v>
      </c>
      <c r="DH43" s="25" t="n">
        <f aca="true">IFERROR(AVERAGE(OFFSET('Data - For Rank'!$I$2,AS43,0,COUNTIF(AS$7:AS$116,AS43)))+IFERROR(VLOOKUP((COUNT(AQ$6:AQ$116)/4),$ER$9:$ES$13,2,FALSE()),0),"")</f>
        <v>15.5</v>
      </c>
      <c r="DI43" s="21"/>
      <c r="DJ43" s="25" t="str">
        <f aca="true">IFERROR(AVERAGE(OFFSET('Data - For Rank'!$J$2,AX43,0,COUNTIF(AX$7:AX$116,AX43)))+IFERROR(VLOOKUP((COUNT(AV$6:AV$116)/4),$ER$9:$ES$13,2,FALSE()),0),"")</f>
        <v/>
      </c>
      <c r="DK43" s="21" t="n">
        <v>28</v>
      </c>
      <c r="DL43" s="25" t="n">
        <f aca="true">IFERROR(AVERAGE(OFFSET('Data - For Rank'!$K$2,BC43,0,COUNTIF(BC$7:BC$116,BC43)))+IFERROR(VLOOKUP((COUNT(BA$6:BA$116)/4),$ER$9:$ES$13,2,FALSE()),0),"")</f>
        <v>7</v>
      </c>
      <c r="DM43" s="21"/>
      <c r="DN43" s="25" t="str">
        <f aca="true">IFERROR(AVERAGE(OFFSET('Data - For Rank'!$L$2,BH43,0,COUNTIF(BH$7:BH$116,BH43)))+IFERROR(VLOOKUP((COUNT(BF$6:BF$116)/4),$ER$9:$ES$13,2,FALSE()),0),"")</f>
        <v/>
      </c>
      <c r="DO43" s="21"/>
      <c r="DP43" s="25" t="str">
        <f aca="true">IFERROR(AVERAGE(OFFSET('Data - For Rank'!$M$2,BM43,0,COUNTIF(BM$7:BM$116,BM43)))+IFERROR(VLOOKUP((COUNT(BK$6:BK$116)/4),$ER$9:$ES$13,2,FALSE()),0),"")</f>
        <v/>
      </c>
      <c r="DQ43" s="21"/>
      <c r="DR43" s="25" t="str">
        <f aca="true">IFERROR(AVERAGE(OFFSET('Data - For Rank'!$N$2,BR43,0,COUNTIF(BR$7:BR$116,BR43)))+IFERROR(VLOOKUP((COUNT(BP$6:BP$116)/4),$ER$9:$ES$13,2,FALSE()),0),"")</f>
        <v/>
      </c>
      <c r="DS43" s="21"/>
      <c r="DT43" s="25" t="str">
        <f aca="true">IFERROR(AVERAGE(OFFSET('Data - For Rank'!$O$2,BW43,0,COUNTIF(BW$7:BW$116,BW43)))+IFERROR(VLOOKUP((COUNT(BU$6:BU$116)/4),$ER$9:$ES$13,2,FALSE()),0),"")</f>
        <v/>
      </c>
      <c r="DU43" s="21"/>
      <c r="DV43" s="25" t="str">
        <f aca="true">IFERROR(AVERAGE(OFFSET('Data - For Rank'!$P$2,CB43,0,COUNTIF(CB$7:CB$116,CB43)))+IFERROR(VLOOKUP((COUNT(BZ$6:BZ$116)/4),$ER$9:$ES$13,2,FALSE()),0),"")</f>
        <v/>
      </c>
      <c r="DW43" s="21"/>
      <c r="DX43" s="25" t="str">
        <f aca="true">IFERROR(AVERAGE(OFFSET('Data - For Rank'!$Q$2,CG43,0,COUNTIF(CG$7:CG$116,CG43)))+IFERROR(VLOOKUP((COUNT(CE$6:CE$116)/4),$ER$9:$ES$13,2,FALSE()),0),"")</f>
        <v/>
      </c>
      <c r="DY43" s="21"/>
      <c r="DZ43" s="25" t="str">
        <f aca="true">IFERROR(AVERAGE(OFFSET('Data - For Rank'!$R$2,CL43,0,COUNTIF(CL$7:CL$116,CL43)))+IFERROR(VLOOKUP((COUNT(CJ$6:CJ$116)/4),$ER$9:$ES$13,2,FALSE()),0),"")</f>
        <v/>
      </c>
      <c r="EA43" s="21"/>
      <c r="EB43" s="25" t="str">
        <f aca="true">IFERROR(AVERAGE(OFFSET('Data - For Rank'!$S$2,CQ43,0,COUNTIF(CQ$7:CQ$116,CQ43)))+IFERROR(VLOOKUP((COUNT(CO$6:CO$116)/4),$ER$9:$ES$13,2,FALSE()),0),"")</f>
        <v/>
      </c>
      <c r="EC43" s="26" t="n">
        <f aca="false">AVERAGE(CS43,CU43,CW43,CY43,DA43,DC43,DE43,DG43,DI43,DK43,DM43,DO43,DQ43,DS43,DU43,DW43,DY43,EA43)</f>
        <v>30.8</v>
      </c>
      <c r="ED43" s="23" t="n">
        <f aca="false">AVERAGE(CT43,CV43,CX43,CZ43,DB43,DD43,DF43,DH43,DJ43,DL43,DN43,DP43,DR43,DT43,DV43,DX43,DZ43,EB43)</f>
        <v>10.4</v>
      </c>
      <c r="ET43" s="51"/>
    </row>
    <row r="44" s="1" customFormat="true" ht="13.5" hidden="false" customHeight="false" outlineLevel="1" collapsed="false">
      <c r="B44" s="27" t="n">
        <f aca="false">B42+0.028</f>
        <v>13.028</v>
      </c>
      <c r="D44" s="51" t="s">
        <v>120</v>
      </c>
      <c r="E44" s="28" t="s">
        <v>44</v>
      </c>
      <c r="F44" s="29" t="n">
        <f aca="false">IF(COUNT(G42:CN42)&gt;10,SMALL(G42:CN42,COUNT(G42:CN42)-10),MIN(G42:CN42))</f>
        <v>17</v>
      </c>
      <c r="G44" s="29"/>
      <c r="H44" s="29"/>
      <c r="I44" s="53" t="n">
        <f aca="false">IF(CS44=0,"",CS44)</f>
        <v>6</v>
      </c>
      <c r="J44" s="53"/>
      <c r="K44" s="54" t="n">
        <f aca="false">IFERROR(_xlfn.RANK.EQ(I44,I$6:I$116,0),"")</f>
        <v>6</v>
      </c>
      <c r="L44" s="29"/>
      <c r="M44" s="29"/>
      <c r="N44" s="53" t="str">
        <f aca="false">IF(CU44=0,"",CU44)</f>
        <v/>
      </c>
      <c r="O44" s="53"/>
      <c r="P44" s="54" t="str">
        <f aca="false">IFERROR(_xlfn.RANK.EQ(N44,N$6:N$116,0),"")</f>
        <v/>
      </c>
      <c r="Q44" s="29"/>
      <c r="R44" s="29"/>
      <c r="S44" s="53" t="str">
        <f aca="false">IF(CW44=0,"",CW44)</f>
        <v/>
      </c>
      <c r="T44" s="53"/>
      <c r="U44" s="54" t="str">
        <f aca="false">IFERROR(_xlfn.RANK.EQ(S44,S$6:S$116,0),"")</f>
        <v/>
      </c>
      <c r="V44" s="29"/>
      <c r="W44" s="29"/>
      <c r="X44" s="53" t="n">
        <f aca="false">IF(CY44=0,"",CY44)</f>
        <v>-11</v>
      </c>
      <c r="Y44" s="53"/>
      <c r="Z44" s="54" t="n">
        <f aca="false">IFERROR(_xlfn.RANK.EQ(X44,X$6:X$116,0),"")</f>
        <v>4</v>
      </c>
      <c r="AA44" s="29"/>
      <c r="AB44" s="29"/>
      <c r="AC44" s="53" t="n">
        <f aca="false">IF(DA44=0,"",DA44)</f>
        <v>8</v>
      </c>
      <c r="AD44" s="53"/>
      <c r="AE44" s="54" t="n">
        <f aca="false">IFERROR(_xlfn.RANK.EQ(AC44,AC$6:AC$116,0),"")</f>
        <v>6</v>
      </c>
      <c r="AF44" s="29"/>
      <c r="AG44" s="29"/>
      <c r="AH44" s="53" t="str">
        <f aca="false">IF(DC44=0,"",DC44)</f>
        <v/>
      </c>
      <c r="AI44" s="53"/>
      <c r="AJ44" s="54" t="str">
        <f aca="false">IFERROR(_xlfn.RANK.EQ(AH44,AH$6:AH$116,0),"")</f>
        <v/>
      </c>
      <c r="AK44" s="29"/>
      <c r="AL44" s="29"/>
      <c r="AM44" s="53" t="str">
        <f aca="false">IF(DE44=0,"",DE44)</f>
        <v/>
      </c>
      <c r="AN44" s="53"/>
      <c r="AO44" s="54" t="str">
        <f aca="false">IFERROR(_xlfn.RANK.EQ(AM44,AM$6:AM$116,0),"")</f>
        <v/>
      </c>
      <c r="AP44" s="29"/>
      <c r="AQ44" s="29"/>
      <c r="AR44" s="53" t="n">
        <f aca="false">IF(DG44=0,"",DG44)</f>
        <v>12</v>
      </c>
      <c r="AS44" s="53"/>
      <c r="AT44" s="54" t="n">
        <f aca="false">IFERROR(_xlfn.RANK.EQ(AR44,AR$6:AR$116,0),"")</f>
        <v>4</v>
      </c>
      <c r="AU44" s="29"/>
      <c r="AV44" s="29"/>
      <c r="AW44" s="53" t="str">
        <f aca="false">IF(DI44=0,"",DI44)</f>
        <v/>
      </c>
      <c r="AX44" s="53"/>
      <c r="AY44" s="54" t="str">
        <f aca="false">IFERROR(_xlfn.RANK.EQ(AW44,AW$6:AW$116,0),"")</f>
        <v/>
      </c>
      <c r="AZ44" s="29"/>
      <c r="BA44" s="29"/>
      <c r="BB44" s="53" t="n">
        <f aca="false">IF(DK44=0,"",DK44)</f>
        <v>6</v>
      </c>
      <c r="BC44" s="53"/>
      <c r="BD44" s="54" t="n">
        <f aca="false">IFERROR(_xlfn.RANK.EQ(BB44,BB$6:BB$116,0),"")</f>
        <v>7</v>
      </c>
      <c r="BE44" s="29"/>
      <c r="BF44" s="29"/>
      <c r="BG44" s="53" t="str">
        <f aca="false">IF(DM44=0,"",DM44)</f>
        <v/>
      </c>
      <c r="BH44" s="53"/>
      <c r="BI44" s="54" t="str">
        <f aca="false">IFERROR(_xlfn.RANK.EQ(BG44,BG$6:BG$116,0),"")</f>
        <v/>
      </c>
      <c r="BJ44" s="29"/>
      <c r="BK44" s="29"/>
      <c r="BL44" s="53" t="str">
        <f aca="false">IF(DO44=0,"",DO44)</f>
        <v/>
      </c>
      <c r="BM44" s="53"/>
      <c r="BN44" s="54" t="str">
        <f aca="false">IFERROR(_xlfn.RANK.EQ(BL44,BL$6:BL$116,0),"")</f>
        <v/>
      </c>
      <c r="BO44" s="29"/>
      <c r="BP44" s="29"/>
      <c r="BQ44" s="53" t="str">
        <f aca="false">IF(DQ44=0,"",DQ44)</f>
        <v/>
      </c>
      <c r="BR44" s="53"/>
      <c r="BS44" s="54" t="str">
        <f aca="false">IFERROR(_xlfn.RANK.EQ(BQ44,BQ$6:BQ$116,0),"")</f>
        <v/>
      </c>
      <c r="BT44" s="29"/>
      <c r="BU44" s="29"/>
      <c r="BV44" s="53" t="str">
        <f aca="false">IF(DS44=0,"",DS44)</f>
        <v/>
      </c>
      <c r="BW44" s="53"/>
      <c r="BX44" s="54" t="str">
        <f aca="false">IFERROR(_xlfn.RANK.EQ(BV44,BV$6:BV$116,0),"")</f>
        <v/>
      </c>
      <c r="BY44" s="29"/>
      <c r="BZ44" s="29"/>
      <c r="CA44" s="53" t="str">
        <f aca="false">IF(DU44=0,"",DU44)</f>
        <v/>
      </c>
      <c r="CB44" s="53"/>
      <c r="CC44" s="54" t="str">
        <f aca="false">IFERROR(_xlfn.RANK.EQ(CA44,CA$6:CA$116,0),"")</f>
        <v/>
      </c>
      <c r="CD44" s="29"/>
      <c r="CE44" s="29"/>
      <c r="CF44" s="53" t="str">
        <f aca="false">IF(DW44=0,"",DW44)</f>
        <v/>
      </c>
      <c r="CG44" s="53"/>
      <c r="CH44" s="54" t="str">
        <f aca="false">IFERROR(_xlfn.RANK.EQ(CF44,CF$6:CF$116,0),"")</f>
        <v/>
      </c>
      <c r="CI44" s="29"/>
      <c r="CJ44" s="29"/>
      <c r="CK44" s="53" t="str">
        <f aca="false">IF(DY44=0,"",DY44)</f>
        <v/>
      </c>
      <c r="CL44" s="53"/>
      <c r="CM44" s="54" t="str">
        <f aca="false">IFERROR(_xlfn.RANK.EQ(CK44,CK$6:CK$116,0),"")</f>
        <v/>
      </c>
      <c r="CN44" s="29"/>
      <c r="CO44" s="29"/>
      <c r="CP44" s="53" t="str">
        <f aca="false">IF(EA44=0,"",EA44)</f>
        <v/>
      </c>
      <c r="CQ44" s="53"/>
      <c r="CR44" s="54" t="str">
        <f aca="false">IFERROR(_xlfn.RANK.EQ(CP44,CP$6:CP$116,0),"")</f>
        <v/>
      </c>
      <c r="CS44" s="30" t="n">
        <v>6</v>
      </c>
      <c r="CT44" s="31" t="n">
        <f aca="true">IFERROR(AVERAGE(OFFSET('Data - For Rank'!B$2,K44,0,COUNTIF(K$6:K$116,K44)))+IFERROR(VLOOKUP((COUNT($I$6:$I$116)/4),$ER$9:$ES$13,2,FALSE()),0),"")</f>
        <v>13</v>
      </c>
      <c r="CU44" s="30"/>
      <c r="CV44" s="31" t="str">
        <f aca="true">IFERROR(AVERAGE(OFFSET('Data - For Rank'!$C$2,P44,0,COUNTIF(P$6:P$116,P44)))+IFERROR(VLOOKUP((COUNT(N$6:N$116)/4),$ER$9:$ES$13,2,FALSE()),0),"")</f>
        <v/>
      </c>
      <c r="CW44" s="30"/>
      <c r="CX44" s="31" t="str">
        <f aca="true">IFERROR(AVERAGE(OFFSET('Data - For Rank'!D$2,U44,0,COUNTIF(U$6:$U152,U44)))+IFERROR(VLOOKUP((COUNT(S$6:S$116)/4),$ER$9:$ES$13,2,FALSE()),0),"")</f>
        <v/>
      </c>
      <c r="CY44" s="30" t="n">
        <v>-11</v>
      </c>
      <c r="CZ44" s="31" t="n">
        <f aca="true">IFERROR(AVERAGE(OFFSET('Data - For Rank'!E$2,Z44,0,COUNTIF(Z$6:Z$116,Z44)))+IFERROR(VLOOKUP((COUNT(W$6:W$116)/4),$ER$9:$ES$13,2,FALSE()),0),"")</f>
        <v>11</v>
      </c>
      <c r="DA44" s="30" t="n">
        <v>8</v>
      </c>
      <c r="DB44" s="31" t="n">
        <f aca="true">IFERROR(AVERAGE(OFFSET('Data - For Rank'!F$2,AE44,0,COUNTIF(AE$6:AE$116,AE44)))+IFERROR(VLOOKUP((COUNT(AC$6:AC$116)/4),$ER$9:$ES$13,2,FALSE()),0),"")</f>
        <v>12</v>
      </c>
      <c r="DC44" s="30"/>
      <c r="DD44" s="31" t="str">
        <f aca="true">IFERROR(AVERAGE(OFFSET('Data - For Rank'!G$2,AJ44,0,COUNTIF(AJ$6:AJ$116,AJ44)))+IFERROR(VLOOKUP((COUNT(AH$6:AH$116)/4),$ER$9:$ES$13,2,FALSE()),0),"")</f>
        <v/>
      </c>
      <c r="DE44" s="30"/>
      <c r="DF44" s="31" t="str">
        <f aca="true">IFERROR(AVERAGE(OFFSET('Data - For Rank'!$H$2,AO44,0,COUNTIF(AO$6:AO$116,AO44)))+IFERROR(VLOOKUP((COUNT(AM$6:AM$116)/4),$ER$9:$ES$13,2,FALSE()),0),"")</f>
        <v/>
      </c>
      <c r="DG44" s="30" t="n">
        <v>12</v>
      </c>
      <c r="DH44" s="31" t="n">
        <f aca="true">IFERROR(AVERAGE(OFFSET('Data - For Rank'!$I$2,AT44,0,COUNTIF(AT$6:AT$116,AT44)))+IFERROR(VLOOKUP((COUNT(AR$6:AR$116)/4),$ER$9:$ES$13,2,FALSE()),0),"")</f>
        <v>14</v>
      </c>
      <c r="DI44" s="30"/>
      <c r="DJ44" s="31" t="str">
        <f aca="true">IFERROR(AVERAGE(OFFSET('Data - For Rank'!$J$2,AY44,0,COUNTIF(AY$6:AY$116,AY44)))+IFERROR(VLOOKUP((COUNT(AW$6:AW$116)/4),$ER$9:$ES$13,2,FALSE()),0),"")</f>
        <v/>
      </c>
      <c r="DK44" s="30" t="n">
        <v>6</v>
      </c>
      <c r="DL44" s="31" t="n">
        <f aca="true">IFERROR(AVERAGE(OFFSET('Data - For Rank'!$K$2,BD44,0,COUNTIF(BD$6:BD$116,BD44)))+IFERROR(VLOOKUP((COUNT(BB$6:BB$116)/4),$ER$9:$ES$13,2,FALSE()),0),"")</f>
        <v>10</v>
      </c>
      <c r="DM44" s="30"/>
      <c r="DN44" s="31" t="str">
        <f aca="true">IFERROR(AVERAGE(OFFSET('Data - For Rank'!$L$2,BI44,0,COUNTIF(BI$6:BI$116,BI44)))+IFERROR(VLOOKUP((COUNT(BG$6:BG$116)/4),$ER$9:$ES$13,2,FALSE()),0),"")</f>
        <v/>
      </c>
      <c r="DO44" s="30"/>
      <c r="DP44" s="31" t="str">
        <f aca="true">IFERROR(AVERAGE(OFFSET('Data - For Rank'!$M$2,BN44,0,COUNTIF(BN$6:BN$116,BN44)))+IFERROR(VLOOKUP((COUNT(BL$6:BL$116)/4),$ER$9:$ES$13,2,FALSE()),0),"")</f>
        <v/>
      </c>
      <c r="DQ44" s="30"/>
      <c r="DR44" s="31" t="str">
        <f aca="true">IFERROR(AVERAGE(OFFSET('Data - For Rank'!$N$2,BS44,0,COUNTIF(BS$6:BS$116,BS44)))+IFERROR(VLOOKUP((COUNT(BQ$6:BQ$116)/4),$ER$9:$ES$13,2,FALSE()),0),"")</f>
        <v/>
      </c>
      <c r="DS44" s="30"/>
      <c r="DT44" s="31" t="str">
        <f aca="true">IFERROR(AVERAGE(OFFSET('Data - For Rank'!$O$2,BX44,0,COUNTIF(BX$6:BX$116,BX44)))+IFERROR(VLOOKUP((COUNT(BV$6:BV$116)/4),$ER$9:$ES$13,2,FALSE()),0),"")</f>
        <v/>
      </c>
      <c r="DU44" s="30"/>
      <c r="DV44" s="31" t="str">
        <f aca="true">IFERROR(AVERAGE(OFFSET('Data - For Rank'!$P$2,CC44,0,COUNTIF(CC$6:CC$116,CC44)))+IFERROR(VLOOKUP((COUNT(CA$6:CA$116)/4),$ER$9:$ES$13,2,FALSE()),0),"")</f>
        <v/>
      </c>
      <c r="DW44" s="30"/>
      <c r="DX44" s="31" t="str">
        <f aca="true">IFERROR(AVERAGE(OFFSET('Data - For Rank'!$Q$2,CH44,0,COUNTIF(CH$6:CH$116,CH44)))+IFERROR(VLOOKUP((COUNT(CF$6:CF$116)/4),$ER$9:$ES$13,2,FALSE()),0),"")</f>
        <v/>
      </c>
      <c r="DY44" s="30"/>
      <c r="DZ44" s="31" t="str">
        <f aca="true">IFERROR(AVERAGE(OFFSET('Data - For Rank'!$R$2,CM44,0,COUNTIF(CM$6:CM$116,CM44)))+IFERROR(VLOOKUP((COUNT(CK$6:CK$116)/4),$ER$9:$ES$13,2,FALSE()),0),"")</f>
        <v/>
      </c>
      <c r="EA44" s="30"/>
      <c r="EB44" s="31" t="str">
        <f aca="true">IFERROR(AVERAGE(OFFSET('Data - For Rank'!$S$2,CR44,0,COUNTIF(CR$6:CR$116,CR44)))+IFERROR(VLOOKUP((COUNT(CP$6:CP$116)/4),$ER$9:$ES$13,2,FALSE()),0),"")</f>
        <v/>
      </c>
      <c r="EC44" s="32" t="n">
        <f aca="false">CS44+CU44+CW44+CY44+DA44+DC44+DE44+DG44+DI44+DK44+DM44+DO44+DQ44+DS44+DU44+DW44+DY44+EA44</f>
        <v>21</v>
      </c>
      <c r="ED44" s="33" t="n">
        <f aca="false">AVERAGE(CT44,CV44,CX44,CZ44,DB44,DD44,DF44,DH44,DJ44,DL44,DN44,DP44,DR44,DT44,DV44,DX44,DZ44,EB44)</f>
        <v>12</v>
      </c>
      <c r="ET44" s="51"/>
    </row>
    <row r="45" customFormat="false" ht="13.5" hidden="false" customHeight="false" outlineLevel="0" collapsed="false">
      <c r="B45" s="8" t="n">
        <f aca="false">_xlfn.RANK.EQ(C45,$C$6:$C$63,)</f>
        <v>14</v>
      </c>
      <c r="C45" s="43" t="n">
        <f aca="false">EC45</f>
        <v>97.5</v>
      </c>
      <c r="D45" s="43" t="s">
        <v>121</v>
      </c>
      <c r="E45" s="19" t="s">
        <v>57</v>
      </c>
      <c r="F45" s="20" t="n">
        <f aca="false">COUNT(CT45,CV45,CX45,CZ45,DB45,DD45,DF45,DH45,DJ45,DL45,DN45,DP45,DR45,DT45,DV45,DX45,DZ45,EB45)</f>
        <v>7</v>
      </c>
      <c r="G45" s="49" t="n">
        <f aca="false">IF(CT45=0,"",CT45)</f>
        <v>9</v>
      </c>
      <c r="H45" s="49"/>
      <c r="I45" s="49"/>
      <c r="K45" s="49"/>
      <c r="L45" s="49" t="str">
        <f aca="false">IF(CV45=0,"",CV45)</f>
        <v/>
      </c>
      <c r="M45" s="49"/>
      <c r="N45" s="49"/>
      <c r="P45" s="49"/>
      <c r="Q45" s="49" t="n">
        <f aca="false">IF(CX45=0,"",CX45)</f>
        <v>11</v>
      </c>
      <c r="R45" s="49"/>
      <c r="S45" s="49"/>
      <c r="U45" s="49"/>
      <c r="V45" s="49" t="str">
        <f aca="false">IF(CZ45=0,"",CZ45)</f>
        <v/>
      </c>
      <c r="W45" s="49"/>
      <c r="X45" s="49"/>
      <c r="Z45" s="49"/>
      <c r="AA45" s="49" t="n">
        <f aca="false">IF(DB45=0,"",DB45)</f>
        <v>14</v>
      </c>
      <c r="AB45" s="49"/>
      <c r="AC45" s="49"/>
      <c r="AE45" s="49"/>
      <c r="AF45" s="49" t="n">
        <f aca="false">IF(DD45=0,"",DD45)</f>
        <v>8</v>
      </c>
      <c r="AG45" s="49"/>
      <c r="AH45" s="49"/>
      <c r="AJ45" s="49"/>
      <c r="AK45" s="49" t="str">
        <f aca="false">IF(DF45=0,"",DF45)</f>
        <v/>
      </c>
      <c r="AL45" s="49"/>
      <c r="AM45" s="49"/>
      <c r="AO45" s="49"/>
      <c r="AP45" s="49" t="n">
        <f aca="false">IF(DH45=0,"",DH45)</f>
        <v>23.5</v>
      </c>
      <c r="AQ45" s="49"/>
      <c r="AR45" s="49"/>
      <c r="AT45" s="49"/>
      <c r="AU45" s="49" t="n">
        <f aca="false">IF(DJ45=0,"",DJ45)</f>
        <v>15</v>
      </c>
      <c r="AV45" s="49"/>
      <c r="AW45" s="49"/>
      <c r="AY45" s="49"/>
      <c r="AZ45" s="49" t="n">
        <f aca="false">IF(DL45=0,"",DL45)</f>
        <v>17</v>
      </c>
      <c r="BA45" s="49"/>
      <c r="BB45" s="49"/>
      <c r="BD45" s="49"/>
      <c r="BE45" s="49" t="str">
        <f aca="false">IF(DN45=0,"",DN45)</f>
        <v/>
      </c>
      <c r="BF45" s="49"/>
      <c r="BG45" s="49"/>
      <c r="BI45" s="49"/>
      <c r="BJ45" s="49" t="str">
        <f aca="false">IF(DP45=0,"",DP45)</f>
        <v/>
      </c>
      <c r="BK45" s="49"/>
      <c r="BL45" s="49"/>
      <c r="BN45" s="49"/>
      <c r="BO45" s="49" t="str">
        <f aca="false">IF(DR45=0,"",DR45)</f>
        <v/>
      </c>
      <c r="BP45" s="49"/>
      <c r="BQ45" s="49"/>
      <c r="BS45" s="49"/>
      <c r="BT45" s="49" t="str">
        <f aca="false">IF(DT45=0,"",DT45)</f>
        <v/>
      </c>
      <c r="BU45" s="49"/>
      <c r="BV45" s="49"/>
      <c r="BX45" s="49"/>
      <c r="BY45" s="49" t="str">
        <f aca="false">IF(DV45=0,"",DV45)</f>
        <v/>
      </c>
      <c r="BZ45" s="49"/>
      <c r="CA45" s="49"/>
      <c r="CC45" s="49"/>
      <c r="CD45" s="49" t="str">
        <f aca="false">IF(DX45=0,"",DX45)</f>
        <v/>
      </c>
      <c r="CE45" s="49"/>
      <c r="CF45" s="49"/>
      <c r="CH45" s="49"/>
      <c r="CI45" s="49" t="str">
        <f aca="false">IF(DZ45=0,"",DZ45)</f>
        <v/>
      </c>
      <c r="CJ45" s="49"/>
      <c r="CK45" s="49"/>
      <c r="CM45" s="49"/>
      <c r="CN45" s="49" t="str">
        <f aca="false">IF(EB45=0,"",EB45)</f>
        <v/>
      </c>
      <c r="CO45" s="49"/>
      <c r="CP45" s="49"/>
      <c r="CR45" s="49"/>
      <c r="CS45" s="21" t="n">
        <v>97</v>
      </c>
      <c r="CT45" s="22" t="n">
        <f aca="false">IFERROR(CT46+CT47,"")</f>
        <v>9</v>
      </c>
      <c r="CU45" s="21"/>
      <c r="CV45" s="22" t="str">
        <f aca="false">IFERROR(CV46+CV47,"")</f>
        <v/>
      </c>
      <c r="CW45" s="21" t="n">
        <v>125</v>
      </c>
      <c r="CX45" s="22" t="n">
        <f aca="false">IFERROR(CX46+CX47,"")</f>
        <v>11</v>
      </c>
      <c r="CY45" s="21"/>
      <c r="CZ45" s="22" t="str">
        <f aca="false">IFERROR(CZ46+CZ47,"")</f>
        <v/>
      </c>
      <c r="DA45" s="21" t="n">
        <v>107</v>
      </c>
      <c r="DB45" s="22" t="n">
        <f aca="false">IFERROR(DB46+DB47,"")</f>
        <v>14</v>
      </c>
      <c r="DC45" s="21" t="n">
        <v>112</v>
      </c>
      <c r="DD45" s="22" t="n">
        <f aca="false">IFERROR(DD46+DD47,"")</f>
        <v>8</v>
      </c>
      <c r="DE45" s="21"/>
      <c r="DF45" s="22" t="str">
        <f aca="false">IFERROR(DF46+DF47,"")</f>
        <v/>
      </c>
      <c r="DG45" s="21" t="n">
        <v>98</v>
      </c>
      <c r="DH45" s="22" t="n">
        <f aca="false">IFERROR(DH46+DH47,"")</f>
        <v>23.5</v>
      </c>
      <c r="DI45" s="21" t="n">
        <v>105</v>
      </c>
      <c r="DJ45" s="22" t="n">
        <f aca="false">IFERROR(DJ46+DJ47,"")</f>
        <v>15</v>
      </c>
      <c r="DK45" s="21" t="n">
        <v>98</v>
      </c>
      <c r="DL45" s="22" t="n">
        <f aca="false">IFERROR(DL46+DL47,"")</f>
        <v>17</v>
      </c>
      <c r="DM45" s="21"/>
      <c r="DN45" s="22" t="str">
        <f aca="false">IFERROR(DN46+DN47,"")</f>
        <v/>
      </c>
      <c r="DO45" s="21"/>
      <c r="DP45" s="22" t="str">
        <f aca="false">IFERROR(DP46+DP47,"")</f>
        <v/>
      </c>
      <c r="DQ45" s="21"/>
      <c r="DR45" s="22" t="str">
        <f aca="false">IFERROR(DR46+DR47,"")</f>
        <v/>
      </c>
      <c r="DS45" s="21"/>
      <c r="DT45" s="22" t="str">
        <f aca="false">IFERROR(DT46+DT47,"")</f>
        <v/>
      </c>
      <c r="DU45" s="21"/>
      <c r="DV45" s="22" t="str">
        <f aca="false">IFERROR(DV46+DV47,"")</f>
        <v/>
      </c>
      <c r="DW45" s="21"/>
      <c r="DX45" s="22" t="str">
        <f aca="false">IFERROR(DX46+DX47,"")</f>
        <v/>
      </c>
      <c r="DY45" s="21"/>
      <c r="DZ45" s="22" t="str">
        <f aca="false">IFERROR(DZ46+DZ47,"")</f>
        <v/>
      </c>
      <c r="EA45" s="21"/>
      <c r="EB45" s="22" t="str">
        <f aca="false">IFERROR(EB46+EB47,"")</f>
        <v/>
      </c>
      <c r="EC45" s="17" t="n">
        <f aca="false">IFERROR(LARGE($G45:$CN45,1),0)+IFERROR(LARGE($G45:$CN45,2),0)+IFERROR(LARGE($G45:$CN45,3),0)+IFERROR(LARGE($G45:$CN45,4),0)+IFERROR(LARGE($G45:$CN45,5),0)+IFERROR(LARGE($G45:$CN45,6),0)+IFERROR(LARGE($G45:$CN45,7),0)+IFERROR(LARGE($G45:$CN45,8),0)+IFERROR(LARGE($G45:$CN45,9),0)+IFERROR(LARGE($G45:$CN45,10),0)</f>
        <v>97.5</v>
      </c>
      <c r="ED45" s="23" t="n">
        <f aca="false">AVERAGE(CT45,CV45,CX45,CZ45,DB45,DD45,DF45,DH45,DJ45,DL45,DN45,DP45,DR45,DT45,DV45,DX45,DZ45,EB45)</f>
        <v>13.9285714285714</v>
      </c>
      <c r="ET45" s="51"/>
    </row>
    <row r="46" s="1" customFormat="true" ht="13.5" hidden="false" customHeight="false" outlineLevel="1" collapsed="false">
      <c r="B46" s="24" t="n">
        <f aca="false">B45+0.116</f>
        <v>14.116</v>
      </c>
      <c r="D46" s="51" t="s">
        <v>122</v>
      </c>
      <c r="E46" s="7" t="s">
        <v>43</v>
      </c>
      <c r="F46" s="7"/>
      <c r="G46" s="7"/>
      <c r="H46" s="7" t="n">
        <f aca="false">IF(CS46=0,"",CS46)</f>
        <v>26</v>
      </c>
      <c r="I46" s="7"/>
      <c r="J46" s="49" t="n">
        <f aca="false">IFERROR(RANK(H46,H$6:H$116,0),"")</f>
        <v>16</v>
      </c>
      <c r="K46" s="7"/>
      <c r="L46" s="7"/>
      <c r="M46" s="7" t="str">
        <f aca="false">IF(CU46=0,"",CU46)</f>
        <v/>
      </c>
      <c r="N46" s="7"/>
      <c r="O46" s="49" t="str">
        <f aca="false">IFERROR(RANK(M46,M$6:M$116,0),"")</f>
        <v/>
      </c>
      <c r="P46" s="7"/>
      <c r="Q46" s="7"/>
      <c r="R46" s="7" t="n">
        <f aca="false">IF(CW46=0,"",CW46)</f>
        <v>8</v>
      </c>
      <c r="S46" s="7"/>
      <c r="T46" s="49" t="n">
        <f aca="false">IFERROR(RANK(R46,R$6:R$116,0),"")</f>
        <v>12</v>
      </c>
      <c r="U46" s="7"/>
      <c r="V46" s="7"/>
      <c r="W46" s="7" t="str">
        <f aca="false">IF(CY46=0,"",CY46)</f>
        <v/>
      </c>
      <c r="X46" s="7"/>
      <c r="Y46" s="49" t="str">
        <f aca="false">IFERROR(RANK(W46,W$6:W$116,0),"")</f>
        <v/>
      </c>
      <c r="Z46" s="7"/>
      <c r="AA46" s="7"/>
      <c r="AB46" s="7" t="n">
        <f aca="false">IF(DA46=0,"",DA46)</f>
        <v>19</v>
      </c>
      <c r="AC46" s="7"/>
      <c r="AD46" s="49" t="n">
        <f aca="false">IFERROR(RANK(AB46,AB$6:AB$116,0),"")</f>
        <v>15</v>
      </c>
      <c r="AE46" s="7"/>
      <c r="AF46" s="7"/>
      <c r="AG46" s="7" t="n">
        <f aca="false">IF(DC46=0,"",DC46)</f>
        <v>18</v>
      </c>
      <c r="AH46" s="7"/>
      <c r="AI46" s="49" t="n">
        <f aca="false">IFERROR(RANK(AG46,AG$6:AG$116,0),"")</f>
        <v>16</v>
      </c>
      <c r="AJ46" s="7"/>
      <c r="AK46" s="7"/>
      <c r="AL46" s="7" t="str">
        <f aca="false">IF(DE46=0,"",DE46)</f>
        <v/>
      </c>
      <c r="AM46" s="7"/>
      <c r="AN46" s="49" t="str">
        <f aca="false">IFERROR(RANK(AL46,AL$6:AL$116,0),"")</f>
        <v/>
      </c>
      <c r="AO46" s="7"/>
      <c r="AP46" s="7"/>
      <c r="AQ46" s="7" t="n">
        <f aca="false">IF(DG46=0,"",DG46)</f>
        <v>29</v>
      </c>
      <c r="AR46" s="7"/>
      <c r="AS46" s="49" t="n">
        <f aca="false">IFERROR(RANK(AQ46,AQ$6:AQ$116,0),"")</f>
        <v>12</v>
      </c>
      <c r="AT46" s="7"/>
      <c r="AU46" s="7"/>
      <c r="AV46" s="7" t="n">
        <f aca="false">IF(DI46=0,"",DI46)</f>
        <v>26</v>
      </c>
      <c r="AW46" s="7"/>
      <c r="AX46" s="49" t="n">
        <f aca="false">IFERROR(RANK(AV46,AV$6:AV$116,0),"")</f>
        <v>15</v>
      </c>
      <c r="AY46" s="7"/>
      <c r="AZ46" s="7"/>
      <c r="BA46" s="7" t="n">
        <f aca="false">IF(DK46=0,"",DK46)</f>
        <v>27</v>
      </c>
      <c r="BB46" s="7"/>
      <c r="BC46" s="49" t="n">
        <f aca="false">IFERROR(RANK(BA46,BA$6:BA$116,0),"")</f>
        <v>11</v>
      </c>
      <c r="BD46" s="7"/>
      <c r="BE46" s="7"/>
      <c r="BF46" s="7" t="str">
        <f aca="false">IF(DM46=0,"",DM46)</f>
        <v/>
      </c>
      <c r="BG46" s="7"/>
      <c r="BH46" s="49" t="str">
        <f aca="false">IFERROR(RANK(BF46,BF$6:BF$116,0),"")</f>
        <v/>
      </c>
      <c r="BI46" s="7"/>
      <c r="BJ46" s="7"/>
      <c r="BK46" s="7" t="str">
        <f aca="false">IF(DO46=0,"",DO46)</f>
        <v/>
      </c>
      <c r="BL46" s="7"/>
      <c r="BM46" s="49" t="str">
        <f aca="false">IFERROR(RANK(BK46,BK$6:BK$116,0),"")</f>
        <v/>
      </c>
      <c r="BN46" s="7"/>
      <c r="BO46" s="7"/>
      <c r="BP46" s="7" t="str">
        <f aca="false">IF(DQ46=0,"",DQ46)</f>
        <v/>
      </c>
      <c r="BQ46" s="7"/>
      <c r="BR46" s="49" t="str">
        <f aca="false">IFERROR(RANK(BP46,BP$6:BP$116,0),"")</f>
        <v/>
      </c>
      <c r="BS46" s="7"/>
      <c r="BT46" s="7"/>
      <c r="BU46" s="7" t="str">
        <f aca="false">IF(DS46=0,"",DS46)</f>
        <v/>
      </c>
      <c r="BV46" s="7"/>
      <c r="BW46" s="49" t="str">
        <f aca="false">IFERROR(RANK(BU46,BU$6:BU$116,0),"")</f>
        <v/>
      </c>
      <c r="BX46" s="7"/>
      <c r="BY46" s="7"/>
      <c r="BZ46" s="7" t="str">
        <f aca="false">IF(DU46=0,"",DU46)</f>
        <v/>
      </c>
      <c r="CA46" s="7"/>
      <c r="CB46" s="49" t="str">
        <f aca="false">IFERROR(RANK(BZ46,BZ$6:BZ$116,0),"")</f>
        <v/>
      </c>
      <c r="CC46" s="7"/>
      <c r="CD46" s="7"/>
      <c r="CE46" s="7" t="str">
        <f aca="false">IF(DW46=0,"",DW46)</f>
        <v/>
      </c>
      <c r="CF46" s="7"/>
      <c r="CG46" s="49" t="str">
        <f aca="false">IFERROR(RANK(CE46,CE$6:CE$116,0),"")</f>
        <v/>
      </c>
      <c r="CH46" s="7"/>
      <c r="CI46" s="7"/>
      <c r="CJ46" s="7" t="str">
        <f aca="false">IF(DY46=0,"",DY46)</f>
        <v/>
      </c>
      <c r="CK46" s="7"/>
      <c r="CL46" s="49" t="str">
        <f aca="false">IFERROR(RANK(CJ46,CJ$6:CJ$116,0),"")</f>
        <v/>
      </c>
      <c r="CM46" s="7"/>
      <c r="CN46" s="7"/>
      <c r="CO46" s="7" t="str">
        <f aca="false">IF(EA46=0,"",EA46)</f>
        <v/>
      </c>
      <c r="CP46" s="7"/>
      <c r="CQ46" s="49" t="str">
        <f aca="false">IFERROR(RANK(CO46,CO$6:CO$116,0),"")</f>
        <v/>
      </c>
      <c r="CR46" s="7"/>
      <c r="CS46" s="21" t="n">
        <v>26</v>
      </c>
      <c r="CT46" s="25" t="n">
        <f aca="true">IFERROR(AVERAGE(OFFSET('Data - For Rank'!B$2,J46,0,COUNTIF($J$7:J$116,J46)))+IFERROR(VLOOKUP((COUNT($H$6:$H$116)/4),$ER$9:$ES$13,2,FALSE()),0),"")</f>
        <v>3</v>
      </c>
      <c r="CU46" s="21"/>
      <c r="CV46" s="25" t="str">
        <f aca="true">IFERROR(AVERAGE(OFFSET('Data - For Rank'!$C$2,O46,0,COUNTIF(O$7:O$116,O46)))+IFERROR(VLOOKUP((COUNT(M$6:M$116)/4),$ER$9:$ES$13,2,FALSE()),0),"")</f>
        <v/>
      </c>
      <c r="CW46" s="37" t="n">
        <v>8</v>
      </c>
      <c r="CX46" s="25" t="n">
        <f aca="true">IFERROR(AVERAGE(OFFSET('Data - For Rank'!D$2,T46,0,COUNTIF(T$7:T$116,T46)))+IFERROR(VLOOKUP((COUNT(R$6:R$116)/4),$ER$9:$ES$13,2,FALSE()),0),"")</f>
        <v>5</v>
      </c>
      <c r="CY46" s="21"/>
      <c r="CZ46" s="25" t="str">
        <f aca="true">IFERROR(AVERAGE(OFFSET('Data - For Rank'!E$2,Y46,0,COUNTIF(Y$7:Y$116,Y46)))+IFERROR(VLOOKUP((COUNT(W$6:W$116)/4),$ER$9:$ES$13,2,FALSE()),0),"")</f>
        <v/>
      </c>
      <c r="DA46" s="21" t="n">
        <v>19</v>
      </c>
      <c r="DB46" s="25" t="n">
        <f aca="true">IFERROR(AVERAGE(OFFSET('Data - For Rank'!F$2,AD46,0,COUNTIF(AD$7:AD$116,AD46)))+IFERROR(VLOOKUP((COUNT(AB$6:AB$116)/4),$ER$9:$ES$13,2,FALSE()),0),"")</f>
        <v>4</v>
      </c>
      <c r="DC46" s="21" t="n">
        <v>18</v>
      </c>
      <c r="DD46" s="25" t="n">
        <f aca="true">IFERROR(AVERAGE(OFFSET('Data - For Rank'!G$2,AI46,0,COUNTIF(AI$7:AI$116,AI46)))+IFERROR(VLOOKUP((COUNT(AG$6:AG$116)/4),$ER$9:$ES$13,2,FALSE()),0),"")</f>
        <v>3</v>
      </c>
      <c r="DE46" s="21"/>
      <c r="DF46" s="25" t="str">
        <f aca="true">IFERROR(AVERAGE(OFFSET('Data - For Rank'!$H$2,AN46,0,COUNTIF(AN$7:AN$116,AN46)))+IFERROR(VLOOKUP((COUNT(AL$6:AL$116)/4),$ER$9:$ES$13,2,FALSE()),0),"")</f>
        <v/>
      </c>
      <c r="DG46" s="21" t="n">
        <v>29</v>
      </c>
      <c r="DH46" s="25" t="n">
        <f aca="true">IFERROR(AVERAGE(OFFSET('Data - For Rank'!$I$2,AS46,0,COUNTIF(AS$7:AS$116,AS46)))+IFERROR(VLOOKUP((COUNT(AQ$6:AQ$116)/4),$ER$9:$ES$13,2,FALSE()),0),"")</f>
        <v>6.5</v>
      </c>
      <c r="DI46" s="21" t="n">
        <v>26</v>
      </c>
      <c r="DJ46" s="25" t="n">
        <f aca="true">IFERROR(AVERAGE(OFFSET('Data - For Rank'!$J$2,AX46,0,COUNTIF(AX$7:AX$116,AX46)))+IFERROR(VLOOKUP((COUNT(AV$6:AV$116)/4),$ER$9:$ES$13,2,FALSE()),0),"")</f>
        <v>4</v>
      </c>
      <c r="DK46" s="21" t="n">
        <v>27</v>
      </c>
      <c r="DL46" s="25" t="n">
        <f aca="true">IFERROR(AVERAGE(OFFSET('Data - For Rank'!$K$2,BC46,0,COUNTIF(BC$7:BC$116,BC46)))+IFERROR(VLOOKUP((COUNT(BA$6:BA$116)/4),$ER$9:$ES$13,2,FALSE()),0),"")</f>
        <v>6</v>
      </c>
      <c r="DM46" s="21"/>
      <c r="DN46" s="25" t="str">
        <f aca="true">IFERROR(AVERAGE(OFFSET('Data - For Rank'!$L$2,BH46,0,COUNTIF(BH$7:BH$116,BH46)))+IFERROR(VLOOKUP((COUNT(BF$6:BF$116)/4),$ER$9:$ES$13,2,FALSE()),0),"")</f>
        <v/>
      </c>
      <c r="DO46" s="21"/>
      <c r="DP46" s="25" t="str">
        <f aca="true">IFERROR(AVERAGE(OFFSET('Data - For Rank'!$M$2,BM46,0,COUNTIF(BM$7:BM$116,BM46)))+IFERROR(VLOOKUP((COUNT(BK$6:BK$116)/4),$ER$9:$ES$13,2,FALSE()),0),"")</f>
        <v/>
      </c>
      <c r="DQ46" s="21"/>
      <c r="DR46" s="25" t="str">
        <f aca="true">IFERROR(AVERAGE(OFFSET('Data - For Rank'!$N$2,BR46,0,COUNTIF(BR$7:BR$116,BR46)))+IFERROR(VLOOKUP((COUNT(BP$6:BP$116)/4),$ER$9:$ES$13,2,FALSE()),0),"")</f>
        <v/>
      </c>
      <c r="DS46" s="21"/>
      <c r="DT46" s="25" t="str">
        <f aca="true">IFERROR(AVERAGE(OFFSET('Data - For Rank'!$O$2,BW46,0,COUNTIF(BW$7:BW$116,BW46)))+IFERROR(VLOOKUP((COUNT(BU$6:BU$116)/4),$ER$9:$ES$13,2,FALSE()),0),"")</f>
        <v/>
      </c>
      <c r="DU46" s="21"/>
      <c r="DV46" s="25" t="str">
        <f aca="true">IFERROR(AVERAGE(OFFSET('Data - For Rank'!$P$2,CB46,0,COUNTIF(CB$7:CB$116,CB46)))+IFERROR(VLOOKUP((COUNT(BZ$6:BZ$116)/4),$ER$9:$ES$13,2,FALSE()),0),"")</f>
        <v/>
      </c>
      <c r="DW46" s="21"/>
      <c r="DX46" s="25" t="str">
        <f aca="true">IFERROR(AVERAGE(OFFSET('Data - For Rank'!$Q$2,CG46,0,COUNTIF(CG$7:CG$116,CG46)))+IFERROR(VLOOKUP((COUNT(CE$6:CE$116)/4),$ER$9:$ES$13,2,FALSE()),0),"")</f>
        <v/>
      </c>
      <c r="DY46" s="21"/>
      <c r="DZ46" s="25" t="str">
        <f aca="true">IFERROR(AVERAGE(OFFSET('Data - For Rank'!$R$2,CL46,0,COUNTIF(CL$7:CL$116,CL46)))+IFERROR(VLOOKUP((COUNT(CJ$6:CJ$116)/4),$ER$9:$ES$13,2,FALSE()),0),"")</f>
        <v/>
      </c>
      <c r="EA46" s="21"/>
      <c r="EB46" s="25" t="str">
        <f aca="true">IFERROR(AVERAGE(OFFSET('Data - For Rank'!$S$2,CQ46,0,COUNTIF(CQ$7:CQ$116,CQ46)))+IFERROR(VLOOKUP((COUNT(CO$6:CO$116)/4),$ER$9:$ES$13,2,FALSE()),0),"")</f>
        <v/>
      </c>
      <c r="EC46" s="26" t="n">
        <f aca="false">AVERAGE(CS46,CU46,CW46,CY46,DA46,DC46,DE46,DG46,DI46,DK46,DM46,DO46,DQ46,DS46,DU46,DW46,DY46,EA46)</f>
        <v>21.8571428571429</v>
      </c>
      <c r="ED46" s="23" t="n">
        <f aca="false">AVERAGE(CT46,CV46,CX46,CZ46,DB46,DD46,DF46,DH46,EF43,DL46,DN46,DP46,DR46,DT46,DV46,DX46,DZ46,EB46)</f>
        <v>4.58333333333333</v>
      </c>
      <c r="ET46" s="51"/>
    </row>
    <row r="47" s="1" customFormat="true" ht="13.5" hidden="false" customHeight="false" outlineLevel="1" collapsed="false">
      <c r="B47" s="27" t="n">
        <f aca="false">B45+0.0216</f>
        <v>14.0216</v>
      </c>
      <c r="D47" s="51" t="s">
        <v>123</v>
      </c>
      <c r="E47" s="36" t="s">
        <v>44</v>
      </c>
      <c r="F47" s="29" t="n">
        <f aca="false">IF(COUNT(G45:CN45)&gt;10,SMALL(G45:CN45,COUNT(G45:CN45)-10),MIN(G45:CN45))</f>
        <v>8</v>
      </c>
      <c r="G47" s="29"/>
      <c r="H47" s="29"/>
      <c r="I47" s="53" t="n">
        <f aca="false">IF(CS47=0,"",CS47)</f>
        <v>-11</v>
      </c>
      <c r="J47" s="53"/>
      <c r="K47" s="54" t="n">
        <f aca="false">IFERROR(_xlfn.RANK.EQ(I47,I$6:I$116,0),"")</f>
        <v>13</v>
      </c>
      <c r="L47" s="29"/>
      <c r="M47" s="29"/>
      <c r="N47" s="53" t="str">
        <f aca="false">IF(CU47=0,"",CU47)</f>
        <v/>
      </c>
      <c r="O47" s="53"/>
      <c r="P47" s="54" t="str">
        <f aca="false">IFERROR(_xlfn.RANK.EQ(N47,N$6:N$116,0),"")</f>
        <v/>
      </c>
      <c r="Q47" s="29"/>
      <c r="R47" s="29"/>
      <c r="S47" s="53" t="n">
        <f aca="false">IF(CW47=0,"",CW47)</f>
        <v>-15</v>
      </c>
      <c r="T47" s="53"/>
      <c r="U47" s="54" t="n">
        <f aca="false">IFERROR(_xlfn.RANK.EQ(S47,S$6:S$116,0),"")</f>
        <v>11</v>
      </c>
      <c r="V47" s="29"/>
      <c r="W47" s="29"/>
      <c r="X47" s="53" t="str">
        <f aca="false">IF(CY47=0,"",CY47)</f>
        <v/>
      </c>
      <c r="Y47" s="53"/>
      <c r="Z47" s="54" t="str">
        <f aca="false">IFERROR(_xlfn.RANK.EQ(X47,X$6:X$116,0),"")</f>
        <v/>
      </c>
      <c r="AA47" s="29"/>
      <c r="AB47" s="29"/>
      <c r="AC47" s="53" t="n">
        <f aca="false">IF(DA47=0,"",DA47)</f>
        <v>6</v>
      </c>
      <c r="AD47" s="53"/>
      <c r="AE47" s="54" t="n">
        <f aca="false">IFERROR(_xlfn.RANK.EQ(AC47,AC$6:AC$116,0),"")</f>
        <v>9</v>
      </c>
      <c r="AF47" s="29"/>
      <c r="AG47" s="29"/>
      <c r="AH47" s="53" t="n">
        <f aca="false">IF(DC47=0,"",DC47)</f>
        <v>-18</v>
      </c>
      <c r="AI47" s="53"/>
      <c r="AJ47" s="54" t="n">
        <f aca="false">IFERROR(_xlfn.RANK.EQ(AH47,AH$6:AH$116,0),"")</f>
        <v>14</v>
      </c>
      <c r="AK47" s="29"/>
      <c r="AL47" s="29"/>
      <c r="AM47" s="53" t="str">
        <f aca="false">IF(DE47=0,"",DE47)</f>
        <v/>
      </c>
      <c r="AN47" s="53"/>
      <c r="AO47" s="54" t="str">
        <f aca="false">IFERROR(_xlfn.RANK.EQ(AM47,AM$6:AM$116,0),"")</f>
        <v/>
      </c>
      <c r="AP47" s="29"/>
      <c r="AQ47" s="29"/>
      <c r="AR47" s="53" t="n">
        <f aca="false">IF(DG47=0,"",DG47)</f>
        <v>24</v>
      </c>
      <c r="AS47" s="53"/>
      <c r="AT47" s="54" t="n">
        <f aca="false">IFERROR(_xlfn.RANK.EQ(AR47,AR$6:AR$116,0),"")</f>
        <v>2</v>
      </c>
      <c r="AU47" s="29"/>
      <c r="AV47" s="29"/>
      <c r="AW47" s="53" t="n">
        <f aca="false">IF(DI47=0,"",DI47)</f>
        <v>3</v>
      </c>
      <c r="AX47" s="53"/>
      <c r="AY47" s="54" t="n">
        <f aca="false">IFERROR(_xlfn.RANK.EQ(AW47,AW$6:AW$116,0),"")</f>
        <v>7</v>
      </c>
      <c r="AZ47" s="29"/>
      <c r="BA47" s="29"/>
      <c r="BB47" s="53" t="n">
        <f aca="false">IF(DK47=0,"",DK47)</f>
        <v>10</v>
      </c>
      <c r="BC47" s="53"/>
      <c r="BD47" s="54" t="n">
        <f aca="false">IFERROR(_xlfn.RANK.EQ(BB47,BB$6:BB$116,0),"")</f>
        <v>6</v>
      </c>
      <c r="BE47" s="29"/>
      <c r="BF47" s="29"/>
      <c r="BG47" s="53" t="str">
        <f aca="false">IF(DM47=0,"",DM47)</f>
        <v/>
      </c>
      <c r="BH47" s="53"/>
      <c r="BI47" s="54" t="str">
        <f aca="false">IFERROR(_xlfn.RANK.EQ(BG47,BG$6:BG$116,0),"")</f>
        <v/>
      </c>
      <c r="BJ47" s="29"/>
      <c r="BK47" s="29"/>
      <c r="BL47" s="53" t="str">
        <f aca="false">IF(DO47=0,"",DO47)</f>
        <v/>
      </c>
      <c r="BM47" s="53"/>
      <c r="BN47" s="54" t="str">
        <f aca="false">IFERROR(_xlfn.RANK.EQ(BL47,BL$6:BL$116,0),"")</f>
        <v/>
      </c>
      <c r="BO47" s="29"/>
      <c r="BP47" s="29"/>
      <c r="BQ47" s="53" t="str">
        <f aca="false">IF(DQ47=0,"",DQ47)</f>
        <v/>
      </c>
      <c r="BR47" s="53"/>
      <c r="BS47" s="54" t="str">
        <f aca="false">IFERROR(_xlfn.RANK.EQ(BQ47,BQ$6:BQ$116,0),"")</f>
        <v/>
      </c>
      <c r="BT47" s="29"/>
      <c r="BU47" s="29"/>
      <c r="BV47" s="53" t="str">
        <f aca="false">IF(DS47=0,"",DS47)</f>
        <v/>
      </c>
      <c r="BW47" s="53"/>
      <c r="BX47" s="54" t="str">
        <f aca="false">IFERROR(_xlfn.RANK.EQ(BV47,BV$6:BV$116,0),"")</f>
        <v/>
      </c>
      <c r="BY47" s="29"/>
      <c r="BZ47" s="29"/>
      <c r="CA47" s="53" t="str">
        <f aca="false">IF(DU47=0,"",DU47)</f>
        <v/>
      </c>
      <c r="CB47" s="53"/>
      <c r="CC47" s="54" t="str">
        <f aca="false">IFERROR(_xlfn.RANK.EQ(CA47,CA$6:CA$116,0),"")</f>
        <v/>
      </c>
      <c r="CD47" s="29"/>
      <c r="CE47" s="29"/>
      <c r="CF47" s="53" t="str">
        <f aca="false">IF(DW47=0,"",DW47)</f>
        <v/>
      </c>
      <c r="CG47" s="53"/>
      <c r="CH47" s="54" t="str">
        <f aca="false">IFERROR(_xlfn.RANK.EQ(CF47,CF$6:CF$116,0),"")</f>
        <v/>
      </c>
      <c r="CI47" s="29"/>
      <c r="CJ47" s="29"/>
      <c r="CK47" s="53" t="str">
        <f aca="false">IF(DY47=0,"",DY47)</f>
        <v/>
      </c>
      <c r="CL47" s="53"/>
      <c r="CM47" s="54" t="str">
        <f aca="false">IFERROR(_xlfn.RANK.EQ(CK47,CK$6:CK$116,0),"")</f>
        <v/>
      </c>
      <c r="CN47" s="29"/>
      <c r="CO47" s="29"/>
      <c r="CP47" s="53" t="str">
        <f aca="false">IF(EA47=0,"",EA47)</f>
        <v/>
      </c>
      <c r="CQ47" s="53"/>
      <c r="CR47" s="54" t="str">
        <f aca="false">IFERROR(_xlfn.RANK.EQ(CP47,CP$6:CP$116,0),"")</f>
        <v/>
      </c>
      <c r="CS47" s="30" t="n">
        <v>-11</v>
      </c>
      <c r="CT47" s="31" t="n">
        <f aca="true">IFERROR(AVERAGE(OFFSET('Data - For Rank'!B$2,K47,0,COUNTIF(K$6:K$116,K47)))+IFERROR(VLOOKUP((COUNT($I$6:$I$116)/4),$ER$9:$ES$13,2,FALSE()),0),"")</f>
        <v>6</v>
      </c>
      <c r="CU47" s="30"/>
      <c r="CV47" s="31" t="str">
        <f aca="true">IFERROR(AVERAGE(OFFSET('Data - For Rank'!$C$2,P47,0,COUNTIF(P$6:P$116,P47)))+IFERROR(VLOOKUP((COUNT(N$6:N$116)/4),$ER$9:$ES$13,2,FALSE()),0),"")</f>
        <v/>
      </c>
      <c r="CW47" s="30" t="n">
        <v>-15</v>
      </c>
      <c r="CX47" s="31" t="n">
        <f aca="true">IFERROR(AVERAGE(OFFSET('Data - For Rank'!D$2,U47,0,COUNTIF(U$6:$U155,U47)))+IFERROR(VLOOKUP((COUNT(S$6:S$116)/4),$ER$9:$ES$13,2,FALSE()),0),"")</f>
        <v>6</v>
      </c>
      <c r="CY47" s="30"/>
      <c r="CZ47" s="31" t="str">
        <f aca="true">IFERROR(AVERAGE(OFFSET('Data - For Rank'!E$2,Z47,0,COUNTIF(Z$6:Z$116,Z47)))+IFERROR(VLOOKUP((COUNT(W$6:W$116)/4),$ER$9:$ES$13,2,FALSE()),0),"")</f>
        <v/>
      </c>
      <c r="DA47" s="30" t="n">
        <v>6</v>
      </c>
      <c r="DB47" s="31" t="n">
        <f aca="true">IFERROR(AVERAGE(OFFSET('Data - For Rank'!F$2,AE47,0,COUNTIF(AE$6:AE$116,AE47)))+IFERROR(VLOOKUP((COUNT(AC$6:AC$116)/4),$ER$9:$ES$13,2,FALSE()),0),"")</f>
        <v>10</v>
      </c>
      <c r="DC47" s="30" t="n">
        <v>-18</v>
      </c>
      <c r="DD47" s="31" t="n">
        <f aca="true">IFERROR(AVERAGE(OFFSET('Data - For Rank'!G$2,AJ47,0,COUNTIF(AJ$6:AJ$116,AJ47)))+IFERROR(VLOOKUP((COUNT(AH$6:AH$116)/4),$ER$9:$ES$13,2,FALSE()),0),"")</f>
        <v>5</v>
      </c>
      <c r="DE47" s="30"/>
      <c r="DF47" s="31" t="str">
        <f aca="true">IFERROR(AVERAGE(OFFSET('Data - For Rank'!$H$2,AO47,0,COUNTIF(AO$6:AO$116,AO47)))+IFERROR(VLOOKUP((COUNT(AM$6:AM$116)/4),$ER$9:$ES$13,2,FALSE()),0),"")</f>
        <v/>
      </c>
      <c r="DG47" s="30" t="n">
        <v>24</v>
      </c>
      <c r="DH47" s="31" t="n">
        <f aca="true">IFERROR(AVERAGE(OFFSET('Data - For Rank'!$I$2,AT47,0,COUNTIF(AT$6:AT$116,AT47)))+IFERROR(VLOOKUP((COUNT(AR$6:AR$116)/4),$ER$9:$ES$13,2,FALSE()),0),"")</f>
        <v>17</v>
      </c>
      <c r="DI47" s="30" t="n">
        <v>3</v>
      </c>
      <c r="DJ47" s="31" t="n">
        <f aca="true">IFERROR(AVERAGE(OFFSET('Data - For Rank'!$J$2,AY47,0,COUNTIF(AY$6:AY$116,AY47)))+IFERROR(VLOOKUP((COUNT(AW$6:AW$116)/4),$ER$9:$ES$13,2,FALSE()),0),"")</f>
        <v>11</v>
      </c>
      <c r="DK47" s="30" t="n">
        <v>10</v>
      </c>
      <c r="DL47" s="31" t="n">
        <f aca="true">IFERROR(AVERAGE(OFFSET('Data - For Rank'!$K$2,BD47,0,COUNTIF(BD$6:BD$116,BD47)))+IFERROR(VLOOKUP((COUNT(BB$6:BB$116)/4),$ER$9:$ES$13,2,FALSE()),0),"")</f>
        <v>11</v>
      </c>
      <c r="DM47" s="30"/>
      <c r="DN47" s="31" t="str">
        <f aca="true">IFERROR(AVERAGE(OFFSET('Data - For Rank'!$L$2,BI47,0,COUNTIF(BI$6:BI$116,BI47)))+IFERROR(VLOOKUP((COUNT(BG$6:BG$116)/4),$ER$9:$ES$13,2,FALSE()),0),"")</f>
        <v/>
      </c>
      <c r="DO47" s="30"/>
      <c r="DP47" s="31" t="str">
        <f aca="true">IFERROR(AVERAGE(OFFSET('Data - For Rank'!$M$2,BN47,0,COUNTIF(BN$6:BN$116,BN47)))+IFERROR(VLOOKUP((COUNT(BL$6:BL$116)/4),$ER$9:$ES$13,2,FALSE()),0),"")</f>
        <v/>
      </c>
      <c r="DQ47" s="30"/>
      <c r="DR47" s="31" t="str">
        <f aca="true">IFERROR(AVERAGE(OFFSET('Data - For Rank'!$N$2,BS47,0,COUNTIF(BS$6:BS$116,BS47)))+IFERROR(VLOOKUP((COUNT(BQ$6:BQ$116)/4),$ER$9:$ES$13,2,FALSE()),0),"")</f>
        <v/>
      </c>
      <c r="DS47" s="30"/>
      <c r="DT47" s="31" t="str">
        <f aca="true">IFERROR(AVERAGE(OFFSET('Data - For Rank'!$O$2,BX47,0,COUNTIF(BX$6:BX$116,BX47)))+IFERROR(VLOOKUP((COUNT(BV$6:BV$116)/4),$ER$9:$ES$13,2,FALSE()),0),"")</f>
        <v/>
      </c>
      <c r="DU47" s="30"/>
      <c r="DV47" s="31" t="str">
        <f aca="true">IFERROR(AVERAGE(OFFSET('Data - For Rank'!$P$2,CC47,0,COUNTIF(CC$6:CC$116,CC47)))+IFERROR(VLOOKUP((COUNT(CA$6:CA$116)/4),$ER$9:$ES$13,2,FALSE()),0),"")</f>
        <v/>
      </c>
      <c r="DW47" s="30"/>
      <c r="DX47" s="31" t="str">
        <f aca="true">IFERROR(AVERAGE(OFFSET('Data - For Rank'!$Q$2,CH47,0,COUNTIF(CH$6:CH$116,CH47)))+IFERROR(VLOOKUP((COUNT(CF$6:CF$116)/4),$ER$9:$ES$13,2,FALSE()),0),"")</f>
        <v/>
      </c>
      <c r="DY47" s="30"/>
      <c r="DZ47" s="31" t="str">
        <f aca="true">IFERROR(AVERAGE(OFFSET('Data - For Rank'!$R$2,CM47,0,COUNTIF(CM$6:CM$116,CM47)))+IFERROR(VLOOKUP((COUNT(CK$6:CK$116)/4),$ER$9:$ES$13,2,FALSE()),0),"")</f>
        <v/>
      </c>
      <c r="EA47" s="30"/>
      <c r="EB47" s="31" t="str">
        <f aca="true">IFERROR(AVERAGE(OFFSET('Data - For Rank'!$S$2,CR47,0,COUNTIF(CR$6:CR$116,CR47)))+IFERROR(VLOOKUP((COUNT(CP$6:CP$116)/4),$ER$9:$ES$13,2,FALSE()),0),"")</f>
        <v/>
      </c>
      <c r="EC47" s="32" t="n">
        <f aca="false">CS47+CU47+CW47+CY47+DA47+DC47+DE47+DG47+DI47+DK47+DM47+DO47+DQ47+DS47+DU47+DW47+DY47+EA47</f>
        <v>-1</v>
      </c>
      <c r="ED47" s="33" t="n">
        <f aca="false">AVERAGE(CT47,CV47,CX47,CZ47,DB47,DD47,DF47,DH47,DJ47,DL47,DN47,DP47,DR47,DT47,DV47,DX47,DZ47,EB47)</f>
        <v>9.42857142857143</v>
      </c>
      <c r="ET47" s="51"/>
    </row>
    <row r="48" customFormat="false" ht="13.5" hidden="false" customHeight="false" outlineLevel="0" collapsed="false">
      <c r="B48" s="8" t="n">
        <f aca="false">_xlfn.RANK.EQ(C48,$C$6:$C$63,)</f>
        <v>15</v>
      </c>
      <c r="C48" s="43" t="n">
        <f aca="false">EC48</f>
        <v>90</v>
      </c>
      <c r="D48" s="43" t="s">
        <v>124</v>
      </c>
      <c r="E48" s="9" t="s">
        <v>58</v>
      </c>
      <c r="F48" s="20" t="n">
        <f aca="false">COUNT(CT48,CV48,CX48,CZ48,DB48,DD48,DF48,DH48,DJ48,DL48,DN48,DP48,DR48,DT48,DV48,DX48,DZ48,EB48)</f>
        <v>4</v>
      </c>
      <c r="G48" s="49" t="n">
        <f aca="false">IF(CT48=0,"",CT48)</f>
        <v>15.5</v>
      </c>
      <c r="H48" s="49"/>
      <c r="I48" s="49"/>
      <c r="K48" s="49"/>
      <c r="L48" s="49" t="str">
        <f aca="false">IF(CV48=0,"",CV48)</f>
        <v/>
      </c>
      <c r="M48" s="49"/>
      <c r="N48" s="49"/>
      <c r="P48" s="49"/>
      <c r="Q48" s="49" t="n">
        <f aca="false">IF(CX48=0,"",CX48)</f>
        <v>18</v>
      </c>
      <c r="R48" s="49"/>
      <c r="S48" s="49"/>
      <c r="U48" s="49"/>
      <c r="V48" s="49" t="str">
        <f aca="false">IF(CZ48=0,"",CZ48)</f>
        <v/>
      </c>
      <c r="W48" s="49"/>
      <c r="X48" s="49"/>
      <c r="Z48" s="49"/>
      <c r="AA48" s="49" t="str">
        <f aca="false">IF(DB48=0,"",DB48)</f>
        <v/>
      </c>
      <c r="AB48" s="49"/>
      <c r="AC48" s="49"/>
      <c r="AE48" s="49"/>
      <c r="AF48" s="49" t="n">
        <f aca="false">IF(DD48=0,"",DD48)</f>
        <v>27.5</v>
      </c>
      <c r="AG48" s="49"/>
      <c r="AH48" s="49"/>
      <c r="AJ48" s="49"/>
      <c r="AK48" s="49" t="str">
        <f aca="false">IF(DF48=0,"",DF48)</f>
        <v/>
      </c>
      <c r="AL48" s="49"/>
      <c r="AM48" s="49"/>
      <c r="AO48" s="49"/>
      <c r="AP48" s="49" t="str">
        <f aca="false">IF(DH48=0,"",DH48)</f>
        <v/>
      </c>
      <c r="AQ48" s="49"/>
      <c r="AR48" s="49"/>
      <c r="AT48" s="49"/>
      <c r="AU48" s="49" t="n">
        <f aca="false">IF(DJ48=0,"",DJ48)</f>
        <v>29</v>
      </c>
      <c r="AV48" s="49"/>
      <c r="AW48" s="49"/>
      <c r="AY48" s="49"/>
      <c r="AZ48" s="49" t="str">
        <f aca="false">IF(DL48=0,"",DL48)</f>
        <v/>
      </c>
      <c r="BA48" s="49"/>
      <c r="BB48" s="49"/>
      <c r="BD48" s="49"/>
      <c r="BE48" s="49" t="str">
        <f aca="false">IF(DN48=0,"",DN48)</f>
        <v/>
      </c>
      <c r="BF48" s="49"/>
      <c r="BG48" s="49"/>
      <c r="BI48" s="49"/>
      <c r="BJ48" s="49" t="str">
        <f aca="false">IF(DP48=0,"",DP48)</f>
        <v/>
      </c>
      <c r="BK48" s="49"/>
      <c r="BL48" s="49"/>
      <c r="BN48" s="49"/>
      <c r="BO48" s="49" t="str">
        <f aca="false">IF(DR48=0,"",DR48)</f>
        <v/>
      </c>
      <c r="BP48" s="49"/>
      <c r="BQ48" s="49"/>
      <c r="BS48" s="49"/>
      <c r="BT48" s="49" t="str">
        <f aca="false">IF(DT48=0,"",DT48)</f>
        <v/>
      </c>
      <c r="BU48" s="49"/>
      <c r="BV48" s="49"/>
      <c r="BX48" s="49"/>
      <c r="BY48" s="49" t="str">
        <f aca="false">IF(DV48=0,"",DV48)</f>
        <v/>
      </c>
      <c r="BZ48" s="49"/>
      <c r="CA48" s="49"/>
      <c r="CC48" s="49"/>
      <c r="CD48" s="49" t="str">
        <f aca="false">IF(DX48=0,"",DX48)</f>
        <v/>
      </c>
      <c r="CE48" s="49"/>
      <c r="CF48" s="49"/>
      <c r="CH48" s="49"/>
      <c r="CI48" s="49" t="str">
        <f aca="false">IF(DZ48=0,"",DZ48)</f>
        <v/>
      </c>
      <c r="CJ48" s="49"/>
      <c r="CK48" s="49"/>
      <c r="CM48" s="49"/>
      <c r="CN48" s="49" t="str">
        <f aca="false">IF(EB48=0,"",EB48)</f>
        <v/>
      </c>
      <c r="CO48" s="49"/>
      <c r="CP48" s="49"/>
      <c r="CR48" s="49"/>
      <c r="CS48" s="21" t="n">
        <v>99</v>
      </c>
      <c r="CT48" s="22" t="n">
        <f aca="false">IFERROR(CT49+CT50,"")</f>
        <v>15.5</v>
      </c>
      <c r="CU48" s="21"/>
      <c r="CV48" s="22" t="str">
        <f aca="false">IFERROR(CV49+CV50,"")</f>
        <v/>
      </c>
      <c r="CW48" s="21" t="n">
        <v>103</v>
      </c>
      <c r="CX48" s="22" t="n">
        <f aca="false">IFERROR(CX49+CX50,"")</f>
        <v>18</v>
      </c>
      <c r="CY48" s="21"/>
      <c r="CZ48" s="22" t="str">
        <f aca="false">IFERROR(CZ49+CZ50,"")</f>
        <v/>
      </c>
      <c r="DA48" s="21"/>
      <c r="DB48" s="22" t="str">
        <f aca="false">IFERROR(DB49+DB50,"")</f>
        <v/>
      </c>
      <c r="DC48" s="21" t="n">
        <v>85</v>
      </c>
      <c r="DD48" s="22" t="n">
        <f aca="false">IFERROR(DD49+DD50,"")</f>
        <v>27.5</v>
      </c>
      <c r="DE48" s="21"/>
      <c r="DF48" s="22" t="str">
        <f aca="false">IFERROR(DF49+DF50,"")</f>
        <v/>
      </c>
      <c r="DG48" s="21"/>
      <c r="DH48" s="22" t="str">
        <f aca="false">IFERROR(DH49+DH50,"")</f>
        <v/>
      </c>
      <c r="DI48" s="21" t="n">
        <v>93</v>
      </c>
      <c r="DJ48" s="22" t="n">
        <f aca="false">IFERROR(DJ49+DJ50,"")</f>
        <v>29</v>
      </c>
      <c r="DK48" s="21"/>
      <c r="DL48" s="22" t="str">
        <f aca="false">IFERROR(DL49+DL50,"")</f>
        <v/>
      </c>
      <c r="DM48" s="21"/>
      <c r="DN48" s="22" t="str">
        <f aca="false">IFERROR(DN49+DN50,"")</f>
        <v/>
      </c>
      <c r="DO48" s="21"/>
      <c r="DP48" s="22" t="str">
        <f aca="false">IFERROR(DP49+DP50,"")</f>
        <v/>
      </c>
      <c r="DQ48" s="21"/>
      <c r="DR48" s="22" t="str">
        <f aca="false">IFERROR(DR49+DR50,"")</f>
        <v/>
      </c>
      <c r="DS48" s="21"/>
      <c r="DT48" s="22" t="str">
        <f aca="false">IFERROR(DT49+DT50,"")</f>
        <v/>
      </c>
      <c r="DU48" s="21"/>
      <c r="DV48" s="22" t="str">
        <f aca="false">IFERROR(DV49+DV50,"")</f>
        <v/>
      </c>
      <c r="DW48" s="21"/>
      <c r="DX48" s="22" t="str">
        <f aca="false">IFERROR(DX49+DX50,"")</f>
        <v/>
      </c>
      <c r="DY48" s="21"/>
      <c r="DZ48" s="22" t="str">
        <f aca="false">IFERROR(DZ49+DZ50,"")</f>
        <v/>
      </c>
      <c r="EA48" s="21"/>
      <c r="EB48" s="22" t="str">
        <f aca="false">IFERROR(EB49+EB50,"")</f>
        <v/>
      </c>
      <c r="EC48" s="17" t="n">
        <f aca="false">IFERROR(LARGE($G48:$CN48,1),0)+IFERROR(LARGE($G48:$CN48,2),0)+IFERROR(LARGE($G48:$CN48,3),0)+IFERROR(LARGE($G48:$CN48,4),0)+IFERROR(LARGE($G48:$CN48,5),0)+IFERROR(LARGE($G48:$CN48,6),0)+IFERROR(LARGE($G48:$CN48,7),0)+IFERROR(LARGE($G48:$CN48,8),0)+IFERROR(LARGE($G48:$CN48,9),0)+IFERROR(LARGE($G48:$CN48,10),0)</f>
        <v>90</v>
      </c>
      <c r="ED48" s="23" t="n">
        <f aca="false">AVERAGE(CT48,CV48,CX48,CZ48,DB48,DD48,DF48,DH48,DJ48,DL48,DN48,DP48,DR48,DT48,DV48,DX48,DZ48,EB48)</f>
        <v>22.5</v>
      </c>
      <c r="ET48" s="51"/>
    </row>
    <row r="49" s="1" customFormat="true" ht="13.5" hidden="false" customHeight="false" outlineLevel="1" collapsed="false">
      <c r="B49" s="24" t="n">
        <f aca="false">B48+0.117</f>
        <v>15.117</v>
      </c>
      <c r="D49" s="51" t="s">
        <v>125</v>
      </c>
      <c r="E49" s="7" t="s">
        <v>43</v>
      </c>
      <c r="F49" s="7"/>
      <c r="G49" s="7"/>
      <c r="H49" s="7" t="n">
        <f aca="false">IF(CS49=0,"",CS49)</f>
        <v>28</v>
      </c>
      <c r="I49" s="7"/>
      <c r="J49" s="49" t="n">
        <f aca="false">IFERROR(RANK(H49,H$6:H$116,0),"")</f>
        <v>14</v>
      </c>
      <c r="K49" s="7"/>
      <c r="L49" s="7"/>
      <c r="M49" s="7" t="str">
        <f aca="false">IF(CU49=0,"",CU49)</f>
        <v/>
      </c>
      <c r="N49" s="7"/>
      <c r="O49" s="49" t="str">
        <f aca="false">IFERROR(RANK(M49,M$6:M$116,0),"")</f>
        <v/>
      </c>
      <c r="P49" s="7"/>
      <c r="Q49" s="7"/>
      <c r="R49" s="7" t="n">
        <f aca="false">IF(CW49=0,"",CW49)</f>
        <v>26</v>
      </c>
      <c r="S49" s="7"/>
      <c r="T49" s="49" t="n">
        <f aca="false">IFERROR(RANK(R49,R$6:R$116,0),"")</f>
        <v>9</v>
      </c>
      <c r="U49" s="7"/>
      <c r="V49" s="7"/>
      <c r="W49" s="7" t="str">
        <f aca="false">IF(CY49=0,"",CY49)</f>
        <v/>
      </c>
      <c r="X49" s="7"/>
      <c r="Y49" s="49" t="str">
        <f aca="false">IFERROR(RANK(W49,W$6:W$116,0),"")</f>
        <v/>
      </c>
      <c r="Z49" s="7"/>
      <c r="AA49" s="7"/>
      <c r="AB49" s="7" t="str">
        <f aca="false">IF(DA49=0,"",DA49)</f>
        <v/>
      </c>
      <c r="AC49" s="7"/>
      <c r="AD49" s="49" t="str">
        <f aca="false">IFERROR(RANK(AB49,AB$6:AB$116,0),"")</f>
        <v/>
      </c>
      <c r="AE49" s="7"/>
      <c r="AF49" s="7"/>
      <c r="AG49" s="7" t="n">
        <f aca="false">IF(DC49=0,"",DC49)</f>
        <v>43</v>
      </c>
      <c r="AH49" s="7"/>
      <c r="AI49" s="49" t="n">
        <f aca="false">IFERROR(RANK(AG49,AG$6:AG$116,0),"")</f>
        <v>1</v>
      </c>
      <c r="AJ49" s="7"/>
      <c r="AK49" s="7"/>
      <c r="AL49" s="7" t="str">
        <f aca="false">IF(DE49=0,"",DE49)</f>
        <v/>
      </c>
      <c r="AM49" s="7"/>
      <c r="AN49" s="49" t="str">
        <f aca="false">IFERROR(RANK(AL49,AL$6:AL$116,0),"")</f>
        <v/>
      </c>
      <c r="AO49" s="7"/>
      <c r="AP49" s="7"/>
      <c r="AQ49" s="7" t="str">
        <f aca="false">IF(DG49=0,"",DG49)</f>
        <v/>
      </c>
      <c r="AR49" s="7"/>
      <c r="AS49" s="49" t="str">
        <f aca="false">IFERROR(RANK(AQ49,AQ$6:AQ$116,0),"")</f>
        <v/>
      </c>
      <c r="AT49" s="7"/>
      <c r="AU49" s="7"/>
      <c r="AV49" s="7" t="n">
        <f aca="false">IF(DI49=0,"",DI49)</f>
        <v>35</v>
      </c>
      <c r="AW49" s="7"/>
      <c r="AX49" s="49" t="n">
        <f aca="false">IFERROR(RANK(AV49,AV$6:AV$116,0),"")</f>
        <v>6</v>
      </c>
      <c r="AY49" s="7"/>
      <c r="AZ49" s="7"/>
      <c r="BA49" s="7" t="str">
        <f aca="false">IF(DK49=0,"",DK49)</f>
        <v/>
      </c>
      <c r="BB49" s="7"/>
      <c r="BC49" s="49" t="str">
        <f aca="false">IFERROR(RANK(BA49,BA$6:BA$116,0),"")</f>
        <v/>
      </c>
      <c r="BD49" s="7"/>
      <c r="BE49" s="7"/>
      <c r="BF49" s="7" t="str">
        <f aca="false">IF(DM49=0,"",DM49)</f>
        <v/>
      </c>
      <c r="BG49" s="7"/>
      <c r="BH49" s="49" t="str">
        <f aca="false">IFERROR(RANK(BF49,BF$6:BF$116,0),"")</f>
        <v/>
      </c>
      <c r="BI49" s="7"/>
      <c r="BJ49" s="7"/>
      <c r="BK49" s="7" t="str">
        <f aca="false">IF(DO49=0,"",DO49)</f>
        <v/>
      </c>
      <c r="BL49" s="7"/>
      <c r="BM49" s="49" t="str">
        <f aca="false">IFERROR(RANK(BK49,BK$6:BK$116,0),"")</f>
        <v/>
      </c>
      <c r="BN49" s="7"/>
      <c r="BO49" s="7"/>
      <c r="BP49" s="7" t="str">
        <f aca="false">IF(DQ49=0,"",DQ49)</f>
        <v/>
      </c>
      <c r="BQ49" s="7"/>
      <c r="BR49" s="49" t="str">
        <f aca="false">IFERROR(RANK(BP49,BP$6:BP$116,0),"")</f>
        <v/>
      </c>
      <c r="BS49" s="7"/>
      <c r="BT49" s="7"/>
      <c r="BU49" s="7" t="str">
        <f aca="false">IF(DS49=0,"",DS49)</f>
        <v/>
      </c>
      <c r="BV49" s="7"/>
      <c r="BW49" s="49" t="str">
        <f aca="false">IFERROR(RANK(BU49,BU$6:BU$116,0),"")</f>
        <v/>
      </c>
      <c r="BX49" s="7"/>
      <c r="BY49" s="7"/>
      <c r="BZ49" s="7" t="str">
        <f aca="false">IF(DU49=0,"",DU49)</f>
        <v/>
      </c>
      <c r="CA49" s="7"/>
      <c r="CB49" s="49" t="str">
        <f aca="false">IFERROR(RANK(BZ49,BZ$6:BZ$116,0),"")</f>
        <v/>
      </c>
      <c r="CC49" s="7"/>
      <c r="CD49" s="7"/>
      <c r="CE49" s="7" t="str">
        <f aca="false">IF(DW49=0,"",DW49)</f>
        <v/>
      </c>
      <c r="CF49" s="7"/>
      <c r="CG49" s="49" t="str">
        <f aca="false">IFERROR(RANK(CE49,CE$6:CE$116,0),"")</f>
        <v/>
      </c>
      <c r="CH49" s="7"/>
      <c r="CI49" s="7"/>
      <c r="CJ49" s="7" t="str">
        <f aca="false">IF(DY49=0,"",DY49)</f>
        <v/>
      </c>
      <c r="CK49" s="7"/>
      <c r="CL49" s="49" t="str">
        <f aca="false">IFERROR(RANK(CJ49,CJ$6:CJ$116,0),"")</f>
        <v/>
      </c>
      <c r="CM49" s="7"/>
      <c r="CN49" s="7"/>
      <c r="CO49" s="7" t="str">
        <f aca="false">IF(EA49=0,"",EA49)</f>
        <v/>
      </c>
      <c r="CP49" s="7"/>
      <c r="CQ49" s="49" t="str">
        <f aca="false">IFERROR(RANK(CO49,CO$6:CO$116,0),"")</f>
        <v/>
      </c>
      <c r="CR49" s="7"/>
      <c r="CS49" s="21" t="n">
        <v>28</v>
      </c>
      <c r="CT49" s="25" t="n">
        <f aca="true">IFERROR(AVERAGE(OFFSET('Data - For Rank'!B$2,J49,0,COUNTIF($J$7:J$116,J49)))+IFERROR(VLOOKUP((COUNT($H$6:$H$116)/4),$ER$9:$ES$13,2,FALSE()),0),"")</f>
        <v>4.5</v>
      </c>
      <c r="CU49" s="21"/>
      <c r="CV49" s="25" t="str">
        <f aca="true">IFERROR(AVERAGE(OFFSET('Data - For Rank'!$C$2,O49,0,COUNTIF(O$7:O$116,O49)))+IFERROR(VLOOKUP((COUNT(M$6:M$116)/4),$ER$9:$ES$13,2,FALSE()),0),"")</f>
        <v/>
      </c>
      <c r="CW49" s="21" t="n">
        <v>26</v>
      </c>
      <c r="CX49" s="25" t="n">
        <f aca="true">IFERROR(AVERAGE(OFFSET('Data - For Rank'!D$2,T49,0,COUNTIF(T$7:T$116,T49)))+IFERROR(VLOOKUP((COUNT(R$6:R$116)/4),$ER$9:$ES$13,2,FALSE()),0),"")</f>
        <v>8</v>
      </c>
      <c r="CY49" s="21"/>
      <c r="CZ49" s="25" t="str">
        <f aca="true">IFERROR(AVERAGE(OFFSET('Data - For Rank'!E$2,Y49,0,COUNTIF(Y$7:Y$116,Y49)))+IFERROR(VLOOKUP((COUNT(W$6:W$116)/4),$ER$9:$ES$13,2,FALSE()),0),"")</f>
        <v/>
      </c>
      <c r="DA49" s="21"/>
      <c r="DB49" s="25" t="str">
        <f aca="true">IFERROR(AVERAGE(OFFSET('Data - For Rank'!F$2,AD49,0,COUNTIF(AD$7:AD$116,AD49)))+IFERROR(VLOOKUP((COUNT(AB$6:AB$116)/4),$ER$9:$ES$13,2,FALSE()),0),"")</f>
        <v/>
      </c>
      <c r="DC49" s="21" t="n">
        <v>43</v>
      </c>
      <c r="DD49" s="25" t="n">
        <f aca="true">IFERROR(AVERAGE(OFFSET('Data - For Rank'!G$2,AI49,0,COUNTIF(AI$7:AI$116,AI49)))+IFERROR(VLOOKUP((COUNT(AG$6:AG$116)/4),$ER$9:$ES$13,2,FALSE()),0),"")</f>
        <v>18</v>
      </c>
      <c r="DE49" s="21"/>
      <c r="DF49" s="25" t="str">
        <f aca="true">IFERROR(AVERAGE(OFFSET('Data - For Rank'!$H$2,AN49,0,COUNTIF(AN$7:AN$116,AN49)))+IFERROR(VLOOKUP((COUNT(AL$6:AL$116)/4),$ER$9:$ES$13,2,FALSE()),0),"")</f>
        <v/>
      </c>
      <c r="DG49" s="21"/>
      <c r="DH49" s="25" t="str">
        <f aca="true">IFERROR(AVERAGE(OFFSET('Data - For Rank'!$I$2,AS49,0,COUNTIF(AS$7:AS$116,AS49)))+IFERROR(VLOOKUP((COUNT(AQ$6:AQ$116)/4),$ER$9:$ES$13,2,FALSE()),0),"")</f>
        <v/>
      </c>
      <c r="DI49" s="21" t="n">
        <v>35</v>
      </c>
      <c r="DJ49" s="25" t="n">
        <f aca="true">IFERROR(AVERAGE(OFFSET('Data - For Rank'!$J$2,AX49,0,COUNTIF(AX$7:AX$116,AX49)))+IFERROR(VLOOKUP((COUNT(AV$6:AV$116)/4),$ER$9:$ES$13,2,FALSE()),0),"")</f>
        <v>13</v>
      </c>
      <c r="DK49" s="21"/>
      <c r="DL49" s="25" t="str">
        <f aca="true">IFERROR(AVERAGE(OFFSET('Data - For Rank'!$K$2,BC49,0,COUNTIF(BC$7:BC$116,BC49)))+IFERROR(VLOOKUP((COUNT(BA$6:BA$116)/4),$ER$9:$ES$13,2,FALSE()),0),"")</f>
        <v/>
      </c>
      <c r="DM49" s="21"/>
      <c r="DN49" s="25" t="str">
        <f aca="true">IFERROR(AVERAGE(OFFSET('Data - For Rank'!$L$2,BH49,0,COUNTIF(BH$7:BH$116,BH49)))+IFERROR(VLOOKUP((COUNT(BF$6:BF$116)/4),$ER$9:$ES$13,2,FALSE()),0),"")</f>
        <v/>
      </c>
      <c r="DO49" s="21"/>
      <c r="DP49" s="25" t="str">
        <f aca="true">IFERROR(AVERAGE(OFFSET('Data - For Rank'!$M$2,BM49,0,COUNTIF(BM$7:BM$116,BM49)))+IFERROR(VLOOKUP((COUNT(BK$6:BK$116)/4),$ER$9:$ES$13,2,FALSE()),0),"")</f>
        <v/>
      </c>
      <c r="DQ49" s="21"/>
      <c r="DR49" s="25" t="str">
        <f aca="true">IFERROR(AVERAGE(OFFSET('Data - For Rank'!$N$2,BR49,0,COUNTIF(BR$7:BR$116,BR49)))+IFERROR(VLOOKUP((COUNT(BP$6:BP$116)/4),$ER$9:$ES$13,2,FALSE()),0),"")</f>
        <v/>
      </c>
      <c r="DS49" s="21"/>
      <c r="DT49" s="25" t="str">
        <f aca="true">IFERROR(AVERAGE(OFFSET('Data - For Rank'!$O$2,BW49,0,COUNTIF(BW$7:BW$116,BW49)))+IFERROR(VLOOKUP((COUNT(BU$6:BU$116)/4),$ER$9:$ES$13,2,FALSE()),0),"")</f>
        <v/>
      </c>
      <c r="DU49" s="21"/>
      <c r="DV49" s="25" t="str">
        <f aca="true">IFERROR(AVERAGE(OFFSET('Data - For Rank'!$P$2,CB49,0,COUNTIF(CB$7:CB$116,CB49)))+IFERROR(VLOOKUP((COUNT(BZ$6:BZ$116)/4),$ER$9:$ES$13,2,FALSE()),0),"")</f>
        <v/>
      </c>
      <c r="DW49" s="21"/>
      <c r="DX49" s="25" t="str">
        <f aca="true">IFERROR(AVERAGE(OFFSET('Data - For Rank'!$Q$2,CG49,0,COUNTIF(CG$7:CG$116,CG49)))+IFERROR(VLOOKUP((COUNT(CE$6:CE$116)/4),$ER$9:$ES$13,2,FALSE()),0),"")</f>
        <v/>
      </c>
      <c r="DY49" s="21"/>
      <c r="DZ49" s="25" t="str">
        <f aca="true">IFERROR(AVERAGE(OFFSET('Data - For Rank'!$R$2,CL49,0,COUNTIF(CL$7:CL$116,CL49)))+IFERROR(VLOOKUP((COUNT(CJ$6:CJ$116)/4),$ER$9:$ES$13,2,FALSE()),0),"")</f>
        <v/>
      </c>
      <c r="EA49" s="21"/>
      <c r="EB49" s="25" t="str">
        <f aca="true">IFERROR(AVERAGE(OFFSET('Data - For Rank'!$S$2,CQ49,0,COUNTIF(CQ$7:CQ$116,CQ49)))+IFERROR(VLOOKUP((COUNT(CO$6:CO$116)/4),$ER$9:$ES$13,2,FALSE()),0),"")</f>
        <v/>
      </c>
      <c r="EC49" s="26" t="n">
        <f aca="false">AVERAGE(CS49,CU49,CW49,CY49,DA49,DC49,DE49,DG49,DI49,DK49,DM49,DO49,DQ49,DS49,DU49,DW49,DY49,EA49)</f>
        <v>33</v>
      </c>
      <c r="ED49" s="23" t="n">
        <f aca="false">AVERAGE(CT49,CV49,CX49,CZ49,DB49,DD49,DF49,DH49,DJ49,DL49,DN49,DP49,DR49,DT49,DV49,DX49,DZ49,EB49)</f>
        <v>10.875</v>
      </c>
      <c r="ET49" s="51"/>
    </row>
    <row r="50" s="1" customFormat="true" ht="13.5" hidden="false" customHeight="false" outlineLevel="1" collapsed="false">
      <c r="B50" s="27" t="n">
        <f aca="false">B48+0.0217</f>
        <v>15.0217</v>
      </c>
      <c r="D50" s="51" t="s">
        <v>126</v>
      </c>
      <c r="E50" s="28" t="s">
        <v>44</v>
      </c>
      <c r="F50" s="29" t="n">
        <f aca="false">IF(COUNT(G48:CN48)&gt;10,SMALL(G48:CN48,COUNT(G48:CN48)-10),MIN(G48:CN48))</f>
        <v>15.5</v>
      </c>
      <c r="G50" s="29"/>
      <c r="H50" s="29"/>
      <c r="I50" s="53" t="n">
        <f aca="false">IF(CS50=0,"",CS50)</f>
        <v>-5</v>
      </c>
      <c r="J50" s="53"/>
      <c r="K50" s="54" t="n">
        <f aca="false">IFERROR(_xlfn.RANK.EQ(I50,I$6:I$116,0),"")</f>
        <v>8</v>
      </c>
      <c r="L50" s="29"/>
      <c r="M50" s="29"/>
      <c r="N50" s="53" t="str">
        <f aca="false">IF(CU50=0,"",CU50)</f>
        <v/>
      </c>
      <c r="O50" s="53"/>
      <c r="P50" s="54" t="str">
        <f aca="false">IFERROR(_xlfn.RANK.EQ(N50,N$6:N$116,0),"")</f>
        <v/>
      </c>
      <c r="Q50" s="29"/>
      <c r="R50" s="29"/>
      <c r="S50" s="53" t="n">
        <f aca="false">IF(CW50=0,"",CW50)</f>
        <v>-2</v>
      </c>
      <c r="T50" s="53"/>
      <c r="U50" s="54" t="n">
        <f aca="false">IFERROR(_xlfn.RANK.EQ(S50,S$6:S$116,0),"")</f>
        <v>7</v>
      </c>
      <c r="V50" s="29"/>
      <c r="W50" s="29"/>
      <c r="X50" s="53" t="str">
        <f aca="false">IF(CY50=0,"",CY50)</f>
        <v/>
      </c>
      <c r="Y50" s="53"/>
      <c r="Z50" s="54" t="str">
        <f aca="false">IFERROR(_xlfn.RANK.EQ(X50,X$6:X$116,0),"")</f>
        <v/>
      </c>
      <c r="AA50" s="29"/>
      <c r="AB50" s="29"/>
      <c r="AC50" s="53" t="str">
        <f aca="false">IF(DA50=0,"",DA50)</f>
        <v/>
      </c>
      <c r="AD50" s="53"/>
      <c r="AE50" s="54" t="str">
        <f aca="false">IFERROR(_xlfn.RANK.EQ(AC50,AC$6:AC$116,0),"")</f>
        <v/>
      </c>
      <c r="AF50" s="29"/>
      <c r="AG50" s="29"/>
      <c r="AH50" s="53" t="n">
        <f aca="false">IF(DC50=0,"",DC50)</f>
        <v>-0.001</v>
      </c>
      <c r="AI50" s="53"/>
      <c r="AJ50" s="54" t="n">
        <f aca="false">IFERROR(_xlfn.RANK.EQ(AH50,AH$6:AH$116,0),"")</f>
        <v>8</v>
      </c>
      <c r="AK50" s="29"/>
      <c r="AL50" s="29"/>
      <c r="AM50" s="53" t="str">
        <f aca="false">IF(DE50=0,"",DE50)</f>
        <v/>
      </c>
      <c r="AN50" s="53"/>
      <c r="AO50" s="54" t="str">
        <f aca="false">IFERROR(_xlfn.RANK.EQ(AM50,AM$6:AM$116,0),"")</f>
        <v/>
      </c>
      <c r="AP50" s="29"/>
      <c r="AQ50" s="29"/>
      <c r="AR50" s="53" t="str">
        <f aca="false">IF(DG50=0,"",DG50)</f>
        <v/>
      </c>
      <c r="AS50" s="53"/>
      <c r="AT50" s="54" t="str">
        <f aca="false">IFERROR(_xlfn.RANK.EQ(AR50,AR$6:AR$116,0),"")</f>
        <v/>
      </c>
      <c r="AU50" s="29"/>
      <c r="AV50" s="29"/>
      <c r="AW50" s="53" t="n">
        <f aca="false">IF(DI50=0,"",DI50)</f>
        <v>21</v>
      </c>
      <c r="AX50" s="53"/>
      <c r="AY50" s="54" t="n">
        <f aca="false">IFERROR(_xlfn.RANK.EQ(AW50,AW$6:AW$116,0),"")</f>
        <v>3</v>
      </c>
      <c r="AZ50" s="29"/>
      <c r="BA50" s="29"/>
      <c r="BB50" s="53" t="str">
        <f aca="false">IF(DK50=0,"",DK50)</f>
        <v/>
      </c>
      <c r="BC50" s="53"/>
      <c r="BD50" s="54" t="str">
        <f aca="false">IFERROR(_xlfn.RANK.EQ(BB50,BB$6:BB$116,0),"")</f>
        <v/>
      </c>
      <c r="BE50" s="29"/>
      <c r="BF50" s="29"/>
      <c r="BG50" s="53" t="str">
        <f aca="false">IF(DM50=0,"",DM50)</f>
        <v/>
      </c>
      <c r="BH50" s="53"/>
      <c r="BI50" s="54" t="str">
        <f aca="false">IFERROR(_xlfn.RANK.EQ(BG50,BG$6:BG$116,0),"")</f>
        <v/>
      </c>
      <c r="BJ50" s="29"/>
      <c r="BK50" s="29"/>
      <c r="BL50" s="53" t="str">
        <f aca="false">IF(DO50=0,"",DO50)</f>
        <v/>
      </c>
      <c r="BM50" s="53"/>
      <c r="BN50" s="54" t="str">
        <f aca="false">IFERROR(_xlfn.RANK.EQ(BL50,BL$6:BL$116,0),"")</f>
        <v/>
      </c>
      <c r="BO50" s="29"/>
      <c r="BP50" s="29"/>
      <c r="BQ50" s="53" t="str">
        <f aca="false">IF(DQ50=0,"",DQ50)</f>
        <v/>
      </c>
      <c r="BR50" s="53"/>
      <c r="BS50" s="54" t="str">
        <f aca="false">IFERROR(_xlfn.RANK.EQ(BQ50,BQ$6:BQ$116,0),"")</f>
        <v/>
      </c>
      <c r="BT50" s="29"/>
      <c r="BU50" s="29"/>
      <c r="BV50" s="53" t="str">
        <f aca="false">IF(DS50=0,"",DS50)</f>
        <v/>
      </c>
      <c r="BW50" s="53"/>
      <c r="BX50" s="54" t="str">
        <f aca="false">IFERROR(_xlfn.RANK.EQ(BV50,BV$6:BV$116,0),"")</f>
        <v/>
      </c>
      <c r="BY50" s="29"/>
      <c r="BZ50" s="29"/>
      <c r="CA50" s="53" t="str">
        <f aca="false">IF(DU50=0,"",DU50)</f>
        <v/>
      </c>
      <c r="CB50" s="53"/>
      <c r="CC50" s="54" t="str">
        <f aca="false">IFERROR(_xlfn.RANK.EQ(CA50,CA$6:CA$116,0),"")</f>
        <v/>
      </c>
      <c r="CD50" s="29"/>
      <c r="CE50" s="29"/>
      <c r="CF50" s="53" t="str">
        <f aca="false">IF(DW50=0,"",DW50)</f>
        <v/>
      </c>
      <c r="CG50" s="53"/>
      <c r="CH50" s="54" t="str">
        <f aca="false">IFERROR(_xlfn.RANK.EQ(CF50,CF$6:CF$116,0),"")</f>
        <v/>
      </c>
      <c r="CI50" s="29"/>
      <c r="CJ50" s="29"/>
      <c r="CK50" s="53" t="str">
        <f aca="false">IF(DY50=0,"",DY50)</f>
        <v/>
      </c>
      <c r="CL50" s="53"/>
      <c r="CM50" s="54" t="str">
        <f aca="false">IFERROR(_xlfn.RANK.EQ(CK50,CK$6:CK$116,0),"")</f>
        <v/>
      </c>
      <c r="CN50" s="29"/>
      <c r="CO50" s="29"/>
      <c r="CP50" s="53" t="str">
        <f aca="false">IF(EA50=0,"",EA50)</f>
        <v/>
      </c>
      <c r="CQ50" s="53"/>
      <c r="CR50" s="54" t="str">
        <f aca="false">IFERROR(_xlfn.RANK.EQ(CP50,CP$6:CP$116,0),"")</f>
        <v/>
      </c>
      <c r="CS50" s="30" t="n">
        <v>-5</v>
      </c>
      <c r="CT50" s="31" t="n">
        <f aca="true">IFERROR(AVERAGE(OFFSET('Data - For Rank'!B$2,K50,0,COUNTIF(K$6:K$116,K50)))+IFERROR(VLOOKUP((COUNT($I$6:$I$116)/4),$ER$9:$ES$13,2,FALSE()),0),"")</f>
        <v>11</v>
      </c>
      <c r="CU50" s="30"/>
      <c r="CV50" s="31" t="str">
        <f aca="true">IFERROR(AVERAGE(OFFSET('Data - For Rank'!$C$2,P50,0,COUNTIF(P$6:P$116,P50)))+IFERROR(VLOOKUP((COUNT(N$6:N$116)/4),$ER$9:$ES$13,2,FALSE()),0),"")</f>
        <v/>
      </c>
      <c r="CW50" s="30" t="n">
        <v>-2</v>
      </c>
      <c r="CX50" s="31" t="n">
        <f aca="true">IFERROR(AVERAGE(OFFSET('Data - For Rank'!D$2,U50,0,COUNTIF(U$6:$U158,U50)))+IFERROR(VLOOKUP((COUNT(S$6:S$116)/4),$ER$9:$ES$13,2,FALSE()),0),"")</f>
        <v>10</v>
      </c>
      <c r="CY50" s="30"/>
      <c r="CZ50" s="31" t="str">
        <f aca="true">IFERROR(AVERAGE(OFFSET('Data - For Rank'!E$2,Z50,0,COUNTIF(Z$6:Z$116,Z50)))+IFERROR(VLOOKUP((COUNT(W$6:W$116)/4),$ER$9:$ES$13,2,FALSE()),0),"")</f>
        <v/>
      </c>
      <c r="DA50" s="30"/>
      <c r="DB50" s="31" t="str">
        <f aca="true">IFERROR(AVERAGE(OFFSET('Data - For Rank'!F$2,AE50,0,COUNTIF(AE$6:AE$116,AE50)))+IFERROR(VLOOKUP((COUNT(AC$6:AC$116)/4),$ER$9:$ES$13,2,FALSE()),0),"")</f>
        <v/>
      </c>
      <c r="DC50" s="30" t="n">
        <v>-0.001</v>
      </c>
      <c r="DD50" s="31" t="n">
        <f aca="true">IFERROR(AVERAGE(OFFSET('Data - For Rank'!G$2,AJ50,0,COUNTIF(AJ$6:AJ$116,AJ50)))+IFERROR(VLOOKUP((COUNT(AH$6:AH$116)/4),$ER$9:$ES$13,2,FALSE()),0),"")</f>
        <v>9.5</v>
      </c>
      <c r="DE50" s="30"/>
      <c r="DF50" s="31" t="str">
        <f aca="true">IFERROR(AVERAGE(OFFSET('Data - For Rank'!$H$2,AO50,0,COUNTIF(AO$6:AO$116,AO50)))+IFERROR(VLOOKUP((COUNT(AM$6:AM$116)/4),$ER$9:$ES$13,2,FALSE()),0),"")</f>
        <v/>
      </c>
      <c r="DG50" s="30"/>
      <c r="DH50" s="31" t="str">
        <f aca="true">IFERROR(AVERAGE(OFFSET('Data - For Rank'!$I$2,AT50,0,COUNTIF(AT$6:AT$116,AT50)))+IFERROR(VLOOKUP((COUNT(AR$6:AR$116)/4),$ER$9:$ES$13,2,FALSE()),0),"")</f>
        <v/>
      </c>
      <c r="DI50" s="30" t="n">
        <v>21</v>
      </c>
      <c r="DJ50" s="31" t="n">
        <f aca="true">IFERROR(AVERAGE(OFFSET('Data - For Rank'!$J$2,AY50,0,COUNTIF(AY$6:AY$116,AY50)))+IFERROR(VLOOKUP((COUNT(AW$6:AW$116)/4),$ER$9:$ES$13,2,FALSE()),0),"")</f>
        <v>16</v>
      </c>
      <c r="DK50" s="30"/>
      <c r="DL50" s="31" t="str">
        <f aca="true">IFERROR(AVERAGE(OFFSET('Data - For Rank'!$K$2,BD50,0,COUNTIF(BD$6:BD$116,BD50)))+IFERROR(VLOOKUP((COUNT(BB$6:BB$116)/4),$ER$9:$ES$13,2,FALSE()),0),"")</f>
        <v/>
      </c>
      <c r="DM50" s="30"/>
      <c r="DN50" s="31" t="str">
        <f aca="true">IFERROR(AVERAGE(OFFSET('Data - For Rank'!$L$2,BI50,0,COUNTIF(BI$6:BI$116,BI50)))+IFERROR(VLOOKUP((COUNT(BG$6:BG$116)/4),$ER$9:$ES$13,2,FALSE()),0),"")</f>
        <v/>
      </c>
      <c r="DO50" s="30"/>
      <c r="DP50" s="31" t="str">
        <f aca="true">IFERROR(AVERAGE(OFFSET('Data - For Rank'!$M$2,BN50,0,COUNTIF(BN$6:BN$116,BN50)))+IFERROR(VLOOKUP((COUNT(BL$6:BL$116)/4),$ER$9:$ES$13,2,FALSE()),0),"")</f>
        <v/>
      </c>
      <c r="DQ50" s="30"/>
      <c r="DR50" s="31" t="str">
        <f aca="true">IFERROR(AVERAGE(OFFSET('Data - For Rank'!$N$2,BS50,0,COUNTIF(BS$6:BS$116,BS50)))+IFERROR(VLOOKUP((COUNT(BQ$6:BQ$116)/4),$ER$9:$ES$13,2,FALSE()),0),"")</f>
        <v/>
      </c>
      <c r="DS50" s="30"/>
      <c r="DT50" s="31" t="str">
        <f aca="true">IFERROR(AVERAGE(OFFSET('Data - For Rank'!$O$2,BX50,0,COUNTIF(BX$6:BX$116,BX50)))+IFERROR(VLOOKUP((COUNT(BV$6:BV$116)/4),$ER$9:$ES$13,2,FALSE()),0),"")</f>
        <v/>
      </c>
      <c r="DU50" s="30"/>
      <c r="DV50" s="31" t="str">
        <f aca="true">IFERROR(AVERAGE(OFFSET('Data - For Rank'!$P$2,CC50,0,COUNTIF(CC$6:CC$116,CC50)))+IFERROR(VLOOKUP((COUNT(CA$6:CA$116)/4),$ER$9:$ES$13,2,FALSE()),0),"")</f>
        <v/>
      </c>
      <c r="DW50" s="30"/>
      <c r="DX50" s="31" t="str">
        <f aca="true">IFERROR(AVERAGE(OFFSET('Data - For Rank'!$Q$2,CH50,0,COUNTIF(CH$6:CH$116,CH50)))+IFERROR(VLOOKUP((COUNT(CF$6:CF$116)/4),$ER$9:$ES$13,2,FALSE()),0),"")</f>
        <v/>
      </c>
      <c r="DY50" s="30"/>
      <c r="DZ50" s="31" t="str">
        <f aca="true">IFERROR(AVERAGE(OFFSET('Data - For Rank'!$R$2,CM50,0,COUNTIF(CM$6:CM$116,CM50)))+IFERROR(VLOOKUP((COUNT(CK$6:CK$116)/4),$ER$9:$ES$13,2,FALSE()),0),"")</f>
        <v/>
      </c>
      <c r="EA50" s="30"/>
      <c r="EB50" s="31" t="str">
        <f aca="true">IFERROR(AVERAGE(OFFSET('Data - For Rank'!$S$2,CR50,0,COUNTIF(CR$6:CR$116,CR50)))+IFERROR(VLOOKUP((COUNT(CP$6:CP$116)/4),$ER$9:$ES$13,2,FALSE()),0),"")</f>
        <v/>
      </c>
      <c r="EC50" s="32" t="n">
        <f aca="false">CS50+CU50+CW50+CY50+DA50+DC50+DE50+DG50+DI50+DK50+DM50+DO50+DQ50+DS50+DU50+DW50+DY50+EA50</f>
        <v>13.999</v>
      </c>
      <c r="ED50" s="33" t="n">
        <f aca="false">AVERAGE(CT50,CV50,CX50,CZ50,DB50,DD50,DF50,DH50,DJ50,DL50,DN50,DP50,DR50,DT50,DV50,DX50,DZ50,EB50)</f>
        <v>11.625</v>
      </c>
      <c r="ET50" s="51"/>
    </row>
    <row r="51" customFormat="false" ht="13.5" hidden="false" customHeight="false" outlineLevel="0" collapsed="false">
      <c r="B51" s="8" t="n">
        <f aca="false">_xlfn.RANK.EQ(C51,$C$6:$C$63,)</f>
        <v>16</v>
      </c>
      <c r="C51" s="43" t="n">
        <f aca="false">EC51</f>
        <v>82.5</v>
      </c>
      <c r="D51" s="43" t="s">
        <v>127</v>
      </c>
      <c r="E51" s="34" t="s">
        <v>59</v>
      </c>
      <c r="F51" s="20" t="n">
        <f aca="false">COUNT(CT51,CV51,CX51,CZ51,DB51,DD51,DF51,DH51,DJ51,DL51,DN51,DP51,DR51,DT51,DV51,DX51,DZ51,EB51)</f>
        <v>6</v>
      </c>
      <c r="G51" s="49" t="n">
        <f aca="false">IF(CT51=0,"",CT51)</f>
        <v>17</v>
      </c>
      <c r="H51" s="49"/>
      <c r="I51" s="49"/>
      <c r="K51" s="49"/>
      <c r="L51" s="49" t="str">
        <f aca="false">IF(CV51=0,"",CV51)</f>
        <v/>
      </c>
      <c r="M51" s="49"/>
      <c r="N51" s="49"/>
      <c r="P51" s="49"/>
      <c r="Q51" s="49" t="n">
        <f aca="false">IF(CX51=0,"",CX51)</f>
        <v>17.5</v>
      </c>
      <c r="R51" s="49"/>
      <c r="S51" s="49"/>
      <c r="U51" s="49"/>
      <c r="V51" s="49" t="str">
        <f aca="false">IF(CZ51=0,"",CZ51)</f>
        <v/>
      </c>
      <c r="W51" s="49"/>
      <c r="X51" s="49"/>
      <c r="Z51" s="49"/>
      <c r="AA51" s="49" t="n">
        <f aca="false">IF(DB51=0,"",DB51)</f>
        <v>9</v>
      </c>
      <c r="AB51" s="49"/>
      <c r="AC51" s="49"/>
      <c r="AE51" s="49"/>
      <c r="AF51" s="49" t="n">
        <f aca="false">IF(DD51=0,"",DD51)</f>
        <v>7</v>
      </c>
      <c r="AG51" s="49"/>
      <c r="AH51" s="49"/>
      <c r="AJ51" s="49"/>
      <c r="AK51" s="49" t="str">
        <f aca="false">IF(DF51=0,"",DF51)</f>
        <v/>
      </c>
      <c r="AL51" s="49"/>
      <c r="AM51" s="49"/>
      <c r="AO51" s="49"/>
      <c r="AP51" s="49" t="n">
        <f aca="false">IF(DH51=0,"",DH51)</f>
        <v>22</v>
      </c>
      <c r="AQ51" s="49"/>
      <c r="AR51" s="49"/>
      <c r="AT51" s="49"/>
      <c r="AU51" s="49" t="n">
        <f aca="false">IF(DJ51=0,"",DJ51)</f>
        <v>10</v>
      </c>
      <c r="AV51" s="49"/>
      <c r="AW51" s="49"/>
      <c r="AY51" s="49"/>
      <c r="AZ51" s="49" t="str">
        <f aca="false">IF(DL51=0,"",DL51)</f>
        <v/>
      </c>
      <c r="BA51" s="49"/>
      <c r="BB51" s="49"/>
      <c r="BD51" s="49"/>
      <c r="BE51" s="49" t="str">
        <f aca="false">IF(DN51=0,"",DN51)</f>
        <v/>
      </c>
      <c r="BF51" s="49"/>
      <c r="BG51" s="49"/>
      <c r="BI51" s="49"/>
      <c r="BJ51" s="49" t="str">
        <f aca="false">IF(DP51=0,"",DP51)</f>
        <v/>
      </c>
      <c r="BK51" s="49"/>
      <c r="BL51" s="49"/>
      <c r="BN51" s="49"/>
      <c r="BO51" s="49" t="str">
        <f aca="false">IF(DR51=0,"",DR51)</f>
        <v/>
      </c>
      <c r="BP51" s="49"/>
      <c r="BQ51" s="49"/>
      <c r="BS51" s="49"/>
      <c r="BT51" s="49" t="str">
        <f aca="false">IF(DT51=0,"",DT51)</f>
        <v/>
      </c>
      <c r="BU51" s="49"/>
      <c r="BV51" s="49"/>
      <c r="BX51" s="49"/>
      <c r="BY51" s="49" t="str">
        <f aca="false">IF(DV51=0,"",DV51)</f>
        <v/>
      </c>
      <c r="BZ51" s="49"/>
      <c r="CA51" s="49"/>
      <c r="CC51" s="49"/>
      <c r="CD51" s="49" t="str">
        <f aca="false">IF(DX51=0,"",DX51)</f>
        <v/>
      </c>
      <c r="CE51" s="49"/>
      <c r="CF51" s="49"/>
      <c r="CH51" s="49"/>
      <c r="CI51" s="49" t="str">
        <f aca="false">IF(DZ51=0,"",DZ51)</f>
        <v/>
      </c>
      <c r="CJ51" s="49"/>
      <c r="CK51" s="49"/>
      <c r="CM51" s="49"/>
      <c r="CN51" s="49" t="str">
        <f aca="false">IF(EB51=0,"",EB51)</f>
        <v/>
      </c>
      <c r="CO51" s="49"/>
      <c r="CP51" s="49"/>
      <c r="CR51" s="49"/>
      <c r="CS51" s="21" t="n">
        <v>99</v>
      </c>
      <c r="CT51" s="22" t="n">
        <f aca="false">IFERROR(CT52+CT53,"")</f>
        <v>17</v>
      </c>
      <c r="CU51" s="21"/>
      <c r="CV51" s="22" t="str">
        <f aca="false">IFERROR(CV52+CV53,"")</f>
        <v/>
      </c>
      <c r="CW51" s="21" t="n">
        <v>103</v>
      </c>
      <c r="CX51" s="22" t="n">
        <f aca="false">IFERROR(CX52+CX53,"")</f>
        <v>17.5</v>
      </c>
      <c r="CY51" s="21"/>
      <c r="CZ51" s="22" t="str">
        <f aca="false">IFERROR(CZ52+CZ53,"")</f>
        <v/>
      </c>
      <c r="DA51" s="21" t="n">
        <v>107</v>
      </c>
      <c r="DB51" s="22" t="n">
        <f aca="false">IFERROR(DB52+DB53,"")</f>
        <v>9</v>
      </c>
      <c r="DC51" s="21" t="n">
        <v>108</v>
      </c>
      <c r="DD51" s="22" t="n">
        <f aca="false">IFERROR(DD52+DD53,"")</f>
        <v>7</v>
      </c>
      <c r="DE51" s="21"/>
      <c r="DF51" s="22" t="str">
        <f aca="false">IFERROR(DF52+DF53,"")</f>
        <v/>
      </c>
      <c r="DG51" s="21" t="n">
        <v>100</v>
      </c>
      <c r="DH51" s="22" t="n">
        <f aca="false">IFERROR(DH52+DH53,"")</f>
        <v>22</v>
      </c>
      <c r="DI51" s="21" t="n">
        <v>103</v>
      </c>
      <c r="DJ51" s="22" t="n">
        <f aca="false">IFERROR(DJ52+DJ53,"")</f>
        <v>10</v>
      </c>
      <c r="DK51" s="21"/>
      <c r="DL51" s="22" t="str">
        <f aca="false">IFERROR(DL52+DL53,"")</f>
        <v/>
      </c>
      <c r="DM51" s="21"/>
      <c r="DN51" s="22" t="str">
        <f aca="false">IFERROR(DN52+DN53,"")</f>
        <v/>
      </c>
      <c r="DO51" s="21"/>
      <c r="DP51" s="22" t="str">
        <f aca="false">IFERROR(DP52+DP53,"")</f>
        <v/>
      </c>
      <c r="DQ51" s="21"/>
      <c r="DR51" s="22" t="str">
        <f aca="false">IFERROR(DR52+DR53,"")</f>
        <v/>
      </c>
      <c r="DS51" s="21"/>
      <c r="DT51" s="22" t="str">
        <f aca="false">IFERROR(DT52+DT53,"")</f>
        <v/>
      </c>
      <c r="DU51" s="21"/>
      <c r="DV51" s="22" t="str">
        <f aca="false">IFERROR(DV52+DV53,"")</f>
        <v/>
      </c>
      <c r="DW51" s="21"/>
      <c r="DX51" s="22" t="str">
        <f aca="false">IFERROR(DX52+DX53,"")</f>
        <v/>
      </c>
      <c r="DY51" s="21"/>
      <c r="DZ51" s="22" t="str">
        <f aca="false">IFERROR(DZ52+DZ53,"")</f>
        <v/>
      </c>
      <c r="EA51" s="21"/>
      <c r="EB51" s="22" t="str">
        <f aca="false">IFERROR(EB52+EB53,"")</f>
        <v/>
      </c>
      <c r="EC51" s="17" t="n">
        <f aca="false">IFERROR(LARGE($G51:$CN51,1),0)+IFERROR(LARGE($G51:$CN51,2),0)+IFERROR(LARGE($G51:$CN51,3),0)+IFERROR(LARGE($G51:$CN51,4),0)+IFERROR(LARGE($G51:$CN51,5),0)+IFERROR(LARGE($G51:$CN51,6),0)+IFERROR(LARGE($G51:$CN51,7),0)+IFERROR(LARGE($G51:$CN51,8),0)+IFERROR(LARGE($G51:$CN51,9),0)+IFERROR(LARGE($G51:$CN51,10),0)</f>
        <v>82.5</v>
      </c>
      <c r="ED51" s="23" t="n">
        <f aca="false">AVERAGE(CT51,CV51,CX51,CZ51,DB51,DD51,DF51,DH51,DJ51,DL51,DN51,DP51,DR51,DT51,DV51,DX51,DZ51,EB51)</f>
        <v>13.75</v>
      </c>
      <c r="ET51" s="51"/>
    </row>
    <row r="52" s="1" customFormat="true" ht="13.5" hidden="false" customHeight="false" outlineLevel="1" collapsed="false">
      <c r="B52" s="24" t="n">
        <f aca="false">B51+0.114</f>
        <v>16.114</v>
      </c>
      <c r="D52" s="51" t="s">
        <v>128</v>
      </c>
      <c r="E52" s="7" t="s">
        <v>43</v>
      </c>
      <c r="F52" s="7"/>
      <c r="G52" s="7"/>
      <c r="H52" s="7" t="n">
        <f aca="false">IF(CS52=0,"",CS52)</f>
        <v>30</v>
      </c>
      <c r="I52" s="7"/>
      <c r="J52" s="49" t="n">
        <f aca="false">IFERROR(RANK(H52,H$6:H$116,0),"")</f>
        <v>11</v>
      </c>
      <c r="K52" s="7"/>
      <c r="L52" s="7"/>
      <c r="M52" s="7" t="str">
        <f aca="false">IF(CU52=0,"",CU52)</f>
        <v/>
      </c>
      <c r="N52" s="7"/>
      <c r="O52" s="49" t="str">
        <f aca="false">IFERROR(RANK(M52,M$6:M$116,0),"")</f>
        <v/>
      </c>
      <c r="P52" s="7"/>
      <c r="Q52" s="7"/>
      <c r="R52" s="7" t="n">
        <f aca="false">IF(CW52=0,"",CW52)</f>
        <v>27</v>
      </c>
      <c r="S52" s="7"/>
      <c r="T52" s="49" t="n">
        <f aca="false">IFERROR(RANK(R52,R$6:R$116,0),"")</f>
        <v>8</v>
      </c>
      <c r="U52" s="7"/>
      <c r="V52" s="7"/>
      <c r="W52" s="7" t="str">
        <f aca="false">IF(CY52=0,"",CY52)</f>
        <v/>
      </c>
      <c r="X52" s="7"/>
      <c r="Y52" s="49" t="str">
        <f aca="false">IFERROR(RANK(W52,W$6:W$116,0),"")</f>
        <v/>
      </c>
      <c r="Z52" s="7"/>
      <c r="AA52" s="7"/>
      <c r="AB52" s="7" t="n">
        <f aca="false">IF(DA52=0,"",DA52)</f>
        <v>21</v>
      </c>
      <c r="AC52" s="7"/>
      <c r="AD52" s="49" t="n">
        <f aca="false">IFERROR(RANK(AB52,AB$6:AB$116,0),"")</f>
        <v>14</v>
      </c>
      <c r="AE52" s="7"/>
      <c r="AF52" s="7"/>
      <c r="AG52" s="7" t="n">
        <f aca="false">IF(DC52=0,"",DC52)</f>
        <v>22</v>
      </c>
      <c r="AH52" s="7"/>
      <c r="AI52" s="49" t="n">
        <f aca="false">IFERROR(RANK(AG52,AG$6:AG$116,0),"")</f>
        <v>15</v>
      </c>
      <c r="AJ52" s="7"/>
      <c r="AK52" s="7"/>
      <c r="AL52" s="7" t="str">
        <f aca="false">IF(DE52=0,"",DE52)</f>
        <v/>
      </c>
      <c r="AM52" s="7"/>
      <c r="AN52" s="49" t="str">
        <f aca="false">IFERROR(RANK(AL52,AL$6:AL$116,0),"")</f>
        <v/>
      </c>
      <c r="AO52" s="7"/>
      <c r="AP52" s="7"/>
      <c r="AQ52" s="7" t="n">
        <f aca="false">IF(DG52=0,"",DG52)</f>
        <v>27</v>
      </c>
      <c r="AR52" s="7"/>
      <c r="AS52" s="49" t="n">
        <f aca="false">IFERROR(RANK(AQ52,AQ$6:AQ$116,0),"")</f>
        <v>15</v>
      </c>
      <c r="AT52" s="7"/>
      <c r="AU52" s="7"/>
      <c r="AV52" s="7" t="n">
        <f aca="false">IF(DI52=0,"",DI52)</f>
        <v>27</v>
      </c>
      <c r="AW52" s="7"/>
      <c r="AX52" s="49" t="n">
        <f aca="false">IFERROR(RANK(AV52,AV$6:AV$116,0),"")</f>
        <v>14</v>
      </c>
      <c r="AY52" s="7"/>
      <c r="AZ52" s="7"/>
      <c r="BA52" s="7" t="str">
        <f aca="false">IF(DK52=0,"",DK52)</f>
        <v/>
      </c>
      <c r="BB52" s="7"/>
      <c r="BC52" s="49" t="str">
        <f aca="false">IFERROR(RANK(BA52,BA$6:BA$116,0),"")</f>
        <v/>
      </c>
      <c r="BD52" s="7"/>
      <c r="BE52" s="7"/>
      <c r="BF52" s="7" t="str">
        <f aca="false">IF(DM52=0,"",DM52)</f>
        <v/>
      </c>
      <c r="BG52" s="7"/>
      <c r="BH52" s="49" t="str">
        <f aca="false">IFERROR(RANK(BF52,BF$6:BF$116,0),"")</f>
        <v/>
      </c>
      <c r="BI52" s="7"/>
      <c r="BJ52" s="7"/>
      <c r="BK52" s="7" t="str">
        <f aca="false">IF(DO52=0,"",DO52)</f>
        <v/>
      </c>
      <c r="BL52" s="7"/>
      <c r="BM52" s="49" t="str">
        <f aca="false">IFERROR(RANK(BK52,BK$6:BK$116,0),"")</f>
        <v/>
      </c>
      <c r="BN52" s="7"/>
      <c r="BO52" s="7"/>
      <c r="BP52" s="7" t="str">
        <f aca="false">IF(DQ52=0,"",DQ52)</f>
        <v/>
      </c>
      <c r="BQ52" s="7"/>
      <c r="BR52" s="49" t="str">
        <f aca="false">IFERROR(RANK(BP52,BP$6:BP$116,0),"")</f>
        <v/>
      </c>
      <c r="BS52" s="7"/>
      <c r="BT52" s="7"/>
      <c r="BU52" s="7" t="str">
        <f aca="false">IF(DS52=0,"",DS52)</f>
        <v/>
      </c>
      <c r="BV52" s="7"/>
      <c r="BW52" s="49" t="str">
        <f aca="false">IFERROR(RANK(BU52,BU$6:BU$116,0),"")</f>
        <v/>
      </c>
      <c r="BX52" s="7"/>
      <c r="BY52" s="7"/>
      <c r="BZ52" s="7" t="str">
        <f aca="false">IF(DU52=0,"",DU52)</f>
        <v/>
      </c>
      <c r="CA52" s="7"/>
      <c r="CB52" s="49" t="str">
        <f aca="false">IFERROR(RANK(BZ52,BZ$6:BZ$116,0),"")</f>
        <v/>
      </c>
      <c r="CC52" s="7"/>
      <c r="CD52" s="7"/>
      <c r="CE52" s="7" t="str">
        <f aca="false">IF(DW52=0,"",DW52)</f>
        <v/>
      </c>
      <c r="CF52" s="7"/>
      <c r="CG52" s="49" t="str">
        <f aca="false">IFERROR(RANK(CE52,CE$6:CE$116,0),"")</f>
        <v/>
      </c>
      <c r="CH52" s="7"/>
      <c r="CI52" s="7"/>
      <c r="CJ52" s="7" t="str">
        <f aca="false">IF(DY52=0,"",DY52)</f>
        <v/>
      </c>
      <c r="CK52" s="7"/>
      <c r="CL52" s="49" t="str">
        <f aca="false">IFERROR(RANK(CJ52,CJ$6:CJ$116,0),"")</f>
        <v/>
      </c>
      <c r="CM52" s="7"/>
      <c r="CN52" s="7"/>
      <c r="CO52" s="7" t="str">
        <f aca="false">IF(EA52=0,"",EA52)</f>
        <v/>
      </c>
      <c r="CP52" s="7"/>
      <c r="CQ52" s="49" t="str">
        <f aca="false">IFERROR(RANK(CO52,CO$6:CO$116,0),"")</f>
        <v/>
      </c>
      <c r="CR52" s="7"/>
      <c r="CS52" s="21" t="n">
        <v>30</v>
      </c>
      <c r="CT52" s="25" t="n">
        <f aca="true">IFERROR(AVERAGE(OFFSET('Data - For Rank'!B$2,J52,0,COUNTIF($J$7:J$116,J52)))+IFERROR(VLOOKUP((COUNT($H$6:$H$116)/4),$ER$9:$ES$13,2,FALSE()),0),"")</f>
        <v>7.5</v>
      </c>
      <c r="CU52" s="21"/>
      <c r="CV52" s="25" t="str">
        <f aca="true">IFERROR(AVERAGE(OFFSET('Data - For Rank'!$C$2,O52,0,COUNTIF(O$7:O$116,O52)))+IFERROR(VLOOKUP((COUNT(M$6:M$116)/4),$ER$9:$ES$13,2,FALSE()),0),"")</f>
        <v/>
      </c>
      <c r="CW52" s="21" t="n">
        <v>27</v>
      </c>
      <c r="CX52" s="25" t="n">
        <f aca="true">IFERROR(AVERAGE(OFFSET('Data - For Rank'!D$2,T52,0,COUNTIF(T$7:T$116,T52)))+IFERROR(VLOOKUP((COUNT(R$6:R$116)/4),$ER$9:$ES$13,2,FALSE()),0),"")</f>
        <v>9</v>
      </c>
      <c r="CY52" s="21"/>
      <c r="CZ52" s="25" t="str">
        <f aca="true">IFERROR(AVERAGE(OFFSET('Data - For Rank'!E$2,Y52,0,COUNTIF(Y$7:Y$116,Y52)))+IFERROR(VLOOKUP((COUNT(W$6:W$116)/4),$ER$9:$ES$13,2,FALSE()),0),"")</f>
        <v/>
      </c>
      <c r="DA52" s="21" t="n">
        <v>21</v>
      </c>
      <c r="DB52" s="25" t="n">
        <f aca="true">IFERROR(AVERAGE(OFFSET('Data - For Rank'!F$2,AD52,0,COUNTIF(AD$7:AD$116,AD52)))+IFERROR(VLOOKUP((COUNT(AB$6:AB$116)/4),$ER$9:$ES$13,2,FALSE()),0),"")</f>
        <v>5</v>
      </c>
      <c r="DC52" s="21" t="n">
        <v>22</v>
      </c>
      <c r="DD52" s="25" t="n">
        <f aca="true">IFERROR(AVERAGE(OFFSET('Data - For Rank'!G$2,AI52,0,COUNTIF(AI$7:AI$116,AI52)))+IFERROR(VLOOKUP((COUNT(AG$6:AG$116)/4),$ER$9:$ES$13,2,FALSE()),0),"")</f>
        <v>4</v>
      </c>
      <c r="DE52" s="21"/>
      <c r="DF52" s="25" t="str">
        <f aca="true">IFERROR(AVERAGE(OFFSET('Data - For Rank'!$H$2,AN52,0,COUNTIF(AN$7:AN$116,AN52)))+IFERROR(VLOOKUP((COUNT(AL$6:AL$116)/4),$ER$9:$ES$13,2,FALSE()),0),"")</f>
        <v/>
      </c>
      <c r="DG52" s="21" t="n">
        <v>27</v>
      </c>
      <c r="DH52" s="25" t="n">
        <f aca="true">IFERROR(AVERAGE(OFFSET('Data - For Rank'!$I$2,AS52,0,COUNTIF(AS$7:AS$116,AS52)))+IFERROR(VLOOKUP((COUNT(AQ$6:AQ$116)/4),$ER$9:$ES$13,2,FALSE()),0),"")</f>
        <v>4</v>
      </c>
      <c r="DI52" s="21" t="n">
        <v>27</v>
      </c>
      <c r="DJ52" s="25" t="n">
        <f aca="true">IFERROR(AVERAGE(OFFSET('Data - For Rank'!$J$2,AX52,0,COUNTIF(AX$7:AX$116,AX52)))+IFERROR(VLOOKUP((COUNT(AV$6:AV$116)/4),$ER$9:$ES$13,2,FALSE()),0),"")</f>
        <v>5</v>
      </c>
      <c r="DK52" s="21"/>
      <c r="DL52" s="25" t="str">
        <f aca="true">IFERROR(AVERAGE(OFFSET('Data - For Rank'!$K$2,BC52,0,COUNTIF(BC$7:BC$116,BC52)))+IFERROR(VLOOKUP((COUNT(BA$6:BA$116)/4),$ER$9:$ES$13,2,FALSE()),0),"")</f>
        <v/>
      </c>
      <c r="DM52" s="21"/>
      <c r="DN52" s="25" t="str">
        <f aca="true">IFERROR(AVERAGE(OFFSET('Data - For Rank'!$L$2,BH52,0,COUNTIF(BH$7:BH$116,BH52)))+IFERROR(VLOOKUP((COUNT(BF$6:BF$116)/4),$ER$9:$ES$13,2,FALSE()),0),"")</f>
        <v/>
      </c>
      <c r="DO52" s="21"/>
      <c r="DP52" s="25" t="str">
        <f aca="true">IFERROR(AVERAGE(OFFSET('Data - For Rank'!$M$2,BM52,0,COUNTIF(BM$7:BM$116,BM52)))+IFERROR(VLOOKUP((COUNT(BK$6:BK$116)/4),$ER$9:$ES$13,2,FALSE()),0),"")</f>
        <v/>
      </c>
      <c r="DQ52" s="21"/>
      <c r="DR52" s="25" t="str">
        <f aca="true">IFERROR(AVERAGE(OFFSET('Data - For Rank'!$N$2,BR52,0,COUNTIF(BR$7:BR$116,BR52)))+IFERROR(VLOOKUP((COUNT(BP$6:BP$116)/4),$ER$9:$ES$13,2,FALSE()),0),"")</f>
        <v/>
      </c>
      <c r="DS52" s="21"/>
      <c r="DT52" s="25" t="str">
        <f aca="true">IFERROR(AVERAGE(OFFSET('Data - For Rank'!$O$2,BW52,0,COUNTIF(BW$7:BW$116,BW52)))+IFERROR(VLOOKUP((COUNT(BU$6:BU$116)/4),$ER$9:$ES$13,2,FALSE()),0),"")</f>
        <v/>
      </c>
      <c r="DU52" s="21"/>
      <c r="DV52" s="25" t="str">
        <f aca="true">IFERROR(AVERAGE(OFFSET('Data - For Rank'!$P$2,CB52,0,COUNTIF(CB$7:CB$116,CB52)))+IFERROR(VLOOKUP((COUNT(BZ$6:BZ$116)/4),$ER$9:$ES$13,2,FALSE()),0),"")</f>
        <v/>
      </c>
      <c r="DW52" s="21"/>
      <c r="DX52" s="25" t="str">
        <f aca="true">IFERROR(AVERAGE(OFFSET('Data - For Rank'!$Q$2,CG52,0,COUNTIF(CG$7:CG$116,CG52)))+IFERROR(VLOOKUP((COUNT(CE$6:CE$116)/4),$ER$9:$ES$13,2,FALSE()),0),"")</f>
        <v/>
      </c>
      <c r="DY52" s="21"/>
      <c r="DZ52" s="25" t="str">
        <f aca="true">IFERROR(AVERAGE(OFFSET('Data - For Rank'!$R$2,CL52,0,COUNTIF(CL$7:CL$116,CL52)))+IFERROR(VLOOKUP((COUNT(CJ$6:CJ$116)/4),$ER$9:$ES$13,2,FALSE()),0),"")</f>
        <v/>
      </c>
      <c r="EA52" s="21"/>
      <c r="EB52" s="25" t="str">
        <f aca="true">IFERROR(AVERAGE(OFFSET('Data - For Rank'!$S$2,CQ52,0,COUNTIF(CQ$7:CQ$116,CQ52)))+IFERROR(VLOOKUP((COUNT(CO$6:CO$116)/4),$ER$9:$ES$13,2,FALSE()),0),"")</f>
        <v/>
      </c>
      <c r="EC52" s="26" t="n">
        <f aca="false">AVERAGE(CS52,CU52,CW52,CY52,DA52,DC52,DE52,DG52,DI52,DK52,DM52,DO52,DQ52,DS52,DU52,DW52,DY52,EA52)</f>
        <v>25.6666666666667</v>
      </c>
      <c r="ED52" s="23" t="n">
        <f aca="false">AVERAGE(CT52,CV52,CX52,CZ52,DB52,DD52,DF52,DH52,DJ52,DL52,DN52,DP52,DR52,DT52,DV52,DX52,DZ52,EB52)</f>
        <v>5.75</v>
      </c>
      <c r="ET52" s="51"/>
    </row>
    <row r="53" s="1" customFormat="true" ht="13.5" hidden="false" customHeight="false" outlineLevel="1" collapsed="false">
      <c r="B53" s="27" t="n">
        <f aca="false">B51+0.0214</f>
        <v>16.0214</v>
      </c>
      <c r="D53" s="51" t="s">
        <v>129</v>
      </c>
      <c r="E53" s="28" t="s">
        <v>44</v>
      </c>
      <c r="F53" s="29" t="n">
        <f aca="false">IF(COUNT(G51:CN51)&gt;10,SMALL(G51:CN51,COUNT(G51:CN51)-10),MIN(G51:CN51))</f>
        <v>7</v>
      </c>
      <c r="G53" s="29"/>
      <c r="H53" s="29"/>
      <c r="I53" s="53" t="n">
        <f aca="false">IF(CS53=0,"",CS53)</f>
        <v>-8</v>
      </c>
      <c r="J53" s="53"/>
      <c r="K53" s="54" t="n">
        <f aca="false">IFERROR(_xlfn.RANK.EQ(I53,I$6:I$116,0),"")</f>
        <v>9</v>
      </c>
      <c r="L53" s="29"/>
      <c r="M53" s="29"/>
      <c r="N53" s="53" t="str">
        <f aca="false">IF(CU53=0,"",CU53)</f>
        <v/>
      </c>
      <c r="O53" s="53"/>
      <c r="P53" s="54" t="str">
        <f aca="false">IFERROR(_xlfn.RANK.EQ(N53,N$6:N$116,0),"")</f>
        <v/>
      </c>
      <c r="Q53" s="29"/>
      <c r="R53" s="29"/>
      <c r="S53" s="53" t="n">
        <f aca="false">IF(CW53=0,"",CW53)</f>
        <v>-9</v>
      </c>
      <c r="T53" s="53"/>
      <c r="U53" s="54" t="n">
        <f aca="false">IFERROR(_xlfn.RANK.EQ(S53,S$6:S$116,0),"")</f>
        <v>8</v>
      </c>
      <c r="V53" s="29"/>
      <c r="W53" s="29"/>
      <c r="X53" s="53" t="str">
        <f aca="false">IF(CY53=0,"",CY53)</f>
        <v/>
      </c>
      <c r="Y53" s="53"/>
      <c r="Z53" s="54" t="str">
        <f aca="false">IFERROR(_xlfn.RANK.EQ(X53,X$6:X$116,0),"")</f>
        <v/>
      </c>
      <c r="AA53" s="29"/>
      <c r="AB53" s="29"/>
      <c r="AC53" s="53" t="n">
        <f aca="false">IF(DA53=0,"",DA53)</f>
        <v>-54</v>
      </c>
      <c r="AD53" s="53"/>
      <c r="AE53" s="54" t="n">
        <f aca="false">IFERROR(_xlfn.RANK.EQ(AC53,AC$6:AC$116,0),"")</f>
        <v>15</v>
      </c>
      <c r="AF53" s="29"/>
      <c r="AG53" s="29"/>
      <c r="AH53" s="53" t="n">
        <f aca="false">IF(DC53=0,"",DC53)</f>
        <v>-39</v>
      </c>
      <c r="AI53" s="53"/>
      <c r="AJ53" s="54" t="n">
        <f aca="false">IFERROR(_xlfn.RANK.EQ(AH53,AH$6:AH$116,0),"")</f>
        <v>16</v>
      </c>
      <c r="AK53" s="29"/>
      <c r="AL53" s="29"/>
      <c r="AM53" s="53" t="str">
        <f aca="false">IF(DE53=0,"",DE53)</f>
        <v/>
      </c>
      <c r="AN53" s="53"/>
      <c r="AO53" s="54" t="str">
        <f aca="false">IFERROR(_xlfn.RANK.EQ(AM53,AM$6:AM$116,0),"")</f>
        <v/>
      </c>
      <c r="AP53" s="29"/>
      <c r="AQ53" s="29"/>
      <c r="AR53" s="53" t="n">
        <f aca="false">IF(DG53=0,"",DG53)</f>
        <v>28</v>
      </c>
      <c r="AS53" s="53"/>
      <c r="AT53" s="54" t="n">
        <f aca="false">IFERROR(_xlfn.RANK.EQ(AR53,AR$6:AR$116,0),"")</f>
        <v>1</v>
      </c>
      <c r="AU53" s="29"/>
      <c r="AV53" s="29"/>
      <c r="AW53" s="53" t="n">
        <f aca="false">IF(DI53=0,"",DI53)</f>
        <v>-15</v>
      </c>
      <c r="AX53" s="53"/>
      <c r="AY53" s="54" t="n">
        <f aca="false">IFERROR(_xlfn.RANK.EQ(AW53,AW$6:AW$116,0),"")</f>
        <v>14</v>
      </c>
      <c r="AZ53" s="29"/>
      <c r="BA53" s="29"/>
      <c r="BB53" s="53" t="str">
        <f aca="false">IF(DK53=0,"",DK53)</f>
        <v/>
      </c>
      <c r="BC53" s="53"/>
      <c r="BD53" s="54" t="str">
        <f aca="false">IFERROR(_xlfn.RANK.EQ(BB53,BB$6:BB$116,0),"")</f>
        <v/>
      </c>
      <c r="BE53" s="29"/>
      <c r="BF53" s="29"/>
      <c r="BG53" s="53" t="str">
        <f aca="false">IF(DM53=0,"",DM53)</f>
        <v/>
      </c>
      <c r="BH53" s="53"/>
      <c r="BI53" s="54" t="str">
        <f aca="false">IFERROR(_xlfn.RANK.EQ(BG53,BG$6:BG$116,0),"")</f>
        <v/>
      </c>
      <c r="BJ53" s="29"/>
      <c r="BK53" s="29"/>
      <c r="BL53" s="53" t="str">
        <f aca="false">IF(DO53=0,"",DO53)</f>
        <v/>
      </c>
      <c r="BM53" s="53"/>
      <c r="BN53" s="54" t="str">
        <f aca="false">IFERROR(_xlfn.RANK.EQ(BL53,BL$6:BL$116,0),"")</f>
        <v/>
      </c>
      <c r="BO53" s="29"/>
      <c r="BP53" s="29"/>
      <c r="BQ53" s="53" t="str">
        <f aca="false">IF(DQ53=0,"",DQ53)</f>
        <v/>
      </c>
      <c r="BR53" s="53"/>
      <c r="BS53" s="54" t="str">
        <f aca="false">IFERROR(_xlfn.RANK.EQ(BQ53,BQ$6:BQ$116,0),"")</f>
        <v/>
      </c>
      <c r="BT53" s="29"/>
      <c r="BU53" s="29"/>
      <c r="BV53" s="53" t="str">
        <f aca="false">IF(DS53=0,"",DS53)</f>
        <v/>
      </c>
      <c r="BW53" s="53"/>
      <c r="BX53" s="54" t="str">
        <f aca="false">IFERROR(_xlfn.RANK.EQ(BV53,BV$6:BV$116,0),"")</f>
        <v/>
      </c>
      <c r="BY53" s="29"/>
      <c r="BZ53" s="29"/>
      <c r="CA53" s="53" t="str">
        <f aca="false">IF(DU53=0,"",DU53)</f>
        <v/>
      </c>
      <c r="CB53" s="53"/>
      <c r="CC53" s="54" t="str">
        <f aca="false">IFERROR(_xlfn.RANK.EQ(CA53,CA$6:CA$116,0),"")</f>
        <v/>
      </c>
      <c r="CD53" s="29"/>
      <c r="CE53" s="29"/>
      <c r="CF53" s="53" t="str">
        <f aca="false">IF(DW53=0,"",DW53)</f>
        <v/>
      </c>
      <c r="CG53" s="53"/>
      <c r="CH53" s="54" t="str">
        <f aca="false">IFERROR(_xlfn.RANK.EQ(CF53,CF$6:CF$116,0),"")</f>
        <v/>
      </c>
      <c r="CI53" s="29"/>
      <c r="CJ53" s="29"/>
      <c r="CK53" s="53" t="str">
        <f aca="false">IF(DY53=0,"",DY53)</f>
        <v/>
      </c>
      <c r="CL53" s="53"/>
      <c r="CM53" s="54" t="str">
        <f aca="false">IFERROR(_xlfn.RANK.EQ(CK53,CK$6:CK$116,0),"")</f>
        <v/>
      </c>
      <c r="CN53" s="29"/>
      <c r="CO53" s="29"/>
      <c r="CP53" s="53" t="str">
        <f aca="false">IF(EA53=0,"",EA53)</f>
        <v/>
      </c>
      <c r="CQ53" s="53"/>
      <c r="CR53" s="54" t="str">
        <f aca="false">IFERROR(_xlfn.RANK.EQ(CP53,CP$6:CP$116,0),"")</f>
        <v/>
      </c>
      <c r="CS53" s="30" t="n">
        <v>-8</v>
      </c>
      <c r="CT53" s="31" t="n">
        <f aca="true">IFERROR(AVERAGE(OFFSET('Data - For Rank'!B$2,K53,0,COUNTIF(K$6:K$116,K53)))+IFERROR(VLOOKUP((COUNT($I$6:$I$116)/4),$ER$9:$ES$13,2,FALSE()),0),"")</f>
        <v>9.5</v>
      </c>
      <c r="CU53" s="30"/>
      <c r="CV53" s="31" t="str">
        <f aca="true">IFERROR(AVERAGE(OFFSET('Data - For Rank'!$C$2,P53,0,COUNTIF(P$6:P$116,P53)))+IFERROR(VLOOKUP((COUNT(N$6:N$116)/4),$ER$9:$ES$13,2,FALSE()),0),"")</f>
        <v/>
      </c>
      <c r="CW53" s="30" t="n">
        <v>-9</v>
      </c>
      <c r="CX53" s="31" t="n">
        <f aca="true">IFERROR(AVERAGE(OFFSET('Data - For Rank'!D$2,U53,0,COUNTIF(U$6:$U161,U53)))+IFERROR(VLOOKUP((COUNT(S$6:S$116)/4),$ER$9:$ES$13,2,FALSE()),0),"")</f>
        <v>8.5</v>
      </c>
      <c r="CY53" s="30"/>
      <c r="CZ53" s="31" t="str">
        <f aca="true">IFERROR(AVERAGE(OFFSET('Data - For Rank'!E$2,Z53,0,COUNTIF(Z$6:Z$116,Z53)))+IFERROR(VLOOKUP((COUNT(W$6:W$116)/4),$ER$9:$ES$13,2,FALSE()),0),"")</f>
        <v/>
      </c>
      <c r="DA53" s="30" t="n">
        <v>-54</v>
      </c>
      <c r="DB53" s="31" t="n">
        <f aca="true">IFERROR(AVERAGE(OFFSET('Data - For Rank'!F$2,AE53,0,COUNTIF(AE$6:AE$116,AE53)))+IFERROR(VLOOKUP((COUNT(AC$6:AC$116)/4),$ER$9:$ES$13,2,FALSE()),0),"")</f>
        <v>4</v>
      </c>
      <c r="DC53" s="30" t="n">
        <v>-39</v>
      </c>
      <c r="DD53" s="31" t="n">
        <f aca="true">IFERROR(AVERAGE(OFFSET('Data - For Rank'!G$2,AJ53,0,COUNTIF(AJ$6:AJ$116,AJ53)))+IFERROR(VLOOKUP((COUNT(AH$6:AH$116)/4),$ER$9:$ES$13,2,FALSE()),0),"")</f>
        <v>3</v>
      </c>
      <c r="DE53" s="30"/>
      <c r="DF53" s="31" t="str">
        <f aca="true">IFERROR(AVERAGE(OFFSET('Data - For Rank'!$H$2,AO53,0,COUNTIF(AO$6:AO$116,AO53)))+IFERROR(VLOOKUP((COUNT(AM$6:AM$116)/4),$ER$9:$ES$13,2,FALSE()),0),"")</f>
        <v/>
      </c>
      <c r="DG53" s="30" t="n">
        <v>28</v>
      </c>
      <c r="DH53" s="31" t="n">
        <f aca="true">IFERROR(AVERAGE(OFFSET('Data - For Rank'!$I$2,AT53,0,COUNTIF(AT$6:AT$116,AT53)))+IFERROR(VLOOKUP((COUNT(AR$6:AR$116)/4),$ER$9:$ES$13,2,FALSE()),0),"")</f>
        <v>18</v>
      </c>
      <c r="DI53" s="30" t="n">
        <v>-15</v>
      </c>
      <c r="DJ53" s="31" t="n">
        <f aca="true">IFERROR(AVERAGE(OFFSET('Data - For Rank'!$J$2,AY53,0,COUNTIF(AY$6:AY$116,AY53)))+IFERROR(VLOOKUP((COUNT(AW$6:AW$116)/4),$ER$9:$ES$13,2,FALSE()),0),"")</f>
        <v>5</v>
      </c>
      <c r="DK53" s="30"/>
      <c r="DL53" s="31" t="str">
        <f aca="true">IFERROR(AVERAGE(OFFSET('Data - For Rank'!$K$2,BD53,0,COUNTIF(BD$6:BD$116,BD53)))+IFERROR(VLOOKUP((COUNT(BB$6:BB$116)/4),$ER$9:$ES$13,2,FALSE()),0),"")</f>
        <v/>
      </c>
      <c r="DM53" s="30"/>
      <c r="DN53" s="31" t="str">
        <f aca="true">IFERROR(AVERAGE(OFFSET('Data - For Rank'!$L$2,BI53,0,COUNTIF(BI$6:BI$116,BI53)))+IFERROR(VLOOKUP((COUNT(BG$6:BG$116)/4),$ER$9:$ES$13,2,FALSE()),0),"")</f>
        <v/>
      </c>
      <c r="DO53" s="30"/>
      <c r="DP53" s="31" t="str">
        <f aca="true">IFERROR(AVERAGE(OFFSET('Data - For Rank'!$M$2,BN53,0,COUNTIF(BN$6:BN$116,BN53)))+IFERROR(VLOOKUP((COUNT(BL$6:BL$116)/4),$ER$9:$ES$13,2,FALSE()),0),"")</f>
        <v/>
      </c>
      <c r="DQ53" s="30"/>
      <c r="DR53" s="31" t="str">
        <f aca="true">IFERROR(AVERAGE(OFFSET('Data - For Rank'!$N$2,BS53,0,COUNTIF(BS$6:BS$116,BS53)))+IFERROR(VLOOKUP((COUNT(BQ$6:BQ$116)/4),$ER$9:$ES$13,2,FALSE()),0),"")</f>
        <v/>
      </c>
      <c r="DS53" s="30"/>
      <c r="DT53" s="31" t="str">
        <f aca="true">IFERROR(AVERAGE(OFFSET('Data - For Rank'!$O$2,BX53,0,COUNTIF(BX$6:BX$116,BX53)))+IFERROR(VLOOKUP((COUNT(BV$6:BV$116)/4),$ER$9:$ES$13,2,FALSE()),0),"")</f>
        <v/>
      </c>
      <c r="DU53" s="30"/>
      <c r="DV53" s="31" t="str">
        <f aca="true">IFERROR(AVERAGE(OFFSET('Data - For Rank'!$P$2,CC53,0,COUNTIF(CC$6:CC$116,CC53)))+IFERROR(VLOOKUP((COUNT(CA$6:CA$116)/4),$ER$9:$ES$13,2,FALSE()),0),"")</f>
        <v/>
      </c>
      <c r="DW53" s="30"/>
      <c r="DX53" s="31" t="str">
        <f aca="true">IFERROR(AVERAGE(OFFSET('Data - For Rank'!$Q$2,CH53,0,COUNTIF(CH$6:CH$116,CH53)))+IFERROR(VLOOKUP((COUNT(CF$6:CF$116)/4),$ER$9:$ES$13,2,FALSE()),0),"")</f>
        <v/>
      </c>
      <c r="DY53" s="30"/>
      <c r="DZ53" s="31" t="str">
        <f aca="true">IFERROR(AVERAGE(OFFSET('Data - For Rank'!$R$2,CM53,0,COUNTIF(CM$6:CM$116,CM53)))+IFERROR(VLOOKUP((COUNT(CK$6:CK$116)/4),$ER$9:$ES$13,2,FALSE()),0),"")</f>
        <v/>
      </c>
      <c r="EA53" s="30"/>
      <c r="EB53" s="31" t="str">
        <f aca="true">IFERROR(AVERAGE(OFFSET('Data - For Rank'!$S$2,CR53,0,COUNTIF(CR$6:CR$116,CR53)))+IFERROR(VLOOKUP((COUNT(CP$6:CP$116)/4),$ER$9:$ES$13,2,FALSE()),0),"")</f>
        <v/>
      </c>
      <c r="EC53" s="32" t="n">
        <f aca="false">CS53+CU53+CW53+CY53+DA53+DC53+DE53+DG53+DI53+DK53+DM53+DO53+DQ53+DS53+DU53+DW53+DY53+EA53</f>
        <v>-97</v>
      </c>
      <c r="ED53" s="33" t="n">
        <f aca="false">AVERAGE(CT53,CV53,CX53,CZ53,DB53,DD53,DF53,DH53,DJ53,DL53,DN53,DP53,DR53,DT53,DV53,DX53,DZ53,EB53)</f>
        <v>8</v>
      </c>
      <c r="ET53" s="51"/>
    </row>
    <row r="54" customFormat="false" ht="13.5" hidden="false" customHeight="false" outlineLevel="0" collapsed="false">
      <c r="B54" s="8" t="n">
        <f aca="false">_xlfn.RANK.EQ(C54,$C$6:$C$63,)</f>
        <v>17</v>
      </c>
      <c r="C54" s="43" t="n">
        <f aca="false">EC54</f>
        <v>81.5</v>
      </c>
      <c r="D54" s="43" t="s">
        <v>130</v>
      </c>
      <c r="E54" s="9" t="s">
        <v>60</v>
      </c>
      <c r="F54" s="20" t="n">
        <f aca="false">COUNT(CT54,CV54,CX54,CZ54,DB54,DD54,DF54,DH54,DJ54,DL54,DN54,DP54,DR54,DT54,DV54,DX54,DZ54,EB54)</f>
        <v>5</v>
      </c>
      <c r="G54" s="49" t="str">
        <f aca="false">IF(CT54=0,"",CT54)</f>
        <v/>
      </c>
      <c r="H54" s="49"/>
      <c r="I54" s="49"/>
      <c r="K54" s="49"/>
      <c r="L54" s="49" t="str">
        <f aca="false">IF(CV54=0,"",CV54)</f>
        <v/>
      </c>
      <c r="M54" s="49"/>
      <c r="N54" s="49"/>
      <c r="P54" s="49"/>
      <c r="Q54" s="49" t="n">
        <f aca="false">IF(CX54=0,"",CX54)</f>
        <v>18</v>
      </c>
      <c r="R54" s="49"/>
      <c r="S54" s="49"/>
      <c r="U54" s="49"/>
      <c r="V54" s="49" t="str">
        <f aca="false">IF(CZ54=0,"",CZ54)</f>
        <v/>
      </c>
      <c r="W54" s="49"/>
      <c r="X54" s="49"/>
      <c r="Z54" s="49"/>
      <c r="AA54" s="49" t="n">
        <f aca="false">IF(DB54=0,"",DB54)</f>
        <v>9</v>
      </c>
      <c r="AB54" s="49"/>
      <c r="AC54" s="49"/>
      <c r="AE54" s="49"/>
      <c r="AF54" s="49" t="n">
        <f aca="false">IF(DD54=0,"",DD54)</f>
        <v>21</v>
      </c>
      <c r="AG54" s="49"/>
      <c r="AH54" s="49"/>
      <c r="AJ54" s="49"/>
      <c r="AK54" s="49" t="n">
        <f aca="false">IF(DF54=0,"",DF54)</f>
        <v>20.5</v>
      </c>
      <c r="AL54" s="49"/>
      <c r="AM54" s="49"/>
      <c r="AO54" s="49"/>
      <c r="AP54" s="49" t="str">
        <f aca="false">IF(DH54=0,"",DH54)</f>
        <v/>
      </c>
      <c r="AQ54" s="49"/>
      <c r="AR54" s="49"/>
      <c r="AT54" s="49"/>
      <c r="AU54" s="49" t="n">
        <f aca="false">IF(DJ54=0,"",DJ54)</f>
        <v>13</v>
      </c>
      <c r="AV54" s="49"/>
      <c r="AW54" s="49"/>
      <c r="AY54" s="49"/>
      <c r="AZ54" s="49" t="str">
        <f aca="false">IF(DL54=0,"",DL54)</f>
        <v/>
      </c>
      <c r="BA54" s="49"/>
      <c r="BB54" s="49"/>
      <c r="BD54" s="49"/>
      <c r="BE54" s="49" t="str">
        <f aca="false">IF(DN54=0,"",DN54)</f>
        <v/>
      </c>
      <c r="BF54" s="49"/>
      <c r="BG54" s="49"/>
      <c r="BI54" s="49"/>
      <c r="BJ54" s="49" t="str">
        <f aca="false">IF(DP54=0,"",DP54)</f>
        <v/>
      </c>
      <c r="BK54" s="49"/>
      <c r="BL54" s="49"/>
      <c r="BN54" s="49"/>
      <c r="BO54" s="49" t="str">
        <f aca="false">IF(DR54=0,"",DR54)</f>
        <v/>
      </c>
      <c r="BP54" s="49"/>
      <c r="BQ54" s="49"/>
      <c r="BS54" s="49"/>
      <c r="BT54" s="49" t="str">
        <f aca="false">IF(DT54=0,"",DT54)</f>
        <v/>
      </c>
      <c r="BU54" s="49"/>
      <c r="BV54" s="49"/>
      <c r="BX54" s="49"/>
      <c r="BY54" s="49" t="str">
        <f aca="false">IF(DV54=0,"",DV54)</f>
        <v/>
      </c>
      <c r="BZ54" s="49"/>
      <c r="CA54" s="49"/>
      <c r="CC54" s="49"/>
      <c r="CD54" s="49" t="str">
        <f aca="false">IF(DX54=0,"",DX54)</f>
        <v/>
      </c>
      <c r="CE54" s="49"/>
      <c r="CF54" s="49"/>
      <c r="CH54" s="49"/>
      <c r="CI54" s="49" t="str">
        <f aca="false">IF(DZ54=0,"",DZ54)</f>
        <v/>
      </c>
      <c r="CJ54" s="49"/>
      <c r="CK54" s="49"/>
      <c r="CM54" s="49"/>
      <c r="CN54" s="49" t="str">
        <f aca="false">IF(EB54=0,"",EB54)</f>
        <v/>
      </c>
      <c r="CO54" s="49"/>
      <c r="CP54" s="49"/>
      <c r="CR54" s="49"/>
      <c r="CS54" s="21"/>
      <c r="CT54" s="22" t="str">
        <f aca="false">IFERROR(CT55+CT56,"")</f>
        <v/>
      </c>
      <c r="CU54" s="21"/>
      <c r="CV54" s="22" t="str">
        <f aca="false">IFERROR(CV55+CV56,"")</f>
        <v/>
      </c>
      <c r="CW54" s="21" t="n">
        <v>101</v>
      </c>
      <c r="CX54" s="22" t="n">
        <f aca="false">IFERROR(CX55+CX56,"")</f>
        <v>18</v>
      </c>
      <c r="CY54" s="21"/>
      <c r="CZ54" s="22" t="str">
        <f aca="false">IFERROR(CZ55+CZ56,"")</f>
        <v/>
      </c>
      <c r="DA54" s="21" t="n">
        <v>107</v>
      </c>
      <c r="DB54" s="22" t="n">
        <f aca="false">IFERROR(DB55+DB56,"")</f>
        <v>9</v>
      </c>
      <c r="DC54" s="21" t="n">
        <v>100</v>
      </c>
      <c r="DD54" s="22" t="n">
        <f aca="false">IFERROR(DD55+DD56,"")</f>
        <v>21</v>
      </c>
      <c r="DE54" s="21" t="n">
        <v>91</v>
      </c>
      <c r="DF54" s="22" t="n">
        <f aca="false">IFERROR(DF55+DF56,"")</f>
        <v>20.5</v>
      </c>
      <c r="DG54" s="21"/>
      <c r="DH54" s="22" t="str">
        <f aca="false">IFERROR(DH55+DH56,"")</f>
        <v/>
      </c>
      <c r="DI54" s="21" t="n">
        <v>99</v>
      </c>
      <c r="DJ54" s="22" t="n">
        <f aca="false">IFERROR(DJ55+DJ56,"")</f>
        <v>13</v>
      </c>
      <c r="DK54" s="21"/>
      <c r="DL54" s="22" t="str">
        <f aca="false">IFERROR(DL55+DL56,"")</f>
        <v/>
      </c>
      <c r="DM54" s="21"/>
      <c r="DN54" s="22" t="str">
        <f aca="false">IFERROR(DN55+DN56,"")</f>
        <v/>
      </c>
      <c r="DO54" s="21"/>
      <c r="DP54" s="22" t="str">
        <f aca="false">IFERROR(DP55+DP56,"")</f>
        <v/>
      </c>
      <c r="DQ54" s="21"/>
      <c r="DR54" s="22" t="str">
        <f aca="false">IFERROR(DR55+DR56,"")</f>
        <v/>
      </c>
      <c r="DS54" s="21"/>
      <c r="DT54" s="22" t="str">
        <f aca="false">IFERROR(DT55+DT56,"")</f>
        <v/>
      </c>
      <c r="DU54" s="21"/>
      <c r="DV54" s="22" t="str">
        <f aca="false">IFERROR(DV55+DV56,"")</f>
        <v/>
      </c>
      <c r="DW54" s="21"/>
      <c r="DX54" s="22" t="str">
        <f aca="false">IFERROR(DX55+DX56,"")</f>
        <v/>
      </c>
      <c r="DY54" s="21"/>
      <c r="DZ54" s="22" t="str">
        <f aca="false">IFERROR(DZ55+DZ56,"")</f>
        <v/>
      </c>
      <c r="EA54" s="21"/>
      <c r="EB54" s="22" t="str">
        <f aca="false">IFERROR(EB55+EB56,"")</f>
        <v/>
      </c>
      <c r="EC54" s="17" t="n">
        <f aca="false">IFERROR(LARGE($G54:$CN54,1),0)+IFERROR(LARGE($G54:$CN54,2),0)+IFERROR(LARGE($G54:$CN54,3),0)+IFERROR(LARGE($G54:$CN54,4),0)+IFERROR(LARGE($G54:$CN54,5),0)+IFERROR(LARGE($G54:$CN54,6),0)+IFERROR(LARGE($G54:$CN54,7),0)+IFERROR(LARGE($G54:$CN54,8),0)+IFERROR(LARGE($G54:$CN54,9),0)+IFERROR(LARGE($G54:$CN54,10),0)</f>
        <v>81.5</v>
      </c>
      <c r="ED54" s="23" t="n">
        <f aca="false">IFERROR(AVERAGE(CT54,CV54,CX54,CZ54,DB54,DD54,DF54,DH54,DJ54,DL54,DN54,DP54,DR54,DT54,DV54,DX54,DZ54,EB54),0)</f>
        <v>16.3</v>
      </c>
      <c r="ET54" s="51"/>
    </row>
    <row r="55" s="1" customFormat="true" ht="13.5" hidden="false" customHeight="false" outlineLevel="1" collapsed="false">
      <c r="B55" s="24" t="n">
        <f aca="false">B54+0.118</f>
        <v>17.118</v>
      </c>
      <c r="D55" s="51" t="s">
        <v>131</v>
      </c>
      <c r="E55" s="7" t="s">
        <v>43</v>
      </c>
      <c r="F55" s="7"/>
      <c r="G55" s="7"/>
      <c r="H55" s="7" t="str">
        <f aca="false">IF(CS55=0,"",CS55)</f>
        <v/>
      </c>
      <c r="I55" s="7"/>
      <c r="J55" s="49" t="str">
        <f aca="false">IFERROR(RANK(H55,H$6:H$116,0),"")</f>
        <v/>
      </c>
      <c r="K55" s="7"/>
      <c r="L55" s="7"/>
      <c r="M55" s="7" t="str">
        <f aca="false">IF(CU55=0,"",CU55)</f>
        <v/>
      </c>
      <c r="N55" s="7"/>
      <c r="O55" s="49" t="str">
        <f aca="false">IFERROR(RANK(M55,M$6:M$116,0),"")</f>
        <v/>
      </c>
      <c r="P55" s="7"/>
      <c r="Q55" s="7"/>
      <c r="R55" s="7" t="n">
        <f aca="false">IF(CW55=0,"",CW55)</f>
        <v>25</v>
      </c>
      <c r="S55" s="7"/>
      <c r="T55" s="49" t="n">
        <f aca="false">IFERROR(RANK(R55,R$6:R$116,0),"")</f>
        <v>10</v>
      </c>
      <c r="U55" s="7"/>
      <c r="V55" s="7"/>
      <c r="W55" s="7" t="str">
        <f aca="false">IF(CY55=0,"",CY55)</f>
        <v/>
      </c>
      <c r="X55" s="7"/>
      <c r="Y55" s="49" t="str">
        <f aca="false">IFERROR(RANK(W55,W$6:W$116,0),"")</f>
        <v/>
      </c>
      <c r="Z55" s="7"/>
      <c r="AA55" s="7"/>
      <c r="AB55" s="7" t="n">
        <f aca="false">IF(DA55=0,"",DA55)</f>
        <v>17</v>
      </c>
      <c r="AC55" s="7"/>
      <c r="AD55" s="49" t="n">
        <f aca="false">IFERROR(RANK(AB55,AB$6:AB$116,0),"")</f>
        <v>16</v>
      </c>
      <c r="AE55" s="7"/>
      <c r="AF55" s="7"/>
      <c r="AG55" s="7" t="n">
        <f aca="false">IF(DC55=0,"",DC55)</f>
        <v>27</v>
      </c>
      <c r="AH55" s="7"/>
      <c r="AI55" s="49" t="n">
        <f aca="false">IFERROR(RANK(AG55,AG$6:AG$116,0),"")</f>
        <v>13</v>
      </c>
      <c r="AJ55" s="7"/>
      <c r="AK55" s="7"/>
      <c r="AL55" s="7" t="n">
        <f aca="false">IF(DE55=0,"",DE55)</f>
        <v>31</v>
      </c>
      <c r="AM55" s="7"/>
      <c r="AN55" s="49" t="n">
        <f aca="false">IFERROR(RANK(AL55,AL$6:AL$116,0),"")</f>
        <v>10</v>
      </c>
      <c r="AO55" s="7"/>
      <c r="AP55" s="7"/>
      <c r="AQ55" s="7" t="str">
        <f aca="false">IF(DG55=0,"",DG55)</f>
        <v/>
      </c>
      <c r="AR55" s="7"/>
      <c r="AS55" s="49" t="str">
        <f aca="false">IFERROR(RANK(AQ55,AQ$6:AQ$116,0),"")</f>
        <v/>
      </c>
      <c r="AT55" s="7"/>
      <c r="AU55" s="7"/>
      <c r="AV55" s="7" t="n">
        <f aca="false">IF(DI55=0,"",DI55)</f>
        <v>28</v>
      </c>
      <c r="AW55" s="7"/>
      <c r="AX55" s="49" t="n">
        <f aca="false">IFERROR(RANK(AV55,AV$6:AV$116,0),"")</f>
        <v>13</v>
      </c>
      <c r="AY55" s="7"/>
      <c r="AZ55" s="7"/>
      <c r="BA55" s="7" t="str">
        <f aca="false">IF(DK55=0,"",DK55)</f>
        <v/>
      </c>
      <c r="BB55" s="7"/>
      <c r="BC55" s="49" t="str">
        <f aca="false">IFERROR(RANK(BA55,BA$6:BA$116,0),"")</f>
        <v/>
      </c>
      <c r="BD55" s="7"/>
      <c r="BE55" s="7"/>
      <c r="BF55" s="7" t="str">
        <f aca="false">IF(DM55=0,"",DM55)</f>
        <v/>
      </c>
      <c r="BG55" s="7"/>
      <c r="BH55" s="49" t="str">
        <f aca="false">IFERROR(RANK(BF55,BF$6:BF$116,0),"")</f>
        <v/>
      </c>
      <c r="BI55" s="7"/>
      <c r="BJ55" s="7"/>
      <c r="BK55" s="7" t="str">
        <f aca="false">IF(DO55=0,"",DO55)</f>
        <v/>
      </c>
      <c r="BL55" s="7"/>
      <c r="BM55" s="49" t="str">
        <f aca="false">IFERROR(RANK(BK55,BK$6:BK$116,0),"")</f>
        <v/>
      </c>
      <c r="BN55" s="7"/>
      <c r="BO55" s="7"/>
      <c r="BP55" s="7" t="str">
        <f aca="false">IF(DQ55=0,"",DQ55)</f>
        <v/>
      </c>
      <c r="BQ55" s="7"/>
      <c r="BR55" s="49" t="str">
        <f aca="false">IFERROR(RANK(BP55,BP$6:BP$116,0),"")</f>
        <v/>
      </c>
      <c r="BS55" s="7"/>
      <c r="BT55" s="7"/>
      <c r="BU55" s="7" t="str">
        <f aca="false">IF(DS55=0,"",DS55)</f>
        <v/>
      </c>
      <c r="BV55" s="7"/>
      <c r="BW55" s="49" t="str">
        <f aca="false">IFERROR(RANK(BU55,BU$6:BU$116,0),"")</f>
        <v/>
      </c>
      <c r="BX55" s="7"/>
      <c r="BY55" s="7"/>
      <c r="BZ55" s="7" t="str">
        <f aca="false">IF(DU55=0,"",DU55)</f>
        <v/>
      </c>
      <c r="CA55" s="7"/>
      <c r="CB55" s="49" t="str">
        <f aca="false">IFERROR(RANK(BZ55,BZ$6:BZ$116,0),"")</f>
        <v/>
      </c>
      <c r="CC55" s="7"/>
      <c r="CD55" s="7"/>
      <c r="CE55" s="7" t="str">
        <f aca="false">IF(DW55=0,"",DW55)</f>
        <v/>
      </c>
      <c r="CF55" s="7"/>
      <c r="CG55" s="49" t="str">
        <f aca="false">IFERROR(RANK(CE55,CE$6:CE$116,0),"")</f>
        <v/>
      </c>
      <c r="CH55" s="7"/>
      <c r="CI55" s="7"/>
      <c r="CJ55" s="7" t="str">
        <f aca="false">IF(DY55=0,"",DY55)</f>
        <v/>
      </c>
      <c r="CK55" s="7"/>
      <c r="CL55" s="49" t="str">
        <f aca="false">IFERROR(RANK(CJ55,CJ$6:CJ$116,0),"")</f>
        <v/>
      </c>
      <c r="CM55" s="7"/>
      <c r="CN55" s="7"/>
      <c r="CO55" s="7" t="str">
        <f aca="false">IF(EA55=0,"",EA55)</f>
        <v/>
      </c>
      <c r="CP55" s="7"/>
      <c r="CQ55" s="49" t="str">
        <f aca="false">IFERROR(RANK(CO55,CO$6:CO$116,0),"")</f>
        <v/>
      </c>
      <c r="CR55" s="7"/>
      <c r="CS55" s="21"/>
      <c r="CT55" s="25" t="str">
        <f aca="true">IFERROR(AVERAGE(OFFSET('Data - For Rank'!B$2,J55,0,COUNTIF($J$7:J$116,J55)))+IFERROR(VLOOKUP((COUNT($H$6:$H$116)/4),$ER$9:$ES$13,2,FALSE()),0),"")</f>
        <v/>
      </c>
      <c r="CU55" s="21"/>
      <c r="CV55" s="25" t="str">
        <f aca="true">IFERROR(AVERAGE(OFFSET('Data - For Rank'!$C$2,O55,0,COUNTIF(O$7:O$116,O55)))+IFERROR(VLOOKUP((COUNT(M$6:M$116)/4),$ER$9:$ES$13,2,FALSE()),0),"")</f>
        <v/>
      </c>
      <c r="CW55" s="21" t="n">
        <v>25</v>
      </c>
      <c r="CX55" s="25" t="n">
        <f aca="true">IFERROR(AVERAGE(OFFSET('Data - For Rank'!D$2,T55,0,COUNTIF(T$7:T$116,T55)))+IFERROR(VLOOKUP((COUNT(R$6:R$116)/4),$ER$9:$ES$13,2,FALSE()),0),"")</f>
        <v>7</v>
      </c>
      <c r="CY55" s="21"/>
      <c r="CZ55" s="25" t="str">
        <f aca="true">IFERROR(AVERAGE(OFFSET('Data - For Rank'!E$2,Y55,0,COUNTIF(Y$7:Y$116,Y55)))+IFERROR(VLOOKUP((COUNT(W$6:W$116)/4),$ER$9:$ES$13,2,FALSE()),0),"")</f>
        <v/>
      </c>
      <c r="DA55" s="21" t="n">
        <v>17</v>
      </c>
      <c r="DB55" s="25" t="n">
        <f aca="true">IFERROR(AVERAGE(OFFSET('Data - For Rank'!F$2,AD55,0,COUNTIF(AD$7:AD$116,AD55)))+IFERROR(VLOOKUP((COUNT(AB$6:AB$116)/4),$ER$9:$ES$13,2,FALSE()),0),"")</f>
        <v>3</v>
      </c>
      <c r="DC55" s="21" t="n">
        <v>27</v>
      </c>
      <c r="DD55" s="25" t="n">
        <f aca="true">IFERROR(AVERAGE(OFFSET('Data - For Rank'!G$2,AI55,0,COUNTIF(AI$7:AI$116,AI55)))+IFERROR(VLOOKUP((COUNT(AG$6:AG$116)/4),$ER$9:$ES$13,2,FALSE()),0),"")</f>
        <v>6</v>
      </c>
      <c r="DE55" s="21" t="n">
        <v>31</v>
      </c>
      <c r="DF55" s="25" t="n">
        <f aca="true">IFERROR(AVERAGE(OFFSET('Data - For Rank'!$H$2,AN55,0,COUNTIF(AN$7:AN$116,AN55)))+IFERROR(VLOOKUP((COUNT(AL$6:AL$116)/4),$ER$9:$ES$13,2,FALSE()),0),"")</f>
        <v>6.5</v>
      </c>
      <c r="DG55" s="21"/>
      <c r="DH55" s="25" t="str">
        <f aca="true">IFERROR(AVERAGE(OFFSET('Data - For Rank'!$I$2,AS55,0,COUNTIF(AS$7:AS$116,AS55)))+IFERROR(VLOOKUP((COUNT(AQ$6:AQ$116)/4),$ER$9:$ES$13,2,FALSE()),0),"")</f>
        <v/>
      </c>
      <c r="DI55" s="21" t="n">
        <v>28</v>
      </c>
      <c r="DJ55" s="25" t="n">
        <f aca="true">IFERROR(AVERAGE(OFFSET('Data - For Rank'!$J$2,AX55,0,COUNTIF(AX$7:AX$116,AX55)))+IFERROR(VLOOKUP((COUNT(AV$6:AV$116)/4),$ER$9:$ES$13,2,FALSE()),0),"")</f>
        <v>6</v>
      </c>
      <c r="DK55" s="21"/>
      <c r="DL55" s="25" t="str">
        <f aca="true">IFERROR(AVERAGE(OFFSET('Data - For Rank'!$K$2,BC55,0,COUNTIF(BC$7:BC$116,BC55)))+IFERROR(VLOOKUP((COUNT(BA$6:BA$116)/4),$ER$9:$ES$13,2,FALSE()),0),"")</f>
        <v/>
      </c>
      <c r="DM55" s="21"/>
      <c r="DN55" s="25" t="str">
        <f aca="true">IFERROR(AVERAGE(OFFSET('Data - For Rank'!$L$2,BH55,0,COUNTIF(BH$7:BH$116,BH55)))+IFERROR(VLOOKUP((COUNT(BF$6:BF$116)/4),$ER$9:$ES$13,2,FALSE()),0),"")</f>
        <v/>
      </c>
      <c r="DO55" s="21"/>
      <c r="DP55" s="25" t="str">
        <f aca="true">IFERROR(AVERAGE(OFFSET('Data - For Rank'!$M$2,BM55,0,COUNTIF(BM$7:BM$116,BM55)))+IFERROR(VLOOKUP((COUNT(BK$6:BK$116)/4),$ER$9:$ES$13,2,FALSE()),0),"")</f>
        <v/>
      </c>
      <c r="DQ55" s="21"/>
      <c r="DR55" s="25" t="str">
        <f aca="true">IFERROR(AVERAGE(OFFSET('Data - For Rank'!$N$2,BR55,0,COUNTIF(BR$7:BR$116,BR55)))+IFERROR(VLOOKUP((COUNT(BP$6:BP$116)/4),$ER$9:$ES$13,2,FALSE()),0),"")</f>
        <v/>
      </c>
      <c r="DS55" s="21"/>
      <c r="DT55" s="25" t="str">
        <f aca="true">IFERROR(AVERAGE(OFFSET('Data - For Rank'!$O$2,BW55,0,COUNTIF(BW$7:BW$116,BW55)))+IFERROR(VLOOKUP((COUNT(BU$6:BU$116)/4),$ER$9:$ES$13,2,FALSE()),0),"")</f>
        <v/>
      </c>
      <c r="DU55" s="21"/>
      <c r="DV55" s="25" t="str">
        <f aca="true">IFERROR(AVERAGE(OFFSET('Data - For Rank'!$P$2,CB55,0,COUNTIF(CB$7:CB$116,CB55)))+IFERROR(VLOOKUP((COUNT(BZ$6:BZ$116)/4),$ER$9:$ES$13,2,FALSE()),0),"")</f>
        <v/>
      </c>
      <c r="DW55" s="21"/>
      <c r="DX55" s="25" t="str">
        <f aca="true">IFERROR(AVERAGE(OFFSET('Data - For Rank'!$Q$2,CG55,0,COUNTIF(CG$7:CG$116,CG55)))+IFERROR(VLOOKUP((COUNT(CE$6:CE$116)/4),$ER$9:$ES$13,2,FALSE()),0),"")</f>
        <v/>
      </c>
      <c r="DY55" s="21"/>
      <c r="DZ55" s="25" t="str">
        <f aca="true">IFERROR(AVERAGE(OFFSET('Data - For Rank'!$R$2,CL55,0,COUNTIF(CL$7:CL$116,CL55)))+IFERROR(VLOOKUP((COUNT(CJ$6:CJ$116)/4),$ER$9:$ES$13,2,FALSE()),0),"")</f>
        <v/>
      </c>
      <c r="EA55" s="21"/>
      <c r="EB55" s="25" t="str">
        <f aca="true">IFERROR(AVERAGE(OFFSET('Data - For Rank'!$S$2,CQ55,0,COUNTIF(CQ$7:CQ$116,CQ55)))+IFERROR(VLOOKUP((COUNT(CO$6:CO$116)/4),$ER$9:$ES$13,2,FALSE()),0),"")</f>
        <v/>
      </c>
      <c r="EC55" s="26" t="n">
        <f aca="false">IFERROR(AVERAGE(CS55,CU55,CW55,CY55,DA55,DC55,DE55,DG55,DI55,DK55,DM55,DO55,DQ55,DS55,DU55,DW55,DY55,EA55),0)</f>
        <v>25.6</v>
      </c>
      <c r="ED55" s="23" t="n">
        <f aca="false">IFERROR(AVERAGE(CT55,CV55,CX55,CZ55,DB55,DD55,DF55,DH55,DJ55,DL55,DN55,DP55,DR55,DT55,DV55,DX55,DZ55,EB55),0)</f>
        <v>5.7</v>
      </c>
      <c r="ET55" s="51"/>
    </row>
    <row r="56" s="1" customFormat="true" ht="13.5" hidden="false" customHeight="false" outlineLevel="1" collapsed="false">
      <c r="B56" s="27" t="n">
        <f aca="false">B54+0.0218</f>
        <v>17.0218</v>
      </c>
      <c r="D56" s="51" t="s">
        <v>132</v>
      </c>
      <c r="E56" s="28" t="s">
        <v>44</v>
      </c>
      <c r="F56" s="29" t="n">
        <f aca="false">IF(COUNT(G54:CN54)&gt;10,SMALL(G54:CN54,COUNT(G54:CN54)-10),MIN(G54:CN54))</f>
        <v>9</v>
      </c>
      <c r="G56" s="29"/>
      <c r="H56" s="29"/>
      <c r="I56" s="53" t="str">
        <f aca="false">IF(CS56=0,"",CS56)</f>
        <v/>
      </c>
      <c r="J56" s="53"/>
      <c r="K56" s="54" t="str">
        <f aca="false">IFERROR(_xlfn.RANK.EQ(I56,I$6:I$116,0),"")</f>
        <v/>
      </c>
      <c r="L56" s="29"/>
      <c r="M56" s="29"/>
      <c r="N56" s="53" t="str">
        <f aca="false">IF(CU56=0,"",CU56)</f>
        <v/>
      </c>
      <c r="O56" s="53"/>
      <c r="P56" s="54" t="str">
        <f aca="false">IFERROR(_xlfn.RANK.EQ(N56,N$6:N$116,0),"")</f>
        <v/>
      </c>
      <c r="Q56" s="29"/>
      <c r="R56" s="29"/>
      <c r="S56" s="53" t="n">
        <f aca="false">IF(CW56=0,"",CW56)</f>
        <v>3</v>
      </c>
      <c r="T56" s="53"/>
      <c r="U56" s="54" t="n">
        <f aca="false">IFERROR(_xlfn.RANK.EQ(S56,S$6:S$116,0),"")</f>
        <v>6</v>
      </c>
      <c r="V56" s="29"/>
      <c r="W56" s="29"/>
      <c r="X56" s="53" t="str">
        <f aca="false">IF(CY56=0,"",CY56)</f>
        <v/>
      </c>
      <c r="Y56" s="53"/>
      <c r="Z56" s="54" t="str">
        <f aca="false">IFERROR(_xlfn.RANK.EQ(X56,X$6:X$116,0),"")</f>
        <v/>
      </c>
      <c r="AA56" s="29"/>
      <c r="AB56" s="29"/>
      <c r="AC56" s="53" t="n">
        <f aca="false">IF(DA56=0,"",DA56)</f>
        <v>-16</v>
      </c>
      <c r="AD56" s="53"/>
      <c r="AE56" s="54" t="n">
        <f aca="false">IFERROR(_xlfn.RANK.EQ(AC56,AC$6:AC$116,0),"")</f>
        <v>13</v>
      </c>
      <c r="AF56" s="29"/>
      <c r="AG56" s="29"/>
      <c r="AH56" s="53" t="n">
        <f aca="false">IF(DC56=0,"",DC56)</f>
        <v>16</v>
      </c>
      <c r="AI56" s="53"/>
      <c r="AJ56" s="54" t="n">
        <f aca="false">IFERROR(_xlfn.RANK.EQ(AH56,AH$6:AH$116,0),"")</f>
        <v>4</v>
      </c>
      <c r="AK56" s="29"/>
      <c r="AL56" s="29"/>
      <c r="AM56" s="53" t="n">
        <f aca="false">IF(DE56=0,"",DE56)</f>
        <v>6</v>
      </c>
      <c r="AN56" s="53"/>
      <c r="AO56" s="54" t="n">
        <f aca="false">IFERROR(_xlfn.RANK.EQ(AM56,AM$6:AM$116,0),"")</f>
        <v>3</v>
      </c>
      <c r="AP56" s="29"/>
      <c r="AQ56" s="29"/>
      <c r="AR56" s="53" t="str">
        <f aca="false">IF(DG56=0,"",DG56)</f>
        <v/>
      </c>
      <c r="AS56" s="53"/>
      <c r="AT56" s="54" t="str">
        <f aca="false">IFERROR(_xlfn.RANK.EQ(AR56,AR$6:AR$116,0),"")</f>
        <v/>
      </c>
      <c r="AU56" s="29"/>
      <c r="AV56" s="29"/>
      <c r="AW56" s="53" t="n">
        <f aca="false">IF(DI56=0,"",DI56)</f>
        <v>-11</v>
      </c>
      <c r="AX56" s="53"/>
      <c r="AY56" s="54" t="n">
        <f aca="false">IFERROR(_xlfn.RANK.EQ(AW56,AW$6:AW$116,0),"")</f>
        <v>12</v>
      </c>
      <c r="AZ56" s="29"/>
      <c r="BA56" s="29"/>
      <c r="BB56" s="53" t="str">
        <f aca="false">IF(DK56=0,"",DK56)</f>
        <v/>
      </c>
      <c r="BC56" s="53"/>
      <c r="BD56" s="54" t="str">
        <f aca="false">IFERROR(_xlfn.RANK.EQ(BB56,BB$6:BB$116,0),"")</f>
        <v/>
      </c>
      <c r="BE56" s="29"/>
      <c r="BF56" s="29"/>
      <c r="BG56" s="53" t="str">
        <f aca="false">IF(DM56=0,"",DM56)</f>
        <v/>
      </c>
      <c r="BH56" s="53"/>
      <c r="BI56" s="54" t="str">
        <f aca="false">IFERROR(_xlfn.RANK.EQ(BG56,BG$6:BG$116,0),"")</f>
        <v/>
      </c>
      <c r="BJ56" s="29"/>
      <c r="BK56" s="29"/>
      <c r="BL56" s="53" t="str">
        <f aca="false">IF(DO56=0,"",DO56)</f>
        <v/>
      </c>
      <c r="BM56" s="53"/>
      <c r="BN56" s="54" t="str">
        <f aca="false">IFERROR(_xlfn.RANK.EQ(BL56,BL$6:BL$116,0),"")</f>
        <v/>
      </c>
      <c r="BO56" s="29"/>
      <c r="BP56" s="29"/>
      <c r="BQ56" s="53" t="str">
        <f aca="false">IF(DQ56=0,"",DQ56)</f>
        <v/>
      </c>
      <c r="BR56" s="53"/>
      <c r="BS56" s="54" t="str">
        <f aca="false">IFERROR(_xlfn.RANK.EQ(BQ56,BQ$6:BQ$116,0),"")</f>
        <v/>
      </c>
      <c r="BT56" s="29"/>
      <c r="BU56" s="29"/>
      <c r="BV56" s="53" t="str">
        <f aca="false">IF(DS56=0,"",DS56)</f>
        <v/>
      </c>
      <c r="BW56" s="53"/>
      <c r="BX56" s="54" t="str">
        <f aca="false">IFERROR(_xlfn.RANK.EQ(BV56,BV$6:BV$116,0),"")</f>
        <v/>
      </c>
      <c r="BY56" s="29"/>
      <c r="BZ56" s="29"/>
      <c r="CA56" s="53" t="str">
        <f aca="false">IF(DU56=0,"",DU56)</f>
        <v/>
      </c>
      <c r="CB56" s="53"/>
      <c r="CC56" s="54" t="str">
        <f aca="false">IFERROR(_xlfn.RANK.EQ(CA56,CA$6:CA$116,0),"")</f>
        <v/>
      </c>
      <c r="CD56" s="29"/>
      <c r="CE56" s="29"/>
      <c r="CF56" s="53" t="str">
        <f aca="false">IF(DW56=0,"",DW56)</f>
        <v/>
      </c>
      <c r="CG56" s="53"/>
      <c r="CH56" s="54" t="str">
        <f aca="false">IFERROR(_xlfn.RANK.EQ(CF56,CF$6:CF$116,0),"")</f>
        <v/>
      </c>
      <c r="CI56" s="29"/>
      <c r="CJ56" s="29"/>
      <c r="CK56" s="53" t="str">
        <f aca="false">IF(DY56=0,"",DY56)</f>
        <v/>
      </c>
      <c r="CL56" s="53"/>
      <c r="CM56" s="54" t="str">
        <f aca="false">IFERROR(_xlfn.RANK.EQ(CK56,CK$6:CK$116,0),"")</f>
        <v/>
      </c>
      <c r="CN56" s="29"/>
      <c r="CO56" s="29"/>
      <c r="CP56" s="53" t="str">
        <f aca="false">IF(EA56=0,"",EA56)</f>
        <v/>
      </c>
      <c r="CQ56" s="53"/>
      <c r="CR56" s="54" t="str">
        <f aca="false">IFERROR(_xlfn.RANK.EQ(CP56,CP$6:CP$116,0),"")</f>
        <v/>
      </c>
      <c r="CS56" s="30"/>
      <c r="CT56" s="31" t="str">
        <f aca="true">IFERROR(AVERAGE(OFFSET('Data - For Rank'!B$2,K56,0,COUNTIF(K$6:K$116,K56)))+IFERROR(VLOOKUP((COUNT($I$6:$I$116)/4),$ER$9:$ES$13,2,FALSE()),0),"")</f>
        <v/>
      </c>
      <c r="CU56" s="30"/>
      <c r="CV56" s="31" t="str">
        <f aca="true">IFERROR(AVERAGE(OFFSET('Data - For Rank'!$C$2,P56,0,COUNTIF(P$6:P$116,P56)))+IFERROR(VLOOKUP((COUNT(N$6:N$116)/4),$ER$9:$ES$13,2,FALSE()),0),"")</f>
        <v/>
      </c>
      <c r="CW56" s="30" t="n">
        <v>3</v>
      </c>
      <c r="CX56" s="31" t="n">
        <f aca="true">IFERROR(AVERAGE(OFFSET('Data - For Rank'!D$2,U56,0,COUNTIF(U$6:$U164,U56)))+IFERROR(VLOOKUP((COUNT(S$6:S$116)/4),$ER$9:$ES$13,2,FALSE()),0),"")</f>
        <v>11</v>
      </c>
      <c r="CY56" s="30"/>
      <c r="CZ56" s="31" t="str">
        <f aca="true">IFERROR(AVERAGE(OFFSET('Data - For Rank'!E$2,Z56,0,COUNTIF(Z$6:Z$116,Z56)))+IFERROR(VLOOKUP((COUNT(W$6:W$116)/4),$ER$9:$ES$13,2,FALSE()),0),"")</f>
        <v/>
      </c>
      <c r="DA56" s="30" t="n">
        <v>-16</v>
      </c>
      <c r="DB56" s="31" t="n">
        <f aca="true">IFERROR(AVERAGE(OFFSET('Data - For Rank'!F$2,AE56,0,COUNTIF(AE$6:AE$116,AE56)))+IFERROR(VLOOKUP((COUNT(AC$6:AC$116)/4),$ER$9:$ES$13,2,FALSE()),0),"")</f>
        <v>6</v>
      </c>
      <c r="DC56" s="30" t="n">
        <v>16</v>
      </c>
      <c r="DD56" s="31" t="n">
        <f aca="true">IFERROR(AVERAGE(OFFSET('Data - For Rank'!G$2,AJ56,0,COUNTIF(AJ$6:AJ$116,AJ56)))+IFERROR(VLOOKUP((COUNT(AH$6:AH$116)/4),$ER$9:$ES$13,2,FALSE()),0),"")</f>
        <v>15</v>
      </c>
      <c r="DE56" s="30" t="n">
        <v>6</v>
      </c>
      <c r="DF56" s="31" t="n">
        <f aca="true">IFERROR(AVERAGE(OFFSET('Data - For Rank'!$H$2,AO56,0,COUNTIF(AO$6:AO$116,AO56)))+IFERROR(VLOOKUP((COUNT(AM$6:AM$116)/4),$ER$9:$ES$13,2,FALSE()),0),"")</f>
        <v>14</v>
      </c>
      <c r="DG56" s="30"/>
      <c r="DH56" s="31" t="str">
        <f aca="true">IFERROR(AVERAGE(OFFSET('Data - For Rank'!$I$2,AT56,0,COUNTIF(AT$6:AT$116,AT56)))+IFERROR(VLOOKUP((COUNT(AR$6:AR$116)/4),$ER$9:$ES$13,2,FALSE()),0),"")</f>
        <v/>
      </c>
      <c r="DI56" s="30" t="n">
        <v>-11</v>
      </c>
      <c r="DJ56" s="31" t="n">
        <f aca="true">IFERROR(AVERAGE(OFFSET('Data - For Rank'!$J$2,AY56,0,COUNTIF(AY$6:AY$116,AY56)))+IFERROR(VLOOKUP((COUNT(AW$6:AW$116)/4),$ER$9:$ES$13,2,FALSE()),0),"")</f>
        <v>7</v>
      </c>
      <c r="DK56" s="30"/>
      <c r="DL56" s="31" t="str">
        <f aca="true">IFERROR(AVERAGE(OFFSET('Data - For Rank'!$K$2,BD56,0,COUNTIF(BD$6:BD$116,BD56)))+IFERROR(VLOOKUP((COUNT(BB$6:BB$116)/4),$ER$9:$ES$13,2,FALSE()),0),"")</f>
        <v/>
      </c>
      <c r="DM56" s="30"/>
      <c r="DN56" s="31" t="str">
        <f aca="true">IFERROR(AVERAGE(OFFSET('Data - For Rank'!$L$2,BI56,0,COUNTIF(BI$6:BI$116,BI56)))+IFERROR(VLOOKUP((COUNT(BG$6:BG$116)/4),$ER$9:$ES$13,2,FALSE()),0),"")</f>
        <v/>
      </c>
      <c r="DO56" s="30"/>
      <c r="DP56" s="31" t="str">
        <f aca="true">IFERROR(AVERAGE(OFFSET('Data - For Rank'!$M$2,BN56,0,COUNTIF(BN$6:BN$116,BN56)))+IFERROR(VLOOKUP((COUNT(BL$6:BL$116)/4),$ER$9:$ES$13,2,FALSE()),0),"")</f>
        <v/>
      </c>
      <c r="DQ56" s="30"/>
      <c r="DR56" s="31" t="str">
        <f aca="true">IFERROR(AVERAGE(OFFSET('Data - For Rank'!$N$2,BS56,0,COUNTIF(BS$6:BS$116,BS56)))+IFERROR(VLOOKUP((COUNT(BQ$6:BQ$116)/4),$ER$9:$ES$13,2,FALSE()),0),"")</f>
        <v/>
      </c>
      <c r="DS56" s="30"/>
      <c r="DT56" s="31" t="str">
        <f aca="true">IFERROR(AVERAGE(OFFSET('Data - For Rank'!$O$2,BX56,0,COUNTIF(BX$6:BX$116,BX56)))+IFERROR(VLOOKUP((COUNT(BV$6:BV$116)/4),$ER$9:$ES$13,2,FALSE()),0),"")</f>
        <v/>
      </c>
      <c r="DU56" s="30"/>
      <c r="DV56" s="31" t="str">
        <f aca="true">IFERROR(AVERAGE(OFFSET('Data - For Rank'!$P$2,CC56,0,COUNTIF(CC$6:CC$116,CC56)))+IFERROR(VLOOKUP((COUNT(CA$6:CA$116)/4),$ER$9:$ES$13,2,FALSE()),0),"")</f>
        <v/>
      </c>
      <c r="DW56" s="30"/>
      <c r="DX56" s="31" t="str">
        <f aca="true">IFERROR(AVERAGE(OFFSET('Data - For Rank'!$Q$2,CH56,0,COUNTIF(CH$6:CH$116,CH56)))+IFERROR(VLOOKUP((COUNT(CF$6:CF$116)/4),$ER$9:$ES$13,2,FALSE()),0),"")</f>
        <v/>
      </c>
      <c r="DY56" s="30"/>
      <c r="DZ56" s="31" t="str">
        <f aca="true">IFERROR(AVERAGE(OFFSET('Data - For Rank'!$R$2,CM56,0,COUNTIF(CM$6:CM$116,CM56)))+IFERROR(VLOOKUP((COUNT(CK$6:CK$116)/4),$ER$9:$ES$13,2,FALSE()),0),"")</f>
        <v/>
      </c>
      <c r="EA56" s="30"/>
      <c r="EB56" s="31" t="str">
        <f aca="true">IFERROR(AVERAGE(OFFSET('Data - For Rank'!$S$2,CR56,0,COUNTIF(CR$6:CR$116,CR56)))+IFERROR(VLOOKUP((COUNT(CP$6:CP$116)/4),$ER$9:$ES$13,2,FALSE()),0),"")</f>
        <v/>
      </c>
      <c r="EC56" s="32" t="n">
        <f aca="false">CS56+CU56+CW56+CY56+DA56+DC56+DE56+DG56+DI56+DK56+DM56+DO56+DQ56+DS56+DU56+DW56+DY56+EA56</f>
        <v>-2</v>
      </c>
      <c r="ED56" s="33" t="n">
        <f aca="false">IFERROR(AVERAGE(CT56,CV56,CX56,CZ56,DB56,DD56,DF56,DH56,DJ56,DL56,DN56,DP56,DR56,DT56,DV56,DX56,DZ56,EB56),0)</f>
        <v>10.6</v>
      </c>
      <c r="ET56" s="51"/>
    </row>
    <row r="57" customFormat="false" ht="13.5" hidden="false" customHeight="false" outlineLevel="0" collapsed="false">
      <c r="B57" s="8" t="n">
        <f aca="false">_xlfn.RANK.EQ(C57,$C$6:$C$63,)</f>
        <v>18</v>
      </c>
      <c r="C57" s="43" t="n">
        <f aca="false">EC57</f>
        <v>43</v>
      </c>
      <c r="D57" s="43" t="s">
        <v>133</v>
      </c>
      <c r="E57" s="9" t="s">
        <v>61</v>
      </c>
      <c r="F57" s="20" t="n">
        <f aca="false">COUNT(CT57,CV57,CX57,CZ57,DB57,DD57,DF57,DH57,DJ57,DL57,DN57,DP57,DR57,DT57,DV57,DX57,DZ57,EB57)</f>
        <v>2</v>
      </c>
      <c r="G57" s="49" t="str">
        <f aca="false">IF(CT57=0,"",CT57)</f>
        <v/>
      </c>
      <c r="H57" s="49"/>
      <c r="I57" s="49"/>
      <c r="K57" s="49"/>
      <c r="L57" s="49" t="str">
        <f aca="false">IF(CV57=0,"",CV57)</f>
        <v/>
      </c>
      <c r="M57" s="49"/>
      <c r="N57" s="49"/>
      <c r="P57" s="49"/>
      <c r="Q57" s="49" t="str">
        <f aca="false">IF(CX57=0,"",CX57)</f>
        <v/>
      </c>
      <c r="R57" s="49"/>
      <c r="S57" s="49"/>
      <c r="U57" s="49"/>
      <c r="V57" s="49" t="n">
        <f aca="false">IF(CZ57=0,"",CZ57)</f>
        <v>17</v>
      </c>
      <c r="W57" s="49"/>
      <c r="X57" s="49"/>
      <c r="Z57" s="49"/>
      <c r="AA57" s="49" t="str">
        <f aca="false">IF(DB57=0,"",DB57)</f>
        <v/>
      </c>
      <c r="AB57" s="49"/>
      <c r="AC57" s="49"/>
      <c r="AE57" s="49"/>
      <c r="AF57" s="49" t="str">
        <f aca="false">IF(DD57=0,"",DD57)</f>
        <v/>
      </c>
      <c r="AG57" s="49"/>
      <c r="AH57" s="49"/>
      <c r="AJ57" s="49"/>
      <c r="AK57" s="49" t="str">
        <f aca="false">IF(DF57=0,"",DF57)</f>
        <v/>
      </c>
      <c r="AL57" s="49"/>
      <c r="AM57" s="49"/>
      <c r="AO57" s="49"/>
      <c r="AP57" s="49" t="str">
        <f aca="false">IF(DH57=0,"",DH57)</f>
        <v/>
      </c>
      <c r="AQ57" s="49"/>
      <c r="AR57" s="49"/>
      <c r="AT57" s="49"/>
      <c r="AU57" s="49" t="n">
        <f aca="false">IF(DJ57=0,"",DJ57)</f>
        <v>26</v>
      </c>
      <c r="AV57" s="49"/>
      <c r="AW57" s="49"/>
      <c r="AY57" s="49"/>
      <c r="AZ57" s="49" t="str">
        <f aca="false">IF(DL57=0,"",DL57)</f>
        <v/>
      </c>
      <c r="BA57" s="49"/>
      <c r="BB57" s="49"/>
      <c r="BD57" s="49"/>
      <c r="BE57" s="49" t="str">
        <f aca="false">IF(DN57=0,"",DN57)</f>
        <v/>
      </c>
      <c r="BF57" s="49"/>
      <c r="BG57" s="49"/>
      <c r="BI57" s="49"/>
      <c r="BJ57" s="49" t="str">
        <f aca="false">IF(DP57=0,"",DP57)</f>
        <v/>
      </c>
      <c r="BK57" s="49"/>
      <c r="BL57" s="49"/>
      <c r="BN57" s="49"/>
      <c r="BO57" s="49" t="str">
        <f aca="false">IF(DR57=0,"",DR57)</f>
        <v/>
      </c>
      <c r="BP57" s="49"/>
      <c r="BQ57" s="49"/>
      <c r="BS57" s="49"/>
      <c r="BT57" s="49" t="str">
        <f aca="false">IF(DT57=0,"",DT57)</f>
        <v/>
      </c>
      <c r="BU57" s="49"/>
      <c r="BV57" s="49"/>
      <c r="BX57" s="49"/>
      <c r="BY57" s="49" t="str">
        <f aca="false">IF(DV57=0,"",DV57)</f>
        <v/>
      </c>
      <c r="BZ57" s="49"/>
      <c r="CA57" s="49"/>
      <c r="CC57" s="49"/>
      <c r="CD57" s="49" t="str">
        <f aca="false">IF(DX57=0,"",DX57)</f>
        <v/>
      </c>
      <c r="CE57" s="49"/>
      <c r="CF57" s="49"/>
      <c r="CH57" s="49"/>
      <c r="CI57" s="49" t="str">
        <f aca="false">IF(DZ57=0,"",DZ57)</f>
        <v/>
      </c>
      <c r="CJ57" s="49"/>
      <c r="CK57" s="49"/>
      <c r="CM57" s="49"/>
      <c r="CN57" s="49" t="str">
        <f aca="false">IF(EB57=0,"",EB57)</f>
        <v/>
      </c>
      <c r="CO57" s="49"/>
      <c r="CP57" s="49"/>
      <c r="CR57" s="49"/>
      <c r="CS57" s="21"/>
      <c r="CT57" s="22" t="str">
        <f aca="false">IFERROR(CT58+CT59,"")</f>
        <v/>
      </c>
      <c r="CU57" s="21"/>
      <c r="CV57" s="22" t="str">
        <f aca="false">IFERROR(CV58+CV59,"")</f>
        <v/>
      </c>
      <c r="CW57" s="21"/>
      <c r="CX57" s="22" t="str">
        <f aca="false">IFERROR(CX58+CX59,"")</f>
        <v/>
      </c>
      <c r="CY57" s="21" t="n">
        <v>91</v>
      </c>
      <c r="CZ57" s="22" t="n">
        <f aca="false">IFERROR(CZ58+CZ59,"")</f>
        <v>17</v>
      </c>
      <c r="DA57" s="21"/>
      <c r="DB57" s="22" t="str">
        <f aca="false">IFERROR(DB58+DB59,"")</f>
        <v/>
      </c>
      <c r="DC57" s="21"/>
      <c r="DD57" s="22" t="str">
        <f aca="false">IFERROR(DD58+DD59,"")</f>
        <v/>
      </c>
      <c r="DE57" s="21"/>
      <c r="DF57" s="22" t="str">
        <f aca="false">IFERROR(DF58+DF59,"")</f>
        <v/>
      </c>
      <c r="DG57" s="21"/>
      <c r="DH57" s="22" t="str">
        <f aca="false">IFERROR(DH58+DH59,"")</f>
        <v/>
      </c>
      <c r="DI57" s="21" t="n">
        <v>88</v>
      </c>
      <c r="DJ57" s="22" t="n">
        <f aca="false">IFERROR(DJ58+DJ59,"")</f>
        <v>26</v>
      </c>
      <c r="DK57" s="21"/>
      <c r="DL57" s="22" t="str">
        <f aca="false">IFERROR(DL58+DL59,"")</f>
        <v/>
      </c>
      <c r="DM57" s="21"/>
      <c r="DN57" s="22" t="str">
        <f aca="false">IFERROR(DN58+DN59,"")</f>
        <v/>
      </c>
      <c r="DO57" s="21"/>
      <c r="DP57" s="22" t="str">
        <f aca="false">IFERROR(DP58+DP59,"")</f>
        <v/>
      </c>
      <c r="DQ57" s="21"/>
      <c r="DR57" s="22" t="str">
        <f aca="false">IFERROR(DR58+DR59,"")</f>
        <v/>
      </c>
      <c r="DS57" s="21"/>
      <c r="DT57" s="22" t="str">
        <f aca="false">IFERROR(DT58+DT59,"")</f>
        <v/>
      </c>
      <c r="DU57" s="21"/>
      <c r="DV57" s="22" t="str">
        <f aca="false">IFERROR(DV58+DV59,"")</f>
        <v/>
      </c>
      <c r="DW57" s="21"/>
      <c r="DX57" s="22" t="str">
        <f aca="false">IFERROR(DX58+DX59,"")</f>
        <v/>
      </c>
      <c r="DY57" s="21"/>
      <c r="DZ57" s="22" t="str">
        <f aca="false">IFERROR(DZ58+DZ59,"")</f>
        <v/>
      </c>
      <c r="EA57" s="21"/>
      <c r="EB57" s="22" t="str">
        <f aca="false">IFERROR(EB58+EB59,"")</f>
        <v/>
      </c>
      <c r="EC57" s="17" t="n">
        <f aca="false">IFERROR(LARGE($G57:$CN57,1),0)+IFERROR(LARGE($G57:$CN57,2),0)+IFERROR(LARGE($G57:$CN57,3),0)+IFERROR(LARGE($G57:$CN57,4),0)+IFERROR(LARGE($G57:$CN57,5),0)+IFERROR(LARGE($G57:$CN57,6),0)+IFERROR(LARGE($G57:$CN57,7),0)+IFERROR(LARGE($G57:$CN57,8),0)+IFERROR(LARGE($G57:$CN57,9),0)+IFERROR(LARGE($G57:$CN57,10),0)</f>
        <v>43</v>
      </c>
      <c r="ED57" s="23" t="n">
        <f aca="false">IFERROR(AVERAGE(CT57,CV57,CX57,CZ57,DB57,DD57,DF57,DH57,DJ57,DL57,DN57,DP57,DR57,DT57,DV57,DX57,DZ57,EB57),0)</f>
        <v>21.5</v>
      </c>
      <c r="ET57" s="51"/>
    </row>
    <row r="58" s="1" customFormat="true" ht="13.5" hidden="false" customHeight="false" outlineLevel="1" collapsed="false">
      <c r="B58" s="24" t="n">
        <f aca="false">B57+0.19</f>
        <v>18.19</v>
      </c>
      <c r="D58" s="51" t="s">
        <v>134</v>
      </c>
      <c r="E58" s="7" t="s">
        <v>43</v>
      </c>
      <c r="F58" s="7"/>
      <c r="G58" s="7"/>
      <c r="H58" s="7" t="str">
        <f aca="false">IF(CS58=0,"",CS58)</f>
        <v/>
      </c>
      <c r="I58" s="7"/>
      <c r="J58" s="49" t="str">
        <f aca="false">IFERROR(RANK(H58,H$6:H$116,0),"")</f>
        <v/>
      </c>
      <c r="K58" s="7"/>
      <c r="L58" s="7"/>
      <c r="M58" s="7" t="str">
        <f aca="false">IF(CU58=0,"",CU58)</f>
        <v/>
      </c>
      <c r="N58" s="7"/>
      <c r="O58" s="49" t="str">
        <f aca="false">IFERROR(RANK(M58,M$6:M$116,0),"")</f>
        <v/>
      </c>
      <c r="P58" s="7"/>
      <c r="Q58" s="7"/>
      <c r="R58" s="7" t="str">
        <f aca="false">IF(CW58=0,"",CW58)</f>
        <v/>
      </c>
      <c r="S58" s="7"/>
      <c r="T58" s="49" t="str">
        <f aca="false">IFERROR(RANK(R58,R$6:R$116,0),"")</f>
        <v/>
      </c>
      <c r="U58" s="7"/>
      <c r="V58" s="7"/>
      <c r="W58" s="7" t="n">
        <f aca="false">IF(CY58=0,"",CY58)</f>
        <v>29</v>
      </c>
      <c r="X58" s="7"/>
      <c r="Y58" s="49" t="n">
        <f aca="false">IFERROR(RANK(W58,W$6:W$116,0),"")</f>
        <v>5</v>
      </c>
      <c r="Z58" s="7"/>
      <c r="AA58" s="7"/>
      <c r="AB58" s="7" t="str">
        <f aca="false">IF(DA58=0,"",DA58)</f>
        <v/>
      </c>
      <c r="AC58" s="7"/>
      <c r="AD58" s="49" t="str">
        <f aca="false">IFERROR(RANK(AB58,AB$6:AB$116,0),"")</f>
        <v/>
      </c>
      <c r="AE58" s="7"/>
      <c r="AF58" s="7"/>
      <c r="AG58" s="7" t="str">
        <f aca="false">IF(DC58=0,"",DC58)</f>
        <v/>
      </c>
      <c r="AH58" s="7"/>
      <c r="AI58" s="49" t="str">
        <f aca="false">IFERROR(RANK(AG58,AG$6:AG$116,0),"")</f>
        <v/>
      </c>
      <c r="AJ58" s="7"/>
      <c r="AK58" s="7"/>
      <c r="AL58" s="7" t="str">
        <f aca="false">IF(DE58=0,"",DE58)</f>
        <v/>
      </c>
      <c r="AM58" s="7"/>
      <c r="AN58" s="49" t="str">
        <f aca="false">IFERROR(RANK(AL58,AL$6:AL$116,0),"")</f>
        <v/>
      </c>
      <c r="AO58" s="7"/>
      <c r="AP58" s="7"/>
      <c r="AQ58" s="7" t="str">
        <f aca="false">IF(DG58=0,"",DG58)</f>
        <v/>
      </c>
      <c r="AR58" s="7"/>
      <c r="AS58" s="49" t="str">
        <f aca="false">IFERROR(RANK(AQ58,AQ$6:AQ$116,0),"")</f>
        <v/>
      </c>
      <c r="AT58" s="7"/>
      <c r="AU58" s="7"/>
      <c r="AV58" s="7" t="n">
        <f aca="false">IF(DI58=0,"",DI58)</f>
        <v>38</v>
      </c>
      <c r="AW58" s="7"/>
      <c r="AX58" s="49" t="n">
        <f aca="false">IFERROR(RANK(AV58,AV$6:AV$116,0),"")</f>
        <v>3</v>
      </c>
      <c r="AY58" s="7"/>
      <c r="AZ58" s="7"/>
      <c r="BA58" s="7" t="str">
        <f aca="false">IF(DK58=0,"",DK58)</f>
        <v/>
      </c>
      <c r="BB58" s="7"/>
      <c r="BC58" s="49" t="str">
        <f aca="false">IFERROR(RANK(BA58,BA$6:BA$116,0),"")</f>
        <v/>
      </c>
      <c r="BD58" s="7"/>
      <c r="BE58" s="7"/>
      <c r="BF58" s="7" t="str">
        <f aca="false">IF(DM58=0,"",DM58)</f>
        <v/>
      </c>
      <c r="BG58" s="7"/>
      <c r="BH58" s="49" t="str">
        <f aca="false">IFERROR(RANK(BF58,BF$6:BF$116,0),"")</f>
        <v/>
      </c>
      <c r="BI58" s="7"/>
      <c r="BJ58" s="7"/>
      <c r="BK58" s="7" t="str">
        <f aca="false">IF(DO58=0,"",DO58)</f>
        <v/>
      </c>
      <c r="BL58" s="7"/>
      <c r="BM58" s="49" t="str">
        <f aca="false">IFERROR(RANK(BK58,BK$6:BK$116,0),"")</f>
        <v/>
      </c>
      <c r="BN58" s="7"/>
      <c r="BO58" s="7"/>
      <c r="BP58" s="7" t="str">
        <f aca="false">IF(DQ58=0,"",DQ58)</f>
        <v/>
      </c>
      <c r="BQ58" s="7"/>
      <c r="BR58" s="49" t="str">
        <f aca="false">IFERROR(RANK(BP58,BP$6:BP$116,0),"")</f>
        <v/>
      </c>
      <c r="BS58" s="7"/>
      <c r="BT58" s="7"/>
      <c r="BU58" s="7" t="str">
        <f aca="false">IF(DS58=0,"",DS58)</f>
        <v/>
      </c>
      <c r="BV58" s="7"/>
      <c r="BW58" s="49" t="str">
        <f aca="false">IFERROR(RANK(BU58,BU$6:BU$116,0),"")</f>
        <v/>
      </c>
      <c r="BX58" s="7"/>
      <c r="BY58" s="7"/>
      <c r="BZ58" s="7" t="str">
        <f aca="false">IF(DU58=0,"",DU58)</f>
        <v/>
      </c>
      <c r="CA58" s="7"/>
      <c r="CB58" s="49" t="str">
        <f aca="false">IFERROR(RANK(BZ58,BZ$6:BZ$116,0),"")</f>
        <v/>
      </c>
      <c r="CC58" s="7"/>
      <c r="CD58" s="7"/>
      <c r="CE58" s="7" t="str">
        <f aca="false">IF(DW58=0,"",DW58)</f>
        <v/>
      </c>
      <c r="CF58" s="7"/>
      <c r="CG58" s="49" t="str">
        <f aca="false">IFERROR(RANK(CE58,CE$6:CE$116,0),"")</f>
        <v/>
      </c>
      <c r="CH58" s="7"/>
      <c r="CI58" s="7"/>
      <c r="CJ58" s="7" t="str">
        <f aca="false">IF(DY58=0,"",DY58)</f>
        <v/>
      </c>
      <c r="CK58" s="7"/>
      <c r="CL58" s="49" t="str">
        <f aca="false">IFERROR(RANK(CJ58,CJ$6:CJ$116,0),"")</f>
        <v/>
      </c>
      <c r="CM58" s="7"/>
      <c r="CN58" s="7"/>
      <c r="CO58" s="7" t="str">
        <f aca="false">IF(EA58=0,"",EA58)</f>
        <v/>
      </c>
      <c r="CP58" s="7"/>
      <c r="CQ58" s="49" t="str">
        <f aca="false">IFERROR(RANK(CO58,CO$6:CO$116,0),"")</f>
        <v/>
      </c>
      <c r="CR58" s="7"/>
      <c r="CS58" s="21"/>
      <c r="CT58" s="25" t="str">
        <f aca="true">IFERROR(AVERAGE(OFFSET('Data - For Rank'!B$2,J58,0,COUNTIF($J$7:J$116,J58)))+IFERROR(VLOOKUP((COUNT($H$6:$H$116)/4),$ER$9:$ES$13,2,FALSE()),0),"")</f>
        <v/>
      </c>
      <c r="CU58" s="21"/>
      <c r="CV58" s="25" t="str">
        <f aca="true">IFERROR(AVERAGE(OFFSET('Data - For Rank'!$C$2,O58,0,COUNTIF(O$7:O$116,O58)))+IFERROR(VLOOKUP((COUNT(M$6:M$116)/4),$ER$9:$ES$13,2,FALSE()),0),"")</f>
        <v/>
      </c>
      <c r="CW58" s="21"/>
      <c r="CX58" s="25" t="str">
        <f aca="true">IFERROR(AVERAGE(OFFSET('Data - For Rank'!D$2,T58,0,COUNTIF(T$7:T$116,T58)))+IFERROR(VLOOKUP((COUNT(R$6:R$116)/4),$ER$9:$ES$13,2,FALSE()),0),"")</f>
        <v/>
      </c>
      <c r="CY58" s="21" t="n">
        <v>29</v>
      </c>
      <c r="CZ58" s="25" t="n">
        <f aca="true">IFERROR(AVERAGE(OFFSET('Data - For Rank'!E$2,Y58,0,COUNTIF(Y$7:Y$116,Y58)))+IFERROR(VLOOKUP((COUNT(W$6:W$116)/4),$ER$9:$ES$13,2,FALSE()),0),"")</f>
        <v>10</v>
      </c>
      <c r="DA58" s="21"/>
      <c r="DB58" s="25" t="str">
        <f aca="true">IFERROR(AVERAGE(OFFSET('Data - For Rank'!F$2,AD58,0,COUNTIF(AD$7:AD$116,AD58)))+IFERROR(VLOOKUP((COUNT(AB$6:AB$116)/4),$ER$9:$ES$13,2,FALSE()),0),"")</f>
        <v/>
      </c>
      <c r="DC58" s="21"/>
      <c r="DD58" s="25" t="str">
        <f aca="true">IFERROR(AVERAGE(OFFSET('Data - For Rank'!G$2,AI58,0,COUNTIF(AI$7:AI$116,AI58)))+IFERROR(VLOOKUP((COUNT(AG$6:AG$116)/4),$ER$9:$ES$13,2,FALSE()),0),"")</f>
        <v/>
      </c>
      <c r="DE58" s="21"/>
      <c r="DF58" s="25" t="str">
        <f aca="true">IFERROR(AVERAGE(OFFSET('Data - For Rank'!$H$2,AN58,0,COUNTIF(AN$7:AN$116,AN58)))+IFERROR(VLOOKUP((COUNT(AL$6:AL$116)/4),$ER$9:$ES$13,2,FALSE()),0),"")</f>
        <v/>
      </c>
      <c r="DG58" s="21"/>
      <c r="DH58" s="25" t="str">
        <f aca="true">IFERROR(AVERAGE(OFFSET('Data - For Rank'!$I$2,AS58,0,COUNTIF(AS$7:AS$116,AS58)))+IFERROR(VLOOKUP((COUNT(AQ$6:AQ$116)/4),$ER$9:$ES$13,2,FALSE()),0),"")</f>
        <v/>
      </c>
      <c r="DI58" s="21" t="n">
        <v>38</v>
      </c>
      <c r="DJ58" s="25" t="n">
        <f aca="true">IFERROR(AVERAGE(OFFSET('Data - For Rank'!$J$2,AX58,0,COUNTIF(AX$7:AX$116,AX58)))+IFERROR(VLOOKUP((COUNT(AV$6:AV$116)/4),$ER$9:$ES$13,2,FALSE()),0),"")</f>
        <v>15</v>
      </c>
      <c r="DK58" s="21"/>
      <c r="DL58" s="25" t="str">
        <f aca="true">IFERROR(AVERAGE(OFFSET('Data - For Rank'!$K$2,BC58,0,COUNTIF(BC$7:BC$116,BC58)))+IFERROR(VLOOKUP((COUNT(BA$6:BA$116)/4),$ER$9:$ES$13,2,FALSE()),0),"")</f>
        <v/>
      </c>
      <c r="DM58" s="21"/>
      <c r="DN58" s="25" t="str">
        <f aca="true">IFERROR(AVERAGE(OFFSET('Data - For Rank'!$L$2,BH58,0,COUNTIF(BH$7:BH$116,BH58)))+IFERROR(VLOOKUP((COUNT(BF$6:BF$116)/4),$ER$9:$ES$13,2,FALSE()),0),"")</f>
        <v/>
      </c>
      <c r="DO58" s="21"/>
      <c r="DP58" s="25" t="str">
        <f aca="true">IFERROR(AVERAGE(OFFSET('Data - For Rank'!$M$2,BM58,0,COUNTIF(BM$7:BM$116,BM58)))+IFERROR(VLOOKUP((COUNT(BK$6:BK$116)/4),$ER$9:$ES$13,2,FALSE()),0),"")</f>
        <v/>
      </c>
      <c r="DQ58" s="21"/>
      <c r="DR58" s="25" t="str">
        <f aca="true">IFERROR(AVERAGE(OFFSET('Data - For Rank'!$N$2,BR58,0,COUNTIF(BR$7:BR$116,BR58)))+IFERROR(VLOOKUP((COUNT(BP$6:BP$116)/4),$ER$9:$ES$13,2,FALSE()),0),"")</f>
        <v/>
      </c>
      <c r="DS58" s="21"/>
      <c r="DT58" s="25" t="str">
        <f aca="true">IFERROR(AVERAGE(OFFSET('Data - For Rank'!$O$2,BW58,0,COUNTIF(BW$7:BW$116,BW58)))+IFERROR(VLOOKUP((COUNT(BU$6:BU$116)/4),$ER$9:$ES$13,2,FALSE()),0),"")</f>
        <v/>
      </c>
      <c r="DU58" s="21"/>
      <c r="DV58" s="25" t="str">
        <f aca="true">IFERROR(AVERAGE(OFFSET('Data - For Rank'!$P$2,CB58,0,COUNTIF(CB$7:CB$116,CB58)))+IFERROR(VLOOKUP((COUNT(BZ$6:BZ$116)/4),$ER$9:$ES$13,2,FALSE()),0),"")</f>
        <v/>
      </c>
      <c r="DW58" s="21"/>
      <c r="DX58" s="25" t="str">
        <f aca="true">IFERROR(AVERAGE(OFFSET('Data - For Rank'!$Q$2,CG58,0,COUNTIF(CG$7:CG$116,CG58)))+IFERROR(VLOOKUP((COUNT(CE$6:CE$116)/4),$ER$9:$ES$13,2,FALSE()),0),"")</f>
        <v/>
      </c>
      <c r="DY58" s="21"/>
      <c r="DZ58" s="25" t="str">
        <f aca="true">IFERROR(AVERAGE(OFFSET('Data - For Rank'!$R$2,CL58,0,COUNTIF(CL$7:CL$116,CL58)))+IFERROR(VLOOKUP((COUNT(CJ$6:CJ$116)/4),$ER$9:$ES$13,2,FALSE()),0),"")</f>
        <v/>
      </c>
      <c r="EA58" s="21"/>
      <c r="EB58" s="25" t="str">
        <f aca="true">IFERROR(AVERAGE(OFFSET('Data - For Rank'!$S$2,CQ58,0,COUNTIF(CQ$7:CQ$116,CQ58)))+IFERROR(VLOOKUP((COUNT(CO$6:CO$116)/4),$ER$9:$ES$13,2,FALSE()),0),"")</f>
        <v/>
      </c>
      <c r="EC58" s="26" t="n">
        <f aca="false">IFERROR(AVERAGE(CS58,CU58,CW58,CY58,DA58,DC58,DE58,DG58,DI58,DK58,DM58,DO58,DQ58,DS58,DU58,DW58,DY58,EA58),0)</f>
        <v>33.5</v>
      </c>
      <c r="ED58" s="23" t="n">
        <f aca="false">IFERROR(AVERAGE(CT58,CV58,CX58,CZ58,DB58,DD58,DF58,DH58,DJ58,DL58,DN58,DP58,DR58,DT58,DV58,DX58,DZ58,EB58),0)</f>
        <v>12.5</v>
      </c>
      <c r="EI58" s="1" t="str">
        <f aca="false">IF(CS58=0,"",CS58)</f>
        <v/>
      </c>
    </row>
    <row r="59" s="1" customFormat="true" ht="13.5" hidden="false" customHeight="false" outlineLevel="1" collapsed="false">
      <c r="B59" s="27" t="n">
        <f aca="false">B57+0.0219</f>
        <v>18.0219</v>
      </c>
      <c r="D59" s="51" t="s">
        <v>135</v>
      </c>
      <c r="E59" s="28" t="s">
        <v>44</v>
      </c>
      <c r="F59" s="29" t="n">
        <f aca="false">IF(COUNT(G57:CN57)&gt;10,SMALL(G57:CN57,COUNT(G57:CN57)-10),MIN(G57:CN57))</f>
        <v>17</v>
      </c>
      <c r="G59" s="29"/>
      <c r="H59" s="29"/>
      <c r="I59" s="53" t="str">
        <f aca="false">IF(CS59=0,"",CS59)</f>
        <v/>
      </c>
      <c r="J59" s="53"/>
      <c r="K59" s="54" t="str">
        <f aca="false">IFERROR(_xlfn.RANK.EQ(I59,I$6:I$116,0),"")</f>
        <v/>
      </c>
      <c r="L59" s="29"/>
      <c r="M59" s="29"/>
      <c r="N59" s="53" t="str">
        <f aca="false">IF(CU59=0,"",CU59)</f>
        <v/>
      </c>
      <c r="O59" s="53"/>
      <c r="P59" s="54" t="str">
        <f aca="false">IFERROR(_xlfn.RANK.EQ(N59,N$6:N$116,0),"")</f>
        <v/>
      </c>
      <c r="Q59" s="29"/>
      <c r="R59" s="29"/>
      <c r="S59" s="53" t="str">
        <f aca="false">IF(CW59=0,"",CW59)</f>
        <v/>
      </c>
      <c r="T59" s="53"/>
      <c r="U59" s="54" t="str">
        <f aca="false">IFERROR(_xlfn.RANK.EQ(S59,S$6:S$116,0),"")</f>
        <v/>
      </c>
      <c r="V59" s="29"/>
      <c r="W59" s="29"/>
      <c r="X59" s="53" t="n">
        <f aca="false">IF(CY59=0,"",CY59)</f>
        <v>-41</v>
      </c>
      <c r="Y59" s="53"/>
      <c r="Z59" s="54" t="n">
        <f aca="false">IFERROR(_xlfn.RANK.EQ(X59,X$6:X$116,0),"")</f>
        <v>8</v>
      </c>
      <c r="AA59" s="29"/>
      <c r="AB59" s="29"/>
      <c r="AC59" s="53" t="str">
        <f aca="false">IF(DA59=0,"",DA59)</f>
        <v/>
      </c>
      <c r="AD59" s="53"/>
      <c r="AE59" s="54" t="str">
        <f aca="false">IFERROR(_xlfn.RANK.EQ(AC59,AC$6:AC$116,0),"")</f>
        <v/>
      </c>
      <c r="AF59" s="29"/>
      <c r="AG59" s="29"/>
      <c r="AH59" s="53" t="str">
        <f aca="false">IF(DC59=0,"",DC59)</f>
        <v/>
      </c>
      <c r="AI59" s="53"/>
      <c r="AJ59" s="54" t="str">
        <f aca="false">IFERROR(_xlfn.RANK.EQ(AH59,AH$6:AH$116,0),"")</f>
        <v/>
      </c>
      <c r="AK59" s="29"/>
      <c r="AL59" s="29"/>
      <c r="AM59" s="53" t="str">
        <f aca="false">IF(DE59=0,"",DE59)</f>
        <v/>
      </c>
      <c r="AN59" s="53"/>
      <c r="AO59" s="54" t="str">
        <f aca="false">IFERROR(_xlfn.RANK.EQ(AM59,AM$6:AM$116,0),"")</f>
        <v/>
      </c>
      <c r="AP59" s="29"/>
      <c r="AQ59" s="29"/>
      <c r="AR59" s="53" t="str">
        <f aca="false">IF(DG59=0,"",DG59)</f>
        <v/>
      </c>
      <c r="AS59" s="53"/>
      <c r="AT59" s="54" t="str">
        <f aca="false">IFERROR(_xlfn.RANK.EQ(AR59,AR$6:AR$116,0),"")</f>
        <v/>
      </c>
      <c r="AU59" s="29"/>
      <c r="AV59" s="29"/>
      <c r="AW59" s="53" t="n">
        <f aca="false">IF(DI59=0,"",DI59)</f>
        <v>3</v>
      </c>
      <c r="AX59" s="53"/>
      <c r="AY59" s="54" t="n">
        <f aca="false">IFERROR(_xlfn.RANK.EQ(AW59,AW$6:AW$116,0),"")</f>
        <v>7</v>
      </c>
      <c r="AZ59" s="29"/>
      <c r="BA59" s="29"/>
      <c r="BB59" s="53" t="str">
        <f aca="false">IF(DK59=0,"",DK59)</f>
        <v/>
      </c>
      <c r="BC59" s="53"/>
      <c r="BD59" s="54" t="str">
        <f aca="false">IFERROR(_xlfn.RANK.EQ(BB59,BB$6:BB$116,0),"")</f>
        <v/>
      </c>
      <c r="BE59" s="29"/>
      <c r="BF59" s="29"/>
      <c r="BG59" s="53" t="str">
        <f aca="false">IF(DM59=0,"",DM59)</f>
        <v/>
      </c>
      <c r="BH59" s="53"/>
      <c r="BI59" s="54" t="str">
        <f aca="false">IFERROR(_xlfn.RANK.EQ(BG59,BG$6:BG$116,0),"")</f>
        <v/>
      </c>
      <c r="BJ59" s="29"/>
      <c r="BK59" s="29"/>
      <c r="BL59" s="53" t="str">
        <f aca="false">IF(DO59=0,"",DO59)</f>
        <v/>
      </c>
      <c r="BM59" s="53"/>
      <c r="BN59" s="54" t="str">
        <f aca="false">IFERROR(_xlfn.RANK.EQ(BL59,BL$6:BL$116,0),"")</f>
        <v/>
      </c>
      <c r="BO59" s="29"/>
      <c r="BP59" s="29"/>
      <c r="BQ59" s="53" t="str">
        <f aca="false">IF(DQ59=0,"",DQ59)</f>
        <v/>
      </c>
      <c r="BR59" s="53"/>
      <c r="BS59" s="54" t="str">
        <f aca="false">IFERROR(_xlfn.RANK.EQ(BQ59,BQ$6:BQ$116,0),"")</f>
        <v/>
      </c>
      <c r="BT59" s="29"/>
      <c r="BU59" s="29"/>
      <c r="BV59" s="53" t="str">
        <f aca="false">IF(DS59=0,"",DS59)</f>
        <v/>
      </c>
      <c r="BW59" s="53"/>
      <c r="BX59" s="54" t="str">
        <f aca="false">IFERROR(_xlfn.RANK.EQ(BV59,BV$6:BV$116,0),"")</f>
        <v/>
      </c>
      <c r="BY59" s="29"/>
      <c r="BZ59" s="29"/>
      <c r="CA59" s="53" t="str">
        <f aca="false">IF(DU59=0,"",DU59)</f>
        <v/>
      </c>
      <c r="CB59" s="53"/>
      <c r="CC59" s="54" t="str">
        <f aca="false">IFERROR(_xlfn.RANK.EQ(CA59,CA$6:CA$116,0),"")</f>
        <v/>
      </c>
      <c r="CD59" s="29"/>
      <c r="CE59" s="29"/>
      <c r="CF59" s="53" t="str">
        <f aca="false">IF(DW59=0,"",DW59)</f>
        <v/>
      </c>
      <c r="CG59" s="53"/>
      <c r="CH59" s="54" t="str">
        <f aca="false">IFERROR(_xlfn.RANK.EQ(CF59,CF$6:CF$116,0),"")</f>
        <v/>
      </c>
      <c r="CI59" s="29"/>
      <c r="CJ59" s="29"/>
      <c r="CK59" s="53" t="str">
        <f aca="false">IF(DY59=0,"",DY59)</f>
        <v/>
      </c>
      <c r="CL59" s="53"/>
      <c r="CM59" s="54" t="str">
        <f aca="false">IFERROR(_xlfn.RANK.EQ(CK59,CK$6:CK$116,0),"")</f>
        <v/>
      </c>
      <c r="CN59" s="29"/>
      <c r="CO59" s="29"/>
      <c r="CP59" s="53" t="str">
        <f aca="false">IF(EA59=0,"",EA59)</f>
        <v/>
      </c>
      <c r="CQ59" s="53"/>
      <c r="CR59" s="54" t="str">
        <f aca="false">IFERROR(_xlfn.RANK.EQ(CP59,CP$6:CP$116,0),"")</f>
        <v/>
      </c>
      <c r="CS59" s="30"/>
      <c r="CT59" s="31" t="str">
        <f aca="true">IFERROR(AVERAGE(OFFSET('Data - For Rank'!B$2,K59,0,COUNTIF(K$6:K$116,K59)))+IFERROR(VLOOKUP((COUNT($I$6:$I$116)/4),$ER$9:$ES$13,2,FALSE()),0),"")</f>
        <v/>
      </c>
      <c r="CU59" s="30"/>
      <c r="CV59" s="31" t="str">
        <f aca="true">IFERROR(AVERAGE(OFFSET('Data - For Rank'!$C$2,P59,0,COUNTIF(P$6:P$116,P59)))+IFERROR(VLOOKUP((COUNT(N$6:N$116)/4),$ER$9:$ES$13,2,FALSE()),0),"")</f>
        <v/>
      </c>
      <c r="CW59" s="30"/>
      <c r="CX59" s="31" t="str">
        <f aca="true">IFERROR(AVERAGE(OFFSET('Data - For Rank'!D$2,U59,0,COUNTIF(U$6:$U167,U59)))+IFERROR(VLOOKUP((COUNT(S$6:S$116)/4),$ER$9:$ES$13,2,FALSE()),0),"")</f>
        <v/>
      </c>
      <c r="CY59" s="30" t="n">
        <v>-41</v>
      </c>
      <c r="CZ59" s="31" t="n">
        <f aca="true">IFERROR(AVERAGE(OFFSET('Data - For Rank'!E$2,Z59,0,COUNTIF(Z$6:Z$116,Z59)))+IFERROR(VLOOKUP((COUNT(W$6:W$116)/4),$ER$9:$ES$13,2,FALSE()),0),"")</f>
        <v>7</v>
      </c>
      <c r="DA59" s="30"/>
      <c r="DB59" s="31" t="str">
        <f aca="true">IFERROR(AVERAGE(OFFSET('Data - For Rank'!F$2,AE59,0,COUNTIF(AE$6:AE$116,AE59)))+IFERROR(VLOOKUP((COUNT(AC$6:AC$116)/4),$ER$9:$ES$13,2,FALSE()),0),"")</f>
        <v/>
      </c>
      <c r="DC59" s="30"/>
      <c r="DD59" s="31" t="str">
        <f aca="true">IFERROR(AVERAGE(OFFSET('Data - For Rank'!G$2,AJ59,0,COUNTIF(AJ$6:AJ$116,AJ59)))+IFERROR(VLOOKUP((COUNT(AH$6:AH$116)/4),$ER$9:$ES$13,2,FALSE()),0),"")</f>
        <v/>
      </c>
      <c r="DE59" s="30"/>
      <c r="DF59" s="31" t="str">
        <f aca="true">IFERROR(AVERAGE(OFFSET('Data - For Rank'!$H$2,AO59,0,COUNTIF(AO$6:AO$116,AO59)))+IFERROR(VLOOKUP((COUNT(AM$6:AM$116)/4),$ER$9:$ES$13,2,FALSE()),0),"")</f>
        <v/>
      </c>
      <c r="DG59" s="30"/>
      <c r="DH59" s="31" t="str">
        <f aca="true">IFERROR(AVERAGE(OFFSET('Data - For Rank'!$I$2,AT59,0,COUNTIF(AT$6:AT$116,AT59)))+IFERROR(VLOOKUP((COUNT(AR$6:AR$116)/4),$ER$9:$ES$13,2,FALSE()),0),"")</f>
        <v/>
      </c>
      <c r="DI59" s="30" t="n">
        <v>3</v>
      </c>
      <c r="DJ59" s="31" t="n">
        <f aca="true">IFERROR(AVERAGE(OFFSET('Data - For Rank'!$J$2,AY59,0,COUNTIF(AY$6:AY$116,AY59)))+IFERROR(VLOOKUP((COUNT(AW$6:AW$116)/4),$ER$9:$ES$13,2,FALSE()),0),"")</f>
        <v>11</v>
      </c>
      <c r="DK59" s="30"/>
      <c r="DL59" s="31" t="str">
        <f aca="true">IFERROR(AVERAGE(OFFSET('Data - For Rank'!$K$2,BD59,0,COUNTIF(BD$6:BD$116,BD59)))+IFERROR(VLOOKUP((COUNT(BB$6:BB$116)/4),$ER$9:$ES$13,2,FALSE()),0),"")</f>
        <v/>
      </c>
      <c r="DM59" s="30"/>
      <c r="DN59" s="31" t="str">
        <f aca="true">IFERROR(AVERAGE(OFFSET('Data - For Rank'!$L$2,BI59,0,COUNTIF(BI$6:BI$116,BI59)))+IFERROR(VLOOKUP((COUNT(BG$6:BG$116)/4),$ER$9:$ES$13,2,FALSE()),0),"")</f>
        <v/>
      </c>
      <c r="DO59" s="30"/>
      <c r="DP59" s="31" t="str">
        <f aca="true">IFERROR(AVERAGE(OFFSET('Data - For Rank'!$M$2,BN59,0,COUNTIF(BN$6:BN$116,BN59)))+IFERROR(VLOOKUP((COUNT(BL$6:BL$116)/4),$ER$9:$ES$13,2,FALSE()),0),"")</f>
        <v/>
      </c>
      <c r="DQ59" s="30"/>
      <c r="DR59" s="31" t="str">
        <f aca="true">IFERROR(AVERAGE(OFFSET('Data - For Rank'!$N$2,BS59,0,COUNTIF(BS$6:BS$116,BS59)))+IFERROR(VLOOKUP((COUNT(BQ$6:BQ$116)/4),$ER$9:$ES$13,2,FALSE()),0),"")</f>
        <v/>
      </c>
      <c r="DS59" s="30"/>
      <c r="DT59" s="31" t="str">
        <f aca="true">IFERROR(AVERAGE(OFFSET('Data - For Rank'!$O$2,BX59,0,COUNTIF(BX$6:BX$116,BX59)))+IFERROR(VLOOKUP((COUNT(BV$6:BV$116)/4),$ER$9:$ES$13,2,FALSE()),0),"")</f>
        <v/>
      </c>
      <c r="DU59" s="30"/>
      <c r="DV59" s="31" t="str">
        <f aca="true">IFERROR(AVERAGE(OFFSET('Data - For Rank'!$P$2,CC59,0,COUNTIF(CC$6:CC$116,CC59)))+IFERROR(VLOOKUP((COUNT(CA$6:CA$116)/4),$ER$9:$ES$13,2,FALSE()),0),"")</f>
        <v/>
      </c>
      <c r="DW59" s="30"/>
      <c r="DX59" s="31" t="str">
        <f aca="true">IFERROR(AVERAGE(OFFSET('Data - For Rank'!$Q$2,CH59,0,COUNTIF(CH$6:CH$116,CH59)))+IFERROR(VLOOKUP((COUNT(CF$6:CF$116)/4),$ER$9:$ES$13,2,FALSE()),0),"")</f>
        <v/>
      </c>
      <c r="DY59" s="30"/>
      <c r="DZ59" s="31" t="str">
        <f aca="true">IFERROR(AVERAGE(OFFSET('Data - For Rank'!$R$2,CM59,0,COUNTIF(CM$6:CM$116,CM59)))+IFERROR(VLOOKUP((COUNT(CK$6:CK$116)/4),$ER$9:$ES$13,2,FALSE()),0),"")</f>
        <v/>
      </c>
      <c r="EA59" s="30"/>
      <c r="EB59" s="31" t="str">
        <f aca="true">IFERROR(AVERAGE(OFFSET('Data - For Rank'!$S$2,CR59,0,COUNTIF(CR$6:CR$116,CR59)))+IFERROR(VLOOKUP((COUNT(CP$6:CP$116)/4),$ER$9:$ES$13,2,FALSE()),0),"")</f>
        <v/>
      </c>
      <c r="EC59" s="32" t="n">
        <f aca="false">CS59+CU59+CW59+CY59+DA59+DC59+DE59+DG59+DI59+DK59+DM59+DO59+DQ59+DS59+DU59+DW59+DY59+EA59</f>
        <v>-38</v>
      </c>
      <c r="ED59" s="33" t="n">
        <f aca="false">IFERROR(AVERAGE(CT59,CV59,CX59,CZ59,DB59,DD59,DF59,DH59,DJ59,DL59,DN59,DP59,DR59,DT59,DV59,DX59,DZ59,EB59),0)</f>
        <v>9</v>
      </c>
    </row>
    <row r="60" customFormat="false" ht="13.5" hidden="false" customHeight="false" outlineLevel="0" collapsed="false">
      <c r="B60" s="8" t="n">
        <f aca="false">_xlfn.RANK.EQ(C60,$C$6:$C$63,)</f>
        <v>19</v>
      </c>
      <c r="C60" s="43" t="n">
        <f aca="false">EC60</f>
        <v>0</v>
      </c>
      <c r="D60" s="43" t="s">
        <v>62</v>
      </c>
      <c r="E60" s="9" t="s">
        <v>62</v>
      </c>
      <c r="F60" s="20" t="n">
        <f aca="false">COUNT(CT60,CV60,CX60,CZ60,DB60,DD60,DF60,DH60,DJ60,DL60,DN60,DP60,DR60,DT60,DV60,DX60,DZ60,EB60)</f>
        <v>0</v>
      </c>
      <c r="G60" s="49" t="str">
        <f aca="false">IF(CT60=0,"",CT60)</f>
        <v/>
      </c>
      <c r="H60" s="49"/>
      <c r="I60" s="49"/>
      <c r="K60" s="49"/>
      <c r="L60" s="49" t="str">
        <f aca="false">IF(CV60=0,"",CV60)</f>
        <v/>
      </c>
      <c r="M60" s="49"/>
      <c r="N60" s="49"/>
      <c r="P60" s="49"/>
      <c r="Q60" s="49" t="str">
        <f aca="false">IF(CX60=0,"",CX60)</f>
        <v/>
      </c>
      <c r="R60" s="49"/>
      <c r="S60" s="49"/>
      <c r="U60" s="49"/>
      <c r="V60" s="49" t="str">
        <f aca="false">IF(CZ60=0,"",CZ60)</f>
        <v/>
      </c>
      <c r="W60" s="49"/>
      <c r="X60" s="49"/>
      <c r="Z60" s="49"/>
      <c r="AA60" s="49" t="str">
        <f aca="false">IF(DB60=0,"",DB60)</f>
        <v/>
      </c>
      <c r="AB60" s="49"/>
      <c r="AC60" s="49"/>
      <c r="AE60" s="49"/>
      <c r="AF60" s="49" t="str">
        <f aca="false">IF(DD60=0,"",DD60)</f>
        <v/>
      </c>
      <c r="AG60" s="49"/>
      <c r="AH60" s="49"/>
      <c r="AJ60" s="49"/>
      <c r="AK60" s="49" t="str">
        <f aca="false">IF(DF60=0,"",DF60)</f>
        <v/>
      </c>
      <c r="AL60" s="49"/>
      <c r="AM60" s="49"/>
      <c r="AO60" s="49"/>
      <c r="AP60" s="49" t="str">
        <f aca="false">IF(DH60=0,"",DH60)</f>
        <v/>
      </c>
      <c r="AQ60" s="49"/>
      <c r="AR60" s="49"/>
      <c r="AT60" s="49"/>
      <c r="AU60" s="49" t="str">
        <f aca="false">IF(DJ60=0,"",DJ60)</f>
        <v/>
      </c>
      <c r="AV60" s="49"/>
      <c r="AW60" s="49"/>
      <c r="AY60" s="49"/>
      <c r="AZ60" s="49" t="str">
        <f aca="false">IF(DL60=0,"",DL60)</f>
        <v/>
      </c>
      <c r="BA60" s="49"/>
      <c r="BB60" s="49"/>
      <c r="BD60" s="49"/>
      <c r="BE60" s="49" t="str">
        <f aca="false">IF(DN60=0,"",DN60)</f>
        <v/>
      </c>
      <c r="BF60" s="49"/>
      <c r="BG60" s="49"/>
      <c r="BI60" s="49"/>
      <c r="BJ60" s="49" t="str">
        <f aca="false">IF(DP60=0,"",DP60)</f>
        <v/>
      </c>
      <c r="BK60" s="49"/>
      <c r="BL60" s="49"/>
      <c r="BN60" s="49"/>
      <c r="BO60" s="49" t="str">
        <f aca="false">IF(DR60=0,"",DR60)</f>
        <v/>
      </c>
      <c r="BP60" s="49"/>
      <c r="BQ60" s="49"/>
      <c r="BS60" s="49"/>
      <c r="BT60" s="49" t="str">
        <f aca="false">IF(DT60=0,"",DT60)</f>
        <v/>
      </c>
      <c r="BU60" s="49"/>
      <c r="BV60" s="49"/>
      <c r="BX60" s="49"/>
      <c r="BY60" s="49" t="str">
        <f aca="false">IF(DV60=0,"",DV60)</f>
        <v/>
      </c>
      <c r="BZ60" s="49"/>
      <c r="CA60" s="49"/>
      <c r="CC60" s="49"/>
      <c r="CD60" s="49" t="str">
        <f aca="false">IF(DX60=0,"",DX60)</f>
        <v/>
      </c>
      <c r="CE60" s="49"/>
      <c r="CF60" s="49"/>
      <c r="CH60" s="49"/>
      <c r="CI60" s="49" t="str">
        <f aca="false">IF(DZ60=0,"",DZ60)</f>
        <v/>
      </c>
      <c r="CJ60" s="49"/>
      <c r="CK60" s="49"/>
      <c r="CM60" s="49"/>
      <c r="CN60" s="49" t="str">
        <f aca="false">IF(EB60=0,"",EB60)</f>
        <v/>
      </c>
      <c r="CO60" s="49"/>
      <c r="CP60" s="49"/>
      <c r="CR60" s="49"/>
      <c r="CS60" s="21"/>
      <c r="CT60" s="22" t="str">
        <f aca="false">IFERROR(CT61+CT62,"")</f>
        <v/>
      </c>
      <c r="CU60" s="21"/>
      <c r="CV60" s="22" t="str">
        <f aca="false">IFERROR(CV61+CV62,"")</f>
        <v/>
      </c>
      <c r="CW60" s="21"/>
      <c r="CX60" s="22" t="str">
        <f aca="false">IFERROR(CX61+CX62,"")</f>
        <v/>
      </c>
      <c r="CY60" s="21"/>
      <c r="CZ60" s="22" t="str">
        <f aca="false">IFERROR(CZ61+CZ62,"")</f>
        <v/>
      </c>
      <c r="DA60" s="21"/>
      <c r="DB60" s="22" t="str">
        <f aca="false">IFERROR(DB61+DB62,"")</f>
        <v/>
      </c>
      <c r="DC60" s="21"/>
      <c r="DD60" s="22" t="str">
        <f aca="false">IFERROR(DD61+DD62,"")</f>
        <v/>
      </c>
      <c r="DE60" s="21"/>
      <c r="DF60" s="22" t="str">
        <f aca="false">IFERROR(DF61+DF62,"")</f>
        <v/>
      </c>
      <c r="DG60" s="21"/>
      <c r="DH60" s="22" t="str">
        <f aca="false">IFERROR(DH61+DH62,"")</f>
        <v/>
      </c>
      <c r="DI60" s="21"/>
      <c r="DJ60" s="22" t="str">
        <f aca="false">IFERROR(DJ61+DJ62,"")</f>
        <v/>
      </c>
      <c r="DK60" s="21"/>
      <c r="DL60" s="22" t="str">
        <f aca="false">IFERROR(DL61+DL62,"")</f>
        <v/>
      </c>
      <c r="DM60" s="21"/>
      <c r="DN60" s="22" t="str">
        <f aca="false">IFERROR(DN61+DN62,"")</f>
        <v/>
      </c>
      <c r="DO60" s="21"/>
      <c r="DP60" s="22" t="str">
        <f aca="false">IFERROR(DP61+DP62,"")</f>
        <v/>
      </c>
      <c r="DQ60" s="21"/>
      <c r="DR60" s="22" t="str">
        <f aca="false">IFERROR(DR61+DR62,"")</f>
        <v/>
      </c>
      <c r="DS60" s="21"/>
      <c r="DT60" s="22" t="str">
        <f aca="false">IFERROR(DT61+DT62,"")</f>
        <v/>
      </c>
      <c r="DU60" s="21"/>
      <c r="DV60" s="22" t="str">
        <f aca="false">IFERROR(DV61+DV62,"")</f>
        <v/>
      </c>
      <c r="DW60" s="21"/>
      <c r="DX60" s="22" t="str">
        <f aca="false">IFERROR(DX61+DX62,"")</f>
        <v/>
      </c>
      <c r="DY60" s="21"/>
      <c r="DZ60" s="22" t="str">
        <f aca="false">IFERROR(DZ61+DZ62,"")</f>
        <v/>
      </c>
      <c r="EA60" s="21"/>
      <c r="EB60" s="22" t="str">
        <f aca="false">IFERROR(EB61+EB62,"")</f>
        <v/>
      </c>
      <c r="EC60" s="17" t="n">
        <f aca="false">IFERROR(LARGE($G60:$CN60,1),0)+IFERROR(LARGE($G60:$CN60,2),0)+IFERROR(LARGE($G60:$CN60,3),0)+IFERROR(LARGE($G60:$CN60,4),0)+IFERROR(LARGE($G60:$CN60,5),0)+IFERROR(LARGE($G60:$CN60,6),0)+IFERROR(LARGE($G60:$CN60,7),0)+IFERROR(LARGE($G60:$CN60,8),0)+IFERROR(LARGE($G60:$CN60,9),0)+IFERROR(LARGE($G60:$CN60,10),0)</f>
        <v>0</v>
      </c>
      <c r="ED60" s="23" t="n">
        <f aca="false">IFERROR(AVERAGE(CT60,CV60,CX60,CZ60,DB60,DD60,DF60,DH60,DJ60,DL60,DN60,DP60,DR60,DT60,DV60,DX60,DZ60,EB60),0)</f>
        <v>0</v>
      </c>
    </row>
    <row r="61" s="1" customFormat="true" ht="13.5" hidden="false" customHeight="false" outlineLevel="1" collapsed="false">
      <c r="B61" s="24" t="n">
        <f aca="false">B60+0.121</f>
        <v>19.121</v>
      </c>
      <c r="D61" s="51" t="s">
        <v>136</v>
      </c>
      <c r="E61" s="7" t="s">
        <v>43</v>
      </c>
      <c r="F61" s="7"/>
      <c r="G61" s="7"/>
      <c r="H61" s="7" t="str">
        <f aca="false">IF(CS61=0,"",CS61)</f>
        <v/>
      </c>
      <c r="I61" s="7"/>
      <c r="J61" s="49" t="str">
        <f aca="false">IFERROR(RANK(H61,H$6:H$116,0),"")</f>
        <v/>
      </c>
      <c r="K61" s="7"/>
      <c r="L61" s="7"/>
      <c r="M61" s="7" t="str">
        <f aca="false">IF(CU61=0,"",CU61)</f>
        <v/>
      </c>
      <c r="N61" s="7"/>
      <c r="O61" s="49" t="str">
        <f aca="false">IFERROR(RANK(M61,M$6:M$116,0),"")</f>
        <v/>
      </c>
      <c r="P61" s="7"/>
      <c r="Q61" s="7"/>
      <c r="R61" s="7" t="str">
        <f aca="false">IF(CW61=0,"",CW61)</f>
        <v/>
      </c>
      <c r="S61" s="7"/>
      <c r="T61" s="49" t="str">
        <f aca="false">IFERROR(RANK(R61,R$6:R$116,0),"")</f>
        <v/>
      </c>
      <c r="U61" s="7"/>
      <c r="V61" s="7"/>
      <c r="W61" s="7" t="str">
        <f aca="false">IF(CY61=0,"",CY61)</f>
        <v/>
      </c>
      <c r="X61" s="7"/>
      <c r="Y61" s="49" t="str">
        <f aca="false">IFERROR(RANK(W61,W$6:W$116,0),"")</f>
        <v/>
      </c>
      <c r="Z61" s="7"/>
      <c r="AA61" s="7"/>
      <c r="AB61" s="7" t="str">
        <f aca="false">IF(DA61=0,"",DA61)</f>
        <v/>
      </c>
      <c r="AC61" s="7"/>
      <c r="AD61" s="49" t="str">
        <f aca="false">IFERROR(RANK(AB61,AB$6:AB$116,0),"")</f>
        <v/>
      </c>
      <c r="AE61" s="7"/>
      <c r="AF61" s="7"/>
      <c r="AG61" s="7" t="str">
        <f aca="false">IF(DC61=0,"",DC61)</f>
        <v/>
      </c>
      <c r="AH61" s="7"/>
      <c r="AI61" s="49" t="str">
        <f aca="false">IFERROR(RANK(AG61,AG$6:AG$116,0),"")</f>
        <v/>
      </c>
      <c r="AJ61" s="7"/>
      <c r="AK61" s="7"/>
      <c r="AL61" s="7" t="str">
        <f aca="false">IF(DE61=0,"",DE61)</f>
        <v/>
      </c>
      <c r="AM61" s="7"/>
      <c r="AN61" s="49" t="str">
        <f aca="false">IFERROR(RANK(AL61,AL$6:AL$116,0),"")</f>
        <v/>
      </c>
      <c r="AO61" s="7"/>
      <c r="AP61" s="7"/>
      <c r="AQ61" s="7" t="str">
        <f aca="false">IF(DG61=0,"",DG61)</f>
        <v/>
      </c>
      <c r="AR61" s="7"/>
      <c r="AS61" s="49" t="str">
        <f aca="false">IFERROR(RANK(AQ61,AQ$6:AQ$116,0),"")</f>
        <v/>
      </c>
      <c r="AT61" s="7"/>
      <c r="AU61" s="7"/>
      <c r="AV61" s="7" t="str">
        <f aca="false">IF(DI61=0,"",DI61)</f>
        <v/>
      </c>
      <c r="AW61" s="7"/>
      <c r="AX61" s="49" t="str">
        <f aca="false">IFERROR(RANK(AV61,AV$6:AV$116,0),"")</f>
        <v/>
      </c>
      <c r="AY61" s="7"/>
      <c r="AZ61" s="7"/>
      <c r="BA61" s="7" t="str">
        <f aca="false">IF(DK61=0,"",DK61)</f>
        <v/>
      </c>
      <c r="BB61" s="7"/>
      <c r="BC61" s="49" t="str">
        <f aca="false">IFERROR(RANK(BA61,BA$6:BA$116,0),"")</f>
        <v/>
      </c>
      <c r="BD61" s="7"/>
      <c r="BE61" s="7"/>
      <c r="BF61" s="7" t="str">
        <f aca="false">IF(DM61=0,"",DM61)</f>
        <v/>
      </c>
      <c r="BG61" s="7"/>
      <c r="BH61" s="49" t="str">
        <f aca="false">IFERROR(RANK(BF61,BF$6:BF$116,0),"")</f>
        <v/>
      </c>
      <c r="BI61" s="7"/>
      <c r="BJ61" s="7"/>
      <c r="BK61" s="7" t="str">
        <f aca="false">IF(DO61=0,"",DO61)</f>
        <v/>
      </c>
      <c r="BL61" s="7"/>
      <c r="BM61" s="49" t="str">
        <f aca="false">IFERROR(RANK(BK61,BK$6:BK$116,0),"")</f>
        <v/>
      </c>
      <c r="BN61" s="7"/>
      <c r="BO61" s="7"/>
      <c r="BP61" s="7" t="str">
        <f aca="false">IF(DQ61=0,"",DQ61)</f>
        <v/>
      </c>
      <c r="BQ61" s="7"/>
      <c r="BR61" s="49" t="str">
        <f aca="false">IFERROR(RANK(BP61,BP$6:BP$116,0),"")</f>
        <v/>
      </c>
      <c r="BS61" s="7"/>
      <c r="BT61" s="7"/>
      <c r="BU61" s="7" t="str">
        <f aca="false">IF(DS61=0,"",DS61)</f>
        <v/>
      </c>
      <c r="BV61" s="7"/>
      <c r="BW61" s="49" t="str">
        <f aca="false">IFERROR(RANK(BU61,BU$6:BU$116,0),"")</f>
        <v/>
      </c>
      <c r="BX61" s="7"/>
      <c r="BY61" s="7"/>
      <c r="BZ61" s="7" t="str">
        <f aca="false">IF(DU61=0,"",DU61)</f>
        <v/>
      </c>
      <c r="CA61" s="7"/>
      <c r="CB61" s="49" t="str">
        <f aca="false">IFERROR(RANK(BZ61,BZ$6:BZ$116,0),"")</f>
        <v/>
      </c>
      <c r="CC61" s="7"/>
      <c r="CD61" s="7"/>
      <c r="CE61" s="7" t="str">
        <f aca="false">IF(DW61=0,"",DW61)</f>
        <v/>
      </c>
      <c r="CF61" s="7"/>
      <c r="CG61" s="49" t="str">
        <f aca="false">IFERROR(RANK(CE61,CE$6:CE$116,0),"")</f>
        <v/>
      </c>
      <c r="CH61" s="7"/>
      <c r="CI61" s="7"/>
      <c r="CJ61" s="7" t="str">
        <f aca="false">IF(DY61=0,"",DY61)</f>
        <v/>
      </c>
      <c r="CK61" s="7"/>
      <c r="CL61" s="49" t="str">
        <f aca="false">IFERROR(RANK(CJ61,CJ$6:CJ$116,0),"")</f>
        <v/>
      </c>
      <c r="CM61" s="7"/>
      <c r="CN61" s="7"/>
      <c r="CO61" s="7" t="str">
        <f aca="false">IF(EA61=0,"",EA61)</f>
        <v/>
      </c>
      <c r="CP61" s="7"/>
      <c r="CQ61" s="49" t="str">
        <f aca="false">IFERROR(RANK(CO61,CO$6:CO$116,0),"")</f>
        <v/>
      </c>
      <c r="CR61" s="7"/>
      <c r="CS61" s="21"/>
      <c r="CT61" s="25" t="str">
        <f aca="true">IFERROR(AVERAGE(OFFSET('Data - For Rank'!B$2,J61,0,COUNTIF($J$7:J$116,J61)))+IFERROR(VLOOKUP((COUNT($H$6:$H$116)/4),$ER$9:$ES$13,2,FALSE()),0),"")</f>
        <v/>
      </c>
      <c r="CU61" s="21"/>
      <c r="CV61" s="25" t="str">
        <f aca="true">IFERROR(AVERAGE(OFFSET('Data - For Rank'!$C$2,O61,0,COUNTIF(O$7:O$116,O61)))+IFERROR(VLOOKUP((COUNT(M$6:M$116)/4),$ER$9:$ES$13,2,FALSE()),0),"")</f>
        <v/>
      </c>
      <c r="CW61" s="21"/>
      <c r="CX61" s="25" t="str">
        <f aca="true">IFERROR(AVERAGE(OFFSET('Data - For Rank'!D$2,T61,0,COUNTIF(T$7:T$116,T61)))+IFERROR(VLOOKUP((COUNT(R$6:R$116)/4),$ER$9:$ES$13,2,FALSE()),0),"")</f>
        <v/>
      </c>
      <c r="CY61" s="21"/>
      <c r="CZ61" s="25" t="str">
        <f aca="true">IFERROR(AVERAGE(OFFSET('Data - For Rank'!E$2,Y61,0,COUNTIF(Y$7:Y$116,Y61)))+IFERROR(VLOOKUP((COUNT(W$6:W$116)/4),$ER$9:$ES$13,2,FALSE()),0),"")</f>
        <v/>
      </c>
      <c r="DA61" s="21"/>
      <c r="DB61" s="25" t="str">
        <f aca="true">IFERROR(AVERAGE(OFFSET('Data - For Rank'!F$2,AD61,0,COUNTIF(AD$7:AD$116,AD61)))+IFERROR(VLOOKUP((COUNT(AB$6:AB$116)/4),$ER$9:$ES$13,2,FALSE()),0),"")</f>
        <v/>
      </c>
      <c r="DC61" s="21"/>
      <c r="DD61" s="25" t="str">
        <f aca="true">IFERROR(AVERAGE(OFFSET('Data - For Rank'!G$2,AI61,0,COUNTIF(AI$7:AI$116,AI61)))+IFERROR(VLOOKUP((COUNT(AG$6:AG$116)/4),$ER$9:$ES$13,2,FALSE()),0),"")</f>
        <v/>
      </c>
      <c r="DE61" s="21"/>
      <c r="DF61" s="25" t="str">
        <f aca="true">IFERROR(AVERAGE(OFFSET('Data - For Rank'!$H$2,AN61,0,COUNTIF(AN$7:AN$116,AN61)))+IFERROR(VLOOKUP((COUNT(AL$6:AL$116)/4),$ER$9:$ES$13,2,FALSE()),0),"")</f>
        <v/>
      </c>
      <c r="DG61" s="21"/>
      <c r="DH61" s="25" t="str">
        <f aca="true">IFERROR(AVERAGE(OFFSET('Data - For Rank'!$I$2,AS61,0,COUNTIF(AS$7:AS$116,AS61)))+IFERROR(VLOOKUP((COUNT(AQ$6:AQ$116)/4),$ER$9:$ES$13,2,FALSE()),0),"")</f>
        <v/>
      </c>
      <c r="DI61" s="21"/>
      <c r="DJ61" s="25" t="str">
        <f aca="true">IFERROR(AVERAGE(OFFSET('Data - For Rank'!$J$2,AX61,0,COUNTIF(AX$7:AX$116,AX61)))+IFERROR(VLOOKUP((COUNT(AV$6:AV$116)/4),$ER$9:$ES$13,2,FALSE()),0),"")</f>
        <v/>
      </c>
      <c r="DK61" s="21"/>
      <c r="DL61" s="25" t="str">
        <f aca="true">IFERROR(AVERAGE(OFFSET('Data - For Rank'!$K$2,BC61,0,COUNTIF(BC$7:BC$116,BC61)))+IFERROR(VLOOKUP((COUNT(BA$6:BA$116)/4),$ER$9:$ES$13,2,FALSE()),0),"")</f>
        <v/>
      </c>
      <c r="DM61" s="21"/>
      <c r="DN61" s="25" t="str">
        <f aca="true">IFERROR(AVERAGE(OFFSET('Data - For Rank'!$L$2,BH61,0,COUNTIF(BH$7:BH$116,BH61)))+IFERROR(VLOOKUP((COUNT(BF$6:BF$116)/4),$ER$9:$ES$13,2,FALSE()),0),"")</f>
        <v/>
      </c>
      <c r="DO61" s="21"/>
      <c r="DP61" s="25" t="str">
        <f aca="true">IFERROR(AVERAGE(OFFSET('Data - For Rank'!$M$2,BM61,0,COUNTIF(BM$7:BM$116,BM61)))+IFERROR(VLOOKUP((COUNT(BK$6:BK$116)/4),$ER$9:$ES$13,2,FALSE()),0),"")</f>
        <v/>
      </c>
      <c r="DQ61" s="21"/>
      <c r="DR61" s="25" t="str">
        <f aca="true">IFERROR(AVERAGE(OFFSET('Data - For Rank'!$N$2,BR61,0,COUNTIF(BR$7:BR$116,BR61)))+IFERROR(VLOOKUP((COUNT(BP$6:BP$116)/4),$ER$9:$ES$13,2,FALSE()),0),"")</f>
        <v/>
      </c>
      <c r="DS61" s="21"/>
      <c r="DT61" s="25" t="str">
        <f aca="true">IFERROR(AVERAGE(OFFSET('Data - For Rank'!$O$2,BW61,0,COUNTIF(BW$7:BW$116,BW61)))+IFERROR(VLOOKUP((COUNT(BU$6:BU$116)/4),$ER$9:$ES$13,2,FALSE()),0),"")</f>
        <v/>
      </c>
      <c r="DU61" s="21"/>
      <c r="DV61" s="25" t="str">
        <f aca="true">IFERROR(AVERAGE(OFFSET('Data - For Rank'!$P$2,CB61,0,COUNTIF(CB$7:CB$116,CB61)))+IFERROR(VLOOKUP((COUNT(BZ$6:BZ$116)/4),$ER$9:$ES$13,2,FALSE()),0),"")</f>
        <v/>
      </c>
      <c r="DW61" s="21"/>
      <c r="DX61" s="25" t="str">
        <f aca="true">IFERROR(AVERAGE(OFFSET('Data - For Rank'!$Q$2,CG61,0,COUNTIF(CG$7:CG$116,CG61)))+IFERROR(VLOOKUP((COUNT(CE$6:CE$116)/4),$ER$9:$ES$13,2,FALSE()),0),"")</f>
        <v/>
      </c>
      <c r="DY61" s="21"/>
      <c r="DZ61" s="25" t="str">
        <f aca="true">IFERROR(AVERAGE(OFFSET('Data - For Rank'!$R$2,CL61,0,COUNTIF(CL$7:CL$116,CL61)))+IFERROR(VLOOKUP((COUNT(CJ$6:CJ$116)/4),$ER$9:$ES$13,2,FALSE()),0),"")</f>
        <v/>
      </c>
      <c r="EA61" s="21"/>
      <c r="EB61" s="25" t="str">
        <f aca="true">IFERROR(AVERAGE(OFFSET('Data - For Rank'!$S$2,CQ61,0,COUNTIF(CQ$7:CQ$116,CQ61)))+IFERROR(VLOOKUP((COUNT(CO$6:CO$116)/4),$ER$9:$ES$13,2,FALSE()),0),"")</f>
        <v/>
      </c>
      <c r="EC61" s="26" t="n">
        <f aca="false">IFERROR(AVERAGE(CS61,CU61,CW61,CY61,DA61,DC61,DE61,DG61,DI61,DK61,DM61,DO61,DQ61,DS61,DU61,DW61,DY61,EA61),0)</f>
        <v>0</v>
      </c>
      <c r="ED61" s="23" t="n">
        <f aca="false">IFERROR(AVERAGE(CT61,CV61,CX61,CZ61,DB61,DD61,DF61,DH61,DJ61,DL61,DN61,DP61,DR61,DT61,DV61,DX61,DZ61,EB61),0)</f>
        <v>0</v>
      </c>
      <c r="EI61" s="1" t="str">
        <f aca="false">IF(CS61=0,"",CS61)</f>
        <v/>
      </c>
    </row>
    <row r="62" s="1" customFormat="true" ht="13.5" hidden="false" customHeight="false" outlineLevel="1" collapsed="false">
      <c r="B62" s="27" t="n">
        <f aca="false">B60+0.0221</f>
        <v>19.0221</v>
      </c>
      <c r="D62" s="51" t="s">
        <v>137</v>
      </c>
      <c r="E62" s="28" t="s">
        <v>44</v>
      </c>
      <c r="F62" s="29" t="n">
        <f aca="false">IF(COUNT(G60:CN60)&gt;10,SMALL(G60:CN60,COUNT(G60:CN60)-10),MIN(G60:CN60))</f>
        <v>0</v>
      </c>
      <c r="G62" s="29"/>
      <c r="H62" s="29"/>
      <c r="I62" s="53" t="str">
        <f aca="false">IF(CS62=0,"",CS62)</f>
        <v/>
      </c>
      <c r="J62" s="53"/>
      <c r="K62" s="54" t="str">
        <f aca="false">IFERROR(_xlfn.RANK.EQ(I62,I$6:I$116,0),"")</f>
        <v/>
      </c>
      <c r="L62" s="29"/>
      <c r="M62" s="29"/>
      <c r="N62" s="53" t="str">
        <f aca="false">IF(CU62=0,"",CU62)</f>
        <v/>
      </c>
      <c r="O62" s="53"/>
      <c r="P62" s="54" t="str">
        <f aca="false">IFERROR(_xlfn.RANK.EQ(N62,N$6:N$116,0),"")</f>
        <v/>
      </c>
      <c r="Q62" s="29"/>
      <c r="R62" s="29"/>
      <c r="S62" s="53" t="str">
        <f aca="false">IF(CW62=0,"",CW62)</f>
        <v/>
      </c>
      <c r="T62" s="53"/>
      <c r="U62" s="54" t="str">
        <f aca="false">IFERROR(_xlfn.RANK.EQ(S62,S$6:S$116,0),"")</f>
        <v/>
      </c>
      <c r="V62" s="29"/>
      <c r="W62" s="29"/>
      <c r="X62" s="53" t="str">
        <f aca="false">IF(CY62=0,"",CY62)</f>
        <v/>
      </c>
      <c r="Y62" s="53"/>
      <c r="Z62" s="54" t="str">
        <f aca="false">IFERROR(_xlfn.RANK.EQ(X62,X$6:X$116,0),"")</f>
        <v/>
      </c>
      <c r="AA62" s="29"/>
      <c r="AB62" s="29"/>
      <c r="AC62" s="53" t="str">
        <f aca="false">IF(DA62=0,"",DA62)</f>
        <v/>
      </c>
      <c r="AD62" s="53"/>
      <c r="AE62" s="54" t="str">
        <f aca="false">IFERROR(_xlfn.RANK.EQ(AC62,AC$6:AC$116,0),"")</f>
        <v/>
      </c>
      <c r="AF62" s="29"/>
      <c r="AG62" s="29"/>
      <c r="AH62" s="53" t="str">
        <f aca="false">IF(DC62=0,"",DC62)</f>
        <v/>
      </c>
      <c r="AI62" s="53"/>
      <c r="AJ62" s="54" t="str">
        <f aca="false">IFERROR(_xlfn.RANK.EQ(AH62,AH$6:AH$116,0),"")</f>
        <v/>
      </c>
      <c r="AK62" s="29"/>
      <c r="AL62" s="29"/>
      <c r="AM62" s="53" t="str">
        <f aca="false">IF(DE62=0,"",DE62)</f>
        <v/>
      </c>
      <c r="AN62" s="53"/>
      <c r="AO62" s="54" t="str">
        <f aca="false">IFERROR(_xlfn.RANK.EQ(AM62,AM$6:AM$116,0),"")</f>
        <v/>
      </c>
      <c r="AP62" s="29"/>
      <c r="AQ62" s="29"/>
      <c r="AR62" s="53" t="str">
        <f aca="false">IF(DG62=0,"",DG62)</f>
        <v/>
      </c>
      <c r="AS62" s="53"/>
      <c r="AT62" s="54" t="str">
        <f aca="false">IFERROR(_xlfn.RANK.EQ(AR62,AR$6:AR$116,0),"")</f>
        <v/>
      </c>
      <c r="AU62" s="29"/>
      <c r="AV62" s="29"/>
      <c r="AW62" s="53" t="str">
        <f aca="false">IF(DI62=0,"",DI62)</f>
        <v/>
      </c>
      <c r="AX62" s="53"/>
      <c r="AY62" s="54" t="str">
        <f aca="false">IFERROR(_xlfn.RANK.EQ(AW62,AW$6:AW$116,0),"")</f>
        <v/>
      </c>
      <c r="AZ62" s="29"/>
      <c r="BA62" s="29"/>
      <c r="BB62" s="53" t="str">
        <f aca="false">IF(DK62=0,"",DK62)</f>
        <v/>
      </c>
      <c r="BC62" s="53"/>
      <c r="BD62" s="54" t="str">
        <f aca="false">IFERROR(_xlfn.RANK.EQ(BB62,BB$6:BB$116,0),"")</f>
        <v/>
      </c>
      <c r="BE62" s="29"/>
      <c r="BF62" s="29"/>
      <c r="BG62" s="53" t="str">
        <f aca="false">IF(DM62=0,"",DM62)</f>
        <v/>
      </c>
      <c r="BH62" s="53"/>
      <c r="BI62" s="54" t="str">
        <f aca="false">IFERROR(_xlfn.RANK.EQ(BG62,BG$6:BG$116,0),"")</f>
        <v/>
      </c>
      <c r="BJ62" s="29"/>
      <c r="BK62" s="29"/>
      <c r="BL62" s="53" t="str">
        <f aca="false">IF(DO62=0,"",DO62)</f>
        <v/>
      </c>
      <c r="BM62" s="53"/>
      <c r="BN62" s="54" t="str">
        <f aca="false">IFERROR(_xlfn.RANK.EQ(BL62,BL$6:BL$116,0),"")</f>
        <v/>
      </c>
      <c r="BO62" s="29"/>
      <c r="BP62" s="29"/>
      <c r="BQ62" s="53" t="str">
        <f aca="false">IF(DQ62=0,"",DQ62)</f>
        <v/>
      </c>
      <c r="BR62" s="53"/>
      <c r="BS62" s="54" t="str">
        <f aca="false">IFERROR(_xlfn.RANK.EQ(BQ62,BQ$6:BQ$116,0),"")</f>
        <v/>
      </c>
      <c r="BT62" s="29"/>
      <c r="BU62" s="29"/>
      <c r="BV62" s="53" t="str">
        <f aca="false">IF(DS62=0,"",DS62)</f>
        <v/>
      </c>
      <c r="BW62" s="53"/>
      <c r="BX62" s="54" t="str">
        <f aca="false">IFERROR(_xlfn.RANK.EQ(BV62,BV$6:BV$116,0),"")</f>
        <v/>
      </c>
      <c r="BY62" s="29"/>
      <c r="BZ62" s="29"/>
      <c r="CA62" s="53" t="str">
        <f aca="false">IF(DU62=0,"",DU62)</f>
        <v/>
      </c>
      <c r="CB62" s="53"/>
      <c r="CC62" s="54" t="str">
        <f aca="false">IFERROR(_xlfn.RANK.EQ(CA62,CA$6:CA$116,0),"")</f>
        <v/>
      </c>
      <c r="CD62" s="29"/>
      <c r="CE62" s="29"/>
      <c r="CF62" s="53" t="str">
        <f aca="false">IF(DW62=0,"",DW62)</f>
        <v/>
      </c>
      <c r="CG62" s="53"/>
      <c r="CH62" s="54" t="str">
        <f aca="false">IFERROR(_xlfn.RANK.EQ(CF62,CF$6:CF$116,0),"")</f>
        <v/>
      </c>
      <c r="CI62" s="29"/>
      <c r="CJ62" s="29"/>
      <c r="CK62" s="53" t="str">
        <f aca="false">IF(DY62=0,"",DY62)</f>
        <v/>
      </c>
      <c r="CL62" s="53"/>
      <c r="CM62" s="54" t="str">
        <f aca="false">IFERROR(_xlfn.RANK.EQ(CK62,CK$6:CK$116,0),"")</f>
        <v/>
      </c>
      <c r="CN62" s="29"/>
      <c r="CO62" s="29"/>
      <c r="CP62" s="53" t="str">
        <f aca="false">IF(EA62=0,"",EA62)</f>
        <v/>
      </c>
      <c r="CQ62" s="53"/>
      <c r="CR62" s="54" t="str">
        <f aca="false">IFERROR(_xlfn.RANK.EQ(CP62,CP$6:CP$116,0),"")</f>
        <v/>
      </c>
      <c r="CS62" s="30"/>
      <c r="CT62" s="31" t="str">
        <f aca="true">IFERROR(AVERAGE(OFFSET('Data - For Rank'!B$2,K62,0,COUNTIF(K$6:K$116,K62)))+IFERROR(VLOOKUP((COUNT($I$6:$I$116)/4),$ER$9:$ES$13,2,FALSE()),0),"")</f>
        <v/>
      </c>
      <c r="CU62" s="30"/>
      <c r="CV62" s="31" t="str">
        <f aca="true">IFERROR(AVERAGE(OFFSET('Data - For Rank'!$C$2,P62,0,COUNTIF(P$6:P$116,P62)))+IFERROR(VLOOKUP((COUNT(N$6:N$116)/4),$ER$9:$ES$13,2,FALSE()),0),"")</f>
        <v/>
      </c>
      <c r="CW62" s="30"/>
      <c r="CX62" s="31" t="str">
        <f aca="true">IFERROR(AVERAGE(OFFSET('Data - For Rank'!D$2,U62,0,COUNTIF(U$6:$U170,U62)))+IFERROR(VLOOKUP((COUNT(S$6:S$116)/4),$ER$9:$ES$13,2,FALSE()),0),"")</f>
        <v/>
      </c>
      <c r="CY62" s="30"/>
      <c r="CZ62" s="31" t="str">
        <f aca="true">IFERROR(AVERAGE(OFFSET('Data - For Rank'!E$2,Z62,0,COUNTIF(Z$6:Z$116,Z62)))+IFERROR(VLOOKUP((COUNT(W$6:W$116)/4),$ER$9:$ES$13,2,FALSE()),0),"")</f>
        <v/>
      </c>
      <c r="DA62" s="30"/>
      <c r="DB62" s="31" t="str">
        <f aca="true">IFERROR(AVERAGE(OFFSET('Data - For Rank'!F$2,AE62,0,COUNTIF(AE$6:AE$116,AE62)))+IFERROR(VLOOKUP((COUNT(AC$6:AC$116)/4),$ER$9:$ES$13,2,FALSE()),0),"")</f>
        <v/>
      </c>
      <c r="DC62" s="30"/>
      <c r="DD62" s="31" t="str">
        <f aca="true">IFERROR(AVERAGE(OFFSET('Data - For Rank'!G$2,AJ62,0,COUNTIF(AJ$6:AJ$116,AJ62)))+IFERROR(VLOOKUP((COUNT(AH$6:AH$116)/4),$ER$9:$ES$13,2,FALSE()),0),"")</f>
        <v/>
      </c>
      <c r="DE62" s="30"/>
      <c r="DF62" s="31" t="str">
        <f aca="true">IFERROR(AVERAGE(OFFSET('Data - For Rank'!$H$2,AO62,0,COUNTIF(AO$6:AO$116,AO62)))+IFERROR(VLOOKUP((COUNT(AM$6:AM$116)/4),$ER$9:$ES$13,2,FALSE()),0),"")</f>
        <v/>
      </c>
      <c r="DG62" s="30"/>
      <c r="DH62" s="31" t="str">
        <f aca="true">IFERROR(AVERAGE(OFFSET('Data - For Rank'!$I$2,AT62,0,COUNTIF(AT$6:AT$116,AT62)))+IFERROR(VLOOKUP((COUNT(AR$6:AR$116)/4),$ER$9:$ES$13,2,FALSE()),0),"")</f>
        <v/>
      </c>
      <c r="DI62" s="30"/>
      <c r="DJ62" s="31" t="str">
        <f aca="true">IFERROR(AVERAGE(OFFSET('Data - For Rank'!$J$2,AY62,0,COUNTIF(AY$6:AY$116,AY62)))+IFERROR(VLOOKUP((COUNT(AW$6:AW$116)/4),$ER$9:$ES$13,2,FALSE()),0),"")</f>
        <v/>
      </c>
      <c r="DK62" s="30"/>
      <c r="DL62" s="31" t="str">
        <f aca="true">IFERROR(AVERAGE(OFFSET('Data - For Rank'!$K$2,BD62,0,COUNTIF(BD$6:BD$116,BD62)))+IFERROR(VLOOKUP((COUNT(BB$6:BB$116)/4),$ER$9:$ES$13,2,FALSE()),0),"")</f>
        <v/>
      </c>
      <c r="DM62" s="30"/>
      <c r="DN62" s="31" t="str">
        <f aca="true">IFERROR(AVERAGE(OFFSET('Data - For Rank'!$L$2,BI62,0,COUNTIF(BI$6:BI$116,BI62)))+IFERROR(VLOOKUP((COUNT(BG$6:BG$116)/4),$ER$9:$ES$13,2,FALSE()),0),"")</f>
        <v/>
      </c>
      <c r="DO62" s="30"/>
      <c r="DP62" s="31" t="str">
        <f aca="true">IFERROR(AVERAGE(OFFSET('Data - For Rank'!$M$2,BN62,0,COUNTIF(BN$6:BN$116,BN62)))+IFERROR(VLOOKUP((COUNT(BL$6:BL$116)/4),$ER$9:$ES$13,2,FALSE()),0),"")</f>
        <v/>
      </c>
      <c r="DQ62" s="30"/>
      <c r="DR62" s="31" t="str">
        <f aca="true">IFERROR(AVERAGE(OFFSET('Data - For Rank'!$N$2,BS62,0,COUNTIF(BS$6:BS$116,BS62)))+IFERROR(VLOOKUP((COUNT(BQ$6:BQ$116)/4),$ER$9:$ES$13,2,FALSE()),0),"")</f>
        <v/>
      </c>
      <c r="DS62" s="30"/>
      <c r="DT62" s="31" t="str">
        <f aca="true">IFERROR(AVERAGE(OFFSET('Data - For Rank'!$O$2,BX62,0,COUNTIF(BX$6:BX$116,BX62)))+IFERROR(VLOOKUP((COUNT(BV$6:BV$116)/4),$ER$9:$ES$13,2,FALSE()),0),"")</f>
        <v/>
      </c>
      <c r="DU62" s="30"/>
      <c r="DV62" s="31" t="str">
        <f aca="true">IFERROR(AVERAGE(OFFSET('Data - For Rank'!$P$2,CC62,0,COUNTIF(CC$6:CC$116,CC62)))+IFERROR(VLOOKUP((COUNT(CA$6:CA$116)/4),$ER$9:$ES$13,2,FALSE()),0),"")</f>
        <v/>
      </c>
      <c r="DW62" s="30"/>
      <c r="DX62" s="31" t="str">
        <f aca="true">IFERROR(AVERAGE(OFFSET('Data - For Rank'!$Q$2,CH62,0,COUNTIF(CH$6:CH$116,CH62)))+IFERROR(VLOOKUP((COUNT(CF$6:CF$116)/4),$ER$9:$ES$13,2,FALSE()),0),"")</f>
        <v/>
      </c>
      <c r="DY62" s="30"/>
      <c r="DZ62" s="31" t="str">
        <f aca="true">IFERROR(AVERAGE(OFFSET('Data - For Rank'!$R$2,CM62,0,COUNTIF(CM$6:CM$116,CM62)))+IFERROR(VLOOKUP((COUNT(CK$6:CK$116)/4),$ER$9:$ES$13,2,FALSE()),0),"")</f>
        <v/>
      </c>
      <c r="EA62" s="30"/>
      <c r="EB62" s="31" t="str">
        <f aca="true">IFERROR(AVERAGE(OFFSET('Data - For Rank'!$S$2,CR62,0,COUNTIF(CR$6:CR$116,CR62)))+IFERROR(VLOOKUP((COUNT(CP$6:CP$116)/4),$ER$9:$ES$13,2,FALSE()),0),"")</f>
        <v/>
      </c>
      <c r="EC62" s="32" t="n">
        <f aca="false">CS62+CU62+CW62+CY62+DA62+DC62+DE62+DG62+DI62+DK62+DM62+DO62+DQ62+DS62+DU62+DW62+DY62+EA62</f>
        <v>0</v>
      </c>
      <c r="ED62" s="33" t="n">
        <f aca="false">IFERROR(AVERAGE(CT62,CV62,CX62,CZ62,DB62,DD62,DF62,DH62,DJ62,DL62,DN62,DP62,DR62,DT62,DV62,DX62,DZ62,EB62),0)</f>
        <v>0</v>
      </c>
    </row>
    <row r="63" customFormat="false" ht="13.5" hidden="false" customHeight="false" outlineLevel="0" collapsed="false">
      <c r="E63" s="58"/>
      <c r="F63" s="58"/>
      <c r="G63" s="58"/>
      <c r="H63" s="58"/>
      <c r="I63" s="58"/>
      <c r="J63" s="58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58"/>
      <c r="AM63" s="58"/>
      <c r="AN63" s="58"/>
      <c r="AO63" s="58"/>
      <c r="AP63" s="58"/>
      <c r="AQ63" s="58"/>
      <c r="AR63" s="58"/>
      <c r="AS63" s="58"/>
      <c r="AT63" s="58"/>
      <c r="AU63" s="58"/>
      <c r="AV63" s="58"/>
      <c r="AW63" s="58"/>
      <c r="AX63" s="58"/>
      <c r="AY63" s="58"/>
      <c r="AZ63" s="58"/>
      <c r="BA63" s="58"/>
      <c r="BB63" s="58"/>
      <c r="BC63" s="58"/>
      <c r="BD63" s="58"/>
      <c r="BE63" s="58"/>
      <c r="BF63" s="58"/>
      <c r="BG63" s="58"/>
      <c r="BH63" s="58"/>
      <c r="BI63" s="58"/>
      <c r="BJ63" s="58"/>
      <c r="BK63" s="58"/>
      <c r="BL63" s="58"/>
      <c r="BM63" s="58"/>
      <c r="BN63" s="58"/>
      <c r="BO63" s="58"/>
      <c r="BP63" s="58"/>
      <c r="BQ63" s="58"/>
      <c r="BR63" s="58"/>
      <c r="BS63" s="58"/>
      <c r="BT63" s="58"/>
      <c r="BU63" s="58"/>
      <c r="BV63" s="58"/>
      <c r="BW63" s="58"/>
      <c r="BX63" s="58"/>
      <c r="BY63" s="58"/>
      <c r="BZ63" s="58"/>
      <c r="CA63" s="58"/>
      <c r="CB63" s="58"/>
      <c r="CC63" s="58"/>
      <c r="CD63" s="58"/>
      <c r="CE63" s="58"/>
      <c r="CF63" s="58"/>
      <c r="CG63" s="58"/>
      <c r="CH63" s="58"/>
      <c r="CI63" s="58"/>
      <c r="CJ63" s="58"/>
      <c r="CK63" s="58"/>
      <c r="CL63" s="58"/>
      <c r="CM63" s="58"/>
      <c r="CN63" s="58"/>
      <c r="CO63" s="58"/>
      <c r="CP63" s="58"/>
      <c r="CQ63" s="58"/>
      <c r="CR63" s="58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EC63" s="2"/>
    </row>
    <row r="64" customFormat="false" ht="13.5" hidden="false" customHeight="false" outlineLevel="0" collapsed="false">
      <c r="E64" s="10"/>
    </row>
    <row r="65" customFormat="false" ht="13.5" hidden="false" customHeight="false" outlineLevel="0" collapsed="false">
      <c r="E65" s="59" t="s">
        <v>138</v>
      </c>
      <c r="F65" s="60"/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  <c r="AS65" s="60"/>
      <c r="AT65" s="60"/>
      <c r="AU65" s="60"/>
      <c r="AV65" s="60"/>
      <c r="AW65" s="60"/>
      <c r="AX65" s="60"/>
      <c r="AY65" s="60"/>
      <c r="AZ65" s="60"/>
      <c r="BA65" s="60"/>
      <c r="BB65" s="60"/>
      <c r="BC65" s="60"/>
      <c r="BD65" s="60"/>
      <c r="BE65" s="60"/>
      <c r="BF65" s="60"/>
      <c r="BG65" s="60"/>
      <c r="BH65" s="60"/>
      <c r="BI65" s="60"/>
      <c r="BJ65" s="60"/>
      <c r="BK65" s="60"/>
      <c r="BL65" s="60"/>
      <c r="BM65" s="60"/>
      <c r="BN65" s="60"/>
      <c r="BO65" s="60"/>
      <c r="BP65" s="60"/>
      <c r="BQ65" s="60"/>
      <c r="BR65" s="60"/>
      <c r="BS65" s="60"/>
      <c r="BT65" s="60"/>
      <c r="BU65" s="60"/>
      <c r="BV65" s="60"/>
      <c r="BW65" s="60"/>
      <c r="BX65" s="60"/>
      <c r="BY65" s="60"/>
      <c r="BZ65" s="60"/>
      <c r="CA65" s="60"/>
      <c r="CB65" s="60"/>
      <c r="CC65" s="60"/>
      <c r="CD65" s="60"/>
      <c r="CE65" s="60"/>
      <c r="CF65" s="60"/>
      <c r="CG65" s="60"/>
      <c r="CH65" s="60"/>
      <c r="CI65" s="60"/>
      <c r="CJ65" s="60"/>
      <c r="CK65" s="60"/>
      <c r="CL65" s="60"/>
      <c r="CM65" s="60"/>
      <c r="CN65" s="60"/>
      <c r="CO65" s="60"/>
      <c r="CP65" s="60"/>
      <c r="CQ65" s="60"/>
      <c r="CR65" s="60"/>
      <c r="CS65" s="61" t="n">
        <f aca="false">CS62+CS59+CS56+CS53+CS50+CS47+CS44+CS41+CS38+CS35+CS32+CS29+CS26+CS23+CS20+CS17+CS14+CS11+CS8+CS77+CS80+CS83+CS86+CS89+CS92+CS95+CS98+CS101+CS104+CS107+CS110+CS113+CS116</f>
        <v>0</v>
      </c>
      <c r="CT65" s="60"/>
      <c r="CU65" s="61" t="n">
        <f aca="false">CU62+CU59+CU56+CU53+CU50+CU47+CU44+CU41+CU38+CU35+CU32+CU29+CU26+CU23+CU20+CU17+CU14+CU11+CU8+CU77+CU80+CU83+CU86+CU89+CU92+CU95+CU98+CU101+CU104+CU107+CU110+CU113+CU116</f>
        <v>0</v>
      </c>
      <c r="CV65" s="60"/>
      <c r="CW65" s="61" t="n">
        <f aca="false">CW62+CW59+CW56+CW53+CW50+CW47+CW44+CW41+CW38+CW35+CW32+CW29+CW26+CW23+CW20+CW17+CW14+CW11+CW8+CW77+CW80+CW83+CW86+CW89+CW92+CW95+CW98+CW101+CW104+CW107+CW110+CW113+CW116</f>
        <v>0</v>
      </c>
      <c r="CX65" s="60"/>
      <c r="CY65" s="61" t="n">
        <f aca="false">CY62+CY59+CY56+CY53+CY50+CY47+CY44+CY41+CY38+CY35+CY32+CY29+CY26+CY23+CY20+CY17+CY14+CY11+CY8+CY77+CY80+CY83+CY86+CY89+CY92+CY95+CY98+CY101+CY104+CY107+CY110+CY113+CY116</f>
        <v>0</v>
      </c>
      <c r="CZ65" s="60"/>
      <c r="DA65" s="61" t="n">
        <f aca="false">DA62+DA59+DA56+DA53+DA50+DA47+DA44+DA41+DA38+DA35+DA32+DA29+DA26+DA23+DA20+DA17+DA14+DA11+DA8+DA77+DA80+DA83+DA86+DA89+DA92+DA95+DA98+DA101+DA104+DA107+DA110+DA113+DA116</f>
        <v>0</v>
      </c>
      <c r="DB65" s="60"/>
      <c r="DC65" s="61" t="n">
        <f aca="false">DC62+DC59+DC56+DC53+DC50+DC47+DC44+DC41+DC38+DC35+DC32+DC29+DC26+DC23+DC20+DC17+DC14+DC11+DC8+DC77+DC80+DC83+DC86+DC89+DC92+DC95+DC98+DC101+DC104+DC107+DC110+DC113+DC116</f>
        <v>-0.00400000000000955</v>
      </c>
      <c r="DD65" s="60"/>
      <c r="DE65" s="61" t="n">
        <f aca="false">DE62+DE59+DE56+DE53+DE50+DE47+DE44+DE41+DE38+DE35+DE32+DE29+DE26+DE23+DE20+DE17+DE14+DE11+DE8+DE77+DE80+DE83+DE86+DE89+DE92+DE95+DE98+DE101+DE104+DE107+DE110+DE113+DE116</f>
        <v>0</v>
      </c>
      <c r="DF65" s="60"/>
      <c r="DG65" s="61" t="n">
        <f aca="false">DG62+DG59+DG56+DG53+DG50+DG47+DG44+DG41+DG38+DG35+DG32+DG29+DG26+DG23+DG20+DG17+DG14+DG11+DG8+DG77+DG80+DG83+DG86+DG89+DG92+DG95+DG98+DG101+DG104+DG107+DG110+DG113+DG116</f>
        <v>-0.000200000000006639</v>
      </c>
      <c r="DH65" s="60"/>
      <c r="DI65" s="61" t="n">
        <f aca="false">DI62+DI59+DI56+DI53+DI50+DI47+DI44+DI41+DI38+DI35+DI32+DI29+DI26+DI23+DI20+DI17+DI14+DI11+DI8+DI77+DI80+DI83+DI86+DI89+DI92+DI95+DI98+DI101+DI104+DI107+DI110+DI113+DI116</f>
        <v>0</v>
      </c>
      <c r="DJ65" s="60"/>
      <c r="DK65" s="61" t="n">
        <f aca="false">DK62+DK59+DK56+DK53+DK50+DK47+DK44+DK41+DK38+DK35+DK32+DK29+DK26+DK23+DK20+DK17+DK14+DK11+DK8+DK77+DK80+DK83+DK86+DK89+DK92+DK95+DK98+DK101+DK104+DK107+DK110+DK113+DK116</f>
        <v>0</v>
      </c>
      <c r="DL65" s="60"/>
      <c r="DM65" s="61" t="n">
        <f aca="false">DM62+DM59+DM56+DM53+DM50+DM47+DM44+DM41+DM38+DM35+DM32+DM29+DM26+DM23+DM20+DM17+DM14+DM11+DM8+DM77+DM80+DM83+DM86+DM89+DM92+DM95+DM98+DM101+DM104+DM107+DM110+DM113+DM116</f>
        <v>0</v>
      </c>
      <c r="DN65" s="60"/>
      <c r="DO65" s="61" t="n">
        <f aca="false">DO62+DO59+DO56+DO53+DO50+DO47+DO44+DO41+DO38+DO35+DO32+DO29+DO26+DO23+DO20+DO17+DO14+DO11+DO8+DO77+DO80+DO83+DO86+DO89+DO92+DO95+DO98+DO101+DO104+DO107+DO110+DO113+DO116</f>
        <v>0</v>
      </c>
      <c r="DP65" s="60"/>
      <c r="DQ65" s="61" t="n">
        <f aca="false">DQ62+DQ59+DQ56+DQ53+DQ50+DQ47+DQ44+DQ41+DQ38+DQ35+DQ32+DQ29+DQ26+DQ23+DQ20+DQ17+DQ14+DQ11+DQ8+DQ77+DQ80+DQ83+DQ86+DQ89+DQ92+DQ95+DQ98+DQ101+DQ104+DQ107+DQ110+DQ113+DQ116</f>
        <v>0</v>
      </c>
      <c r="DR65" s="60"/>
      <c r="DS65" s="61" t="n">
        <f aca="false">DS62+DS59+DS56+DS53+DS50+DS47+DS44+DS41+DS38+DS35+DS32+DS29+DS26+DS23+DS20+DS17+DS14+DS11+DS8+DS77+DS80+DS83+DS86+DS89+DS92+DS95+DS98+DS101+DS104+DS107+DS110+DS113+DS116</f>
        <v>0</v>
      </c>
      <c r="DT65" s="60"/>
      <c r="DU65" s="61" t="n">
        <f aca="false">DU62+DU59+DU56+DU53+DU50+DU47+DU44+DU41+DU38+DU35+DU32+DU29+DU26+DU23+DU20+DU17+DU14+DU11+DU8+DU77+DU80+DU83+DU86+DU89+DU92+DU95+DU98+DU101+DU104+DU107+DU110+DU113+DU116</f>
        <v>0</v>
      </c>
      <c r="DV65" s="60"/>
      <c r="DW65" s="61" t="n">
        <f aca="false">DW62+DW59+DW56+DW53+DW50+DW47+DW44+DW41+DW38+DW35+DW32+DW29+DW26+DW23+DW20+DW17+DW14+DW11+DW8+DW77+DW80+DW83+DW86+DW89+DW92+DW95+DW98+DW101+DW104+DW107+DW110+DW113+DW116</f>
        <v>0</v>
      </c>
      <c r="DX65" s="60"/>
      <c r="DY65" s="61" t="n">
        <f aca="false">DY62+DY59+DY56+DY53+DY50+DY47+DY44+DY41+DY38+DY35+DY32+DY29+DY26+DY23+DY20+DY17+DY14+DY11+DY8+DY77+DY80+DY83+DY86+DY89+DY92+DY95+DY98+DY101+DY104+DY107+DY110+DY113+DY116</f>
        <v>0</v>
      </c>
      <c r="DZ65" s="60"/>
      <c r="EA65" s="61" t="n">
        <f aca="false">EA62+EA59+EA56+EA53+EA50+EA47+EA44+EA41+EA38+EA35+EA32+EA29+EA26+EA23+EA20+EA17+EA14+EA11+EA8+EA77+EA80+EA83+EA86+EA89+EA92+EA95+EA98+EA101+EA104+EA107+EA110+EA113+EA116</f>
        <v>0</v>
      </c>
      <c r="EB65" s="60"/>
      <c r="EC65" s="61" t="n">
        <f aca="false">EC62+EC59+EC56+EC53+EC50+EC47+EC44+EC41+EC38+EC35+EC32+EC29+EC26+EC23+EC20+EC17+EC14+EC11+EC8+EC77+EC80+EC83+EC86+EC89+EC92+EC95+EC98+EC101+EC104+EC107+EC110+EC113+EC116</f>
        <v>-0.00419999999999376</v>
      </c>
      <c r="ED65" s="62"/>
    </row>
    <row r="66" customFormat="false" ht="13.5" hidden="true" customHeight="false" outlineLevel="0" collapsed="false">
      <c r="E66" s="1" t="s">
        <v>72</v>
      </c>
      <c r="G66" s="43" t="n">
        <f aca="false">SUM(G6:G63)+SUM(G75:G116)</f>
        <v>336</v>
      </c>
      <c r="J66" s="43"/>
      <c r="K66" s="43"/>
      <c r="L66" s="43" t="n">
        <f aca="false">SUM(L6:L63)+SUM(L75:L116)</f>
        <v>0</v>
      </c>
      <c r="Q66" s="43" t="n">
        <f aca="false">SUM(Q6:Q63)+SUM(Q75:Q116)</f>
        <v>252</v>
      </c>
      <c r="V66" s="43" t="n">
        <f aca="false">SUM(V6:V63)+SUM(V75:V116)</f>
        <v>168</v>
      </c>
      <c r="AA66" s="43" t="n">
        <f aca="false">SUM(AA6:AA63)+SUM(AA75:AA116)</f>
        <v>336</v>
      </c>
      <c r="AF66" s="43" t="n">
        <f aca="false">SUM(AF6:AF63)+SUM(AF75:AF116)</f>
        <v>336</v>
      </c>
      <c r="AK66" s="43" t="n">
        <f aca="false">SUM(AK6:AK63)+SUM(AK75:AK116)</f>
        <v>252</v>
      </c>
      <c r="AP66" s="43" t="n">
        <f aca="false">SUM(AP6:AP63)+SUM(AP75:AP116)</f>
        <v>336</v>
      </c>
      <c r="AU66" s="43" t="n">
        <f aca="false">SUM(AU6:AU63)+SUM(AU75:AU116)</f>
        <v>336</v>
      </c>
      <c r="AZ66" s="43" t="n">
        <f aca="false">SUM(AZ6:AZ63)+SUM(AZ75:AZ116)</f>
        <v>252</v>
      </c>
      <c r="BE66" s="43" t="n">
        <f aca="false">SUM(BE6:BE63)+SUM(BE75:BE116)</f>
        <v>0</v>
      </c>
      <c r="BJ66" s="43" t="n">
        <f aca="false">SUM(BJ6:BJ63)+SUM(BJ75:BJ116)</f>
        <v>0</v>
      </c>
      <c r="BO66" s="43" t="n">
        <f aca="false">SUM(BO6:BO63)+SUM(BO75:BO116)</f>
        <v>0</v>
      </c>
      <c r="BT66" s="43" t="n">
        <f aca="false">SUM(BT6:BT63)+SUM(BT75:BT116)</f>
        <v>0</v>
      </c>
      <c r="BY66" s="43" t="n">
        <f aca="false">SUM(BY6:BY63)+SUM(BY75:BY116)</f>
        <v>0</v>
      </c>
      <c r="CD66" s="43" t="n">
        <f aca="false">SUM(CD6:CD63)+SUM(CD75:CD116)</f>
        <v>0</v>
      </c>
      <c r="CI66" s="43" t="n">
        <f aca="false">SUM(CI6:CI63)+SUM(CI75:CI116)</f>
        <v>0</v>
      </c>
      <c r="CN66" s="43" t="n">
        <f aca="false">SUM(CN6:CN63)+SUM(CN75:CN116)</f>
        <v>0</v>
      </c>
      <c r="CT66" s="43" t="n">
        <f aca="false">G66</f>
        <v>336</v>
      </c>
      <c r="CV66" s="43" t="n">
        <f aca="false">L66</f>
        <v>0</v>
      </c>
      <c r="CX66" s="43" t="n">
        <f aca="false">Q66</f>
        <v>252</v>
      </c>
      <c r="CZ66" s="43" t="n">
        <f aca="false">V66</f>
        <v>168</v>
      </c>
      <c r="DB66" s="43" t="n">
        <f aca="false">AA66</f>
        <v>336</v>
      </c>
      <c r="DD66" s="43" t="n">
        <f aca="false">AF66</f>
        <v>336</v>
      </c>
      <c r="DF66" s="43" t="n">
        <f aca="false">AK66</f>
        <v>252</v>
      </c>
      <c r="DH66" s="43" t="n">
        <f aca="false">AP66</f>
        <v>336</v>
      </c>
      <c r="DJ66" s="43" t="n">
        <f aca="false">AU66</f>
        <v>336</v>
      </c>
      <c r="DL66" s="43" t="n">
        <f aca="false">AZ66</f>
        <v>252</v>
      </c>
      <c r="DN66" s="43" t="n">
        <f aca="false">BE66</f>
        <v>0</v>
      </c>
      <c r="DP66" s="43" t="n">
        <f aca="false">BJ66</f>
        <v>0</v>
      </c>
      <c r="DR66" s="43" t="n">
        <f aca="false">BO66</f>
        <v>0</v>
      </c>
      <c r="DT66" s="43" t="n">
        <f aca="false">BT66</f>
        <v>0</v>
      </c>
      <c r="DV66" s="43" t="n">
        <f aca="false">BY66</f>
        <v>0</v>
      </c>
      <c r="DX66" s="43" t="n">
        <f aca="false">CD66</f>
        <v>0</v>
      </c>
      <c r="DZ66" s="43" t="n">
        <f aca="false">CI66</f>
        <v>0</v>
      </c>
      <c r="EB66" s="43" t="n">
        <f aca="false">CN66</f>
        <v>0</v>
      </c>
    </row>
    <row r="67" customFormat="false" ht="13.5" hidden="true" customHeight="false" outlineLevel="0" collapsed="false">
      <c r="E67" s="1" t="s">
        <v>73</v>
      </c>
      <c r="G67" s="43" t="n">
        <f aca="false">COUNT(G6:G62)+COUNT(G75:G116)</f>
        <v>16</v>
      </c>
      <c r="L67" s="43" t="n">
        <f aca="false">COUNT(L6:L62)+COUNT(L75:L116)</f>
        <v>0</v>
      </c>
      <c r="Q67" s="43" t="n">
        <f aca="false">COUNT(Q6:Q62)+COUNT(Q75:Q116)</f>
        <v>12</v>
      </c>
      <c r="V67" s="43" t="n">
        <f aca="false">COUNT(V6:V62)+COUNT(V75:V116)</f>
        <v>8</v>
      </c>
      <c r="AA67" s="43" t="n">
        <f aca="false">COUNT(AA6:AA62)+COUNT(AA75:AA116)</f>
        <v>16</v>
      </c>
      <c r="AF67" s="43" t="n">
        <f aca="false">COUNT(AF6:AF62)+COUNT(AF75:AF116)</f>
        <v>16</v>
      </c>
      <c r="AK67" s="43" t="n">
        <f aca="false">COUNT(AK6:AK62)+COUNT(AK75:AK116)</f>
        <v>12</v>
      </c>
      <c r="AP67" s="43" t="n">
        <f aca="false">COUNT(AP6:AP62)+COUNT(AP75:AP116)</f>
        <v>16</v>
      </c>
      <c r="AU67" s="43" t="n">
        <f aca="false">COUNT(AU6:AU62)+COUNT(AU75:AU116)</f>
        <v>16</v>
      </c>
      <c r="AZ67" s="43" t="n">
        <f aca="false">COUNT(AZ6:AZ62)+COUNT(AZ75:AZ116)</f>
        <v>12</v>
      </c>
      <c r="BE67" s="43" t="n">
        <f aca="false">COUNT(BE6:BE62)+COUNT(BE75:BE116)</f>
        <v>0</v>
      </c>
      <c r="BJ67" s="43" t="n">
        <f aca="false">COUNT(BJ6:BJ62)+COUNT(BJ75:BJ116)</f>
        <v>0</v>
      </c>
      <c r="BO67" s="43" t="n">
        <f aca="false">COUNT(BO6:BO62)+COUNT(BO75:BO116)</f>
        <v>0</v>
      </c>
      <c r="BT67" s="43" t="n">
        <f aca="false">COUNT(BT6:BT62)+COUNT(BT75:BT116)</f>
        <v>0</v>
      </c>
      <c r="BY67" s="43" t="n">
        <f aca="false">COUNT(BY6:BY62)+COUNT(BY75:BY116)</f>
        <v>0</v>
      </c>
      <c r="CD67" s="43" t="n">
        <f aca="false">COUNT(CD6:CD62)+COUNT(CD75:CD116)</f>
        <v>0</v>
      </c>
      <c r="CI67" s="43" t="n">
        <f aca="false">COUNT(CI6:CI62)+COUNT(CI75:CI116)</f>
        <v>0</v>
      </c>
      <c r="CN67" s="43" t="n">
        <f aca="false">COUNT(CN6:CN62)+COUNT(CN75:CN116)</f>
        <v>0</v>
      </c>
      <c r="CT67" s="1" t="n">
        <f aca="false">G67</f>
        <v>16</v>
      </c>
      <c r="CV67" s="1" t="n">
        <f aca="false">L67</f>
        <v>0</v>
      </c>
      <c r="CX67" s="1" t="n">
        <f aca="false">Q67</f>
        <v>12</v>
      </c>
      <c r="CZ67" s="1" t="n">
        <f aca="false">V67</f>
        <v>8</v>
      </c>
      <c r="DB67" s="1" t="n">
        <f aca="false">AA67</f>
        <v>16</v>
      </c>
      <c r="DD67" s="1" t="n">
        <f aca="false">AF67</f>
        <v>16</v>
      </c>
      <c r="DF67" s="1" t="n">
        <f aca="false">AK67</f>
        <v>12</v>
      </c>
      <c r="DH67" s="1" t="n">
        <f aca="false">AP67</f>
        <v>16</v>
      </c>
      <c r="DJ67" s="1" t="n">
        <f aca="false">AU67</f>
        <v>16</v>
      </c>
      <c r="DL67" s="1" t="n">
        <f aca="false">AZ67</f>
        <v>12</v>
      </c>
      <c r="DN67" s="1" t="n">
        <f aca="false">BE67</f>
        <v>0</v>
      </c>
      <c r="DP67" s="1" t="n">
        <f aca="false">BJ67</f>
        <v>0</v>
      </c>
      <c r="DR67" s="1" t="n">
        <f aca="false">BO67</f>
        <v>0</v>
      </c>
      <c r="DT67" s="1" t="n">
        <f aca="false">BT67</f>
        <v>0</v>
      </c>
      <c r="DV67" s="1" t="n">
        <f aca="false">BY67</f>
        <v>0</v>
      </c>
      <c r="DX67" s="1" t="n">
        <f aca="false">CD67</f>
        <v>0</v>
      </c>
      <c r="DZ67" s="1" t="n">
        <f aca="false">CI67</f>
        <v>0</v>
      </c>
      <c r="EB67" s="1" t="n">
        <f aca="false">CN67</f>
        <v>0</v>
      </c>
    </row>
    <row r="68" customFormat="false" ht="13.5" hidden="false" customHeight="false" outlineLevel="0" collapsed="false">
      <c r="E68" s="59" t="s">
        <v>139</v>
      </c>
      <c r="F68" s="59"/>
      <c r="G68" s="63"/>
      <c r="H68" s="59"/>
      <c r="I68" s="59"/>
      <c r="J68" s="59"/>
      <c r="K68" s="59"/>
      <c r="L68" s="63"/>
      <c r="M68" s="59"/>
      <c r="N68" s="59"/>
      <c r="O68" s="59"/>
      <c r="P68" s="59"/>
      <c r="Q68" s="63"/>
      <c r="R68" s="59"/>
      <c r="S68" s="59"/>
      <c r="T68" s="59"/>
      <c r="U68" s="59"/>
      <c r="V68" s="63"/>
      <c r="W68" s="59"/>
      <c r="X68" s="59"/>
      <c r="Y68" s="59"/>
      <c r="Z68" s="59"/>
      <c r="AA68" s="63"/>
      <c r="AB68" s="59"/>
      <c r="AC68" s="59"/>
      <c r="AD68" s="59"/>
      <c r="AE68" s="59"/>
      <c r="AF68" s="63"/>
      <c r="AG68" s="59"/>
      <c r="AH68" s="59"/>
      <c r="AI68" s="59"/>
      <c r="AJ68" s="59"/>
      <c r="AK68" s="63"/>
      <c r="AL68" s="59"/>
      <c r="AM68" s="59"/>
      <c r="AN68" s="59"/>
      <c r="AO68" s="59"/>
      <c r="AP68" s="63"/>
      <c r="AQ68" s="59"/>
      <c r="AR68" s="59"/>
      <c r="AS68" s="59"/>
      <c r="AT68" s="59"/>
      <c r="AU68" s="63"/>
      <c r="AV68" s="59"/>
      <c r="AW68" s="59"/>
      <c r="AX68" s="59"/>
      <c r="AY68" s="59"/>
      <c r="AZ68" s="63"/>
      <c r="BA68" s="59"/>
      <c r="BB68" s="59"/>
      <c r="BC68" s="59"/>
      <c r="BD68" s="59"/>
      <c r="BE68" s="63"/>
      <c r="BF68" s="59"/>
      <c r="BG68" s="59"/>
      <c r="BH68" s="59"/>
      <c r="BI68" s="59"/>
      <c r="BJ68" s="63"/>
      <c r="BK68" s="59"/>
      <c r="BL68" s="59"/>
      <c r="BM68" s="59"/>
      <c r="BN68" s="59"/>
      <c r="BO68" s="63"/>
      <c r="BP68" s="59"/>
      <c r="BQ68" s="59"/>
      <c r="BR68" s="59"/>
      <c r="BS68" s="59"/>
      <c r="BT68" s="63"/>
      <c r="BU68" s="59"/>
      <c r="BV68" s="59"/>
      <c r="BW68" s="59"/>
      <c r="BX68" s="59"/>
      <c r="BY68" s="63"/>
      <c r="BZ68" s="59"/>
      <c r="CA68" s="59"/>
      <c r="CB68" s="59"/>
      <c r="CC68" s="59"/>
      <c r="CD68" s="63"/>
      <c r="CE68" s="59"/>
      <c r="CF68" s="59"/>
      <c r="CG68" s="59"/>
      <c r="CH68" s="59"/>
      <c r="CI68" s="63"/>
      <c r="CJ68" s="59"/>
      <c r="CK68" s="59"/>
      <c r="CL68" s="59"/>
      <c r="CM68" s="59"/>
      <c r="CN68" s="63"/>
      <c r="CO68" s="59"/>
      <c r="CP68" s="59"/>
      <c r="CQ68" s="59"/>
      <c r="CR68" s="59"/>
      <c r="CS68" s="59"/>
      <c r="CT68" s="63" t="n">
        <f aca="false">VLOOKUP(CT67,$EQ$9:$EU$14,5,FALSE())-CT66</f>
        <v>0</v>
      </c>
      <c r="CU68" s="59"/>
      <c r="CV68" s="63" t="e">
        <f aca="false">VLOOKUP(CV67,$EQ$9:$EU$14,5,FALSE())-CV66</f>
        <v>#N/A</v>
      </c>
      <c r="CW68" s="59"/>
      <c r="CX68" s="63" t="n">
        <f aca="false">VLOOKUP(CX67,$EQ$9:$EU$14,5,FALSE())-CX66</f>
        <v>0</v>
      </c>
      <c r="CY68" s="59"/>
      <c r="CZ68" s="63" t="n">
        <f aca="false">VLOOKUP(CZ67,$EQ$9:$EU$14,5,FALSE())-CZ66</f>
        <v>0</v>
      </c>
      <c r="DA68" s="59"/>
      <c r="DB68" s="63" t="n">
        <f aca="false">VLOOKUP(DB67,$EQ$9:$EU$14,5,FALSE())-DB66</f>
        <v>0</v>
      </c>
      <c r="DC68" s="59"/>
      <c r="DD68" s="63" t="n">
        <f aca="false">VLOOKUP(DD67,$EQ$9:$EU$14,5,FALSE())-DD66</f>
        <v>0</v>
      </c>
      <c r="DE68" s="59"/>
      <c r="DF68" s="63" t="n">
        <f aca="false">VLOOKUP(DF67,$EQ$9:$EU$14,5,FALSE())-DF66</f>
        <v>0</v>
      </c>
      <c r="DG68" s="59"/>
      <c r="DH68" s="63" t="n">
        <f aca="false">VLOOKUP(DH67,$EQ$9:$EU$14,5,FALSE())-DH66</f>
        <v>0</v>
      </c>
      <c r="DI68" s="59"/>
      <c r="DJ68" s="63" t="n">
        <f aca="false">VLOOKUP(DJ67,$EQ$9:$EU$14,5,FALSE())-DJ66</f>
        <v>0</v>
      </c>
      <c r="DK68" s="59"/>
      <c r="DL68" s="63" t="n">
        <f aca="false">VLOOKUP(DL67,$EQ$9:$EU$14,5,FALSE())-DL66</f>
        <v>0</v>
      </c>
      <c r="DM68" s="59"/>
      <c r="DN68" s="63" t="e">
        <f aca="false">VLOOKUP(DN67,$EQ$9:$EU$14,5,FALSE())-DN66</f>
        <v>#N/A</v>
      </c>
      <c r="DO68" s="59"/>
      <c r="DP68" s="63" t="e">
        <f aca="false">VLOOKUP(DP67,$EQ$9:$EU$14,5,FALSE())-DP66</f>
        <v>#N/A</v>
      </c>
      <c r="DQ68" s="59"/>
      <c r="DR68" s="63" t="e">
        <f aca="false">VLOOKUP(DR67,$EQ$9:$EU$14,5,FALSE())-DR66</f>
        <v>#N/A</v>
      </c>
      <c r="DS68" s="59"/>
      <c r="DT68" s="63" t="e">
        <f aca="false">VLOOKUP(DT67,$EQ$9:$EU$14,5,FALSE())-DT66</f>
        <v>#N/A</v>
      </c>
      <c r="DU68" s="59"/>
      <c r="DV68" s="63" t="e">
        <f aca="false">VLOOKUP(DV67,$EQ$9:$EU$14,5,FALSE())-DV66</f>
        <v>#N/A</v>
      </c>
      <c r="DW68" s="59"/>
      <c r="DX68" s="63" t="e">
        <f aca="false">VLOOKUP(DX67,$EQ$9:$EU$14,5,FALSE())-DX66</f>
        <v>#N/A</v>
      </c>
      <c r="DY68" s="59"/>
      <c r="DZ68" s="63" t="e">
        <f aca="false">VLOOKUP(DZ67,$EQ$9:$EU$14,5,FALSE())-DZ66</f>
        <v>#N/A</v>
      </c>
      <c r="EA68" s="59"/>
      <c r="EB68" s="63" t="e">
        <f aca="false">VLOOKUP(EB67,$EQ$9:$EU$14,5,FALSE())-EB66</f>
        <v>#N/A</v>
      </c>
      <c r="EC68" s="59"/>
      <c r="ED68" s="62"/>
    </row>
    <row r="70" customFormat="false" ht="9.75" hidden="false" customHeight="true" outlineLevel="0" collapsed="false">
      <c r="F70" s="4" t="s">
        <v>0</v>
      </c>
    </row>
    <row r="71" customFormat="false" ht="13.5" hidden="false" customHeight="false" outlineLevel="0" collapsed="false">
      <c r="E71" s="64" t="s">
        <v>140</v>
      </c>
      <c r="F71" s="4"/>
      <c r="CS71" s="65"/>
    </row>
    <row r="72" customFormat="false" ht="13.5" hidden="false" customHeight="false" outlineLevel="0" collapsed="false">
      <c r="E72" s="51"/>
      <c r="F72" s="4"/>
      <c r="G72" s="51" t="n">
        <v>1</v>
      </c>
      <c r="H72" s="51"/>
      <c r="I72" s="51"/>
      <c r="J72" s="51"/>
      <c r="K72" s="51"/>
      <c r="L72" s="51" t="n">
        <v>2</v>
      </c>
      <c r="M72" s="51"/>
      <c r="N72" s="51"/>
      <c r="O72" s="51"/>
      <c r="P72" s="51"/>
      <c r="Q72" s="51" t="n">
        <v>3</v>
      </c>
      <c r="R72" s="51"/>
      <c r="S72" s="51"/>
      <c r="T72" s="51"/>
      <c r="U72" s="51"/>
      <c r="V72" s="51" t="n">
        <v>4</v>
      </c>
      <c r="W72" s="51"/>
      <c r="X72" s="51"/>
      <c r="Y72" s="51"/>
      <c r="Z72" s="51"/>
      <c r="AA72" s="51" t="n">
        <v>5</v>
      </c>
      <c r="AB72" s="51"/>
      <c r="AC72" s="51"/>
      <c r="AD72" s="51"/>
      <c r="AE72" s="51"/>
      <c r="AF72" s="51" t="n">
        <v>6</v>
      </c>
      <c r="AG72" s="51"/>
      <c r="AH72" s="51"/>
      <c r="AI72" s="51"/>
      <c r="AJ72" s="51"/>
      <c r="AK72" s="51" t="n">
        <v>7</v>
      </c>
      <c r="AL72" s="51"/>
      <c r="AM72" s="51"/>
      <c r="AN72" s="51"/>
      <c r="AO72" s="51"/>
      <c r="AP72" s="51" t="n">
        <v>8</v>
      </c>
      <c r="AQ72" s="51"/>
      <c r="AR72" s="51"/>
      <c r="AS72" s="51"/>
      <c r="AT72" s="51"/>
      <c r="AU72" s="51" t="n">
        <v>9</v>
      </c>
      <c r="AV72" s="51"/>
      <c r="AW72" s="51"/>
      <c r="AX72" s="51"/>
      <c r="AY72" s="51"/>
      <c r="AZ72" s="51" t="n">
        <v>10</v>
      </c>
      <c r="BA72" s="51"/>
      <c r="BB72" s="51"/>
      <c r="BC72" s="51"/>
      <c r="BD72" s="51"/>
      <c r="BE72" s="51" t="n">
        <v>11</v>
      </c>
      <c r="BF72" s="51"/>
      <c r="BG72" s="51"/>
      <c r="BH72" s="51"/>
      <c r="BI72" s="51"/>
      <c r="BJ72" s="51" t="n">
        <v>12</v>
      </c>
      <c r="BK72" s="51"/>
      <c r="BL72" s="51"/>
      <c r="BM72" s="51"/>
      <c r="BN72" s="51"/>
      <c r="BO72" s="51" t="n">
        <v>13</v>
      </c>
      <c r="BP72" s="51"/>
      <c r="BQ72" s="51"/>
      <c r="BR72" s="51"/>
      <c r="BS72" s="51"/>
      <c r="BT72" s="51" t="n">
        <v>14</v>
      </c>
      <c r="BU72" s="51"/>
      <c r="BV72" s="51"/>
      <c r="BW72" s="51"/>
      <c r="BX72" s="51"/>
      <c r="BY72" s="51" t="n">
        <v>15</v>
      </c>
      <c r="BZ72" s="51"/>
      <c r="CA72" s="51"/>
      <c r="CB72" s="51"/>
      <c r="CC72" s="51"/>
      <c r="CD72" s="51" t="n">
        <v>16</v>
      </c>
      <c r="CE72" s="51"/>
      <c r="CF72" s="51"/>
      <c r="CG72" s="51"/>
      <c r="CH72" s="51"/>
      <c r="CI72" s="51" t="n">
        <v>17</v>
      </c>
      <c r="CJ72" s="51"/>
      <c r="CK72" s="51"/>
      <c r="CL72" s="51"/>
      <c r="CM72" s="51"/>
      <c r="CN72" s="51" t="n">
        <v>18</v>
      </c>
      <c r="CO72" s="51"/>
      <c r="CP72" s="51"/>
      <c r="CQ72" s="51"/>
      <c r="CR72" s="51"/>
      <c r="CS72" s="42"/>
    </row>
    <row r="73" customFormat="false" ht="34.5" hidden="false" customHeight="false" outlineLevel="0" collapsed="false">
      <c r="E73" s="58" t="s">
        <v>141</v>
      </c>
      <c r="F73" s="4"/>
      <c r="G73" s="48" t="n">
        <v>44680</v>
      </c>
      <c r="H73" s="4"/>
      <c r="I73" s="4"/>
      <c r="J73" s="4"/>
      <c r="K73" s="4"/>
      <c r="L73" s="48" t="n">
        <v>44687</v>
      </c>
      <c r="M73" s="4"/>
      <c r="N73" s="4"/>
      <c r="O73" s="4"/>
      <c r="P73" s="4"/>
      <c r="Q73" s="48" t="n">
        <v>44694</v>
      </c>
      <c r="R73" s="4"/>
      <c r="S73" s="4"/>
      <c r="T73" s="4"/>
      <c r="U73" s="4"/>
      <c r="V73" s="48" t="n">
        <v>44701</v>
      </c>
      <c r="W73" s="4"/>
      <c r="X73" s="4"/>
      <c r="Y73" s="4"/>
      <c r="Z73" s="4"/>
      <c r="AA73" s="48" t="n">
        <v>44708</v>
      </c>
      <c r="AB73" s="4"/>
      <c r="AC73" s="4"/>
      <c r="AD73" s="4"/>
      <c r="AE73" s="4"/>
      <c r="AF73" s="48" t="n">
        <v>44715</v>
      </c>
      <c r="AG73" s="4"/>
      <c r="AH73" s="4"/>
      <c r="AI73" s="4"/>
      <c r="AJ73" s="4"/>
      <c r="AK73" s="48" t="n">
        <v>44729</v>
      </c>
      <c r="AL73" s="4"/>
      <c r="AM73" s="4"/>
      <c r="AN73" s="4"/>
      <c r="AO73" s="4"/>
      <c r="AP73" s="48" t="n">
        <v>44736</v>
      </c>
      <c r="AQ73" s="4"/>
      <c r="AR73" s="4"/>
      <c r="AS73" s="4"/>
      <c r="AT73" s="4"/>
      <c r="AU73" s="48" t="n">
        <v>44743</v>
      </c>
      <c r="AV73" s="4"/>
      <c r="AW73" s="4"/>
      <c r="AX73" s="4"/>
      <c r="AY73" s="4"/>
      <c r="AZ73" s="48" t="n">
        <v>44750</v>
      </c>
      <c r="BA73" s="4"/>
      <c r="BB73" s="4"/>
      <c r="BC73" s="4"/>
      <c r="BD73" s="4"/>
      <c r="BE73" s="48" t="n">
        <v>44757</v>
      </c>
      <c r="BF73" s="4"/>
      <c r="BG73" s="4"/>
      <c r="BH73" s="4"/>
      <c r="BI73" s="4"/>
      <c r="BJ73" s="48" t="n">
        <v>44764</v>
      </c>
      <c r="BK73" s="4"/>
      <c r="BL73" s="4"/>
      <c r="BM73" s="4"/>
      <c r="BN73" s="4"/>
      <c r="BO73" s="48" t="n">
        <v>44771</v>
      </c>
      <c r="BP73" s="4"/>
      <c r="BQ73" s="4"/>
      <c r="BR73" s="4"/>
      <c r="BS73" s="4"/>
      <c r="BT73" s="48" t="n">
        <v>44778</v>
      </c>
      <c r="BU73" s="4"/>
      <c r="BV73" s="4"/>
      <c r="BW73" s="4"/>
      <c r="BX73" s="4"/>
      <c r="BY73" s="48" t="n">
        <v>44785</v>
      </c>
      <c r="BZ73" s="4"/>
      <c r="CA73" s="4"/>
      <c r="CB73" s="4"/>
      <c r="CC73" s="4"/>
      <c r="CD73" s="48" t="n">
        <v>44792</v>
      </c>
      <c r="CE73" s="4"/>
      <c r="CF73" s="4"/>
      <c r="CG73" s="4"/>
      <c r="CH73" s="4"/>
      <c r="CI73" s="48" t="n">
        <v>44799</v>
      </c>
      <c r="CJ73" s="4"/>
      <c r="CK73" s="4"/>
      <c r="CL73" s="4"/>
      <c r="CM73" s="4"/>
      <c r="CN73" s="48" t="n">
        <v>44806</v>
      </c>
      <c r="CO73" s="4"/>
      <c r="CP73" s="4"/>
      <c r="CQ73" s="4"/>
      <c r="CR73" s="4"/>
      <c r="CS73" s="5" t="n">
        <v>1</v>
      </c>
      <c r="CT73" s="5"/>
      <c r="CU73" s="66" t="n">
        <f aca="false">CS73+1</f>
        <v>2</v>
      </c>
      <c r="CV73" s="66"/>
      <c r="CW73" s="5" t="n">
        <f aca="false">CU73+1</f>
        <v>3</v>
      </c>
      <c r="CX73" s="5"/>
      <c r="CY73" s="5" t="n">
        <f aca="false">CW73+1</f>
        <v>4</v>
      </c>
      <c r="CZ73" s="5"/>
      <c r="DA73" s="5" t="n">
        <f aca="false">CY73+1</f>
        <v>5</v>
      </c>
      <c r="DB73" s="5"/>
      <c r="DC73" s="5" t="n">
        <f aca="false">DA73+1</f>
        <v>6</v>
      </c>
      <c r="DD73" s="5"/>
      <c r="DE73" s="5" t="n">
        <f aca="false">DC73+1</f>
        <v>7</v>
      </c>
      <c r="DF73" s="5"/>
      <c r="DG73" s="5" t="n">
        <f aca="false">DE73+1</f>
        <v>8</v>
      </c>
      <c r="DH73" s="5"/>
      <c r="DI73" s="5" t="n">
        <f aca="false">DG73+1</f>
        <v>9</v>
      </c>
      <c r="DJ73" s="5"/>
      <c r="DK73" s="5" t="n">
        <f aca="false">DI73+1</f>
        <v>10</v>
      </c>
      <c r="DL73" s="5"/>
      <c r="DM73" s="5" t="n">
        <f aca="false">DK73+1</f>
        <v>11</v>
      </c>
      <c r="DN73" s="5"/>
      <c r="DO73" s="5" t="n">
        <f aca="false">DM73+1</f>
        <v>12</v>
      </c>
      <c r="DP73" s="5"/>
      <c r="DQ73" s="5" t="n">
        <f aca="false">DO73+1</f>
        <v>13</v>
      </c>
      <c r="DR73" s="5"/>
      <c r="DS73" s="5" t="n">
        <f aca="false">DQ73+1</f>
        <v>14</v>
      </c>
      <c r="DT73" s="5"/>
      <c r="DU73" s="5" t="n">
        <f aca="false">DS73+1</f>
        <v>15</v>
      </c>
      <c r="DV73" s="5"/>
      <c r="DW73" s="5" t="n">
        <f aca="false">DU73+1</f>
        <v>16</v>
      </c>
      <c r="DX73" s="5"/>
      <c r="DY73" s="5" t="n">
        <f aca="false">DW73+1</f>
        <v>17</v>
      </c>
      <c r="DZ73" s="5"/>
      <c r="EA73" s="5" t="n">
        <f aca="false">DY73+1</f>
        <v>18</v>
      </c>
      <c r="EB73" s="5"/>
      <c r="EC73" s="9" t="s">
        <v>20</v>
      </c>
      <c r="ED73" s="10" t="s">
        <v>21</v>
      </c>
    </row>
    <row r="74" customFormat="false" ht="14.25" hidden="false" customHeight="true" outlineLevel="0" collapsed="false">
      <c r="E74" s="67" t="s">
        <v>142</v>
      </c>
      <c r="G74" s="18" t="s">
        <v>64</v>
      </c>
      <c r="H74" s="18" t="s">
        <v>65</v>
      </c>
      <c r="I74" s="18" t="s">
        <v>66</v>
      </c>
      <c r="J74" s="18" t="s">
        <v>67</v>
      </c>
      <c r="K74" s="18" t="s">
        <v>68</v>
      </c>
      <c r="L74" s="18" t="s">
        <v>64</v>
      </c>
      <c r="M74" s="18" t="s">
        <v>65</v>
      </c>
      <c r="N74" s="18" t="s">
        <v>66</v>
      </c>
      <c r="O74" s="18" t="s">
        <v>67</v>
      </c>
      <c r="P74" s="18" t="s">
        <v>68</v>
      </c>
      <c r="Q74" s="18" t="s">
        <v>64</v>
      </c>
      <c r="R74" s="18" t="s">
        <v>65</v>
      </c>
      <c r="S74" s="18" t="s">
        <v>66</v>
      </c>
      <c r="T74" s="18" t="s">
        <v>67</v>
      </c>
      <c r="U74" s="18" t="s">
        <v>68</v>
      </c>
      <c r="V74" s="18" t="s">
        <v>64</v>
      </c>
      <c r="W74" s="18" t="s">
        <v>65</v>
      </c>
      <c r="X74" s="18" t="s">
        <v>66</v>
      </c>
      <c r="Y74" s="18" t="s">
        <v>67</v>
      </c>
      <c r="Z74" s="18" t="s">
        <v>68</v>
      </c>
      <c r="AA74" s="18" t="s">
        <v>64</v>
      </c>
      <c r="AB74" s="18" t="s">
        <v>65</v>
      </c>
      <c r="AC74" s="18" t="s">
        <v>66</v>
      </c>
      <c r="AD74" s="18" t="s">
        <v>67</v>
      </c>
      <c r="AE74" s="18" t="s">
        <v>68</v>
      </c>
      <c r="AF74" s="18" t="s">
        <v>64</v>
      </c>
      <c r="AG74" s="18" t="s">
        <v>65</v>
      </c>
      <c r="AH74" s="18" t="s">
        <v>66</v>
      </c>
      <c r="AI74" s="18" t="s">
        <v>67</v>
      </c>
      <c r="AJ74" s="18" t="s">
        <v>68</v>
      </c>
      <c r="AK74" s="18" t="s">
        <v>64</v>
      </c>
      <c r="AL74" s="18" t="s">
        <v>65</v>
      </c>
      <c r="AM74" s="18" t="s">
        <v>66</v>
      </c>
      <c r="AN74" s="18" t="s">
        <v>67</v>
      </c>
      <c r="AO74" s="18" t="s">
        <v>68</v>
      </c>
      <c r="AP74" s="18" t="s">
        <v>64</v>
      </c>
      <c r="AQ74" s="18" t="s">
        <v>65</v>
      </c>
      <c r="AR74" s="18" t="s">
        <v>66</v>
      </c>
      <c r="AS74" s="18" t="s">
        <v>67</v>
      </c>
      <c r="AT74" s="18" t="s">
        <v>68</v>
      </c>
      <c r="AU74" s="18" t="s">
        <v>64</v>
      </c>
      <c r="AV74" s="18" t="s">
        <v>65</v>
      </c>
      <c r="AW74" s="18" t="s">
        <v>66</v>
      </c>
      <c r="AX74" s="18" t="s">
        <v>67</v>
      </c>
      <c r="AY74" s="18" t="s">
        <v>68</v>
      </c>
      <c r="AZ74" s="18" t="s">
        <v>64</v>
      </c>
      <c r="BA74" s="18" t="s">
        <v>65</v>
      </c>
      <c r="BB74" s="18" t="s">
        <v>66</v>
      </c>
      <c r="BC74" s="18" t="s">
        <v>67</v>
      </c>
      <c r="BD74" s="18" t="s">
        <v>68</v>
      </c>
      <c r="BE74" s="18" t="s">
        <v>64</v>
      </c>
      <c r="BF74" s="18" t="s">
        <v>65</v>
      </c>
      <c r="BG74" s="18" t="s">
        <v>66</v>
      </c>
      <c r="BH74" s="18" t="s">
        <v>67</v>
      </c>
      <c r="BI74" s="18" t="s">
        <v>68</v>
      </c>
      <c r="BJ74" s="18" t="s">
        <v>64</v>
      </c>
      <c r="BK74" s="18" t="s">
        <v>65</v>
      </c>
      <c r="BL74" s="18" t="s">
        <v>66</v>
      </c>
      <c r="BM74" s="18" t="s">
        <v>67</v>
      </c>
      <c r="BN74" s="18" t="s">
        <v>68</v>
      </c>
      <c r="BO74" s="18" t="s">
        <v>64</v>
      </c>
      <c r="BP74" s="18" t="s">
        <v>65</v>
      </c>
      <c r="BQ74" s="18" t="s">
        <v>66</v>
      </c>
      <c r="BR74" s="18" t="s">
        <v>67</v>
      </c>
      <c r="BS74" s="18" t="s">
        <v>68</v>
      </c>
      <c r="BT74" s="18" t="s">
        <v>64</v>
      </c>
      <c r="BU74" s="18" t="s">
        <v>65</v>
      </c>
      <c r="BV74" s="18" t="s">
        <v>66</v>
      </c>
      <c r="BW74" s="18" t="s">
        <v>67</v>
      </c>
      <c r="BX74" s="18" t="s">
        <v>68</v>
      </c>
      <c r="BY74" s="18" t="s">
        <v>64</v>
      </c>
      <c r="BZ74" s="18" t="s">
        <v>65</v>
      </c>
      <c r="CA74" s="18" t="s">
        <v>66</v>
      </c>
      <c r="CB74" s="18" t="s">
        <v>67</v>
      </c>
      <c r="CC74" s="18" t="s">
        <v>68</v>
      </c>
      <c r="CD74" s="18" t="s">
        <v>64</v>
      </c>
      <c r="CE74" s="18" t="s">
        <v>65</v>
      </c>
      <c r="CF74" s="18" t="s">
        <v>66</v>
      </c>
      <c r="CG74" s="18" t="s">
        <v>67</v>
      </c>
      <c r="CH74" s="18" t="s">
        <v>68</v>
      </c>
      <c r="CI74" s="18" t="s">
        <v>64</v>
      </c>
      <c r="CJ74" s="18" t="s">
        <v>65</v>
      </c>
      <c r="CK74" s="18" t="s">
        <v>66</v>
      </c>
      <c r="CL74" s="18" t="s">
        <v>67</v>
      </c>
      <c r="CM74" s="18" t="s">
        <v>68</v>
      </c>
      <c r="CN74" s="18" t="s">
        <v>64</v>
      </c>
      <c r="CO74" s="18" t="s">
        <v>65</v>
      </c>
      <c r="CP74" s="18" t="s">
        <v>66</v>
      </c>
      <c r="CQ74" s="18" t="s">
        <v>67</v>
      </c>
      <c r="CR74" s="18" t="s">
        <v>68</v>
      </c>
      <c r="CS74" s="13" t="s">
        <v>38</v>
      </c>
      <c r="CT74" s="13"/>
      <c r="CU74" s="10" t="s">
        <v>39</v>
      </c>
      <c r="CV74" s="10"/>
      <c r="CW74" s="13" t="s">
        <v>40</v>
      </c>
      <c r="CX74" s="13"/>
      <c r="CY74" s="13" t="s">
        <v>41</v>
      </c>
      <c r="CZ74" s="13"/>
      <c r="DA74" s="13" t="s">
        <v>38</v>
      </c>
      <c r="DB74" s="13"/>
      <c r="DC74" s="13" t="s">
        <v>40</v>
      </c>
      <c r="DD74" s="13"/>
      <c r="DE74" s="13" t="s">
        <v>41</v>
      </c>
      <c r="DF74" s="13"/>
      <c r="DG74" s="13" t="s">
        <v>38</v>
      </c>
      <c r="DH74" s="13"/>
      <c r="DI74" s="13" t="s">
        <v>40</v>
      </c>
      <c r="DJ74" s="13"/>
      <c r="DK74" s="13" t="s">
        <v>41</v>
      </c>
      <c r="DL74" s="13"/>
      <c r="DM74" s="13" t="s">
        <v>38</v>
      </c>
      <c r="DN74" s="13"/>
      <c r="DO74" s="13" t="s">
        <v>40</v>
      </c>
      <c r="DP74" s="13"/>
      <c r="DQ74" s="13" t="s">
        <v>41</v>
      </c>
      <c r="DR74" s="13"/>
      <c r="DS74" s="13" t="s">
        <v>38</v>
      </c>
      <c r="DT74" s="13"/>
      <c r="DU74" s="13" t="s">
        <v>40</v>
      </c>
      <c r="DV74" s="13"/>
      <c r="DW74" s="13" t="s">
        <v>41</v>
      </c>
      <c r="DX74" s="13"/>
      <c r="DY74" s="13" t="s">
        <v>38</v>
      </c>
      <c r="DZ74" s="13"/>
      <c r="EA74" s="13" t="s">
        <v>40</v>
      </c>
      <c r="EB74" s="13"/>
      <c r="ED74" s="1"/>
    </row>
    <row r="75" customFormat="false" ht="13.5" hidden="false" customHeight="false" outlineLevel="0" collapsed="false">
      <c r="B75" s="68" t="n">
        <f aca="false">_xlfn.RANK.EQ(C75,$C$73:$C$116,)</f>
        <v>1</v>
      </c>
      <c r="C75" s="69" t="n">
        <f aca="false">EC75</f>
        <v>49.5</v>
      </c>
      <c r="D75" s="69" t="s">
        <v>143</v>
      </c>
      <c r="E75" s="70" t="s">
        <v>144</v>
      </c>
      <c r="F75" s="71" t="n">
        <f aca="false">COUNT(CT75,CV75,CX75,CZ75,DB75,DD75,DF75,DH75,DJ75,DL75,DN75,DP75,DR75,DT75,DV75,DX75,DZ75,EB75)</f>
        <v>3</v>
      </c>
      <c r="G75" s="49" t="str">
        <f aca="false">IF(CT75=0,"",CT75)</f>
        <v/>
      </c>
      <c r="H75" s="49"/>
      <c r="I75" s="49"/>
      <c r="K75" s="49"/>
      <c r="L75" s="49" t="str">
        <f aca="false">IF(CV75=0,"",CV75)</f>
        <v/>
      </c>
      <c r="M75" s="49"/>
      <c r="N75" s="49"/>
      <c r="P75" s="49"/>
      <c r="Q75" s="49" t="str">
        <f aca="false">IF(CX75=0,"",CX75)</f>
        <v/>
      </c>
      <c r="R75" s="49"/>
      <c r="S75" s="49"/>
      <c r="U75" s="49"/>
      <c r="V75" s="49" t="str">
        <f aca="false">IF(CZ75=0,"",CZ75)</f>
        <v/>
      </c>
      <c r="W75" s="49"/>
      <c r="X75" s="49"/>
      <c r="Z75" s="49"/>
      <c r="AA75" s="49" t="n">
        <f aca="false">IF(DB75=0,"",DB75)</f>
        <v>28.5</v>
      </c>
      <c r="AB75" s="49"/>
      <c r="AC75" s="49"/>
      <c r="AE75" s="49"/>
      <c r="AF75" s="49" t="str">
        <f aca="false">IF(DD75=0,"",DD75)</f>
        <v/>
      </c>
      <c r="AG75" s="49"/>
      <c r="AH75" s="49"/>
      <c r="AJ75" s="49"/>
      <c r="AK75" s="49" t="n">
        <f aca="false">IF(DF75=0,"",DF75)</f>
        <v>13</v>
      </c>
      <c r="AL75" s="49"/>
      <c r="AM75" s="49"/>
      <c r="AO75" s="49"/>
      <c r="AP75" s="49" t="n">
        <f aca="false">IF(DH75=0,"",DH75)</f>
        <v>8</v>
      </c>
      <c r="AQ75" s="49"/>
      <c r="AR75" s="49"/>
      <c r="AT75" s="49"/>
      <c r="AU75" s="49" t="str">
        <f aca="false">IF(DJ75=0,"",DJ75)</f>
        <v/>
      </c>
      <c r="AV75" s="49"/>
      <c r="AW75" s="49"/>
      <c r="AY75" s="49"/>
      <c r="AZ75" s="49" t="str">
        <f aca="false">IF(DL75=0,"",DL75)</f>
        <v/>
      </c>
      <c r="BA75" s="49"/>
      <c r="BB75" s="49"/>
      <c r="BD75" s="49"/>
      <c r="BE75" s="49" t="str">
        <f aca="false">IF(DN75=0,"",DN75)</f>
        <v/>
      </c>
      <c r="BF75" s="49"/>
      <c r="BG75" s="49"/>
      <c r="BI75" s="49"/>
      <c r="BJ75" s="49" t="str">
        <f aca="false">IF(DP75=0,"",DP75)</f>
        <v/>
      </c>
      <c r="BK75" s="49"/>
      <c r="BL75" s="49"/>
      <c r="BN75" s="49"/>
      <c r="BO75" s="49" t="str">
        <f aca="false">IF(DR75=0,"",DR75)</f>
        <v/>
      </c>
      <c r="BP75" s="49"/>
      <c r="BQ75" s="49"/>
      <c r="BS75" s="49"/>
      <c r="BT75" s="49" t="str">
        <f aca="false">IF(DT75=0,"",DT75)</f>
        <v/>
      </c>
      <c r="BU75" s="49"/>
      <c r="BV75" s="49"/>
      <c r="BX75" s="49"/>
      <c r="BY75" s="49" t="str">
        <f aca="false">IF(DV75=0,"",DV75)</f>
        <v/>
      </c>
      <c r="BZ75" s="49"/>
      <c r="CA75" s="49"/>
      <c r="CC75" s="49"/>
      <c r="CD75" s="49" t="str">
        <f aca="false">IF(DX75=0,"",DX75)</f>
        <v/>
      </c>
      <c r="CE75" s="49"/>
      <c r="CF75" s="49"/>
      <c r="CH75" s="49"/>
      <c r="CI75" s="49" t="str">
        <f aca="false">IF(DZ75=0,"",DZ75)</f>
        <v/>
      </c>
      <c r="CJ75" s="49"/>
      <c r="CK75" s="49"/>
      <c r="CM75" s="49"/>
      <c r="CN75" s="49" t="str">
        <f aca="false">IF(EB75=0,"",EB75)</f>
        <v/>
      </c>
      <c r="CO75" s="49"/>
      <c r="CP75" s="49"/>
      <c r="CR75" s="49"/>
      <c r="CS75" s="21"/>
      <c r="CT75" s="22" t="str">
        <f aca="false">IFERROR(CT76+CT77,"")</f>
        <v/>
      </c>
      <c r="CU75" s="21"/>
      <c r="CV75" s="22" t="str">
        <f aca="false">IFERROR(CV76+CV77,"")</f>
        <v/>
      </c>
      <c r="CW75" s="21"/>
      <c r="CX75" s="22" t="str">
        <f aca="false">IFERROR(CX76+CX77,"")</f>
        <v/>
      </c>
      <c r="CY75" s="21"/>
      <c r="CZ75" s="22" t="str">
        <f aca="false">IFERROR(CZ76+CZ77,"")</f>
        <v/>
      </c>
      <c r="DA75" s="21" t="n">
        <v>91</v>
      </c>
      <c r="DB75" s="22" t="n">
        <f aca="false">IFERROR(DB76+DB77,"")</f>
        <v>28.5</v>
      </c>
      <c r="DC75" s="21"/>
      <c r="DD75" s="22" t="str">
        <f aca="false">IFERROR(DD76+DD77,"")</f>
        <v/>
      </c>
      <c r="DE75" s="21" t="n">
        <v>92</v>
      </c>
      <c r="DF75" s="22" t="n">
        <f aca="false">IFERROR(DF76+DF77,"")</f>
        <v>13</v>
      </c>
      <c r="DG75" s="21" t="n">
        <v>98</v>
      </c>
      <c r="DH75" s="22" t="n">
        <f aca="false">IFERROR(DH76+DH77,"")</f>
        <v>8</v>
      </c>
      <c r="DI75" s="21"/>
      <c r="DJ75" s="22" t="str">
        <f aca="false">IFERROR(DJ76+DJ77,"")</f>
        <v/>
      </c>
      <c r="DK75" s="21"/>
      <c r="DL75" s="22" t="str">
        <f aca="false">IFERROR(DL76+DL77,"")</f>
        <v/>
      </c>
      <c r="DM75" s="21"/>
      <c r="DN75" s="22" t="str">
        <f aca="false">IFERROR(DN76+DN77,"")</f>
        <v/>
      </c>
      <c r="DO75" s="21"/>
      <c r="DP75" s="22" t="str">
        <f aca="false">IFERROR(DP76+DP77,"")</f>
        <v/>
      </c>
      <c r="DQ75" s="21"/>
      <c r="DR75" s="22" t="str">
        <f aca="false">IFERROR(DR76+DR77,"")</f>
        <v/>
      </c>
      <c r="DS75" s="21"/>
      <c r="DT75" s="22" t="str">
        <f aca="false">IFERROR(DT76+DT77,"")</f>
        <v/>
      </c>
      <c r="DU75" s="21"/>
      <c r="DV75" s="22" t="str">
        <f aca="false">IFERROR(DV76+DV77,"")</f>
        <v/>
      </c>
      <c r="DW75" s="21"/>
      <c r="DX75" s="22" t="str">
        <f aca="false">IFERROR(DX76+DX77,"")</f>
        <v/>
      </c>
      <c r="DY75" s="21"/>
      <c r="DZ75" s="22" t="str">
        <f aca="false">IFERROR(DZ76+DZ77,"")</f>
        <v/>
      </c>
      <c r="EA75" s="21"/>
      <c r="EB75" s="22" t="str">
        <f aca="false">IFERROR(EB76+EB77,"")</f>
        <v/>
      </c>
      <c r="EC75" s="17" t="n">
        <f aca="false">IFERROR(LARGE($G75:$CN75,1),0)+IFERROR(LARGE($G75:$CN75,2),0)+IFERROR(LARGE($G75:$CN75,3),0)+IFERROR(LARGE($G75:$CN75,4),0)+IFERROR(LARGE($G75:$CN75,5),0)+IFERROR(LARGE($G75:$CN75,6),0)+IFERROR(LARGE($G75:$CN75,7),0)+IFERROR(LARGE($G75:$CN75,8),0)+IFERROR(LARGE($G75:$CN75,9),0)+IFERROR(LARGE($G75:$CN75,10),0)</f>
        <v>49.5</v>
      </c>
      <c r="ED75" s="23" t="n">
        <f aca="false">IFERROR(AVERAGE(CT75,CV75,CX75,CZ75,DB75,DD75,DF75,DH75,DJ75,DL75,DN75,DP75,DR75,DT75,DV75,DX75,DZ75,EB75),0)</f>
        <v>16.5</v>
      </c>
    </row>
    <row r="76" customFormat="false" ht="13.5" hidden="false" customHeight="false" outlineLevel="1" collapsed="false">
      <c r="B76" s="72" t="n">
        <f aca="false">B74+0.021</f>
        <v>0.021</v>
      </c>
      <c r="C76" s="68"/>
      <c r="D76" s="68" t="s">
        <v>145</v>
      </c>
      <c r="E76" s="73" t="s">
        <v>43</v>
      </c>
      <c r="F76" s="74"/>
      <c r="G76" s="7"/>
      <c r="H76" s="7" t="str">
        <f aca="false">IF(CS76=0,"",CS76)</f>
        <v/>
      </c>
      <c r="I76" s="7"/>
      <c r="J76" s="49" t="str">
        <f aca="false">IFERROR(RANK(H76,H$6:H$116,0),"")</f>
        <v/>
      </c>
      <c r="K76" s="7"/>
      <c r="L76" s="7"/>
      <c r="M76" s="7" t="str">
        <f aca="false">IF(CU76=0,"",CU76)</f>
        <v/>
      </c>
      <c r="N76" s="7"/>
      <c r="O76" s="49" t="str">
        <f aca="false">IFERROR(RANK(M76,M$6:M$116,0),"")</f>
        <v/>
      </c>
      <c r="P76" s="7"/>
      <c r="Q76" s="7"/>
      <c r="R76" s="7" t="str">
        <f aca="false">IF(CW76=0,"",CW76)</f>
        <v/>
      </c>
      <c r="S76" s="7"/>
      <c r="T76" s="49" t="str">
        <f aca="false">IFERROR(RANK(R76,R$6:R$116,0),"")</f>
        <v/>
      </c>
      <c r="U76" s="7"/>
      <c r="V76" s="7"/>
      <c r="W76" s="7" t="str">
        <f aca="false">IF(CY76=0,"",CY76)</f>
        <v/>
      </c>
      <c r="X76" s="7"/>
      <c r="Y76" s="49" t="str">
        <f aca="false">IFERROR(RANK(W76,W$6:W$116,0),"")</f>
        <v/>
      </c>
      <c r="Z76" s="7"/>
      <c r="AA76" s="7"/>
      <c r="AB76" s="7" t="n">
        <f aca="false">IF(DA76=0,"",DA76)</f>
        <v>34</v>
      </c>
      <c r="AC76" s="7"/>
      <c r="AD76" s="49" t="n">
        <f aca="false">IFERROR(RANK(AB76,AB$6:AB$116,0),"")</f>
        <v>2</v>
      </c>
      <c r="AE76" s="7"/>
      <c r="AF76" s="7"/>
      <c r="AG76" s="7" t="str">
        <f aca="false">IF(DC76=0,"",DC76)</f>
        <v/>
      </c>
      <c r="AH76" s="7"/>
      <c r="AI76" s="49" t="str">
        <f aca="false">IFERROR(RANK(AG76,AG$6:AG$116,0),"")</f>
        <v/>
      </c>
      <c r="AJ76" s="7"/>
      <c r="AK76" s="7"/>
      <c r="AL76" s="7" t="n">
        <f aca="false">IF(DE76=0,"",DE76)</f>
        <v>32</v>
      </c>
      <c r="AM76" s="7"/>
      <c r="AN76" s="49" t="n">
        <f aca="false">IFERROR(RANK(AL76,AL$6:AL$116,0),"")</f>
        <v>9</v>
      </c>
      <c r="AO76" s="7"/>
      <c r="AP76" s="7"/>
      <c r="AQ76" s="7" t="n">
        <f aca="false">IF(DG76=0,"",DG76)</f>
        <v>28</v>
      </c>
      <c r="AR76" s="7"/>
      <c r="AS76" s="49" t="n">
        <f aca="false">IFERROR(RANK(AQ76,AQ$6:AQ$116,0),"")</f>
        <v>14</v>
      </c>
      <c r="AT76" s="7"/>
      <c r="AU76" s="7"/>
      <c r="AV76" s="7" t="str">
        <f aca="false">IF(DI76=0,"",DI76)</f>
        <v/>
      </c>
      <c r="AW76" s="7"/>
      <c r="AX76" s="49" t="str">
        <f aca="false">IFERROR(RANK(AV76,AV$6:AV$116,0),"")</f>
        <v/>
      </c>
      <c r="AY76" s="7"/>
      <c r="AZ76" s="7"/>
      <c r="BA76" s="7" t="str">
        <f aca="false">IF(DK76=0,"",DK76)</f>
        <v/>
      </c>
      <c r="BB76" s="7"/>
      <c r="BC76" s="49" t="str">
        <f aca="false">IFERROR(RANK(BA76,BA$6:BA$116,0),"")</f>
        <v/>
      </c>
      <c r="BD76" s="7"/>
      <c r="BE76" s="7"/>
      <c r="BF76" s="7" t="str">
        <f aca="false">IF(DM76=0,"",DM76)</f>
        <v/>
      </c>
      <c r="BG76" s="7"/>
      <c r="BH76" s="49" t="str">
        <f aca="false">IFERROR(RANK(BF76,BF$6:BF$116,0),"")</f>
        <v/>
      </c>
      <c r="BI76" s="7"/>
      <c r="BJ76" s="7"/>
      <c r="BK76" s="7" t="str">
        <f aca="false">IF(DO76=0,"",DO76)</f>
        <v/>
      </c>
      <c r="BL76" s="7"/>
      <c r="BM76" s="49" t="str">
        <f aca="false">IFERROR(RANK(BK76,BK$6:BK$116,0),"")</f>
        <v/>
      </c>
      <c r="BN76" s="7"/>
      <c r="BO76" s="7"/>
      <c r="BP76" s="7" t="str">
        <f aca="false">IF(DQ76=0,"",DQ76)</f>
        <v/>
      </c>
      <c r="BQ76" s="7"/>
      <c r="BR76" s="49" t="str">
        <f aca="false">IFERROR(RANK(BP76,BP$6:BP$116,0),"")</f>
        <v/>
      </c>
      <c r="BS76" s="7"/>
      <c r="BT76" s="7"/>
      <c r="BU76" s="7" t="str">
        <f aca="false">IF(DS76=0,"",DS76)</f>
        <v/>
      </c>
      <c r="BV76" s="7"/>
      <c r="BW76" s="49" t="str">
        <f aca="false">IFERROR(RANK(BU76,BU$6:BU$116,0),"")</f>
        <v/>
      </c>
      <c r="BX76" s="7"/>
      <c r="BY76" s="7"/>
      <c r="BZ76" s="7" t="str">
        <f aca="false">IF(DU76=0,"",DU76)</f>
        <v/>
      </c>
      <c r="CA76" s="7"/>
      <c r="CB76" s="49" t="str">
        <f aca="false">IFERROR(RANK(BZ76,BZ$6:BZ$116,0),"")</f>
        <v/>
      </c>
      <c r="CC76" s="7"/>
      <c r="CD76" s="7"/>
      <c r="CE76" s="7" t="str">
        <f aca="false">IF(DW76=0,"",DW76)</f>
        <v/>
      </c>
      <c r="CF76" s="7"/>
      <c r="CG76" s="49" t="str">
        <f aca="false">IFERROR(RANK(CE76,CE$6:CE$116,0),"")</f>
        <v/>
      </c>
      <c r="CH76" s="7"/>
      <c r="CI76" s="7"/>
      <c r="CJ76" s="7" t="str">
        <f aca="false">IF(DY76=0,"",DY76)</f>
        <v/>
      </c>
      <c r="CK76" s="7"/>
      <c r="CL76" s="49" t="str">
        <f aca="false">IFERROR(RANK(CJ76,CJ$6:CJ$116,0),"")</f>
        <v/>
      </c>
      <c r="CM76" s="7"/>
      <c r="CN76" s="7"/>
      <c r="CO76" s="7" t="str">
        <f aca="false">IF(EA76=0,"",EA76)</f>
        <v/>
      </c>
      <c r="CP76" s="7"/>
      <c r="CQ76" s="49" t="str">
        <f aca="false">IFERROR(RANK(CO76,CO$6:CO$116,0),"")</f>
        <v/>
      </c>
      <c r="CR76" s="7"/>
      <c r="CS76" s="21"/>
      <c r="CT76" s="25" t="str">
        <f aca="true">IFERROR(AVERAGE(OFFSET('Data - For Rank'!B$2,J76,0,COUNTIF($J$7:J$116,J76)))+IFERROR(VLOOKUP((COUNT($H$6:$H$116)/4),$ER$9:$ES$13,2,FALSE()),0),"")</f>
        <v/>
      </c>
      <c r="CU76" s="21"/>
      <c r="CV76" s="25" t="str">
        <f aca="true">IFERROR(AVERAGE(OFFSET('Data - For Rank'!$C$2,O76,0,COUNTIF(O$7:O$116,O76)))+IFERROR(VLOOKUP((COUNT(M$6:M$116)/4),$ER$9:$ES$13,2,FALSE()),0),"")</f>
        <v/>
      </c>
      <c r="CW76" s="21"/>
      <c r="CX76" s="25" t="str">
        <f aca="true">IFERROR(AVERAGE(OFFSET('Data - For Rank'!D$2,T76,0,COUNTIF(T$7:T$116,T76)))+IFERROR(VLOOKUP((COUNT(R$6:R$116)/4),$ER$9:$ES$13,2,FALSE()),0),"")</f>
        <v/>
      </c>
      <c r="CY76" s="21"/>
      <c r="CZ76" s="25" t="str">
        <f aca="true">IFERROR(AVERAGE(OFFSET('Data - For Rank'!E$2,Y76,0,COUNTIF(Y$7:Y$116,Y76)))+IFERROR(VLOOKUP((COUNT(W$6:W$116)/4),$ER$9:$ES$13,2,FALSE()),0),"")</f>
        <v/>
      </c>
      <c r="DA76" s="21" t="n">
        <v>34</v>
      </c>
      <c r="DB76" s="25" t="n">
        <f aca="true">IFERROR(AVERAGE(OFFSET('Data - For Rank'!F$2,AD76,0,COUNTIF(AD$7:AD$116,AD76)))+IFERROR(VLOOKUP((COUNT(AB$6:AB$116)/4),$ER$9:$ES$13,2,FALSE()),0),"")</f>
        <v>16.5</v>
      </c>
      <c r="DC76" s="21"/>
      <c r="DD76" s="25" t="str">
        <f aca="true">IFERROR(AVERAGE(OFFSET('Data - For Rank'!G$2,AI76,0,COUNTIF(AI$7:AI$116,AI76)))+IFERROR(VLOOKUP((COUNT(AG$6:AG$116)/4),$ER$9:$ES$13,2,FALSE()),0),"")</f>
        <v/>
      </c>
      <c r="DE76" s="21" t="n">
        <v>32</v>
      </c>
      <c r="DF76" s="25" t="n">
        <f aca="true">IFERROR(AVERAGE(OFFSET('Data - For Rank'!$H$2,AN76,0,COUNTIF(AN$7:AN$116,AN76)))+IFERROR(VLOOKUP((COUNT(AL$6:AL$116)/4),$ER$9:$ES$13,2,FALSE()),0),"")</f>
        <v>8</v>
      </c>
      <c r="DG76" s="21" t="n">
        <v>28</v>
      </c>
      <c r="DH76" s="25" t="n">
        <f aca="true">IFERROR(AVERAGE(OFFSET('Data - For Rank'!$I$2,AS76,0,COUNTIF(AS$7:AS$116,AS76)))+IFERROR(VLOOKUP((COUNT(AQ$6:AQ$116)/4),$ER$9:$ES$13,2,FALSE()),0),"")</f>
        <v>5</v>
      </c>
      <c r="DI76" s="21"/>
      <c r="DJ76" s="25" t="str">
        <f aca="true">IFERROR(AVERAGE(OFFSET('Data - For Rank'!$J$2,AX76,0,COUNTIF(AX$7:AX$116,AX76)))+IFERROR(VLOOKUP((COUNT(AV$6:AV$116)/4),$ER$9:$ES$13,2,FALSE()),0),"")</f>
        <v/>
      </c>
      <c r="DK76" s="21"/>
      <c r="DL76" s="25" t="str">
        <f aca="true">IFERROR(AVERAGE(OFFSET('Data - For Rank'!$K$2,BC76,0,COUNTIF(BC$7:BC$116,BC76)))+IFERROR(VLOOKUP((COUNT(BA$6:BA$116)/4),$ER$9:$ES$13,2,FALSE()),0),"")</f>
        <v/>
      </c>
      <c r="DM76" s="21"/>
      <c r="DN76" s="25" t="str">
        <f aca="true">IFERROR(AVERAGE(OFFSET('Data - For Rank'!$L$2,BH76,0,COUNTIF(BH$7:BH$116,BH76)))+IFERROR(VLOOKUP((COUNT(BF$6:BF$116)/4),$ER$9:$ES$13,2,FALSE()),0),"")</f>
        <v/>
      </c>
      <c r="DO76" s="21"/>
      <c r="DP76" s="25" t="str">
        <f aca="true">IFERROR(AVERAGE(OFFSET('Data - For Rank'!$M$2,BM76,0,COUNTIF(BM$7:BM$116,BM76)))+IFERROR(VLOOKUP((COUNT(BK$6:BK$116)/4),$ER$9:$ES$13,2,FALSE()),0),"")</f>
        <v/>
      </c>
      <c r="DQ76" s="21"/>
      <c r="DR76" s="25" t="str">
        <f aca="true">IFERROR(AVERAGE(OFFSET('Data - For Rank'!$N$2,BR76,0,COUNTIF(BR$7:BR$116,BR76)))+IFERROR(VLOOKUP((COUNT(BP$6:BP$116)/4),$ER$9:$ES$13,2,FALSE()),0),"")</f>
        <v/>
      </c>
      <c r="DS76" s="21"/>
      <c r="DT76" s="25" t="str">
        <f aca="true">IFERROR(AVERAGE(OFFSET('Data - For Rank'!$O$2,BW76,0,COUNTIF(BW$7:BW$116,BW76)))+IFERROR(VLOOKUP((COUNT(BU$6:BU$116)/4),$ER$9:$ES$13,2,FALSE()),0),"")</f>
        <v/>
      </c>
      <c r="DU76" s="21"/>
      <c r="DV76" s="25" t="str">
        <f aca="true">IFERROR(AVERAGE(OFFSET('Data - For Rank'!$P$2,CB76,0,COUNTIF(CB$7:CB$116,CB76)))+IFERROR(VLOOKUP((COUNT(BZ$6:BZ$116)/4),$ER$9:$ES$13,2,FALSE()),0),"")</f>
        <v/>
      </c>
      <c r="DW76" s="21"/>
      <c r="DX76" s="25" t="str">
        <f aca="true">IFERROR(AVERAGE(OFFSET('Data - For Rank'!$Q$2,CG76,0,COUNTIF(CG$7:CG$116,CG76)))+IFERROR(VLOOKUP((COUNT(CE$6:CE$116)/4),$ER$9:$ES$13,2,FALSE()),0),"")</f>
        <v/>
      </c>
      <c r="DY76" s="21"/>
      <c r="DZ76" s="25" t="str">
        <f aca="true">IFERROR(AVERAGE(OFFSET('Data - For Rank'!$R$2,CL76,0,COUNTIF(CL$7:CL$116,CL76)))+IFERROR(VLOOKUP((COUNT(CJ$6:CJ$116)/4),$ER$9:$ES$13,2,FALSE()),0),"")</f>
        <v/>
      </c>
      <c r="EA76" s="21"/>
      <c r="EB76" s="25" t="str">
        <f aca="true">IFERROR(AVERAGE(OFFSET('Data - For Rank'!$S$2,CQ76,0,COUNTIF(CQ$7:CQ$116,CQ76)))+IFERROR(VLOOKUP((COUNT(CO$6:CO$116)/4),$ER$9:$ES$13,2,FALSE()),0),"")</f>
        <v/>
      </c>
      <c r="EC76" s="26" t="n">
        <f aca="false">IFERROR(AVERAGE(CS76,CU76,CW76,CY76,DA76,DC76,DE76,DG76,DI76,DK76,DM76,DO76,DQ76,DS76,DU76,DW76,DY76,EA76),0)</f>
        <v>31.3333333333333</v>
      </c>
      <c r="ED76" s="23" t="n">
        <f aca="false">IFERROR(AVERAGE(CT76,CV76,CX76,CZ76,DB76,DD76,DF76,DH76,DJ76,DL76,DN76,DP76,DR76,DT76,DV76,DX76,DZ76,EB76),0)</f>
        <v>9.83333333333333</v>
      </c>
    </row>
    <row r="77" customFormat="false" ht="13.5" hidden="false" customHeight="false" outlineLevel="1" collapsed="false">
      <c r="B77" s="75" t="n">
        <f aca="false">B76+0.11</f>
        <v>0.131</v>
      </c>
      <c r="C77" s="68"/>
      <c r="D77" s="68" t="s">
        <v>146</v>
      </c>
      <c r="E77" s="76" t="s">
        <v>44</v>
      </c>
      <c r="F77" s="77"/>
      <c r="G77" s="29"/>
      <c r="H77" s="29"/>
      <c r="I77" s="53" t="str">
        <f aca="false">IF(CS77=0,"",CS77)</f>
        <v/>
      </c>
      <c r="J77" s="53"/>
      <c r="K77" s="54" t="str">
        <f aca="false">IFERROR(_xlfn.RANK.EQ(I77,I$6:I$116,0),"")</f>
        <v/>
      </c>
      <c r="L77" s="29"/>
      <c r="M77" s="29"/>
      <c r="N77" s="53" t="str">
        <f aca="false">IF(CU77=0,"",CU77)</f>
        <v/>
      </c>
      <c r="O77" s="53"/>
      <c r="P77" s="54" t="str">
        <f aca="false">IFERROR(_xlfn.RANK.EQ(N77,N$6:N$116,0),"")</f>
        <v/>
      </c>
      <c r="Q77" s="29"/>
      <c r="R77" s="29"/>
      <c r="S77" s="53" t="str">
        <f aca="false">IF(CW77=0,"",CW77)</f>
        <v/>
      </c>
      <c r="T77" s="53"/>
      <c r="U77" s="54" t="str">
        <f aca="false">IFERROR(_xlfn.RANK.EQ(S77,S$6:S$116,0),"")</f>
        <v/>
      </c>
      <c r="V77" s="29"/>
      <c r="W77" s="29"/>
      <c r="X77" s="53" t="str">
        <f aca="false">IF(CY77=0,"",CY77)</f>
        <v/>
      </c>
      <c r="Y77" s="53"/>
      <c r="Z77" s="54" t="str">
        <f aca="false">IFERROR(_xlfn.RANK.EQ(X77,X$6:X$116,0),"")</f>
        <v/>
      </c>
      <c r="AA77" s="29"/>
      <c r="AB77" s="29"/>
      <c r="AC77" s="53" t="n">
        <f aca="false">IF(DA77=0,"",DA77)</f>
        <v>8</v>
      </c>
      <c r="AD77" s="53"/>
      <c r="AE77" s="54" t="n">
        <f aca="false">IFERROR(_xlfn.RANK.EQ(AC77,AC$6:AC$116,0),"")</f>
        <v>6</v>
      </c>
      <c r="AF77" s="29"/>
      <c r="AG77" s="29"/>
      <c r="AH77" s="53" t="str">
        <f aca="false">IF(DC77=0,"",DC77)</f>
        <v/>
      </c>
      <c r="AI77" s="53"/>
      <c r="AJ77" s="54" t="str">
        <f aca="false">IFERROR(_xlfn.RANK.EQ(AH77,AH$6:AH$116,0),"")</f>
        <v/>
      </c>
      <c r="AK77" s="29"/>
      <c r="AL77" s="29"/>
      <c r="AM77" s="53" t="n">
        <f aca="false">IF(DE77=0,"",DE77)</f>
        <v>-18</v>
      </c>
      <c r="AN77" s="53"/>
      <c r="AO77" s="54" t="n">
        <f aca="false">IFERROR(_xlfn.RANK.EQ(AM77,AM$6:AM$116,0),"")</f>
        <v>12</v>
      </c>
      <c r="AP77" s="29"/>
      <c r="AQ77" s="29"/>
      <c r="AR77" s="53" t="n">
        <f aca="false">IF(DG77=0,"",DG77)</f>
        <v>-36</v>
      </c>
      <c r="AS77" s="53"/>
      <c r="AT77" s="54" t="n">
        <f aca="false">IFERROR(_xlfn.RANK.EQ(AR77,AR$6:AR$116,0),"")</f>
        <v>16</v>
      </c>
      <c r="AU77" s="29"/>
      <c r="AV77" s="29"/>
      <c r="AW77" s="53" t="str">
        <f aca="false">IF(DI77=0,"",DI77)</f>
        <v/>
      </c>
      <c r="AX77" s="53"/>
      <c r="AY77" s="54" t="str">
        <f aca="false">IFERROR(_xlfn.RANK.EQ(AW77,AW$6:AW$116,0),"")</f>
        <v/>
      </c>
      <c r="AZ77" s="29"/>
      <c r="BA77" s="29"/>
      <c r="BB77" s="53" t="str">
        <f aca="false">IF(DK77=0,"",DK77)</f>
        <v/>
      </c>
      <c r="BC77" s="53"/>
      <c r="BD77" s="54" t="str">
        <f aca="false">IFERROR(_xlfn.RANK.EQ(BB77,BB$6:BB$116,0),"")</f>
        <v/>
      </c>
      <c r="BE77" s="29"/>
      <c r="BF77" s="29"/>
      <c r="BG77" s="53" t="str">
        <f aca="false">IF(DM77=0,"",DM77)</f>
        <v/>
      </c>
      <c r="BH77" s="53"/>
      <c r="BI77" s="54" t="str">
        <f aca="false">IFERROR(_xlfn.RANK.EQ(BG77,BG$6:BG$116,0),"")</f>
        <v/>
      </c>
      <c r="BJ77" s="29"/>
      <c r="BK77" s="29"/>
      <c r="BL77" s="53" t="str">
        <f aca="false">IF(DO77=0,"",DO77)</f>
        <v/>
      </c>
      <c r="BM77" s="53"/>
      <c r="BN77" s="54" t="str">
        <f aca="false">IFERROR(_xlfn.RANK.EQ(BL77,BL$6:BL$116,0),"")</f>
        <v/>
      </c>
      <c r="BO77" s="29"/>
      <c r="BP77" s="29"/>
      <c r="BQ77" s="53" t="str">
        <f aca="false">IF(DQ77=0,"",DQ77)</f>
        <v/>
      </c>
      <c r="BR77" s="53"/>
      <c r="BS77" s="54" t="str">
        <f aca="false">IFERROR(_xlfn.RANK.EQ(BQ77,BQ$6:BQ$116,0),"")</f>
        <v/>
      </c>
      <c r="BT77" s="29"/>
      <c r="BU77" s="29"/>
      <c r="BV77" s="53" t="str">
        <f aca="false">IF(DS77=0,"",DS77)</f>
        <v/>
      </c>
      <c r="BW77" s="53"/>
      <c r="BX77" s="54" t="str">
        <f aca="false">IFERROR(_xlfn.RANK.EQ(BV77,BV$6:BV$116,0),"")</f>
        <v/>
      </c>
      <c r="BY77" s="29"/>
      <c r="BZ77" s="29"/>
      <c r="CA77" s="53" t="str">
        <f aca="false">IF(DU77=0,"",DU77)</f>
        <v/>
      </c>
      <c r="CB77" s="53"/>
      <c r="CC77" s="54" t="str">
        <f aca="false">IFERROR(_xlfn.RANK.EQ(CA77,CA$6:CA$116,0),"")</f>
        <v/>
      </c>
      <c r="CD77" s="29"/>
      <c r="CE77" s="29"/>
      <c r="CF77" s="53" t="str">
        <f aca="false">IF(DW77=0,"",DW77)</f>
        <v/>
      </c>
      <c r="CG77" s="53"/>
      <c r="CH77" s="54" t="str">
        <f aca="false">IFERROR(_xlfn.RANK.EQ(CF77,CF$6:CF$116,0),"")</f>
        <v/>
      </c>
      <c r="CI77" s="29"/>
      <c r="CJ77" s="29"/>
      <c r="CK77" s="53" t="str">
        <f aca="false">IF(DY77=0,"",DY77)</f>
        <v/>
      </c>
      <c r="CL77" s="53"/>
      <c r="CM77" s="54" t="str">
        <f aca="false">IFERROR(_xlfn.RANK.EQ(CK77,CK$6:CK$116,0),"")</f>
        <v/>
      </c>
      <c r="CN77" s="29"/>
      <c r="CO77" s="29"/>
      <c r="CP77" s="53" t="str">
        <f aca="false">IF(EA77=0,"",EA77)</f>
        <v/>
      </c>
      <c r="CQ77" s="53"/>
      <c r="CR77" s="54" t="str">
        <f aca="false">IFERROR(_xlfn.RANK.EQ(CP77,CP$6:CP$116,0),"")</f>
        <v/>
      </c>
      <c r="CS77" s="30"/>
      <c r="CT77" s="31" t="str">
        <f aca="true">IFERROR(AVERAGE(OFFSET('Data - For Rank'!B$2,K77,0,COUNTIF(K$6:K$116,K77)))+IFERROR(VLOOKUP((COUNT($I$6:$I$116)/4),$ER$9:$ES$13,2,FALSE()),0),"")</f>
        <v/>
      </c>
      <c r="CU77" s="30"/>
      <c r="CV77" s="31" t="str">
        <f aca="true">IFERROR(AVERAGE(OFFSET('Data - For Rank'!$C$2,P77,0,COUNTIF(P$6:P$116,P77)))+IFERROR(VLOOKUP((COUNT(N$6:N$116)/4),$ER$9:$ES$13,2,FALSE()),0),"")</f>
        <v/>
      </c>
      <c r="CW77" s="30"/>
      <c r="CX77" s="31" t="str">
        <f aca="true">IFERROR(AVERAGE(OFFSET('Data - For Rank'!D$2,U77,0,COUNTIF(U$6:$U184,U77)))+IFERROR(VLOOKUP((COUNT(S$6:S$116)/4),$ER$9:$ES$13,2,FALSE()),0),"")</f>
        <v/>
      </c>
      <c r="CY77" s="30"/>
      <c r="CZ77" s="31" t="str">
        <f aca="true">IFERROR(AVERAGE(OFFSET('Data - For Rank'!E$2,Z77,0,COUNTIF(Z$6:Z$116,Z77)))+IFERROR(VLOOKUP((COUNT(W$6:W$116)/4),$ER$9:$ES$13,2,FALSE()),0),"")</f>
        <v/>
      </c>
      <c r="DA77" s="30" t="n">
        <v>8</v>
      </c>
      <c r="DB77" s="31" t="n">
        <f aca="true">IFERROR(AVERAGE(OFFSET('Data - For Rank'!F$2,AE77,0,COUNTIF(AE$6:AE$116,AE77)))+IFERROR(VLOOKUP((COUNT(AC$6:AC$116)/4),$ER$9:$ES$13,2,FALSE()),0),"")</f>
        <v>12</v>
      </c>
      <c r="DC77" s="30"/>
      <c r="DD77" s="31" t="str">
        <f aca="true">IFERROR(AVERAGE(OFFSET('Data - For Rank'!G$2,AJ77,0,COUNTIF(AJ$6:AJ$116,AJ77)))+IFERROR(VLOOKUP((COUNT(AH$6:AH$116)/4),$ER$9:$ES$13,2,FALSE()),0),"")</f>
        <v/>
      </c>
      <c r="DE77" s="30" t="n">
        <v>-18</v>
      </c>
      <c r="DF77" s="31" t="n">
        <f aca="true">IFERROR(AVERAGE(OFFSET('Data - For Rank'!$H$2,AO77,0,COUNTIF(AO$6:AO$116,AO77)))+IFERROR(VLOOKUP((COUNT(AM$6:AM$116)/4),$ER$9:$ES$13,2,FALSE()),0),"")</f>
        <v>5</v>
      </c>
      <c r="DG77" s="30" t="n">
        <v>-36</v>
      </c>
      <c r="DH77" s="31" t="n">
        <f aca="true">IFERROR(AVERAGE(OFFSET('Data - For Rank'!$I$2,AT77,0,COUNTIF(AT$6:AT$116,AT77)))+IFERROR(VLOOKUP((COUNT(AR$6:AR$116)/4),$ER$9:$ES$13,2,FALSE()),0),"")</f>
        <v>3</v>
      </c>
      <c r="DI77" s="30"/>
      <c r="DJ77" s="31" t="str">
        <f aca="true">IFERROR(AVERAGE(OFFSET('Data - For Rank'!$J$2,AY77,0,COUNTIF(AY$6:AY$116,AY77)))+IFERROR(VLOOKUP((COUNT(AW$6:AW$116)/4),$ER$9:$ES$13,2,FALSE()),0),"")</f>
        <v/>
      </c>
      <c r="DK77" s="30"/>
      <c r="DL77" s="31" t="str">
        <f aca="true">IFERROR(AVERAGE(OFFSET('Data - For Rank'!$K$2,BD77,0,COUNTIF(BD$6:BD$116,BD77)))+IFERROR(VLOOKUP((COUNT(BB$6:BB$116)/4),$ER$9:$ES$13,2,FALSE()),0),"")</f>
        <v/>
      </c>
      <c r="DM77" s="30"/>
      <c r="DN77" s="31" t="str">
        <f aca="true">IFERROR(AVERAGE(OFFSET('Data - For Rank'!$L$2,BI77,0,COUNTIF(BI$6:BI$116,BI77)))+IFERROR(VLOOKUP((COUNT(BG$6:BG$116)/4),$ER$9:$ES$13,2,FALSE()),0),"")</f>
        <v/>
      </c>
      <c r="DO77" s="30"/>
      <c r="DP77" s="31" t="str">
        <f aca="true">IFERROR(AVERAGE(OFFSET('Data - For Rank'!$M$2,BN77,0,COUNTIF(BN$6:BN$116,BN77)))+IFERROR(VLOOKUP((COUNT(BL$6:BL$116)/4),$ER$9:$ES$13,2,FALSE()),0),"")</f>
        <v/>
      </c>
      <c r="DQ77" s="30"/>
      <c r="DR77" s="31" t="str">
        <f aca="true">IFERROR(AVERAGE(OFFSET('Data - For Rank'!$N$2,BS77,0,COUNTIF(BS$6:BS$116,BS77)))+IFERROR(VLOOKUP((COUNT(BQ$6:BQ$116)/4),$ER$9:$ES$13,2,FALSE()),0),"")</f>
        <v/>
      </c>
      <c r="DS77" s="30"/>
      <c r="DT77" s="31" t="str">
        <f aca="true">IFERROR(AVERAGE(OFFSET('Data - For Rank'!$O$2,BX77,0,COUNTIF(BX$6:BX$116,BX77)))+IFERROR(VLOOKUP((COUNT(BV$6:BV$116)/4),$ER$9:$ES$13,2,FALSE()),0),"")</f>
        <v/>
      </c>
      <c r="DU77" s="30"/>
      <c r="DV77" s="31" t="str">
        <f aca="true">IFERROR(AVERAGE(OFFSET('Data - For Rank'!$P$2,CC77,0,COUNTIF(CC$6:CC$116,CC77)))+IFERROR(VLOOKUP((COUNT(CA$6:CA$116)/4),$ER$9:$ES$13,2,FALSE()),0),"")</f>
        <v/>
      </c>
      <c r="DW77" s="30"/>
      <c r="DX77" s="31" t="str">
        <f aca="true">IFERROR(AVERAGE(OFFSET('Data - For Rank'!$Q$2,CH77,0,COUNTIF(CH$6:CH$116,CH77)))+IFERROR(VLOOKUP((COUNT(CF$6:CF$116)/4),$ER$9:$ES$13,2,FALSE()),0),"")</f>
        <v/>
      </c>
      <c r="DY77" s="30"/>
      <c r="DZ77" s="31" t="str">
        <f aca="true">IFERROR(AVERAGE(OFFSET('Data - For Rank'!$R$2,CM77,0,COUNTIF(CM$6:CM$116,CM77)))+IFERROR(VLOOKUP((COUNT(CK$6:CK$116)/4),$ER$9:$ES$13,2,FALSE()),0),"")</f>
        <v/>
      </c>
      <c r="EA77" s="30"/>
      <c r="EB77" s="31" t="str">
        <f aca="true">IFERROR(AVERAGE(OFFSET('Data - For Rank'!$S$2,CR77,0,COUNTIF(CR$6:CR$116,CR77)))+IFERROR(VLOOKUP((COUNT(CP$6:CP$116)/4),$ER$9:$ES$13,2,FALSE()),0),"")</f>
        <v/>
      </c>
      <c r="EC77" s="32" t="n">
        <f aca="false">CS77+CU77+CW77+CY77+DA77+DC77+DE77+DG77+DI77+DK77+DM77+DO77+DQ77+DS77+DU77+DW77+DY77+EA77</f>
        <v>-46</v>
      </c>
      <c r="ED77" s="33" t="n">
        <f aca="false">IFERROR(AVERAGE(CT77,CV77,CX77,CZ77,DB77,DD77,DF77,DH77,DJ77,DL77,DN77,DP77,DR77,DT77,DV77,DX77,DZ77,EB77),0)</f>
        <v>6.66666666666667</v>
      </c>
    </row>
    <row r="78" customFormat="false" ht="13.5" hidden="false" customHeight="false" outlineLevel="0" collapsed="false">
      <c r="B78" s="68" t="n">
        <f aca="false">_xlfn.RANK.EQ(C78,$C$73:$C$116,)</f>
        <v>2</v>
      </c>
      <c r="C78" s="69" t="n">
        <f aca="false">EC78</f>
        <v>30</v>
      </c>
      <c r="D78" s="69" t="s">
        <v>147</v>
      </c>
      <c r="E78" s="78" t="s">
        <v>148</v>
      </c>
      <c r="F78" s="71" t="n">
        <f aca="false">COUNT(CT78,CV78,CX78,CZ78,DB78,DD78,DF78,DH78,DJ78,DL78,DN78,DP78,DR78,DT78,DV78,DX78,DZ78,EB78)</f>
        <v>1</v>
      </c>
      <c r="G78" s="49" t="str">
        <f aca="false">IF(CT78=0,"",CT78)</f>
        <v/>
      </c>
      <c r="H78" s="49"/>
      <c r="I78" s="49"/>
      <c r="K78" s="49"/>
      <c r="L78" s="49" t="str">
        <f aca="false">IF(CV78=0,"",CV78)</f>
        <v/>
      </c>
      <c r="M78" s="49"/>
      <c r="N78" s="49"/>
      <c r="P78" s="49"/>
      <c r="Q78" s="49" t="str">
        <f aca="false">IF(CX78=0,"",CX78)</f>
        <v/>
      </c>
      <c r="R78" s="49"/>
      <c r="S78" s="49"/>
      <c r="U78" s="49"/>
      <c r="V78" s="49" t="str">
        <f aca="false">IF(CZ78=0,"",CZ78)</f>
        <v/>
      </c>
      <c r="W78" s="49"/>
      <c r="X78" s="49"/>
      <c r="Z78" s="49"/>
      <c r="AA78" s="49" t="str">
        <f aca="false">IF(DB78=0,"",DB78)</f>
        <v/>
      </c>
      <c r="AB78" s="49"/>
      <c r="AC78" s="49"/>
      <c r="AE78" s="49"/>
      <c r="AF78" s="49" t="str">
        <f aca="false">IF(DD78=0,"",DD78)</f>
        <v/>
      </c>
      <c r="AG78" s="49"/>
      <c r="AH78" s="49"/>
      <c r="AJ78" s="49"/>
      <c r="AK78" s="49" t="str">
        <f aca="false">IF(DF78=0,"",DF78)</f>
        <v/>
      </c>
      <c r="AL78" s="49"/>
      <c r="AM78" s="49"/>
      <c r="AO78" s="49"/>
      <c r="AP78" s="49" t="n">
        <f aca="false">IF(DH78=0,"",DH78)</f>
        <v>30</v>
      </c>
      <c r="AQ78" s="49"/>
      <c r="AR78" s="49"/>
      <c r="AT78" s="49"/>
      <c r="AU78" s="49" t="str">
        <f aca="false">IF(DJ78=0,"",DJ78)</f>
        <v/>
      </c>
      <c r="AV78" s="49"/>
      <c r="AW78" s="49"/>
      <c r="AY78" s="49"/>
      <c r="AZ78" s="49" t="str">
        <f aca="false">IF(DL78=0,"",DL78)</f>
        <v/>
      </c>
      <c r="BA78" s="49"/>
      <c r="BB78" s="49"/>
      <c r="BD78" s="49"/>
      <c r="BE78" s="49" t="str">
        <f aca="false">IF(DN78=0,"",DN78)</f>
        <v/>
      </c>
      <c r="BF78" s="49"/>
      <c r="BG78" s="49"/>
      <c r="BI78" s="49"/>
      <c r="BJ78" s="49" t="str">
        <f aca="false">IF(DP78=0,"",DP78)</f>
        <v/>
      </c>
      <c r="BK78" s="49"/>
      <c r="BL78" s="49"/>
      <c r="BN78" s="49"/>
      <c r="BO78" s="49" t="str">
        <f aca="false">IF(DR78=0,"",DR78)</f>
        <v/>
      </c>
      <c r="BP78" s="49"/>
      <c r="BQ78" s="49"/>
      <c r="BS78" s="49"/>
      <c r="BT78" s="49" t="str">
        <f aca="false">IF(DT78=0,"",DT78)</f>
        <v/>
      </c>
      <c r="BU78" s="49"/>
      <c r="BV78" s="49"/>
      <c r="BX78" s="49"/>
      <c r="BY78" s="49" t="str">
        <f aca="false">IF(DV78=0,"",DV78)</f>
        <v/>
      </c>
      <c r="BZ78" s="49"/>
      <c r="CA78" s="49"/>
      <c r="CC78" s="49"/>
      <c r="CD78" s="49" t="str">
        <f aca="false">IF(DX78=0,"",DX78)</f>
        <v/>
      </c>
      <c r="CE78" s="49"/>
      <c r="CF78" s="49"/>
      <c r="CH78" s="49"/>
      <c r="CI78" s="49" t="str">
        <f aca="false">IF(DZ78=0,"",DZ78)</f>
        <v/>
      </c>
      <c r="CJ78" s="49"/>
      <c r="CK78" s="49"/>
      <c r="CM78" s="49"/>
      <c r="CN78" s="49" t="str">
        <f aca="false">IF(EB78=0,"",EB78)</f>
        <v/>
      </c>
      <c r="CO78" s="49"/>
      <c r="CP78" s="49"/>
      <c r="CR78" s="49"/>
      <c r="CS78" s="21"/>
      <c r="CT78" s="22" t="str">
        <f aca="false">IFERROR(CT79+CT80,"")</f>
        <v/>
      </c>
      <c r="CU78" s="21"/>
      <c r="CV78" s="22" t="str">
        <f aca="false">IFERROR(CV79+CV80,"")</f>
        <v/>
      </c>
      <c r="CW78" s="21"/>
      <c r="CX78" s="22" t="str">
        <f aca="false">IFERROR(CX79+CX80,"")</f>
        <v/>
      </c>
      <c r="CY78" s="21"/>
      <c r="CZ78" s="22" t="str">
        <f aca="false">IFERROR(CZ79+CZ80,"")</f>
        <v/>
      </c>
      <c r="DA78" s="21"/>
      <c r="DB78" s="22" t="str">
        <f aca="false">IFERROR(DB79+DB80,"")</f>
        <v/>
      </c>
      <c r="DC78" s="21"/>
      <c r="DD78" s="22" t="str">
        <f aca="false">IFERROR(DD79+DD80,"")</f>
        <v/>
      </c>
      <c r="DE78" s="21"/>
      <c r="DF78" s="22" t="str">
        <f aca="false">IFERROR(DF79+DF80,"")</f>
        <v/>
      </c>
      <c r="DG78" s="21" t="n">
        <v>78</v>
      </c>
      <c r="DH78" s="22" t="n">
        <f aca="false">IFERROR(DH79+DH80,"")</f>
        <v>30</v>
      </c>
      <c r="DI78" s="21"/>
      <c r="DJ78" s="22" t="str">
        <f aca="false">IFERROR(DJ79+DJ80,"")</f>
        <v/>
      </c>
      <c r="DK78" s="21"/>
      <c r="DL78" s="22" t="str">
        <f aca="false">IFERROR(DL79+DL80,"")</f>
        <v/>
      </c>
      <c r="DM78" s="21"/>
      <c r="DN78" s="22" t="str">
        <f aca="false">IFERROR(DN79+DN80,"")</f>
        <v/>
      </c>
      <c r="DO78" s="21"/>
      <c r="DP78" s="22" t="str">
        <f aca="false">IFERROR(DP79+DP80,"")</f>
        <v/>
      </c>
      <c r="DQ78" s="21"/>
      <c r="DR78" s="22" t="str">
        <f aca="false">IFERROR(DR79+DR80,"")</f>
        <v/>
      </c>
      <c r="DS78" s="21"/>
      <c r="DT78" s="22" t="str">
        <f aca="false">IFERROR(DT79+DT80,"")</f>
        <v/>
      </c>
      <c r="DU78" s="21"/>
      <c r="DV78" s="22" t="str">
        <f aca="false">IFERROR(DV79+DV80,"")</f>
        <v/>
      </c>
      <c r="DW78" s="21"/>
      <c r="DX78" s="22" t="str">
        <f aca="false">IFERROR(DX79+DX80,"")</f>
        <v/>
      </c>
      <c r="DY78" s="21"/>
      <c r="DZ78" s="22" t="str">
        <f aca="false">IFERROR(DZ79+DZ80,"")</f>
        <v/>
      </c>
      <c r="EA78" s="21"/>
      <c r="EB78" s="22" t="str">
        <f aca="false">IFERROR(EB79+EB80,"")</f>
        <v/>
      </c>
      <c r="EC78" s="17" t="n">
        <f aca="false">IFERROR(LARGE($G78:$CN78,1),0)+IFERROR(LARGE($G78:$CN78,2),0)+IFERROR(LARGE($G78:$CN78,3),0)+IFERROR(LARGE($G78:$CN78,4),0)+IFERROR(LARGE($G78:$CN78,5),0)+IFERROR(LARGE($G78:$CN78,6),0)+IFERROR(LARGE($G78:$CN78,7),0)+IFERROR(LARGE($G78:$CN78,8),0)+IFERROR(LARGE($G78:$CN78,9),0)+IFERROR(LARGE($G78:$CN78,10),0)</f>
        <v>30</v>
      </c>
      <c r="ED78" s="23" t="n">
        <f aca="false">IFERROR(AVERAGE(CT78,CV78,CX78,CZ78,DB78,DD78,DF78,DH78,DJ78,DL78,DN78,DP78,DR78,DT78,DV78,DX78,DZ78,EB78),0)</f>
        <v>30</v>
      </c>
    </row>
    <row r="79" customFormat="false" ht="13.5" hidden="false" customHeight="false" outlineLevel="1" collapsed="false">
      <c r="B79" s="72" t="n">
        <f aca="false">B77+0.0214</f>
        <v>0.1524</v>
      </c>
      <c r="C79" s="68"/>
      <c r="D79" s="68" t="s">
        <v>149</v>
      </c>
      <c r="E79" s="73" t="s">
        <v>43</v>
      </c>
      <c r="F79" s="74"/>
      <c r="G79" s="7"/>
      <c r="H79" s="7" t="str">
        <f aca="false">IF(CS79=0,"",CS79)</f>
        <v/>
      </c>
      <c r="I79" s="7"/>
      <c r="J79" s="49" t="str">
        <f aca="false">IFERROR(RANK(H79,H$6:H$116,0),"")</f>
        <v/>
      </c>
      <c r="K79" s="7"/>
      <c r="L79" s="7"/>
      <c r="M79" s="7" t="str">
        <f aca="false">IF(CU79=0,"",CU79)</f>
        <v/>
      </c>
      <c r="N79" s="7"/>
      <c r="O79" s="49" t="str">
        <f aca="false">IFERROR(RANK(M79,M$6:M$116,0),"")</f>
        <v/>
      </c>
      <c r="P79" s="7"/>
      <c r="Q79" s="7"/>
      <c r="R79" s="7" t="str">
        <f aca="false">IF(CW79=0,"",CW79)</f>
        <v/>
      </c>
      <c r="S79" s="7"/>
      <c r="T79" s="49" t="str">
        <f aca="false">IFERROR(RANK(R79,R$6:R$116,0),"")</f>
        <v/>
      </c>
      <c r="U79" s="7"/>
      <c r="V79" s="7"/>
      <c r="W79" s="7" t="str">
        <f aca="false">IF(CY79=0,"",CY79)</f>
        <v/>
      </c>
      <c r="X79" s="7"/>
      <c r="Y79" s="49" t="str">
        <f aca="false">IFERROR(RANK(W79,W$6:W$116,0),"")</f>
        <v/>
      </c>
      <c r="Z79" s="7"/>
      <c r="AA79" s="7"/>
      <c r="AB79" s="7" t="str">
        <f aca="false">IF(DA79=0,"",DA79)</f>
        <v/>
      </c>
      <c r="AC79" s="7"/>
      <c r="AD79" s="49" t="str">
        <f aca="false">IFERROR(RANK(AB79,AB$6:AB$116,0),"")</f>
        <v/>
      </c>
      <c r="AE79" s="7"/>
      <c r="AF79" s="7"/>
      <c r="AG79" s="7" t="str">
        <f aca="false">IF(DC79=0,"",DC79)</f>
        <v/>
      </c>
      <c r="AH79" s="7"/>
      <c r="AI79" s="49" t="str">
        <f aca="false">IFERROR(RANK(AG79,AG$6:AG$116,0),"")</f>
        <v/>
      </c>
      <c r="AJ79" s="7"/>
      <c r="AK79" s="7"/>
      <c r="AL79" s="7" t="str">
        <f aca="false">IF(DE79=0,"",DE79)</f>
        <v/>
      </c>
      <c r="AM79" s="7"/>
      <c r="AN79" s="49" t="str">
        <f aca="false">IFERROR(RANK(AL79,AL$6:AL$116,0),"")</f>
        <v/>
      </c>
      <c r="AO79" s="7"/>
      <c r="AP79" s="7"/>
      <c r="AQ79" s="7" t="n">
        <f aca="false">IF(DG79=0,"",DG79)</f>
        <v>35</v>
      </c>
      <c r="AR79" s="7"/>
      <c r="AS79" s="49" t="n">
        <f aca="false">IFERROR(RANK(AQ79,AQ$6:AQ$116,0),"")</f>
        <v>5</v>
      </c>
      <c r="AT79" s="7"/>
      <c r="AU79" s="7"/>
      <c r="AV79" s="7" t="str">
        <f aca="false">IF(DI79=0,"",DI79)</f>
        <v/>
      </c>
      <c r="AW79" s="7"/>
      <c r="AX79" s="49" t="str">
        <f aca="false">IFERROR(RANK(AV79,AV$6:AV$116,0),"")</f>
        <v/>
      </c>
      <c r="AY79" s="7"/>
      <c r="AZ79" s="7"/>
      <c r="BA79" s="7" t="str">
        <f aca="false">IF(DK79=0,"",DK79)</f>
        <v/>
      </c>
      <c r="BB79" s="7"/>
      <c r="BC79" s="49" t="str">
        <f aca="false">IFERROR(RANK(BA79,BA$6:BA$116,0),"")</f>
        <v/>
      </c>
      <c r="BD79" s="7"/>
      <c r="BE79" s="7"/>
      <c r="BF79" s="7" t="str">
        <f aca="false">IF(DM79=0,"",DM79)</f>
        <v/>
      </c>
      <c r="BG79" s="7"/>
      <c r="BH79" s="49" t="str">
        <f aca="false">IFERROR(RANK(BF79,BF$6:BF$116,0),"")</f>
        <v/>
      </c>
      <c r="BI79" s="7"/>
      <c r="BJ79" s="7"/>
      <c r="BK79" s="7" t="str">
        <f aca="false">IF(DO79=0,"",DO79)</f>
        <v/>
      </c>
      <c r="BL79" s="7"/>
      <c r="BM79" s="49" t="str">
        <f aca="false">IFERROR(RANK(BK79,BK$6:BK$116,0),"")</f>
        <v/>
      </c>
      <c r="BN79" s="7"/>
      <c r="BO79" s="7"/>
      <c r="BP79" s="7" t="str">
        <f aca="false">IF(DQ79=0,"",DQ79)</f>
        <v/>
      </c>
      <c r="BQ79" s="7"/>
      <c r="BR79" s="49" t="str">
        <f aca="false">IFERROR(RANK(BP79,BP$6:BP$116,0),"")</f>
        <v/>
      </c>
      <c r="BS79" s="7"/>
      <c r="BT79" s="7"/>
      <c r="BU79" s="7" t="str">
        <f aca="false">IF(DS79=0,"",DS79)</f>
        <v/>
      </c>
      <c r="BV79" s="7"/>
      <c r="BW79" s="49" t="str">
        <f aca="false">IFERROR(RANK(BU79,BU$6:BU$116,0),"")</f>
        <v/>
      </c>
      <c r="BX79" s="7"/>
      <c r="BY79" s="7"/>
      <c r="BZ79" s="7" t="str">
        <f aca="false">IF(DU79=0,"",DU79)</f>
        <v/>
      </c>
      <c r="CA79" s="7"/>
      <c r="CB79" s="49" t="str">
        <f aca="false">IFERROR(RANK(BZ79,BZ$6:BZ$116,0),"")</f>
        <v/>
      </c>
      <c r="CC79" s="7"/>
      <c r="CD79" s="7"/>
      <c r="CE79" s="7" t="str">
        <f aca="false">IF(DW79=0,"",DW79)</f>
        <v/>
      </c>
      <c r="CF79" s="7"/>
      <c r="CG79" s="49" t="str">
        <f aca="false">IFERROR(RANK(CE79,CE$6:CE$116,0),"")</f>
        <v/>
      </c>
      <c r="CH79" s="7"/>
      <c r="CI79" s="7"/>
      <c r="CJ79" s="7" t="str">
        <f aca="false">IF(DY79=0,"",DY79)</f>
        <v/>
      </c>
      <c r="CK79" s="7"/>
      <c r="CL79" s="49" t="str">
        <f aca="false">IFERROR(RANK(CJ79,CJ$6:CJ$116,0),"")</f>
        <v/>
      </c>
      <c r="CM79" s="7"/>
      <c r="CN79" s="7"/>
      <c r="CO79" s="7" t="str">
        <f aca="false">IF(EA79=0,"",EA79)</f>
        <v/>
      </c>
      <c r="CP79" s="7"/>
      <c r="CQ79" s="49" t="str">
        <f aca="false">IFERROR(RANK(CO79,CO$6:CO$116,0),"")</f>
        <v/>
      </c>
      <c r="CR79" s="7"/>
      <c r="CS79" s="21"/>
      <c r="CT79" s="25" t="str">
        <f aca="true">IFERROR(AVERAGE(OFFSET('Data - For Rank'!B$2,J79,0,COUNTIF($J$7:J$116,J79)))+IFERROR(VLOOKUP((COUNT($H$6:$H$116)/4),$ER$9:$ES$13,2,FALSE()),0),"")</f>
        <v/>
      </c>
      <c r="CU79" s="21"/>
      <c r="CV79" s="25" t="str">
        <f aca="true">IFERROR(AVERAGE(OFFSET('Data - For Rank'!$C$2,O79,0,COUNTIF(O$7:O$116,O79)))+IFERROR(VLOOKUP((COUNT(M$6:M$116)/4),$ER$9:$ES$13,2,FALSE()),0),"")</f>
        <v/>
      </c>
      <c r="CW79" s="21"/>
      <c r="CX79" s="25" t="str">
        <f aca="true">IFERROR(AVERAGE(OFFSET('Data - For Rank'!D$2,T79,0,COUNTIF(T$7:T$116,T79)))+IFERROR(VLOOKUP((COUNT(R$6:R$116)/4),$ER$9:$ES$13,2,FALSE()),0),"")</f>
        <v/>
      </c>
      <c r="CY79" s="21"/>
      <c r="CZ79" s="25" t="str">
        <f aca="true">IFERROR(AVERAGE(OFFSET('Data - For Rank'!E$2,Y79,0,COUNTIF(Y$7:Y$116,Y79)))+IFERROR(VLOOKUP((COUNT(W$6:W$116)/4),$ER$9:$ES$13,2,FALSE()),0),"")</f>
        <v/>
      </c>
      <c r="DA79" s="21"/>
      <c r="DB79" s="25" t="str">
        <f aca="true">IFERROR(AVERAGE(OFFSET('Data - For Rank'!F$2,AD79,0,COUNTIF(AD$7:AD$116,AD79)))+IFERROR(VLOOKUP((COUNT(AB$6:AB$116)/4),$ER$9:$ES$13,2,FALSE()),0),"")</f>
        <v/>
      </c>
      <c r="DC79" s="21"/>
      <c r="DD79" s="25" t="str">
        <f aca="true">IFERROR(AVERAGE(OFFSET('Data - For Rank'!G$2,AI79,0,COUNTIF(AI$7:AI$116,AI79)))+IFERROR(VLOOKUP((COUNT(AG$6:AG$116)/4),$ER$9:$ES$13,2,FALSE()),0),"")</f>
        <v/>
      </c>
      <c r="DE79" s="21"/>
      <c r="DF79" s="25" t="str">
        <f aca="true">IFERROR(AVERAGE(OFFSET('Data - For Rank'!$H$2,AN79,0,COUNTIF(AN$7:AN$116,AN79)))+IFERROR(VLOOKUP((COUNT(AL$6:AL$116)/4),$ER$9:$ES$13,2,FALSE()),0),"")</f>
        <v/>
      </c>
      <c r="DG79" s="21" t="n">
        <v>35</v>
      </c>
      <c r="DH79" s="25" t="n">
        <f aca="true">IFERROR(AVERAGE(OFFSET('Data - For Rank'!$I$2,AS79,0,COUNTIF(AS$7:AS$116,AS79)))+IFERROR(VLOOKUP((COUNT(AQ$6:AQ$116)/4),$ER$9:$ES$13,2,FALSE()),0),"")</f>
        <v>14</v>
      </c>
      <c r="DI79" s="21"/>
      <c r="DJ79" s="25" t="str">
        <f aca="true">IFERROR(AVERAGE(OFFSET('Data - For Rank'!$J$2,AX79,0,COUNTIF(AX$7:AX$116,AX79)))+IFERROR(VLOOKUP((COUNT(AV$6:AV$116)/4),$ER$9:$ES$13,2,FALSE()),0),"")</f>
        <v/>
      </c>
      <c r="DK79" s="21"/>
      <c r="DL79" s="25" t="str">
        <f aca="true">IFERROR(AVERAGE(OFFSET('Data - For Rank'!$K$2,BC79,0,COUNTIF(BC$7:BC$116,BC79)))+IFERROR(VLOOKUP((COUNT(BA$6:BA$116)/4),$ER$9:$ES$13,2,FALSE()),0),"")</f>
        <v/>
      </c>
      <c r="DM79" s="21"/>
      <c r="DN79" s="25" t="str">
        <f aca="true">IFERROR(AVERAGE(OFFSET('Data - For Rank'!$L$2,BH79,0,COUNTIF(BH$7:BH$116,BH79)))+IFERROR(VLOOKUP((COUNT(BF$6:BF$116)/4),$ER$9:$ES$13,2,FALSE()),0),"")</f>
        <v/>
      </c>
      <c r="DO79" s="21"/>
      <c r="DP79" s="25" t="str">
        <f aca="true">IFERROR(AVERAGE(OFFSET('Data - For Rank'!$M$2,BM79,0,COUNTIF(BM$7:BM$116,BM79)))+IFERROR(VLOOKUP((COUNT(BK$6:BK$116)/4),$ER$9:$ES$13,2,FALSE()),0),"")</f>
        <v/>
      </c>
      <c r="DQ79" s="21"/>
      <c r="DR79" s="25" t="str">
        <f aca="true">IFERROR(AVERAGE(OFFSET('Data - For Rank'!$N$2,BR79,0,COUNTIF(BR$7:BR$116,BR79)))+IFERROR(VLOOKUP((COUNT(BP$6:BP$116)/4),$ER$9:$ES$13,2,FALSE()),0),"")</f>
        <v/>
      </c>
      <c r="DS79" s="21"/>
      <c r="DT79" s="25" t="str">
        <f aca="true">IFERROR(AVERAGE(OFFSET('Data - For Rank'!$O$2,BW79,0,COUNTIF(BW$7:BW$116,BW79)))+IFERROR(VLOOKUP((COUNT(BU$6:BU$116)/4),$ER$9:$ES$13,2,FALSE()),0),"")</f>
        <v/>
      </c>
      <c r="DU79" s="21"/>
      <c r="DV79" s="25" t="str">
        <f aca="true">IFERROR(AVERAGE(OFFSET('Data - For Rank'!$P$2,CB79,0,COUNTIF(CB$7:CB$116,CB79)))+IFERROR(VLOOKUP((COUNT(BZ$6:BZ$116)/4),$ER$9:$ES$13,2,FALSE()),0),"")</f>
        <v/>
      </c>
      <c r="DW79" s="21"/>
      <c r="DX79" s="25" t="str">
        <f aca="true">IFERROR(AVERAGE(OFFSET('Data - For Rank'!$Q$2,CG79,0,COUNTIF(CG$7:CG$116,CG79)))+IFERROR(VLOOKUP((COUNT(CE$6:CE$116)/4),$ER$9:$ES$13,2,FALSE()),0),"")</f>
        <v/>
      </c>
      <c r="DY79" s="21"/>
      <c r="DZ79" s="25" t="str">
        <f aca="true">IFERROR(AVERAGE(OFFSET('Data - For Rank'!$R$2,CL79,0,COUNTIF(CL$7:CL$116,CL79)))+IFERROR(VLOOKUP((COUNT(CJ$6:CJ$116)/4),$ER$9:$ES$13,2,FALSE()),0),"")</f>
        <v/>
      </c>
      <c r="EA79" s="21"/>
      <c r="EB79" s="25" t="str">
        <f aca="true">IFERROR(AVERAGE(OFFSET('Data - For Rank'!$S$2,CQ79,0,COUNTIF(CQ$7:CQ$116,CQ79)))+IFERROR(VLOOKUP((COUNT(CO$6:CO$116)/4),$ER$9:$ES$13,2,FALSE()),0),"")</f>
        <v/>
      </c>
      <c r="EC79" s="26" t="n">
        <f aca="false">IFERROR(AVERAGE(CS79,CU79,CW79,CY79,DA79,DC79,DE79,DG79,DI79,DK79,DM79,DO79,DQ79,DS79,DU79,DW79,DY79,EA79),0)</f>
        <v>35</v>
      </c>
      <c r="ED79" s="23" t="n">
        <f aca="false">IFERROR(AVERAGE(CT79,CV79,CX79,CZ79,DB79,DD79,DF79,DH79,DJ79,DL79,DN79,DP79,DR79,DT79,DV79,DX79,DZ79,EB79),0)</f>
        <v>14</v>
      </c>
    </row>
    <row r="80" customFormat="false" ht="13.5" hidden="false" customHeight="false" outlineLevel="1" collapsed="false">
      <c r="B80" s="75" t="n">
        <f aca="false">B79+0.114</f>
        <v>0.2664</v>
      </c>
      <c r="C80" s="68"/>
      <c r="D80" s="68" t="s">
        <v>150</v>
      </c>
      <c r="E80" s="76" t="s">
        <v>44</v>
      </c>
      <c r="F80" s="77"/>
      <c r="G80" s="29"/>
      <c r="H80" s="29"/>
      <c r="I80" s="53" t="str">
        <f aca="false">IF(CS80=0,"",CS80)</f>
        <v/>
      </c>
      <c r="J80" s="53"/>
      <c r="K80" s="54" t="str">
        <f aca="false">IFERROR(_xlfn.RANK.EQ(I80,I$6:I$116,0),"")</f>
        <v/>
      </c>
      <c r="L80" s="29"/>
      <c r="M80" s="29"/>
      <c r="N80" s="53" t="str">
        <f aca="false">IF(CU80=0,"",CU80)</f>
        <v/>
      </c>
      <c r="O80" s="53"/>
      <c r="P80" s="54" t="str">
        <f aca="false">IFERROR(_xlfn.RANK.EQ(N80,N$6:N$116,0),"")</f>
        <v/>
      </c>
      <c r="Q80" s="29"/>
      <c r="R80" s="29"/>
      <c r="S80" s="53" t="str">
        <f aca="false">IF(CW80=0,"",CW80)</f>
        <v/>
      </c>
      <c r="T80" s="53"/>
      <c r="U80" s="54" t="str">
        <f aca="false">IFERROR(_xlfn.RANK.EQ(S80,S$6:S$116,0),"")</f>
        <v/>
      </c>
      <c r="V80" s="29"/>
      <c r="W80" s="29"/>
      <c r="X80" s="53" t="str">
        <f aca="false">IF(CY80=0,"",CY80)</f>
        <v/>
      </c>
      <c r="Y80" s="53"/>
      <c r="Z80" s="54" t="str">
        <f aca="false">IFERROR(_xlfn.RANK.EQ(X80,X$6:X$116,0),"")</f>
        <v/>
      </c>
      <c r="AA80" s="29"/>
      <c r="AB80" s="29"/>
      <c r="AC80" s="53" t="str">
        <f aca="false">IF(DA80=0,"",DA80)</f>
        <v/>
      </c>
      <c r="AD80" s="53"/>
      <c r="AE80" s="54" t="str">
        <f aca="false">IFERROR(_xlfn.RANK.EQ(AC80,AC$6:AC$116,0),"")</f>
        <v/>
      </c>
      <c r="AF80" s="29"/>
      <c r="AG80" s="29"/>
      <c r="AH80" s="53" t="str">
        <f aca="false">IF(DC80=0,"",DC80)</f>
        <v/>
      </c>
      <c r="AI80" s="53"/>
      <c r="AJ80" s="54" t="str">
        <f aca="false">IFERROR(_xlfn.RANK.EQ(AH80,AH$6:AH$116,0),"")</f>
        <v/>
      </c>
      <c r="AK80" s="29"/>
      <c r="AL80" s="29"/>
      <c r="AM80" s="53" t="str">
        <f aca="false">IF(DE80=0,"",DE80)</f>
        <v/>
      </c>
      <c r="AN80" s="53"/>
      <c r="AO80" s="54" t="str">
        <f aca="false">IFERROR(_xlfn.RANK.EQ(AM80,AM$6:AM$116,0),"")</f>
        <v/>
      </c>
      <c r="AP80" s="29"/>
      <c r="AQ80" s="29"/>
      <c r="AR80" s="53" t="n">
        <f aca="false">IF(DG80=0,"",DG80)</f>
        <v>14</v>
      </c>
      <c r="AS80" s="53"/>
      <c r="AT80" s="54" t="n">
        <f aca="false">IFERROR(_xlfn.RANK.EQ(AR80,AR$6:AR$116,0),"")</f>
        <v>3</v>
      </c>
      <c r="AU80" s="29"/>
      <c r="AV80" s="29"/>
      <c r="AW80" s="53" t="str">
        <f aca="false">IF(DI80=0,"",DI80)</f>
        <v/>
      </c>
      <c r="AX80" s="53"/>
      <c r="AY80" s="54" t="str">
        <f aca="false">IFERROR(_xlfn.RANK.EQ(AW80,AW$6:AW$116,0),"")</f>
        <v/>
      </c>
      <c r="AZ80" s="29"/>
      <c r="BA80" s="29"/>
      <c r="BB80" s="53" t="str">
        <f aca="false">IF(DK80=0,"",DK80)</f>
        <v/>
      </c>
      <c r="BC80" s="53"/>
      <c r="BD80" s="54" t="str">
        <f aca="false">IFERROR(_xlfn.RANK.EQ(BB80,BB$6:BB$116,0),"")</f>
        <v/>
      </c>
      <c r="BE80" s="29"/>
      <c r="BF80" s="29"/>
      <c r="BG80" s="53" t="str">
        <f aca="false">IF(DM80=0,"",DM80)</f>
        <v/>
      </c>
      <c r="BH80" s="53"/>
      <c r="BI80" s="54" t="str">
        <f aca="false">IFERROR(_xlfn.RANK.EQ(BG80,BG$6:BG$116,0),"")</f>
        <v/>
      </c>
      <c r="BJ80" s="29"/>
      <c r="BK80" s="29"/>
      <c r="BL80" s="53" t="str">
        <f aca="false">IF(DO80=0,"",DO80)</f>
        <v/>
      </c>
      <c r="BM80" s="53"/>
      <c r="BN80" s="54" t="str">
        <f aca="false">IFERROR(_xlfn.RANK.EQ(BL80,BL$6:BL$116,0),"")</f>
        <v/>
      </c>
      <c r="BO80" s="29"/>
      <c r="BP80" s="29"/>
      <c r="BQ80" s="53" t="str">
        <f aca="false">IF(DQ80=0,"",DQ80)</f>
        <v/>
      </c>
      <c r="BR80" s="53"/>
      <c r="BS80" s="54" t="str">
        <f aca="false">IFERROR(_xlfn.RANK.EQ(BQ80,BQ$6:BQ$116,0),"")</f>
        <v/>
      </c>
      <c r="BT80" s="29"/>
      <c r="BU80" s="29"/>
      <c r="BV80" s="53" t="str">
        <f aca="false">IF(DS80=0,"",DS80)</f>
        <v/>
      </c>
      <c r="BW80" s="53"/>
      <c r="BX80" s="54" t="str">
        <f aca="false">IFERROR(_xlfn.RANK.EQ(BV80,BV$6:BV$116,0),"")</f>
        <v/>
      </c>
      <c r="BY80" s="29"/>
      <c r="BZ80" s="29"/>
      <c r="CA80" s="53" t="str">
        <f aca="false">IF(DU80=0,"",DU80)</f>
        <v/>
      </c>
      <c r="CB80" s="53"/>
      <c r="CC80" s="54" t="str">
        <f aca="false">IFERROR(_xlfn.RANK.EQ(CA80,CA$6:CA$116,0),"")</f>
        <v/>
      </c>
      <c r="CD80" s="29"/>
      <c r="CE80" s="29"/>
      <c r="CF80" s="53" t="str">
        <f aca="false">IF(DW80=0,"",DW80)</f>
        <v/>
      </c>
      <c r="CG80" s="53"/>
      <c r="CH80" s="54" t="str">
        <f aca="false">IFERROR(_xlfn.RANK.EQ(CF80,CF$6:CF$116,0),"")</f>
        <v/>
      </c>
      <c r="CI80" s="29"/>
      <c r="CJ80" s="29"/>
      <c r="CK80" s="53" t="str">
        <f aca="false">IF(DY80=0,"",DY80)</f>
        <v/>
      </c>
      <c r="CL80" s="53"/>
      <c r="CM80" s="54" t="str">
        <f aca="false">IFERROR(_xlfn.RANK.EQ(CK80,CK$6:CK$116,0),"")</f>
        <v/>
      </c>
      <c r="CN80" s="29"/>
      <c r="CO80" s="29"/>
      <c r="CP80" s="53" t="str">
        <f aca="false">IF(EA80=0,"",EA80)</f>
        <v/>
      </c>
      <c r="CQ80" s="53"/>
      <c r="CR80" s="54" t="str">
        <f aca="false">IFERROR(_xlfn.RANK.EQ(CP80,CP$6:CP$116,0),"")</f>
        <v/>
      </c>
      <c r="CS80" s="30"/>
      <c r="CT80" s="31" t="str">
        <f aca="true">IFERROR(AVERAGE(OFFSET('Data - For Rank'!B$2,K80,0,COUNTIF(K$6:K$116,K80)))+IFERROR(VLOOKUP((COUNT($I$6:$I$116)/4),$ER$9:$ES$13,2,FALSE()),0),"")</f>
        <v/>
      </c>
      <c r="CU80" s="30"/>
      <c r="CV80" s="31" t="str">
        <f aca="true">IFERROR(AVERAGE(OFFSET('Data - For Rank'!$C$2,P80,0,COUNTIF(P$6:P$116,P80)))+IFERROR(VLOOKUP((COUNT(N$6:N$116)/4),$ER$9:$ES$13,2,FALSE()),0),"")</f>
        <v/>
      </c>
      <c r="CW80" s="30"/>
      <c r="CX80" s="31" t="str">
        <f aca="true">IFERROR(AVERAGE(OFFSET('Data - For Rank'!D$2,U80,0,COUNTIF(U$6:$U187,U80)))+IFERROR(VLOOKUP((COUNT(S$6:S$116)/4),$ER$9:$ES$13,2,FALSE()),0),"")</f>
        <v/>
      </c>
      <c r="CY80" s="30"/>
      <c r="CZ80" s="31" t="str">
        <f aca="true">IFERROR(AVERAGE(OFFSET('Data - For Rank'!E$2,Z80,0,COUNTIF(Z$6:Z$116,Z80)))+IFERROR(VLOOKUP((COUNT(W$6:W$116)/4),$ER$9:$ES$13,2,FALSE()),0),"")</f>
        <v/>
      </c>
      <c r="DA80" s="30"/>
      <c r="DB80" s="31" t="str">
        <f aca="true">IFERROR(AVERAGE(OFFSET('Data - For Rank'!F$2,AE80,0,COUNTIF(AE$6:AE$116,AE80)))+IFERROR(VLOOKUP((COUNT(AC$6:AC$116)/4),$ER$9:$ES$13,2,FALSE()),0),"")</f>
        <v/>
      </c>
      <c r="DC80" s="30"/>
      <c r="DD80" s="31" t="str">
        <f aca="true">IFERROR(AVERAGE(OFFSET('Data - For Rank'!G$2,AJ80,0,COUNTIF(AJ$6:AJ$116,AJ80)))+IFERROR(VLOOKUP((COUNT(AH$6:AH$116)/4),$ER$9:$ES$13,2,FALSE()),0),"")</f>
        <v/>
      </c>
      <c r="DE80" s="30"/>
      <c r="DF80" s="31" t="str">
        <f aca="true">IFERROR(AVERAGE(OFFSET('Data - For Rank'!$H$2,AO80,0,COUNTIF(AO$6:AO$116,AO80)))+IFERROR(VLOOKUP((COUNT(AM$6:AM$116)/4),$ER$9:$ES$13,2,FALSE()),0),"")</f>
        <v/>
      </c>
      <c r="DG80" s="30" t="n">
        <v>14</v>
      </c>
      <c r="DH80" s="31" t="n">
        <f aca="true">IFERROR(AVERAGE(OFFSET('Data - For Rank'!$I$2,AT80,0,COUNTIF(AT$6:AT$116,AT80)))+IFERROR(VLOOKUP((COUNT(AR$6:AR$116)/4),$ER$9:$ES$13,2,FALSE()),0),"")</f>
        <v>16</v>
      </c>
      <c r="DI80" s="30"/>
      <c r="DJ80" s="31" t="str">
        <f aca="true">IFERROR(AVERAGE(OFFSET('Data - For Rank'!$J$2,AY80,0,COUNTIF(AY$6:AY$116,AY80)))+IFERROR(VLOOKUP((COUNT(AW$6:AW$116)/4),$ER$9:$ES$13,2,FALSE()),0),"")</f>
        <v/>
      </c>
      <c r="DK80" s="30"/>
      <c r="DL80" s="31" t="str">
        <f aca="true">IFERROR(AVERAGE(OFFSET('Data - For Rank'!$K$2,BD80,0,COUNTIF(BD$6:BD$116,BD80)))+IFERROR(VLOOKUP((COUNT(BB$6:BB$116)/4),$ER$9:$ES$13,2,FALSE()),0),"")</f>
        <v/>
      </c>
      <c r="DM80" s="30"/>
      <c r="DN80" s="31" t="str">
        <f aca="true">IFERROR(AVERAGE(OFFSET('Data - For Rank'!$L$2,BI80,0,COUNTIF(BI$6:BI$116,BI80)))+IFERROR(VLOOKUP((COUNT(BG$6:BG$116)/4),$ER$9:$ES$13,2,FALSE()),0),"")</f>
        <v/>
      </c>
      <c r="DO80" s="30"/>
      <c r="DP80" s="31" t="str">
        <f aca="true">IFERROR(AVERAGE(OFFSET('Data - For Rank'!$M$2,BN80,0,COUNTIF(BN$6:BN$116,BN80)))+IFERROR(VLOOKUP((COUNT(BL$6:BL$116)/4),$ER$9:$ES$13,2,FALSE()),0),"")</f>
        <v/>
      </c>
      <c r="DQ80" s="30"/>
      <c r="DR80" s="31" t="str">
        <f aca="true">IFERROR(AVERAGE(OFFSET('Data - For Rank'!$N$2,BS80,0,COUNTIF(BS$6:BS$116,BS80)))+IFERROR(VLOOKUP((COUNT(BQ$6:BQ$116)/4),$ER$9:$ES$13,2,FALSE()),0),"")</f>
        <v/>
      </c>
      <c r="DS80" s="30"/>
      <c r="DT80" s="31" t="str">
        <f aca="true">IFERROR(AVERAGE(OFFSET('Data - For Rank'!$O$2,BX80,0,COUNTIF(BX$6:BX$116,BX80)))+IFERROR(VLOOKUP((COUNT(BV$6:BV$116)/4),$ER$9:$ES$13,2,FALSE()),0),"")</f>
        <v/>
      </c>
      <c r="DU80" s="30"/>
      <c r="DV80" s="31" t="str">
        <f aca="true">IFERROR(AVERAGE(OFFSET('Data - For Rank'!$P$2,CC80,0,COUNTIF(CC$6:CC$116,CC80)))+IFERROR(VLOOKUP((COUNT(CA$6:CA$116)/4),$ER$9:$ES$13,2,FALSE()),0),"")</f>
        <v/>
      </c>
      <c r="DW80" s="30"/>
      <c r="DX80" s="31" t="str">
        <f aca="true">IFERROR(AVERAGE(OFFSET('Data - For Rank'!$Q$2,CH80,0,COUNTIF(CH$6:CH$116,CH80)))+IFERROR(VLOOKUP((COUNT(CF$6:CF$116)/4),$ER$9:$ES$13,2,FALSE()),0),"")</f>
        <v/>
      </c>
      <c r="DY80" s="30"/>
      <c r="DZ80" s="31" t="str">
        <f aca="true">IFERROR(AVERAGE(OFFSET('Data - For Rank'!$R$2,CM80,0,COUNTIF(CM$6:CM$116,CM80)))+IFERROR(VLOOKUP((COUNT(CK$6:CK$116)/4),$ER$9:$ES$13,2,FALSE()),0),"")</f>
        <v/>
      </c>
      <c r="EA80" s="30"/>
      <c r="EB80" s="31" t="str">
        <f aca="true">IFERROR(AVERAGE(OFFSET('Data - For Rank'!$S$2,CR80,0,COUNTIF(CR$6:CR$116,CR80)))+IFERROR(VLOOKUP((COUNT(CP$6:CP$116)/4),$ER$9:$ES$13,2,FALSE()),0),"")</f>
        <v/>
      </c>
      <c r="EC80" s="32" t="n">
        <f aca="false">CS80+CU80+CW80+CY80+DA80+DC80+DE80+DG80+DI80+DK80+DM80+DO80+DQ80+DS80+DU80+DW80+DY80+EA80</f>
        <v>14</v>
      </c>
      <c r="ED80" s="33" t="n">
        <f aca="false">IFERROR(AVERAGE(CT80,CV80,CX80,CZ80,DB80,DD80,DF80,DH80,DJ80,DL80,DN80,DP80,DR80,DT80,DV80,DX80,DZ80,EB80),0)</f>
        <v>16</v>
      </c>
    </row>
    <row r="81" customFormat="false" ht="13.5" hidden="false" customHeight="false" outlineLevel="0" collapsed="false">
      <c r="B81" s="68" t="n">
        <f aca="false">_xlfn.RANK.EQ(C81,$C$73:$C$116,)</f>
        <v>3</v>
      </c>
      <c r="C81" s="69" t="n">
        <f aca="false">EC81</f>
        <v>23</v>
      </c>
      <c r="D81" s="69" t="s">
        <v>151</v>
      </c>
      <c r="E81" s="70" t="s">
        <v>152</v>
      </c>
      <c r="F81" s="71" t="n">
        <f aca="false">COUNT(CT81,CV81,CX81,CZ81,DB81,DD81,DF81,DH81,DJ81,DL81,DN81,DP81,DR81,DT81,DV81,DX81,DZ81,EB81)</f>
        <v>1</v>
      </c>
      <c r="G81" s="49" t="str">
        <f aca="false">IF(CT81=0,"",CT81)</f>
        <v/>
      </c>
      <c r="H81" s="49"/>
      <c r="I81" s="49"/>
      <c r="K81" s="49"/>
      <c r="L81" s="49" t="str">
        <f aca="false">IF(CV81=0,"",CV81)</f>
        <v/>
      </c>
      <c r="M81" s="49"/>
      <c r="N81" s="49"/>
      <c r="P81" s="49"/>
      <c r="Q81" s="49" t="str">
        <f aca="false">IF(CX81=0,"",CX81)</f>
        <v/>
      </c>
      <c r="R81" s="49"/>
      <c r="S81" s="49"/>
      <c r="U81" s="49"/>
      <c r="V81" s="49" t="str">
        <f aca="false">IF(CZ81=0,"",CZ81)</f>
        <v/>
      </c>
      <c r="W81" s="49"/>
      <c r="X81" s="49"/>
      <c r="Z81" s="49"/>
      <c r="AA81" s="49" t="str">
        <f aca="false">IF(DB81=0,"",DB81)</f>
        <v/>
      </c>
      <c r="AB81" s="49"/>
      <c r="AC81" s="49"/>
      <c r="AE81" s="49"/>
      <c r="AF81" s="49" t="n">
        <f aca="false">IF(DD81=0,"",DD81)</f>
        <v>23</v>
      </c>
      <c r="AG81" s="49"/>
      <c r="AH81" s="49"/>
      <c r="AJ81" s="49"/>
      <c r="AK81" s="49" t="str">
        <f aca="false">IF(DF81=0,"",DF81)</f>
        <v/>
      </c>
      <c r="AL81" s="49"/>
      <c r="AM81" s="49"/>
      <c r="AO81" s="49"/>
      <c r="AP81" s="49" t="str">
        <f aca="false">IF(DH81=0,"",DH81)</f>
        <v/>
      </c>
      <c r="AQ81" s="49"/>
      <c r="AR81" s="49"/>
      <c r="AT81" s="49"/>
      <c r="AU81" s="49" t="str">
        <f aca="false">IF(DJ81=0,"",DJ81)</f>
        <v/>
      </c>
      <c r="AV81" s="49"/>
      <c r="AW81" s="49"/>
      <c r="AY81" s="49"/>
      <c r="AZ81" s="49" t="str">
        <f aca="false">IF(DL81=0,"",DL81)</f>
        <v/>
      </c>
      <c r="BA81" s="49"/>
      <c r="BB81" s="49"/>
      <c r="BD81" s="49"/>
      <c r="BE81" s="49" t="str">
        <f aca="false">IF(DN81=0,"",DN81)</f>
        <v/>
      </c>
      <c r="BF81" s="49"/>
      <c r="BG81" s="49"/>
      <c r="BI81" s="49"/>
      <c r="BJ81" s="49" t="str">
        <f aca="false">IF(DP81=0,"",DP81)</f>
        <v/>
      </c>
      <c r="BK81" s="49"/>
      <c r="BL81" s="49"/>
      <c r="BN81" s="49"/>
      <c r="BO81" s="49" t="str">
        <f aca="false">IF(DR81=0,"",DR81)</f>
        <v/>
      </c>
      <c r="BP81" s="49"/>
      <c r="BQ81" s="49"/>
      <c r="BS81" s="49"/>
      <c r="BT81" s="49" t="str">
        <f aca="false">IF(DT81=0,"",DT81)</f>
        <v/>
      </c>
      <c r="BU81" s="49"/>
      <c r="BV81" s="49"/>
      <c r="BX81" s="49"/>
      <c r="BY81" s="49" t="str">
        <f aca="false">IF(DV81=0,"",DV81)</f>
        <v/>
      </c>
      <c r="BZ81" s="49"/>
      <c r="CA81" s="49"/>
      <c r="CC81" s="49"/>
      <c r="CD81" s="49" t="str">
        <f aca="false">IF(DX81=0,"",DX81)</f>
        <v/>
      </c>
      <c r="CE81" s="49"/>
      <c r="CF81" s="49"/>
      <c r="CH81" s="49"/>
      <c r="CI81" s="49" t="str">
        <f aca="false">IF(DZ81=0,"",DZ81)</f>
        <v/>
      </c>
      <c r="CJ81" s="49"/>
      <c r="CK81" s="49"/>
      <c r="CM81" s="49"/>
      <c r="CN81" s="49" t="str">
        <f aca="false">IF(EB81=0,"",EB81)</f>
        <v/>
      </c>
      <c r="CO81" s="49"/>
      <c r="CP81" s="49"/>
      <c r="CR81" s="49"/>
      <c r="CS81" s="21"/>
      <c r="CT81" s="22" t="str">
        <f aca="false">IFERROR(CT82+CT83,"")</f>
        <v/>
      </c>
      <c r="CU81" s="21"/>
      <c r="CV81" s="22" t="str">
        <f aca="false">IFERROR(CV82+CV83,"")</f>
        <v/>
      </c>
      <c r="CW81" s="21"/>
      <c r="CX81" s="22" t="str">
        <f aca="false">IFERROR(CX82+CX83,"")</f>
        <v/>
      </c>
      <c r="CY81" s="21"/>
      <c r="CZ81" s="22" t="str">
        <f aca="false">IFERROR(CZ82+CZ83,"")</f>
        <v/>
      </c>
      <c r="DA81" s="21"/>
      <c r="DB81" s="22" t="str">
        <f aca="false">IFERROR(DB82+DB83,"")</f>
        <v/>
      </c>
      <c r="DC81" s="21" t="n">
        <v>92</v>
      </c>
      <c r="DD81" s="22" t="n">
        <f aca="false">IFERROR(DD82+DD83,"")</f>
        <v>23</v>
      </c>
      <c r="DE81" s="21"/>
      <c r="DF81" s="22" t="str">
        <f aca="false">IFERROR(DF82+DF83,"")</f>
        <v/>
      </c>
      <c r="DG81" s="21"/>
      <c r="DH81" s="22" t="str">
        <f aca="false">IFERROR(DH82+DH83,"")</f>
        <v/>
      </c>
      <c r="DI81" s="21"/>
      <c r="DJ81" s="22" t="str">
        <f aca="false">IFERROR(DJ82+DJ83,"")</f>
        <v/>
      </c>
      <c r="DK81" s="21"/>
      <c r="DL81" s="22" t="str">
        <f aca="false">IFERROR(DL82+DL83,"")</f>
        <v/>
      </c>
      <c r="DM81" s="21"/>
      <c r="DN81" s="22" t="str">
        <f aca="false">IFERROR(DN82+DN83,"")</f>
        <v/>
      </c>
      <c r="DO81" s="21"/>
      <c r="DP81" s="22" t="str">
        <f aca="false">IFERROR(DP82+DP83,"")</f>
        <v/>
      </c>
      <c r="DQ81" s="21"/>
      <c r="DR81" s="22" t="str">
        <f aca="false">IFERROR(DR82+DR83,"")</f>
        <v/>
      </c>
      <c r="DS81" s="21"/>
      <c r="DT81" s="22" t="str">
        <f aca="false">IFERROR(DT82+DT83,"")</f>
        <v/>
      </c>
      <c r="DU81" s="21"/>
      <c r="DV81" s="22" t="str">
        <f aca="false">IFERROR(DV82+DV83,"")</f>
        <v/>
      </c>
      <c r="DW81" s="21"/>
      <c r="DX81" s="22" t="str">
        <f aca="false">IFERROR(DX82+DX83,"")</f>
        <v/>
      </c>
      <c r="DY81" s="21"/>
      <c r="DZ81" s="22" t="str">
        <f aca="false">IFERROR(DZ82+DZ83,"")</f>
        <v/>
      </c>
      <c r="EA81" s="21"/>
      <c r="EB81" s="22" t="str">
        <f aca="false">IFERROR(EB82+EB83,"")</f>
        <v/>
      </c>
      <c r="EC81" s="17" t="n">
        <f aca="false">IFERROR(LARGE($G81:$CN81,1),0)+IFERROR(LARGE($G81:$CN81,2),0)+IFERROR(LARGE($G81:$CN81,3),0)+IFERROR(LARGE($G81:$CN81,4),0)+IFERROR(LARGE($G81:$CN81,5),0)+IFERROR(LARGE($G81:$CN81,6),0)+IFERROR(LARGE($G81:$CN81,7),0)+IFERROR(LARGE($G81:$CN81,8),0)+IFERROR(LARGE($G81:$CN81,9),0)+IFERROR(LARGE($G81:$CN81,10),0)</f>
        <v>23</v>
      </c>
      <c r="ED81" s="23" t="n">
        <f aca="false">IFERROR(AVERAGE(CT81,CV81,CX81,CZ81,DB81,DD81,DF81,DH81,DJ81,DL81,DN81,DP81,DR81,DT81,DV81,DX81,DZ81,EB81),0)</f>
        <v>23</v>
      </c>
    </row>
    <row r="82" customFormat="false" ht="13.5" hidden="false" customHeight="false" outlineLevel="1" collapsed="false">
      <c r="B82" s="72" t="n">
        <f aca="false">B80+0.2215</f>
        <v>0.4879</v>
      </c>
      <c r="C82" s="68"/>
      <c r="D82" s="68" t="s">
        <v>153</v>
      </c>
      <c r="E82" s="73" t="s">
        <v>43</v>
      </c>
      <c r="F82" s="74"/>
      <c r="G82" s="7"/>
      <c r="H82" s="7" t="str">
        <f aca="false">IF(CS82=0,"",CS82)</f>
        <v/>
      </c>
      <c r="I82" s="7"/>
      <c r="J82" s="49" t="str">
        <f aca="false">IFERROR(RANK(H82,H$6:H$116,0),"")</f>
        <v/>
      </c>
      <c r="K82" s="7"/>
      <c r="L82" s="7"/>
      <c r="M82" s="7" t="str">
        <f aca="false">IF(CU82=0,"",CU82)</f>
        <v/>
      </c>
      <c r="N82" s="7"/>
      <c r="O82" s="49" t="str">
        <f aca="false">IFERROR(RANK(M82,M$6:M$116,0),"")</f>
        <v/>
      </c>
      <c r="P82" s="7"/>
      <c r="Q82" s="7"/>
      <c r="R82" s="7" t="str">
        <f aca="false">IF(CW82=0,"",CW82)</f>
        <v/>
      </c>
      <c r="S82" s="7"/>
      <c r="T82" s="49" t="str">
        <f aca="false">IFERROR(RANK(R82,R$6:R$116,0),"")</f>
        <v/>
      </c>
      <c r="U82" s="7"/>
      <c r="V82" s="7"/>
      <c r="W82" s="7" t="str">
        <f aca="false">IF(CY82=0,"",CY82)</f>
        <v/>
      </c>
      <c r="X82" s="7"/>
      <c r="Y82" s="49" t="str">
        <f aca="false">IFERROR(RANK(W82,W$6:W$116,0),"")</f>
        <v/>
      </c>
      <c r="Z82" s="7"/>
      <c r="AA82" s="7"/>
      <c r="AB82" s="7" t="str">
        <f aca="false">IF(DA82=0,"",DA82)</f>
        <v/>
      </c>
      <c r="AC82" s="7"/>
      <c r="AD82" s="49" t="str">
        <f aca="false">IFERROR(RANK(AB82,AB$6:AB$116,0),"")</f>
        <v/>
      </c>
      <c r="AE82" s="7"/>
      <c r="AF82" s="7"/>
      <c r="AG82" s="7" t="n">
        <f aca="false">IF(DC82=0,"",DC82)</f>
        <v>35</v>
      </c>
      <c r="AH82" s="7"/>
      <c r="AI82" s="49" t="n">
        <f aca="false">IFERROR(RANK(AG82,AG$6:AG$116,0),"")</f>
        <v>5</v>
      </c>
      <c r="AJ82" s="7"/>
      <c r="AK82" s="7"/>
      <c r="AL82" s="7" t="str">
        <f aca="false">IF(DE82=0,"",DE82)</f>
        <v/>
      </c>
      <c r="AM82" s="7"/>
      <c r="AN82" s="49" t="str">
        <f aca="false">IFERROR(RANK(AL82,AL$6:AL$116,0),"")</f>
        <v/>
      </c>
      <c r="AO82" s="7"/>
      <c r="AP82" s="7"/>
      <c r="AQ82" s="7" t="str">
        <f aca="false">IF(DG82=0,"",DG82)</f>
        <v/>
      </c>
      <c r="AR82" s="7"/>
      <c r="AS82" s="49" t="str">
        <f aca="false">IFERROR(RANK(AQ82,AQ$6:AQ$116,0),"")</f>
        <v/>
      </c>
      <c r="AT82" s="7"/>
      <c r="AU82" s="7"/>
      <c r="AV82" s="7" t="str">
        <f aca="false">IF(DI82=0,"",DI82)</f>
        <v/>
      </c>
      <c r="AW82" s="7"/>
      <c r="AX82" s="49" t="str">
        <f aca="false">IFERROR(RANK(AV82,AV$6:AV$116,0),"")</f>
        <v/>
      </c>
      <c r="AY82" s="7"/>
      <c r="AZ82" s="7"/>
      <c r="BA82" s="7" t="str">
        <f aca="false">IF(DK82=0,"",DK82)</f>
        <v/>
      </c>
      <c r="BB82" s="7"/>
      <c r="BC82" s="49" t="str">
        <f aca="false">IFERROR(RANK(BA82,BA$6:BA$116,0),"")</f>
        <v/>
      </c>
      <c r="BD82" s="7"/>
      <c r="BE82" s="7"/>
      <c r="BF82" s="7" t="str">
        <f aca="false">IF(DM82=0,"",DM82)</f>
        <v/>
      </c>
      <c r="BG82" s="7"/>
      <c r="BH82" s="49" t="str">
        <f aca="false">IFERROR(RANK(BF82,BF$6:BF$116,0),"")</f>
        <v/>
      </c>
      <c r="BI82" s="7"/>
      <c r="BJ82" s="7"/>
      <c r="BK82" s="7" t="str">
        <f aca="false">IF(DO82=0,"",DO82)</f>
        <v/>
      </c>
      <c r="BL82" s="7"/>
      <c r="BM82" s="49" t="str">
        <f aca="false">IFERROR(RANK(BK82,BK$6:BK$116,0),"")</f>
        <v/>
      </c>
      <c r="BN82" s="7"/>
      <c r="BO82" s="7"/>
      <c r="BP82" s="7" t="str">
        <f aca="false">IF(DQ82=0,"",DQ82)</f>
        <v/>
      </c>
      <c r="BQ82" s="7"/>
      <c r="BR82" s="49" t="str">
        <f aca="false">IFERROR(RANK(BP82,BP$6:BP$116,0),"")</f>
        <v/>
      </c>
      <c r="BS82" s="7"/>
      <c r="BT82" s="7"/>
      <c r="BU82" s="7" t="str">
        <f aca="false">IF(DS82=0,"",DS82)</f>
        <v/>
      </c>
      <c r="BV82" s="7"/>
      <c r="BW82" s="49" t="str">
        <f aca="false">IFERROR(RANK(BU82,BU$6:BU$116,0),"")</f>
        <v/>
      </c>
      <c r="BX82" s="7"/>
      <c r="BY82" s="7"/>
      <c r="BZ82" s="7" t="str">
        <f aca="false">IF(DU82=0,"",DU82)</f>
        <v/>
      </c>
      <c r="CA82" s="7"/>
      <c r="CB82" s="49" t="str">
        <f aca="false">IFERROR(RANK(BZ82,BZ$6:BZ$116,0),"")</f>
        <v/>
      </c>
      <c r="CC82" s="7"/>
      <c r="CD82" s="7"/>
      <c r="CE82" s="7" t="str">
        <f aca="false">IF(DW82=0,"",DW82)</f>
        <v/>
      </c>
      <c r="CF82" s="7"/>
      <c r="CG82" s="49" t="str">
        <f aca="false">IFERROR(RANK(CE82,CE$6:CE$116,0),"")</f>
        <v/>
      </c>
      <c r="CH82" s="7"/>
      <c r="CI82" s="7"/>
      <c r="CJ82" s="7" t="str">
        <f aca="false">IF(DY82=0,"",DY82)</f>
        <v/>
      </c>
      <c r="CK82" s="7"/>
      <c r="CL82" s="49" t="str">
        <f aca="false">IFERROR(RANK(CJ82,CJ$6:CJ$116,0),"")</f>
        <v/>
      </c>
      <c r="CM82" s="7"/>
      <c r="CN82" s="7"/>
      <c r="CO82" s="7" t="str">
        <f aca="false">IF(EA82=0,"",EA82)</f>
        <v/>
      </c>
      <c r="CP82" s="7"/>
      <c r="CQ82" s="49" t="str">
        <f aca="false">IFERROR(RANK(CO82,CO$6:CO$116,0),"")</f>
        <v/>
      </c>
      <c r="CR82" s="7"/>
      <c r="CS82" s="21"/>
      <c r="CT82" s="25" t="str">
        <f aca="true">IFERROR(AVERAGE(OFFSET('Data - For Rank'!B$2,J82,0,COUNTIF($J$7:J$116,J82)))+IFERROR(VLOOKUP((COUNT($H$6:$H$116)/4),$ER$9:$ES$13,2,FALSE()),0),"")</f>
        <v/>
      </c>
      <c r="CU82" s="21"/>
      <c r="CV82" s="25" t="str">
        <f aca="true">IFERROR(AVERAGE(OFFSET('Data - For Rank'!$C$2,O82,0,COUNTIF(O$7:O$116,O82)))+IFERROR(VLOOKUP((COUNT(M$6:M$116)/4),$ER$9:$ES$13,2,FALSE()),0),"")</f>
        <v/>
      </c>
      <c r="CW82" s="21"/>
      <c r="CX82" s="25" t="str">
        <f aca="true">IFERROR(AVERAGE(OFFSET('Data - For Rank'!D$2,T82,0,COUNTIF(T$7:T$116,T82)))+IFERROR(VLOOKUP((COUNT(R$6:R$116)/4),$ER$9:$ES$13,2,FALSE()),0),"")</f>
        <v/>
      </c>
      <c r="CY82" s="21"/>
      <c r="CZ82" s="25" t="str">
        <f aca="true">IFERROR(AVERAGE(OFFSET('Data - For Rank'!E$2,Y82,0,COUNTIF(Y$7:Y$116,Y82)))+IFERROR(VLOOKUP((COUNT(W$6:W$116)/4),$ER$9:$ES$13,2,FALSE()),0),"")</f>
        <v/>
      </c>
      <c r="DA82" s="21"/>
      <c r="DB82" s="25" t="str">
        <f aca="true">IFERROR(AVERAGE(OFFSET('Data - For Rank'!F$2,AD82,0,COUNTIF(AD$7:AD$116,AD82)))+IFERROR(VLOOKUP((COUNT(AB$6:AB$116)/4),$ER$9:$ES$13,2,FALSE()),0),"")</f>
        <v/>
      </c>
      <c r="DC82" s="21" t="n">
        <v>35</v>
      </c>
      <c r="DD82" s="25" t="n">
        <f aca="true">IFERROR(AVERAGE(OFFSET('Data - For Rank'!G$2,AI82,0,COUNTIF(AI$7:AI$116,AI82)))+IFERROR(VLOOKUP((COUNT(AG$6:AG$116)/4),$ER$9:$ES$13,2,FALSE()),0),"")</f>
        <v>13.5</v>
      </c>
      <c r="DE82" s="21"/>
      <c r="DF82" s="25" t="str">
        <f aca="true">IFERROR(AVERAGE(OFFSET('Data - For Rank'!$H$2,AN82,0,COUNTIF(AN$7:AN$116,AN82)))+IFERROR(VLOOKUP((COUNT(AL$6:AL$116)/4),$ER$9:$ES$13,2,FALSE()),0),"")</f>
        <v/>
      </c>
      <c r="DG82" s="21"/>
      <c r="DH82" s="25" t="str">
        <f aca="true">IFERROR(AVERAGE(OFFSET('Data - For Rank'!$I$2,AS82,0,COUNTIF(AS$7:AS$116,AS82)))+IFERROR(VLOOKUP((COUNT(AQ$6:AQ$116)/4),$ER$9:$ES$13,2,FALSE()),0),"")</f>
        <v/>
      </c>
      <c r="DI82" s="21"/>
      <c r="DJ82" s="25" t="str">
        <f aca="true">IFERROR(AVERAGE(OFFSET('Data - For Rank'!$J$2,AX82,0,COUNTIF(AX$7:AX$116,AX82)))+IFERROR(VLOOKUP((COUNT(AV$6:AV$116)/4),$ER$9:$ES$13,2,FALSE()),0),"")</f>
        <v/>
      </c>
      <c r="DK82" s="21"/>
      <c r="DL82" s="25" t="str">
        <f aca="true">IFERROR(AVERAGE(OFFSET('Data - For Rank'!$K$2,BC82,0,COUNTIF(BC$7:BC$116,BC82)))+IFERROR(VLOOKUP((COUNT(BA$6:BA$116)/4),$ER$9:$ES$13,2,FALSE()),0),"")</f>
        <v/>
      </c>
      <c r="DM82" s="21"/>
      <c r="DN82" s="25" t="str">
        <f aca="true">IFERROR(AVERAGE(OFFSET('Data - For Rank'!$L$2,BH82,0,COUNTIF(BH$7:BH$116,BH82)))+IFERROR(VLOOKUP((COUNT(BF$6:BF$116)/4),$ER$9:$ES$13,2,FALSE()),0),"")</f>
        <v/>
      </c>
      <c r="DO82" s="21"/>
      <c r="DP82" s="25" t="str">
        <f aca="true">IFERROR(AVERAGE(OFFSET('Data - For Rank'!$M$2,BM82,0,COUNTIF(BM$7:BM$116,BM82)))+IFERROR(VLOOKUP((COUNT(BK$6:BK$116)/4),$ER$9:$ES$13,2,FALSE()),0),"")</f>
        <v/>
      </c>
      <c r="DQ82" s="21"/>
      <c r="DR82" s="25" t="str">
        <f aca="true">IFERROR(AVERAGE(OFFSET('Data - For Rank'!$N$2,BR82,0,COUNTIF(BR$7:BR$116,BR82)))+IFERROR(VLOOKUP((COUNT(BP$6:BP$116)/4),$ER$9:$ES$13,2,FALSE()),0),"")</f>
        <v/>
      </c>
      <c r="DS82" s="21"/>
      <c r="DT82" s="25" t="str">
        <f aca="true">IFERROR(AVERAGE(OFFSET('Data - For Rank'!$O$2,BW82,0,COUNTIF(BW$7:BW$116,BW82)))+IFERROR(VLOOKUP((COUNT(BU$6:BU$116)/4),$ER$9:$ES$13,2,FALSE()),0),"")</f>
        <v/>
      </c>
      <c r="DU82" s="21"/>
      <c r="DV82" s="25" t="str">
        <f aca="true">IFERROR(AVERAGE(OFFSET('Data - For Rank'!$P$2,CB82,0,COUNTIF(CB$7:CB$116,CB82)))+IFERROR(VLOOKUP((COUNT(BZ$6:BZ$116)/4),$ER$9:$ES$13,2,FALSE()),0),"")</f>
        <v/>
      </c>
      <c r="DW82" s="21"/>
      <c r="DX82" s="25" t="str">
        <f aca="true">IFERROR(AVERAGE(OFFSET('Data - For Rank'!$Q$2,CG82,0,COUNTIF(CG$7:CG$116,CG82)))+IFERROR(VLOOKUP((COUNT(CE$6:CE$116)/4),$ER$9:$ES$13,2,FALSE()),0),"")</f>
        <v/>
      </c>
      <c r="DY82" s="21"/>
      <c r="DZ82" s="25" t="str">
        <f aca="true">IFERROR(AVERAGE(OFFSET('Data - For Rank'!$R$2,CL82,0,COUNTIF(CL$7:CL$116,CL82)))+IFERROR(VLOOKUP((COUNT(CJ$6:CJ$116)/4),$ER$9:$ES$13,2,FALSE()),0),"")</f>
        <v/>
      </c>
      <c r="EA82" s="21"/>
      <c r="EB82" s="25" t="str">
        <f aca="true">IFERROR(AVERAGE(OFFSET('Data - For Rank'!$S$2,CQ82,0,COUNTIF(CQ$7:CQ$116,CQ82)))+IFERROR(VLOOKUP((COUNT(CO$6:CO$116)/4),$ER$9:$ES$13,2,FALSE()),0),"")</f>
        <v/>
      </c>
      <c r="EC82" s="26" t="n">
        <f aca="false">IFERROR(AVERAGE(CS82,CU82,CW82,CY82,DA82,DC82,DE82,DG82,DI82,DK82,DM82,DO82,DQ82,DS82,DU82,DW82,DY82,EA82),0)</f>
        <v>35</v>
      </c>
      <c r="ED82" s="23" t="n">
        <f aca="false">IFERROR(AVERAGE(CT82,CV82,CX82,CZ82,DB82,DD82,DF82,DH82,DJ82,DL82,DN82,DP82,DR82,DT82,DV82,DX82,DZ82,EB82),0)</f>
        <v>13.5</v>
      </c>
    </row>
    <row r="83" customFormat="false" ht="13.5" hidden="false" customHeight="false" outlineLevel="1" collapsed="false">
      <c r="B83" s="75" t="n">
        <f aca="false">B82+0.115</f>
        <v>0.6029</v>
      </c>
      <c r="C83" s="68"/>
      <c r="D83" s="68" t="s">
        <v>154</v>
      </c>
      <c r="E83" s="76" t="s">
        <v>44</v>
      </c>
      <c r="F83" s="77"/>
      <c r="G83" s="29"/>
      <c r="H83" s="29"/>
      <c r="I83" s="53" t="str">
        <f aca="false">IF(CS83=0,"",CS83)</f>
        <v/>
      </c>
      <c r="J83" s="53"/>
      <c r="K83" s="54" t="str">
        <f aca="false">IFERROR(_xlfn.RANK.EQ(I83,I$6:I$116,0),"")</f>
        <v/>
      </c>
      <c r="L83" s="29"/>
      <c r="M83" s="29"/>
      <c r="N83" s="53" t="str">
        <f aca="false">IF(CU83=0,"",CU83)</f>
        <v/>
      </c>
      <c r="O83" s="53"/>
      <c r="P83" s="54" t="str">
        <f aca="false">IFERROR(_xlfn.RANK.EQ(N83,N$6:N$116,0),"")</f>
        <v/>
      </c>
      <c r="Q83" s="29"/>
      <c r="R83" s="29"/>
      <c r="S83" s="53" t="str">
        <f aca="false">IF(CW83=0,"",CW83)</f>
        <v/>
      </c>
      <c r="T83" s="53"/>
      <c r="U83" s="54" t="str">
        <f aca="false">IFERROR(_xlfn.RANK.EQ(S83,S$6:S$116,0),"")</f>
        <v/>
      </c>
      <c r="V83" s="29"/>
      <c r="W83" s="29"/>
      <c r="X83" s="53" t="str">
        <f aca="false">IF(CY83=0,"",CY83)</f>
        <v/>
      </c>
      <c r="Y83" s="53"/>
      <c r="Z83" s="54" t="str">
        <f aca="false">IFERROR(_xlfn.RANK.EQ(X83,X$6:X$116,0),"")</f>
        <v/>
      </c>
      <c r="AA83" s="29"/>
      <c r="AB83" s="29"/>
      <c r="AC83" s="53" t="str">
        <f aca="false">IF(DA83=0,"",DA83)</f>
        <v/>
      </c>
      <c r="AD83" s="53"/>
      <c r="AE83" s="54" t="str">
        <f aca="false">IFERROR(_xlfn.RANK.EQ(AC83,AC$6:AC$116,0),"")</f>
        <v/>
      </c>
      <c r="AF83" s="29"/>
      <c r="AG83" s="29"/>
      <c r="AH83" s="53" t="n">
        <f aca="false">IF(DC83=0,"",DC83)</f>
        <v>-0.001</v>
      </c>
      <c r="AI83" s="53"/>
      <c r="AJ83" s="54" t="n">
        <f aca="false">IFERROR(_xlfn.RANK.EQ(AH83,AH$6:AH$116,0),"")</f>
        <v>8</v>
      </c>
      <c r="AK83" s="29"/>
      <c r="AL83" s="29"/>
      <c r="AM83" s="53" t="str">
        <f aca="false">IF(DE83=0,"",DE83)</f>
        <v/>
      </c>
      <c r="AN83" s="53"/>
      <c r="AO83" s="54" t="str">
        <f aca="false">IFERROR(_xlfn.RANK.EQ(AM83,AM$6:AM$116,0),"")</f>
        <v/>
      </c>
      <c r="AP83" s="29"/>
      <c r="AQ83" s="29"/>
      <c r="AR83" s="53" t="str">
        <f aca="false">IF(DG83=0,"",DG83)</f>
        <v/>
      </c>
      <c r="AS83" s="53"/>
      <c r="AT83" s="54" t="str">
        <f aca="false">IFERROR(_xlfn.RANK.EQ(AR83,AR$6:AR$116,0),"")</f>
        <v/>
      </c>
      <c r="AU83" s="29"/>
      <c r="AV83" s="29"/>
      <c r="AW83" s="53" t="str">
        <f aca="false">IF(DI83=0,"",DI83)</f>
        <v/>
      </c>
      <c r="AX83" s="53"/>
      <c r="AY83" s="54" t="str">
        <f aca="false">IFERROR(_xlfn.RANK.EQ(AW83,AW$6:AW$116,0),"")</f>
        <v/>
      </c>
      <c r="AZ83" s="29"/>
      <c r="BA83" s="29"/>
      <c r="BB83" s="53" t="str">
        <f aca="false">IF(DK83=0,"",DK83)</f>
        <v/>
      </c>
      <c r="BC83" s="53"/>
      <c r="BD83" s="54" t="str">
        <f aca="false">IFERROR(_xlfn.RANK.EQ(BB83,BB$6:BB$116,0),"")</f>
        <v/>
      </c>
      <c r="BE83" s="29"/>
      <c r="BF83" s="29"/>
      <c r="BG83" s="53" t="str">
        <f aca="false">IF(DM83=0,"",DM83)</f>
        <v/>
      </c>
      <c r="BH83" s="53"/>
      <c r="BI83" s="54" t="str">
        <f aca="false">IFERROR(_xlfn.RANK.EQ(BG83,BG$6:BG$116,0),"")</f>
        <v/>
      </c>
      <c r="BJ83" s="29"/>
      <c r="BK83" s="29"/>
      <c r="BL83" s="53" t="str">
        <f aca="false">IF(DO83=0,"",DO83)</f>
        <v/>
      </c>
      <c r="BM83" s="53"/>
      <c r="BN83" s="54" t="str">
        <f aca="false">IFERROR(_xlfn.RANK.EQ(BL83,BL$6:BL$116,0),"")</f>
        <v/>
      </c>
      <c r="BO83" s="29"/>
      <c r="BP83" s="29"/>
      <c r="BQ83" s="53" t="str">
        <f aca="false">IF(DQ83=0,"",DQ83)</f>
        <v/>
      </c>
      <c r="BR83" s="53"/>
      <c r="BS83" s="54" t="str">
        <f aca="false">IFERROR(_xlfn.RANK.EQ(BQ83,BQ$6:BQ$116,0),"")</f>
        <v/>
      </c>
      <c r="BT83" s="29"/>
      <c r="BU83" s="29"/>
      <c r="BV83" s="53" t="str">
        <f aca="false">IF(DS83=0,"",DS83)</f>
        <v/>
      </c>
      <c r="BW83" s="53"/>
      <c r="BX83" s="54" t="str">
        <f aca="false">IFERROR(_xlfn.RANK.EQ(BV83,BV$6:BV$116,0),"")</f>
        <v/>
      </c>
      <c r="BY83" s="29"/>
      <c r="BZ83" s="29"/>
      <c r="CA83" s="53" t="str">
        <f aca="false">IF(DU83=0,"",DU83)</f>
        <v/>
      </c>
      <c r="CB83" s="53"/>
      <c r="CC83" s="54" t="str">
        <f aca="false">IFERROR(_xlfn.RANK.EQ(CA83,CA$6:CA$116,0),"")</f>
        <v/>
      </c>
      <c r="CD83" s="29"/>
      <c r="CE83" s="29"/>
      <c r="CF83" s="53" t="str">
        <f aca="false">IF(DW83=0,"",DW83)</f>
        <v/>
      </c>
      <c r="CG83" s="53"/>
      <c r="CH83" s="54" t="str">
        <f aca="false">IFERROR(_xlfn.RANK.EQ(CF83,CF$6:CF$116,0),"")</f>
        <v/>
      </c>
      <c r="CI83" s="29"/>
      <c r="CJ83" s="29"/>
      <c r="CK83" s="53" t="str">
        <f aca="false">IF(DY83=0,"",DY83)</f>
        <v/>
      </c>
      <c r="CL83" s="53"/>
      <c r="CM83" s="54" t="str">
        <f aca="false">IFERROR(_xlfn.RANK.EQ(CK83,CK$6:CK$116,0),"")</f>
        <v/>
      </c>
      <c r="CN83" s="29"/>
      <c r="CO83" s="29"/>
      <c r="CP83" s="53" t="str">
        <f aca="false">IF(EA83=0,"",EA83)</f>
        <v/>
      </c>
      <c r="CQ83" s="53"/>
      <c r="CR83" s="54" t="str">
        <f aca="false">IFERROR(_xlfn.RANK.EQ(CP83,CP$6:CP$116,0),"")</f>
        <v/>
      </c>
      <c r="CS83" s="30"/>
      <c r="CT83" s="31" t="str">
        <f aca="true">IFERROR(AVERAGE(OFFSET('Data - For Rank'!B$2,K83,0,COUNTIF(K$6:K$116,K83)))+IFERROR(VLOOKUP((COUNT($I$6:$I$116)/4),$ER$9:$ES$13,2,FALSE()),0),"")</f>
        <v/>
      </c>
      <c r="CU83" s="30"/>
      <c r="CV83" s="31" t="str">
        <f aca="true">IFERROR(AVERAGE(OFFSET('Data - For Rank'!$C$2,P83,0,COUNTIF(P$6:P$116,P83)))+IFERROR(VLOOKUP((COUNT(N$6:N$116)/4),$ER$9:$ES$13,2,FALSE()),0),"")</f>
        <v/>
      </c>
      <c r="CW83" s="30"/>
      <c r="CX83" s="31" t="str">
        <f aca="true">IFERROR(AVERAGE(OFFSET('Data - For Rank'!D$2,U83,0,COUNTIF(U$6:$U190,U83)))+IFERROR(VLOOKUP((COUNT(S$6:S$116)/4),$ER$9:$ES$13,2,FALSE()),0),"")</f>
        <v/>
      </c>
      <c r="CY83" s="30"/>
      <c r="CZ83" s="31" t="str">
        <f aca="true">IFERROR(AVERAGE(OFFSET('Data - For Rank'!E$2,Z83,0,COUNTIF(Z$6:Z$116,Z83)))+IFERROR(VLOOKUP((COUNT(W$6:W$116)/4),$ER$9:$ES$13,2,FALSE()),0),"")</f>
        <v/>
      </c>
      <c r="DA83" s="30"/>
      <c r="DB83" s="31" t="str">
        <f aca="true">IFERROR(AVERAGE(OFFSET('Data - For Rank'!F$2,AE83,0,COUNTIF(AE$6:AE$116,AE83)))+IFERROR(VLOOKUP((COUNT(AC$6:AC$116)/4),$ER$9:$ES$13,2,FALSE()),0),"")</f>
        <v/>
      </c>
      <c r="DC83" s="30" t="n">
        <v>-0.001</v>
      </c>
      <c r="DD83" s="31" t="n">
        <f aca="true">IFERROR(AVERAGE(OFFSET('Data - For Rank'!G$2,AJ83,0,COUNTIF(AJ$6:AJ$116,AJ83)))+IFERROR(VLOOKUP((COUNT(AH$6:AH$116)/4),$ER$9:$ES$13,2,FALSE()),0),"")</f>
        <v>9.5</v>
      </c>
      <c r="DE83" s="30"/>
      <c r="DF83" s="31" t="str">
        <f aca="true">IFERROR(AVERAGE(OFFSET('Data - For Rank'!$H$2,AO83,0,COUNTIF(AO$6:AO$116,AO83)))+IFERROR(VLOOKUP((COUNT(AM$6:AM$116)/4),$ER$9:$ES$13,2,FALSE()),0),"")</f>
        <v/>
      </c>
      <c r="DG83" s="30"/>
      <c r="DH83" s="31" t="str">
        <f aca="true">IFERROR(AVERAGE(OFFSET('Data - For Rank'!$I$2,AT83,0,COUNTIF(AT$6:AT$116,AT83)))+IFERROR(VLOOKUP((COUNT(AR$6:AR$116)/4),$ER$9:$ES$13,2,FALSE()),0),"")</f>
        <v/>
      </c>
      <c r="DI83" s="30"/>
      <c r="DJ83" s="31" t="str">
        <f aca="true">IFERROR(AVERAGE(OFFSET('Data - For Rank'!$J$2,AY83,0,COUNTIF(AY$6:AY$116,AY83)))+IFERROR(VLOOKUP((COUNT(AW$6:AW$116)/4),$ER$9:$ES$13,2,FALSE()),0),"")</f>
        <v/>
      </c>
      <c r="DK83" s="30"/>
      <c r="DL83" s="31" t="str">
        <f aca="true">IFERROR(AVERAGE(OFFSET('Data - For Rank'!$K$2,BD83,0,COUNTIF(BD$6:BD$116,BD83)))+IFERROR(VLOOKUP((COUNT(BB$6:BB$116)/4),$ER$9:$ES$13,2,FALSE()),0),"")</f>
        <v/>
      </c>
      <c r="DM83" s="30"/>
      <c r="DN83" s="31" t="str">
        <f aca="true">IFERROR(AVERAGE(OFFSET('Data - For Rank'!$L$2,BI83,0,COUNTIF(BI$6:BI$116,BI83)))+IFERROR(VLOOKUP((COUNT(BG$6:BG$116)/4),$ER$9:$ES$13,2,FALSE()),0),"")</f>
        <v/>
      </c>
      <c r="DO83" s="30"/>
      <c r="DP83" s="31" t="str">
        <f aca="true">IFERROR(AVERAGE(OFFSET('Data - For Rank'!$M$2,BN83,0,COUNTIF(BN$6:BN$116,BN83)))+IFERROR(VLOOKUP((COUNT(BL$6:BL$116)/4),$ER$9:$ES$13,2,FALSE()),0),"")</f>
        <v/>
      </c>
      <c r="DQ83" s="30"/>
      <c r="DR83" s="31" t="str">
        <f aca="true">IFERROR(AVERAGE(OFFSET('Data - For Rank'!$N$2,BS83,0,COUNTIF(BS$6:BS$116,BS83)))+IFERROR(VLOOKUP((COUNT(BQ$6:BQ$116)/4),$ER$9:$ES$13,2,FALSE()),0),"")</f>
        <v/>
      </c>
      <c r="DS83" s="30"/>
      <c r="DT83" s="31" t="str">
        <f aca="true">IFERROR(AVERAGE(OFFSET('Data - For Rank'!$O$2,BX83,0,COUNTIF(BX$6:BX$116,BX83)))+IFERROR(VLOOKUP((COUNT(BV$6:BV$116)/4),$ER$9:$ES$13,2,FALSE()),0),"")</f>
        <v/>
      </c>
      <c r="DU83" s="30"/>
      <c r="DV83" s="31" t="str">
        <f aca="true">IFERROR(AVERAGE(OFFSET('Data - For Rank'!$P$2,CC83,0,COUNTIF(CC$6:CC$116,CC83)))+IFERROR(VLOOKUP((COUNT(CA$6:CA$116)/4),$ER$9:$ES$13,2,FALSE()),0),"")</f>
        <v/>
      </c>
      <c r="DW83" s="30"/>
      <c r="DX83" s="31" t="str">
        <f aca="true">IFERROR(AVERAGE(OFFSET('Data - For Rank'!$Q$2,CH83,0,COUNTIF(CH$6:CH$116,CH83)))+IFERROR(VLOOKUP((COUNT(CF$6:CF$116)/4),$ER$9:$ES$13,2,FALSE()),0),"")</f>
        <v/>
      </c>
      <c r="DY83" s="30"/>
      <c r="DZ83" s="31" t="str">
        <f aca="true">IFERROR(AVERAGE(OFFSET('Data - For Rank'!$R$2,CM83,0,COUNTIF(CM$6:CM$116,CM83)))+IFERROR(VLOOKUP((COUNT(CK$6:CK$116)/4),$ER$9:$ES$13,2,FALSE()),0),"")</f>
        <v/>
      </c>
      <c r="EA83" s="30"/>
      <c r="EB83" s="31" t="str">
        <f aca="true">IFERROR(AVERAGE(OFFSET('Data - For Rank'!$S$2,CR83,0,COUNTIF(CR$6:CR$116,CR83)))+IFERROR(VLOOKUP((COUNT(CP$6:CP$116)/4),$ER$9:$ES$13,2,FALSE()),0),"")</f>
        <v/>
      </c>
      <c r="EC83" s="32" t="n">
        <f aca="false">CS83+CU83+CW83+CY83+DA83+DC83+DE83+DG83+DI83+DK83+DM83+DO83+DQ83+DS83+DU83+DW83+DY83+EA83</f>
        <v>-0.001</v>
      </c>
      <c r="ED83" s="33" t="n">
        <f aca="false">IFERROR(AVERAGE(CT83,CV83,CX83,CZ83,DB83,DD83,DF83,DH83,DJ83,DL83,DN83,DP83,DR83,DT83,DV83,DX83,DZ83,EB83),0)</f>
        <v>9.5</v>
      </c>
    </row>
    <row r="84" customFormat="false" ht="13.5" hidden="false" customHeight="false" outlineLevel="0" collapsed="false">
      <c r="B84" s="68" t="n">
        <f aca="false">_xlfn.RANK.EQ(C84,$C$73:$C$116,)</f>
        <v>4</v>
      </c>
      <c r="C84" s="69" t="n">
        <f aca="false">EC84</f>
        <v>16.5</v>
      </c>
      <c r="D84" s="69" t="s">
        <v>155</v>
      </c>
      <c r="E84" s="78" t="s">
        <v>156</v>
      </c>
      <c r="F84" s="71" t="n">
        <f aca="false">COUNT(CT84,CV84,CX84,CZ84,DB84,DD84,DF84,DH84,DJ84,DL84,DN84,DP84,DR84,DT84,DV84,DX84,DZ84,EB84)</f>
        <v>1</v>
      </c>
      <c r="G84" s="49" t="str">
        <f aca="false">IF(CT84=0,"",CT84)</f>
        <v/>
      </c>
      <c r="H84" s="49"/>
      <c r="I84" s="49"/>
      <c r="K84" s="49"/>
      <c r="L84" s="49" t="str">
        <f aca="false">IF(CV84=0,"",CV84)</f>
        <v/>
      </c>
      <c r="M84" s="49"/>
      <c r="N84" s="49"/>
      <c r="P84" s="49"/>
      <c r="Q84" s="49" t="str">
        <f aca="false">IF(CX84=0,"",CX84)</f>
        <v/>
      </c>
      <c r="R84" s="49"/>
      <c r="S84" s="49"/>
      <c r="U84" s="49"/>
      <c r="V84" s="49" t="str">
        <f aca="false">IF(CZ84=0,"",CZ84)</f>
        <v/>
      </c>
      <c r="W84" s="49"/>
      <c r="X84" s="49"/>
      <c r="Z84" s="49"/>
      <c r="AA84" s="49" t="str">
        <f aca="false">IF(DB84=0,"",DB84)</f>
        <v/>
      </c>
      <c r="AB84" s="49"/>
      <c r="AC84" s="49"/>
      <c r="AE84" s="49"/>
      <c r="AF84" s="49" t="str">
        <f aca="false">IF(DD84=0,"",DD84)</f>
        <v/>
      </c>
      <c r="AG84" s="49"/>
      <c r="AH84" s="49"/>
      <c r="AJ84" s="49"/>
      <c r="AK84" s="49" t="str">
        <f aca="false">IF(DF84=0,"",DF84)</f>
        <v/>
      </c>
      <c r="AL84" s="49"/>
      <c r="AM84" s="49"/>
      <c r="AO84" s="49"/>
      <c r="AP84" s="49" t="n">
        <f aca="false">IF(DH84=0,"",DH84)</f>
        <v>16.5</v>
      </c>
      <c r="AQ84" s="49"/>
      <c r="AR84" s="49"/>
      <c r="AT84" s="49"/>
      <c r="AU84" s="49" t="str">
        <f aca="false">IF(DJ84=0,"",DJ84)</f>
        <v/>
      </c>
      <c r="AV84" s="49"/>
      <c r="AW84" s="49"/>
      <c r="AY84" s="49"/>
      <c r="AZ84" s="49" t="str">
        <f aca="false">IF(DL84=0,"",DL84)</f>
        <v/>
      </c>
      <c r="BA84" s="49"/>
      <c r="BB84" s="49"/>
      <c r="BD84" s="49"/>
      <c r="BE84" s="49" t="str">
        <f aca="false">IF(DN84=0,"",DN84)</f>
        <v/>
      </c>
      <c r="BF84" s="49"/>
      <c r="BG84" s="49"/>
      <c r="BI84" s="49"/>
      <c r="BJ84" s="49" t="str">
        <f aca="false">IF(DP84=0,"",DP84)</f>
        <v/>
      </c>
      <c r="BK84" s="49"/>
      <c r="BL84" s="49"/>
      <c r="BN84" s="49"/>
      <c r="BO84" s="49" t="str">
        <f aca="false">IF(DR84=0,"",DR84)</f>
        <v/>
      </c>
      <c r="BP84" s="49"/>
      <c r="BQ84" s="49"/>
      <c r="BS84" s="49"/>
      <c r="BT84" s="49" t="str">
        <f aca="false">IF(DT84=0,"",DT84)</f>
        <v/>
      </c>
      <c r="BU84" s="49"/>
      <c r="BV84" s="49"/>
      <c r="BX84" s="49"/>
      <c r="BY84" s="49" t="str">
        <f aca="false">IF(DV84=0,"",DV84)</f>
        <v/>
      </c>
      <c r="BZ84" s="49"/>
      <c r="CA84" s="49"/>
      <c r="CC84" s="49"/>
      <c r="CD84" s="49" t="str">
        <f aca="false">IF(DX84=0,"",DX84)</f>
        <v/>
      </c>
      <c r="CE84" s="49"/>
      <c r="CF84" s="49"/>
      <c r="CH84" s="49"/>
      <c r="CI84" s="49" t="str">
        <f aca="false">IF(DZ84=0,"",DZ84)</f>
        <v/>
      </c>
      <c r="CJ84" s="49"/>
      <c r="CK84" s="49"/>
      <c r="CM84" s="49"/>
      <c r="CN84" s="49" t="str">
        <f aca="false">IF(EB84=0,"",EB84)</f>
        <v/>
      </c>
      <c r="CO84" s="49"/>
      <c r="CP84" s="49"/>
      <c r="CR84" s="49"/>
      <c r="CS84" s="21"/>
      <c r="CT84" s="22" t="str">
        <f aca="false">IFERROR(CT85+CT86,"")</f>
        <v/>
      </c>
      <c r="CU84" s="21"/>
      <c r="CV84" s="22" t="str">
        <f aca="false">IFERROR(CV85+CV86,"")</f>
        <v/>
      </c>
      <c r="CW84" s="21"/>
      <c r="CX84" s="22" t="str">
        <f aca="false">IFERROR(CX85+CX86,"")</f>
        <v/>
      </c>
      <c r="CY84" s="21"/>
      <c r="CZ84" s="22" t="str">
        <f aca="false">IFERROR(CZ85+CZ86,"")</f>
        <v/>
      </c>
      <c r="DA84" s="21"/>
      <c r="DB84" s="22" t="str">
        <f aca="false">IFERROR(DB85+DB86,"")</f>
        <v/>
      </c>
      <c r="DC84" s="21"/>
      <c r="DD84" s="22" t="str">
        <f aca="false">IFERROR(DD85+DD86,"")</f>
        <v/>
      </c>
      <c r="DE84" s="21"/>
      <c r="DF84" s="22" t="str">
        <f aca="false">IFERROR(DF85+DF86,"")</f>
        <v/>
      </c>
      <c r="DG84" s="21" t="n">
        <v>95</v>
      </c>
      <c r="DH84" s="22" t="n">
        <f aca="false">IFERROR(DH85+DH86,"")</f>
        <v>16.5</v>
      </c>
      <c r="DI84" s="21"/>
      <c r="DJ84" s="22" t="str">
        <f aca="false">IFERROR(DJ85+DJ86,"")</f>
        <v/>
      </c>
      <c r="DK84" s="21"/>
      <c r="DL84" s="22" t="str">
        <f aca="false">IFERROR(DL85+DL86,"")</f>
        <v/>
      </c>
      <c r="DM84" s="21"/>
      <c r="DN84" s="22" t="str">
        <f aca="false">IFERROR(DN85+DN86,"")</f>
        <v/>
      </c>
      <c r="DO84" s="21"/>
      <c r="DP84" s="22" t="str">
        <f aca="false">IFERROR(DP85+DP86,"")</f>
        <v/>
      </c>
      <c r="DQ84" s="21"/>
      <c r="DR84" s="22" t="str">
        <f aca="false">IFERROR(DR85+DR86,"")</f>
        <v/>
      </c>
      <c r="DS84" s="21"/>
      <c r="DT84" s="22" t="str">
        <f aca="false">IFERROR(DT85+DT86,"")</f>
        <v/>
      </c>
      <c r="DU84" s="21"/>
      <c r="DV84" s="22" t="str">
        <f aca="false">IFERROR(DV85+DV86,"")</f>
        <v/>
      </c>
      <c r="DW84" s="21"/>
      <c r="DX84" s="22" t="str">
        <f aca="false">IFERROR(DX85+DX86,"")</f>
        <v/>
      </c>
      <c r="DY84" s="21"/>
      <c r="DZ84" s="22" t="str">
        <f aca="false">IFERROR(DZ85+DZ86,"")</f>
        <v/>
      </c>
      <c r="EA84" s="21"/>
      <c r="EB84" s="22" t="str">
        <f aca="false">IFERROR(EB85+EB86,"")</f>
        <v/>
      </c>
      <c r="EC84" s="17" t="n">
        <f aca="false">IFERROR(LARGE($G84:$CN84,1),0)+IFERROR(LARGE($G84:$CN84,2),0)+IFERROR(LARGE($G84:$CN84,3),0)+IFERROR(LARGE($G84:$CN84,4),0)+IFERROR(LARGE($G84:$CN84,5),0)+IFERROR(LARGE($G84:$CN84,6),0)+IFERROR(LARGE($G84:$CN84,7),0)+IFERROR(LARGE($G84:$CN84,8),0)+IFERROR(LARGE($G84:$CN84,9),0)+IFERROR(LARGE($G84:$CN84,10),0)</f>
        <v>16.5</v>
      </c>
      <c r="ED84" s="23" t="n">
        <f aca="false">IFERROR(AVERAGE(CT84,CV84,CX84,CZ84,DB84,DD84,DF84,DH84,DJ84,DL84,DN84,DP84,DR84,DT84,DV84,DX84,DZ84,EB84),0)</f>
        <v>16.5</v>
      </c>
    </row>
    <row r="85" customFormat="false" ht="13.5" hidden="false" customHeight="false" outlineLevel="1" collapsed="false">
      <c r="B85" s="72" t="n">
        <f aca="false">B83+0.0213</f>
        <v>0.6242</v>
      </c>
      <c r="C85" s="68"/>
      <c r="D85" s="68" t="s">
        <v>157</v>
      </c>
      <c r="E85" s="73" t="s">
        <v>43</v>
      </c>
      <c r="F85" s="74"/>
      <c r="G85" s="7"/>
      <c r="H85" s="7" t="str">
        <f aca="false">IF(CS85=0,"",CS85)</f>
        <v/>
      </c>
      <c r="I85" s="7"/>
      <c r="J85" s="49" t="str">
        <f aca="false">IFERROR(RANK(H85,H$6:H$116,0),"")</f>
        <v/>
      </c>
      <c r="K85" s="7"/>
      <c r="L85" s="7"/>
      <c r="M85" s="7" t="str">
        <f aca="false">IF(CU85=0,"",CU85)</f>
        <v/>
      </c>
      <c r="N85" s="7"/>
      <c r="O85" s="49" t="str">
        <f aca="false">IFERROR(RANK(M85,M$6:M$116,0),"")</f>
        <v/>
      </c>
      <c r="P85" s="7"/>
      <c r="Q85" s="7"/>
      <c r="R85" s="7" t="str">
        <f aca="false">IF(CW85=0,"",CW85)</f>
        <v/>
      </c>
      <c r="S85" s="7"/>
      <c r="T85" s="49" t="str">
        <f aca="false">IFERROR(RANK(R85,R$6:R$116,0),"")</f>
        <v/>
      </c>
      <c r="U85" s="7"/>
      <c r="V85" s="7"/>
      <c r="W85" s="7" t="str">
        <f aca="false">IF(CY85=0,"",CY85)</f>
        <v/>
      </c>
      <c r="X85" s="7"/>
      <c r="Y85" s="49" t="str">
        <f aca="false">IFERROR(RANK(W85,W$6:W$116,0),"")</f>
        <v/>
      </c>
      <c r="Z85" s="7"/>
      <c r="AA85" s="7"/>
      <c r="AB85" s="7" t="str">
        <f aca="false">IF(DA85=0,"",DA85)</f>
        <v/>
      </c>
      <c r="AC85" s="7"/>
      <c r="AD85" s="49" t="str">
        <f aca="false">IFERROR(RANK(AB85,AB$6:AB$116,0),"")</f>
        <v/>
      </c>
      <c r="AE85" s="7"/>
      <c r="AF85" s="7"/>
      <c r="AG85" s="7" t="str">
        <f aca="false">IF(DC85=0,"",DC85)</f>
        <v/>
      </c>
      <c r="AH85" s="7"/>
      <c r="AI85" s="49" t="str">
        <f aca="false">IFERROR(RANK(AG85,AG$6:AG$116,0),"")</f>
        <v/>
      </c>
      <c r="AJ85" s="7"/>
      <c r="AK85" s="7"/>
      <c r="AL85" s="7" t="str">
        <f aca="false">IF(DE85=0,"",DE85)</f>
        <v/>
      </c>
      <c r="AM85" s="7"/>
      <c r="AN85" s="49" t="str">
        <f aca="false">IFERROR(RANK(AL85,AL$6:AL$116,0),"")</f>
        <v/>
      </c>
      <c r="AO85" s="7"/>
      <c r="AP85" s="7"/>
      <c r="AQ85" s="7" t="n">
        <f aca="false">IF(DG85=0,"",DG85)</f>
        <v>33</v>
      </c>
      <c r="AR85" s="7"/>
      <c r="AS85" s="49" t="n">
        <f aca="false">IFERROR(RANK(AQ85,AQ$6:AQ$116,0),"")</f>
        <v>7</v>
      </c>
      <c r="AT85" s="7"/>
      <c r="AU85" s="7"/>
      <c r="AV85" s="7" t="str">
        <f aca="false">IF(DI85=0,"",DI85)</f>
        <v/>
      </c>
      <c r="AW85" s="7"/>
      <c r="AX85" s="49" t="str">
        <f aca="false">IFERROR(RANK(AV85,AV$6:AV$116,0),"")</f>
        <v/>
      </c>
      <c r="AY85" s="7"/>
      <c r="AZ85" s="7"/>
      <c r="BA85" s="7" t="str">
        <f aca="false">IF(DK85=0,"",DK85)</f>
        <v/>
      </c>
      <c r="BB85" s="7"/>
      <c r="BC85" s="49" t="str">
        <f aca="false">IFERROR(RANK(BA85,BA$6:BA$116,0),"")</f>
        <v/>
      </c>
      <c r="BD85" s="7"/>
      <c r="BE85" s="7"/>
      <c r="BF85" s="7" t="str">
        <f aca="false">IF(DM85=0,"",DM85)</f>
        <v/>
      </c>
      <c r="BG85" s="7"/>
      <c r="BH85" s="49" t="str">
        <f aca="false">IFERROR(RANK(BF85,BF$6:BF$116,0),"")</f>
        <v/>
      </c>
      <c r="BI85" s="7"/>
      <c r="BJ85" s="7"/>
      <c r="BK85" s="7" t="str">
        <f aca="false">IF(DO85=0,"",DO85)</f>
        <v/>
      </c>
      <c r="BL85" s="7"/>
      <c r="BM85" s="49" t="str">
        <f aca="false">IFERROR(RANK(BK85,BK$6:BK$116,0),"")</f>
        <v/>
      </c>
      <c r="BN85" s="7"/>
      <c r="BO85" s="7"/>
      <c r="BP85" s="7" t="str">
        <f aca="false">IF(DQ85=0,"",DQ85)</f>
        <v/>
      </c>
      <c r="BQ85" s="7"/>
      <c r="BR85" s="49" t="str">
        <f aca="false">IFERROR(RANK(BP85,BP$6:BP$116,0),"")</f>
        <v/>
      </c>
      <c r="BS85" s="7"/>
      <c r="BT85" s="7"/>
      <c r="BU85" s="7" t="str">
        <f aca="false">IF(DS85=0,"",DS85)</f>
        <v/>
      </c>
      <c r="BV85" s="7"/>
      <c r="BW85" s="49" t="str">
        <f aca="false">IFERROR(RANK(BU85,BU$6:BU$116,0),"")</f>
        <v/>
      </c>
      <c r="BX85" s="7"/>
      <c r="BY85" s="7"/>
      <c r="BZ85" s="7" t="str">
        <f aca="false">IF(DU85=0,"",DU85)</f>
        <v/>
      </c>
      <c r="CA85" s="7"/>
      <c r="CB85" s="49" t="str">
        <f aca="false">IFERROR(RANK(BZ85,BZ$6:BZ$116,0),"")</f>
        <v/>
      </c>
      <c r="CC85" s="7"/>
      <c r="CD85" s="7"/>
      <c r="CE85" s="7" t="str">
        <f aca="false">IF(DW85=0,"",DW85)</f>
        <v/>
      </c>
      <c r="CF85" s="7"/>
      <c r="CG85" s="49" t="str">
        <f aca="false">IFERROR(RANK(CE85,CE$6:CE$116,0),"")</f>
        <v/>
      </c>
      <c r="CH85" s="7"/>
      <c r="CI85" s="7"/>
      <c r="CJ85" s="7" t="str">
        <f aca="false">IF(DY85=0,"",DY85)</f>
        <v/>
      </c>
      <c r="CK85" s="7"/>
      <c r="CL85" s="49" t="str">
        <f aca="false">IFERROR(RANK(CJ85,CJ$6:CJ$116,0),"")</f>
        <v/>
      </c>
      <c r="CM85" s="7"/>
      <c r="CN85" s="7"/>
      <c r="CO85" s="7" t="str">
        <f aca="false">IF(EA85=0,"",EA85)</f>
        <v/>
      </c>
      <c r="CP85" s="7"/>
      <c r="CQ85" s="49" t="str">
        <f aca="false">IFERROR(RANK(CO85,CO$6:CO$116,0),"")</f>
        <v/>
      </c>
      <c r="CR85" s="7"/>
      <c r="CS85" s="21"/>
      <c r="CT85" s="25" t="str">
        <f aca="true">IFERROR(AVERAGE(OFFSET('Data - For Rank'!B$2,J85,0,COUNTIF($J$7:J$116,J85)))+IFERROR(VLOOKUP((COUNT($H$6:$H$116)/4),$ER$9:$ES$13,2,FALSE()),0),"")</f>
        <v/>
      </c>
      <c r="CU85" s="21"/>
      <c r="CV85" s="25" t="str">
        <f aca="true">IFERROR(AVERAGE(OFFSET('Data - For Rank'!$C$2,O85,0,COUNTIF(O$7:O$116,O85)))+IFERROR(VLOOKUP((COUNT(M$6:M$116)/4),$ER$9:$ES$13,2,FALSE()),0),"")</f>
        <v/>
      </c>
      <c r="CW85" s="21"/>
      <c r="CX85" s="25" t="str">
        <f aca="true">IFERROR(AVERAGE(OFFSET('Data - For Rank'!D$2,T85,0,COUNTIF(T$7:T$116,T85)))+IFERROR(VLOOKUP((COUNT(R$6:R$116)/4),$ER$9:$ES$13,2,FALSE()),0),"")</f>
        <v/>
      </c>
      <c r="CY85" s="21"/>
      <c r="CZ85" s="25" t="str">
        <f aca="true">IFERROR(AVERAGE(OFFSET('Data - For Rank'!E$2,Y85,0,COUNTIF(Y$7:Y$116,Y85)))+IFERROR(VLOOKUP((COUNT(W$6:W$116)/4),$ER$9:$ES$13,2,FALSE()),0),"")</f>
        <v/>
      </c>
      <c r="DA85" s="21"/>
      <c r="DB85" s="25" t="str">
        <f aca="true">IFERROR(AVERAGE(OFFSET('Data - For Rank'!F$2,AD85,0,COUNTIF(AD$7:AD$116,AD85)))+IFERROR(VLOOKUP((COUNT(AB$6:AB$116)/4),$ER$9:$ES$13,2,FALSE()),0),"")</f>
        <v/>
      </c>
      <c r="DC85" s="21"/>
      <c r="DD85" s="25" t="str">
        <f aca="true">IFERROR(AVERAGE(OFFSET('Data - For Rank'!G$2,AI85,0,COUNTIF(AI$7:AI$116,AI85)))+IFERROR(VLOOKUP((COUNT(AG$6:AG$116)/4),$ER$9:$ES$13,2,FALSE()),0),"")</f>
        <v/>
      </c>
      <c r="DE85" s="21"/>
      <c r="DF85" s="25" t="str">
        <f aca="true">IFERROR(AVERAGE(OFFSET('Data - For Rank'!$H$2,AN85,0,COUNTIF(AN$7:AN$116,AN85)))+IFERROR(VLOOKUP((COUNT(AL$6:AL$116)/4),$ER$9:$ES$13,2,FALSE()),0),"")</f>
        <v/>
      </c>
      <c r="DG85" s="21" t="n">
        <v>33</v>
      </c>
      <c r="DH85" s="25" t="n">
        <f aca="true">IFERROR(AVERAGE(OFFSET('Data - For Rank'!$I$2,AS85,0,COUNTIF(AS$7:AS$116,AS85)))+IFERROR(VLOOKUP((COUNT(AQ$6:AQ$116)/4),$ER$9:$ES$13,2,FALSE()),0),"")</f>
        <v>11.5</v>
      </c>
      <c r="DI85" s="21"/>
      <c r="DJ85" s="25" t="str">
        <f aca="true">IFERROR(AVERAGE(OFFSET('Data - For Rank'!$J$2,AX85,0,COUNTIF(AX$7:AX$116,AX85)))+IFERROR(VLOOKUP((COUNT(AV$6:AV$116)/4),$ER$9:$ES$13,2,FALSE()),0),"")</f>
        <v/>
      </c>
      <c r="DK85" s="21"/>
      <c r="DL85" s="25" t="str">
        <f aca="true">IFERROR(AVERAGE(OFFSET('Data - For Rank'!$K$2,BC85,0,COUNTIF(BC$7:BC$116,BC85)))+IFERROR(VLOOKUP((COUNT(BA$6:BA$116)/4),$ER$9:$ES$13,2,FALSE()),0),"")</f>
        <v/>
      </c>
      <c r="DM85" s="21"/>
      <c r="DN85" s="25" t="str">
        <f aca="true">IFERROR(AVERAGE(OFFSET('Data - For Rank'!$L$2,BH85,0,COUNTIF(BH$7:BH$116,BH85)))+IFERROR(VLOOKUP((COUNT(BF$6:BF$116)/4),$ER$9:$ES$13,2,FALSE()),0),"")</f>
        <v/>
      </c>
      <c r="DO85" s="21"/>
      <c r="DP85" s="25" t="str">
        <f aca="true">IFERROR(AVERAGE(OFFSET('Data - For Rank'!$M$2,BM85,0,COUNTIF(BM$7:BM$116,BM85)))+IFERROR(VLOOKUP((COUNT(BK$6:BK$116)/4),$ER$9:$ES$13,2,FALSE()),0),"")</f>
        <v/>
      </c>
      <c r="DQ85" s="21"/>
      <c r="DR85" s="25" t="str">
        <f aca="true">IFERROR(AVERAGE(OFFSET('Data - For Rank'!$N$2,BR85,0,COUNTIF(BR$7:BR$116,BR85)))+IFERROR(VLOOKUP((COUNT(BP$6:BP$116)/4),$ER$9:$ES$13,2,FALSE()),0),"")</f>
        <v/>
      </c>
      <c r="DS85" s="21"/>
      <c r="DT85" s="25" t="str">
        <f aca="true">IFERROR(AVERAGE(OFFSET('Data - For Rank'!$O$2,BW85,0,COUNTIF(BW$7:BW$116,BW85)))+IFERROR(VLOOKUP((COUNT(BU$6:BU$116)/4),$ER$9:$ES$13,2,FALSE()),0),"")</f>
        <v/>
      </c>
      <c r="DU85" s="21"/>
      <c r="DV85" s="25" t="str">
        <f aca="true">IFERROR(AVERAGE(OFFSET('Data - For Rank'!$P$2,CB85,0,COUNTIF(CB$7:CB$116,CB85)))+IFERROR(VLOOKUP((COUNT(BZ$6:BZ$116)/4),$ER$9:$ES$13,2,FALSE()),0),"")</f>
        <v/>
      </c>
      <c r="DW85" s="21"/>
      <c r="DX85" s="25" t="str">
        <f aca="true">IFERROR(AVERAGE(OFFSET('Data - For Rank'!$Q$2,CG85,0,COUNTIF(CG$7:CG$116,CG85)))+IFERROR(VLOOKUP((COUNT(CE$6:CE$116)/4),$ER$9:$ES$13,2,FALSE()),0),"")</f>
        <v/>
      </c>
      <c r="DY85" s="21"/>
      <c r="DZ85" s="25" t="str">
        <f aca="true">IFERROR(AVERAGE(OFFSET('Data - For Rank'!$R$2,CL85,0,COUNTIF(CL$7:CL$116,CL85)))+IFERROR(VLOOKUP((COUNT(CJ$6:CJ$116)/4),$ER$9:$ES$13,2,FALSE()),0),"")</f>
        <v/>
      </c>
      <c r="EA85" s="21"/>
      <c r="EB85" s="25" t="str">
        <f aca="true">IFERROR(AVERAGE(OFFSET('Data - For Rank'!$S$2,CQ85,0,COUNTIF(CQ$7:CQ$116,CQ85)))+IFERROR(VLOOKUP((COUNT(CO$6:CO$116)/4),$ER$9:$ES$13,2,FALSE()),0),"")</f>
        <v/>
      </c>
      <c r="EC85" s="26" t="n">
        <f aca="false">IFERROR(AVERAGE(CS85,CU85,CW85,CY85,DA85,DC85,DE85,DG85,DI85,DK85,DM85,DO85,DQ85,DS85,DU85,DW85,DY85,EA85),0)</f>
        <v>33</v>
      </c>
      <c r="ED85" s="23" t="n">
        <f aca="false">IFERROR(AVERAGE(CT85,CV85,CX85,CZ85,DB85,DD85,DF85,DH85,DJ85,DL85,DN85,DP85,DR85,DT85,DV85,DX85,DZ85,EB85),0)</f>
        <v>11.5</v>
      </c>
    </row>
    <row r="86" customFormat="false" ht="13.5" hidden="false" customHeight="false" outlineLevel="1" collapsed="false">
      <c r="B86" s="75" t="n">
        <f aca="false">B85+0.113</f>
        <v>0.7372</v>
      </c>
      <c r="C86" s="68"/>
      <c r="D86" s="68" t="s">
        <v>158</v>
      </c>
      <c r="E86" s="76" t="s">
        <v>44</v>
      </c>
      <c r="F86" s="77"/>
      <c r="G86" s="29"/>
      <c r="H86" s="29"/>
      <c r="I86" s="53" t="str">
        <f aca="false">IF(CS86=0,"",CS86)</f>
        <v/>
      </c>
      <c r="J86" s="53"/>
      <c r="K86" s="54" t="str">
        <f aca="false">IFERROR(_xlfn.RANK.EQ(I86,I$6:I$116,0),"")</f>
        <v/>
      </c>
      <c r="L86" s="29"/>
      <c r="M86" s="29"/>
      <c r="N86" s="53" t="str">
        <f aca="false">IF(CU86=0,"",CU86)</f>
        <v/>
      </c>
      <c r="O86" s="53"/>
      <c r="P86" s="54" t="str">
        <f aca="false">IFERROR(_xlfn.RANK.EQ(N86,N$6:N$116,0),"")</f>
        <v/>
      </c>
      <c r="Q86" s="29"/>
      <c r="R86" s="29"/>
      <c r="S86" s="53" t="str">
        <f aca="false">IF(CW86=0,"",CW86)</f>
        <v/>
      </c>
      <c r="T86" s="53"/>
      <c r="U86" s="54" t="str">
        <f aca="false">IFERROR(_xlfn.RANK.EQ(S86,S$6:S$116,0),"")</f>
        <v/>
      </c>
      <c r="V86" s="29"/>
      <c r="W86" s="29"/>
      <c r="X86" s="53" t="str">
        <f aca="false">IF(CY86=0,"",CY86)</f>
        <v/>
      </c>
      <c r="Y86" s="53"/>
      <c r="Z86" s="54" t="str">
        <f aca="false">IFERROR(_xlfn.RANK.EQ(X86,X$6:X$116,0),"")</f>
        <v/>
      </c>
      <c r="AA86" s="29"/>
      <c r="AB86" s="29"/>
      <c r="AC86" s="53" t="str">
        <f aca="false">IF(DA86=0,"",DA86)</f>
        <v/>
      </c>
      <c r="AD86" s="53"/>
      <c r="AE86" s="54" t="str">
        <f aca="false">IFERROR(_xlfn.RANK.EQ(AC86,AC$6:AC$116,0),"")</f>
        <v/>
      </c>
      <c r="AF86" s="29"/>
      <c r="AG86" s="29"/>
      <c r="AH86" s="53" t="str">
        <f aca="false">IF(DC86=0,"",DC86)</f>
        <v/>
      </c>
      <c r="AI86" s="53"/>
      <c r="AJ86" s="54" t="str">
        <f aca="false">IFERROR(_xlfn.RANK.EQ(AH86,AH$6:AH$116,0),"")</f>
        <v/>
      </c>
      <c r="AK86" s="29"/>
      <c r="AL86" s="29"/>
      <c r="AM86" s="53" t="str">
        <f aca="false">IF(DE86=0,"",DE86)</f>
        <v/>
      </c>
      <c r="AN86" s="53"/>
      <c r="AO86" s="54" t="str">
        <f aca="false">IFERROR(_xlfn.RANK.EQ(AM86,AM$6:AM$116,0),"")</f>
        <v/>
      </c>
      <c r="AP86" s="29"/>
      <c r="AQ86" s="29"/>
      <c r="AR86" s="53" t="n">
        <f aca="false">IF(DG86=0,"",DG86)</f>
        <v>-18</v>
      </c>
      <c r="AS86" s="53"/>
      <c r="AT86" s="54" t="n">
        <f aca="false">IFERROR(_xlfn.RANK.EQ(AR86,AR$6:AR$116,0),"")</f>
        <v>14</v>
      </c>
      <c r="AU86" s="29"/>
      <c r="AV86" s="29"/>
      <c r="AW86" s="53" t="str">
        <f aca="false">IF(DI86=0,"",DI86)</f>
        <v/>
      </c>
      <c r="AX86" s="53"/>
      <c r="AY86" s="54" t="str">
        <f aca="false">IFERROR(_xlfn.RANK.EQ(AW86,AW$6:AW$116,0),"")</f>
        <v/>
      </c>
      <c r="AZ86" s="29"/>
      <c r="BA86" s="29"/>
      <c r="BB86" s="53" t="str">
        <f aca="false">IF(DK86=0,"",DK86)</f>
        <v/>
      </c>
      <c r="BC86" s="53"/>
      <c r="BD86" s="54" t="str">
        <f aca="false">IFERROR(_xlfn.RANK.EQ(BB86,BB$6:BB$116,0),"")</f>
        <v/>
      </c>
      <c r="BE86" s="29"/>
      <c r="BF86" s="29"/>
      <c r="BG86" s="53" t="str">
        <f aca="false">IF(DM86=0,"",DM86)</f>
        <v/>
      </c>
      <c r="BH86" s="53"/>
      <c r="BI86" s="54" t="str">
        <f aca="false">IFERROR(_xlfn.RANK.EQ(BG86,BG$6:BG$116,0),"")</f>
        <v/>
      </c>
      <c r="BJ86" s="29"/>
      <c r="BK86" s="29"/>
      <c r="BL86" s="53" t="str">
        <f aca="false">IF(DO86=0,"",DO86)</f>
        <v/>
      </c>
      <c r="BM86" s="53"/>
      <c r="BN86" s="54" t="str">
        <f aca="false">IFERROR(_xlfn.RANK.EQ(BL86,BL$6:BL$116,0),"")</f>
        <v/>
      </c>
      <c r="BO86" s="29"/>
      <c r="BP86" s="29"/>
      <c r="BQ86" s="53" t="str">
        <f aca="false">IF(DQ86=0,"",DQ86)</f>
        <v/>
      </c>
      <c r="BR86" s="53"/>
      <c r="BS86" s="54" t="str">
        <f aca="false">IFERROR(_xlfn.RANK.EQ(BQ86,BQ$6:BQ$116,0),"")</f>
        <v/>
      </c>
      <c r="BT86" s="29"/>
      <c r="BU86" s="29"/>
      <c r="BV86" s="53" t="str">
        <f aca="false">IF(DS86=0,"",DS86)</f>
        <v/>
      </c>
      <c r="BW86" s="53"/>
      <c r="BX86" s="54" t="str">
        <f aca="false">IFERROR(_xlfn.RANK.EQ(BV86,BV$6:BV$116,0),"")</f>
        <v/>
      </c>
      <c r="BY86" s="29"/>
      <c r="BZ86" s="29"/>
      <c r="CA86" s="53" t="str">
        <f aca="false">IF(DU86=0,"",DU86)</f>
        <v/>
      </c>
      <c r="CB86" s="53"/>
      <c r="CC86" s="54" t="str">
        <f aca="false">IFERROR(_xlfn.RANK.EQ(CA86,CA$6:CA$116,0),"")</f>
        <v/>
      </c>
      <c r="CD86" s="29"/>
      <c r="CE86" s="29"/>
      <c r="CF86" s="53" t="str">
        <f aca="false">IF(DW86=0,"",DW86)</f>
        <v/>
      </c>
      <c r="CG86" s="53"/>
      <c r="CH86" s="54" t="str">
        <f aca="false">IFERROR(_xlfn.RANK.EQ(CF86,CF$6:CF$116,0),"")</f>
        <v/>
      </c>
      <c r="CI86" s="29"/>
      <c r="CJ86" s="29"/>
      <c r="CK86" s="53" t="str">
        <f aca="false">IF(DY86=0,"",DY86)</f>
        <v/>
      </c>
      <c r="CL86" s="53"/>
      <c r="CM86" s="54" t="str">
        <f aca="false">IFERROR(_xlfn.RANK.EQ(CK86,CK$6:CK$116,0),"")</f>
        <v/>
      </c>
      <c r="CN86" s="29"/>
      <c r="CO86" s="29"/>
      <c r="CP86" s="53" t="str">
        <f aca="false">IF(EA86=0,"",EA86)</f>
        <v/>
      </c>
      <c r="CQ86" s="53"/>
      <c r="CR86" s="54" t="str">
        <f aca="false">IFERROR(_xlfn.RANK.EQ(CP86,CP$6:CP$116,0),"")</f>
        <v/>
      </c>
      <c r="CS86" s="30"/>
      <c r="CT86" s="31" t="str">
        <f aca="true">IFERROR(AVERAGE(OFFSET('Data - For Rank'!B$2,K86,0,COUNTIF(K$6:K$116,K86)))+IFERROR(VLOOKUP((COUNT($I$6:$I$116)/4),$ER$9:$ES$13,2,FALSE()),0),"")</f>
        <v/>
      </c>
      <c r="CU86" s="30"/>
      <c r="CV86" s="31" t="str">
        <f aca="true">IFERROR(AVERAGE(OFFSET('Data - For Rank'!$C$2,P86,0,COUNTIF(P$6:P$116,P86)))+IFERROR(VLOOKUP((COUNT(N$6:N$116)/4),$ER$9:$ES$13,2,FALSE()),0),"")</f>
        <v/>
      </c>
      <c r="CW86" s="30"/>
      <c r="CX86" s="31" t="str">
        <f aca="true">IFERROR(AVERAGE(OFFSET('Data - For Rank'!D$2,U86,0,COUNTIF(U$6:$U193,U86)))+IFERROR(VLOOKUP((COUNT(S$6:S$116)/4),$ER$9:$ES$13,2,FALSE()),0),"")</f>
        <v/>
      </c>
      <c r="CY86" s="30"/>
      <c r="CZ86" s="31" t="str">
        <f aca="true">IFERROR(AVERAGE(OFFSET('Data - For Rank'!E$2,Z86,0,COUNTIF(Z$6:Z$116,Z86)))+IFERROR(VLOOKUP((COUNT(W$6:W$116)/4),$ER$9:$ES$13,2,FALSE()),0),"")</f>
        <v/>
      </c>
      <c r="DA86" s="30"/>
      <c r="DB86" s="31" t="str">
        <f aca="true">IFERROR(AVERAGE(OFFSET('Data - For Rank'!F$2,AE86,0,COUNTIF(AE$6:AE$116,AE86)))+IFERROR(VLOOKUP((COUNT(AC$6:AC$116)/4),$ER$9:$ES$13,2,FALSE()),0),"")</f>
        <v/>
      </c>
      <c r="DC86" s="30"/>
      <c r="DD86" s="31" t="str">
        <f aca="true">IFERROR(AVERAGE(OFFSET('Data - For Rank'!G$2,AJ86,0,COUNTIF(AJ$6:AJ$116,AJ86)))+IFERROR(VLOOKUP((COUNT(AH$6:AH$116)/4),$ER$9:$ES$13,2,FALSE()),0),"")</f>
        <v/>
      </c>
      <c r="DE86" s="30"/>
      <c r="DF86" s="31" t="str">
        <f aca="true">IFERROR(AVERAGE(OFFSET('Data - For Rank'!$H$2,AO86,0,COUNTIF(AO$6:AO$116,AO86)))+IFERROR(VLOOKUP((COUNT(AM$6:AM$116)/4),$ER$9:$ES$13,2,FALSE()),0),"")</f>
        <v/>
      </c>
      <c r="DG86" s="30" t="n">
        <v>-18</v>
      </c>
      <c r="DH86" s="31" t="n">
        <f aca="true">IFERROR(AVERAGE(OFFSET('Data - For Rank'!$I$2,AT86,0,COUNTIF(AT$6:AT$116,AT86)))+IFERROR(VLOOKUP((COUNT(AR$6:AR$116)/4),$ER$9:$ES$13,2,FALSE()),0),"")</f>
        <v>5</v>
      </c>
      <c r="DI86" s="30"/>
      <c r="DJ86" s="31" t="str">
        <f aca="true">IFERROR(AVERAGE(OFFSET('Data - For Rank'!$J$2,AY86,0,COUNTIF(AY$6:AY$116,AY86)))+IFERROR(VLOOKUP((COUNT(AW$6:AW$116)/4),$ER$9:$ES$13,2,FALSE()),0),"")</f>
        <v/>
      </c>
      <c r="DK86" s="30"/>
      <c r="DL86" s="31" t="str">
        <f aca="true">IFERROR(AVERAGE(OFFSET('Data - For Rank'!$K$2,BD86,0,COUNTIF(BD$6:BD$116,BD86)))+IFERROR(VLOOKUP((COUNT(BB$6:BB$116)/4),$ER$9:$ES$13,2,FALSE()),0),"")</f>
        <v/>
      </c>
      <c r="DM86" s="30"/>
      <c r="DN86" s="31" t="str">
        <f aca="true">IFERROR(AVERAGE(OFFSET('Data - For Rank'!$L$2,BI86,0,COUNTIF(BI$6:BI$116,BI86)))+IFERROR(VLOOKUP((COUNT(BG$6:BG$116)/4),$ER$9:$ES$13,2,FALSE()),0),"")</f>
        <v/>
      </c>
      <c r="DO86" s="30"/>
      <c r="DP86" s="31" t="str">
        <f aca="true">IFERROR(AVERAGE(OFFSET('Data - For Rank'!$M$2,BN86,0,COUNTIF(BN$6:BN$116,BN86)))+IFERROR(VLOOKUP((COUNT(BL$6:BL$116)/4),$ER$9:$ES$13,2,FALSE()),0),"")</f>
        <v/>
      </c>
      <c r="DQ86" s="30"/>
      <c r="DR86" s="31" t="str">
        <f aca="true">IFERROR(AVERAGE(OFFSET('Data - For Rank'!$N$2,BS86,0,COUNTIF(BS$6:BS$116,BS86)))+IFERROR(VLOOKUP((COUNT(BQ$6:BQ$116)/4),$ER$9:$ES$13,2,FALSE()),0),"")</f>
        <v/>
      </c>
      <c r="DS86" s="30"/>
      <c r="DT86" s="31" t="str">
        <f aca="true">IFERROR(AVERAGE(OFFSET('Data - For Rank'!$O$2,BX86,0,COUNTIF(BX$6:BX$116,BX86)))+IFERROR(VLOOKUP((COUNT(BV$6:BV$116)/4),$ER$9:$ES$13,2,FALSE()),0),"")</f>
        <v/>
      </c>
      <c r="DU86" s="30"/>
      <c r="DV86" s="31" t="str">
        <f aca="true">IFERROR(AVERAGE(OFFSET('Data - For Rank'!$P$2,CC86,0,COUNTIF(CC$6:CC$116,CC86)))+IFERROR(VLOOKUP((COUNT(CA$6:CA$116)/4),$ER$9:$ES$13,2,FALSE()),0),"")</f>
        <v/>
      </c>
      <c r="DW86" s="30"/>
      <c r="DX86" s="31" t="str">
        <f aca="true">IFERROR(AVERAGE(OFFSET('Data - For Rank'!$Q$2,CH86,0,COUNTIF(CH$6:CH$116,CH86)))+IFERROR(VLOOKUP((COUNT(CF$6:CF$116)/4),$ER$9:$ES$13,2,FALSE()),0),"")</f>
        <v/>
      </c>
      <c r="DY86" s="30"/>
      <c r="DZ86" s="31" t="str">
        <f aca="true">IFERROR(AVERAGE(OFFSET('Data - For Rank'!$R$2,CM86,0,COUNTIF(CM$6:CM$116,CM86)))+IFERROR(VLOOKUP((COUNT(CK$6:CK$116)/4),$ER$9:$ES$13,2,FALSE()),0),"")</f>
        <v/>
      </c>
      <c r="EA86" s="30"/>
      <c r="EB86" s="31" t="str">
        <f aca="true">IFERROR(AVERAGE(OFFSET('Data - For Rank'!$S$2,CR86,0,COUNTIF(CR$6:CR$116,CR86)))+IFERROR(VLOOKUP((COUNT(CP$6:CP$116)/4),$ER$9:$ES$13,2,FALSE()),0),"")</f>
        <v/>
      </c>
      <c r="EC86" s="32" t="n">
        <f aca="false">CS86+CU86+CW86+CY86+DA86+DC86+DE86+DG86+DI86+DK86+DM86+DO86+DQ86+DS86+DU86+DW86+DY86+EA86</f>
        <v>-18</v>
      </c>
      <c r="ED86" s="33" t="n">
        <f aca="false">IFERROR(AVERAGE(CT86,CV86,CX86,CZ86,DB86,DD86,DF86,DH86,DJ86,DL86,DN86,DP86,DR86,DT86,DV86,DX86,DZ86,EB86),0)</f>
        <v>5</v>
      </c>
    </row>
    <row r="87" customFormat="false" ht="13.5" hidden="false" customHeight="false" outlineLevel="0" collapsed="false">
      <c r="B87" s="68" t="n">
        <f aca="false">_xlfn.RANK.EQ(C87,$C$73:$C$116,)</f>
        <v>5</v>
      </c>
      <c r="C87" s="69" t="n">
        <f aca="false">EC87</f>
        <v>0</v>
      </c>
      <c r="D87" s="69" t="s">
        <v>159</v>
      </c>
      <c r="E87" s="78" t="s">
        <v>160</v>
      </c>
      <c r="F87" s="71" t="n">
        <f aca="false">COUNT(CT87,CV87,CX87,CZ87,DB87,DD87,DF87,DH87,DJ87,DL87,DN87,DP87,DR87,DT87,DV87,DX87,DZ87,EB87)</f>
        <v>0</v>
      </c>
      <c r="G87" s="49" t="str">
        <f aca="false">IF(CT87=0,"",CT87)</f>
        <v/>
      </c>
      <c r="H87" s="49"/>
      <c r="I87" s="49"/>
      <c r="K87" s="49"/>
      <c r="L87" s="49" t="str">
        <f aca="false">IF(CV87=0,"",CV87)</f>
        <v/>
      </c>
      <c r="M87" s="49"/>
      <c r="N87" s="49"/>
      <c r="P87" s="49"/>
      <c r="Q87" s="49" t="str">
        <f aca="false">IF(CX87=0,"",CX87)</f>
        <v/>
      </c>
      <c r="R87" s="49"/>
      <c r="S87" s="49"/>
      <c r="U87" s="49"/>
      <c r="V87" s="49" t="str">
        <f aca="false">IF(CZ87=0,"",CZ87)</f>
        <v/>
      </c>
      <c r="W87" s="49"/>
      <c r="X87" s="49"/>
      <c r="Z87" s="49"/>
      <c r="AA87" s="49" t="str">
        <f aca="false">IF(DB87=0,"",DB87)</f>
        <v/>
      </c>
      <c r="AB87" s="49"/>
      <c r="AC87" s="49"/>
      <c r="AE87" s="49"/>
      <c r="AF87" s="49" t="str">
        <f aca="false">IF(DD87=0,"",DD87)</f>
        <v/>
      </c>
      <c r="AG87" s="49"/>
      <c r="AH87" s="49"/>
      <c r="AJ87" s="49"/>
      <c r="AK87" s="49" t="str">
        <f aca="false">IF(DF87=0,"",DF87)</f>
        <v/>
      </c>
      <c r="AL87" s="49"/>
      <c r="AM87" s="49"/>
      <c r="AO87" s="49"/>
      <c r="AP87" s="49" t="str">
        <f aca="false">IF(DH87=0,"",DH87)</f>
        <v/>
      </c>
      <c r="AQ87" s="49"/>
      <c r="AR87" s="49"/>
      <c r="AT87" s="49"/>
      <c r="AU87" s="49" t="str">
        <f aca="false">IF(DJ87=0,"",DJ87)</f>
        <v/>
      </c>
      <c r="AV87" s="49"/>
      <c r="AW87" s="49"/>
      <c r="AY87" s="49"/>
      <c r="AZ87" s="49" t="str">
        <f aca="false">IF(DL87=0,"",DL87)</f>
        <v/>
      </c>
      <c r="BA87" s="49"/>
      <c r="BB87" s="49"/>
      <c r="BD87" s="49"/>
      <c r="BE87" s="49" t="str">
        <f aca="false">IF(DN87=0,"",DN87)</f>
        <v/>
      </c>
      <c r="BF87" s="49"/>
      <c r="BG87" s="49"/>
      <c r="BI87" s="49"/>
      <c r="BJ87" s="49" t="str">
        <f aca="false">IF(DP87=0,"",DP87)</f>
        <v/>
      </c>
      <c r="BK87" s="49"/>
      <c r="BL87" s="49"/>
      <c r="BN87" s="49"/>
      <c r="BO87" s="49" t="str">
        <f aca="false">IF(DR87=0,"",DR87)</f>
        <v/>
      </c>
      <c r="BP87" s="49"/>
      <c r="BQ87" s="49"/>
      <c r="BS87" s="49"/>
      <c r="BT87" s="49" t="str">
        <f aca="false">IF(DT87=0,"",DT87)</f>
        <v/>
      </c>
      <c r="BU87" s="49"/>
      <c r="BV87" s="49"/>
      <c r="BX87" s="49"/>
      <c r="BY87" s="49" t="str">
        <f aca="false">IF(DV87=0,"",DV87)</f>
        <v/>
      </c>
      <c r="BZ87" s="49"/>
      <c r="CA87" s="49"/>
      <c r="CC87" s="49"/>
      <c r="CD87" s="49" t="str">
        <f aca="false">IF(DX87=0,"",DX87)</f>
        <v/>
      </c>
      <c r="CE87" s="49"/>
      <c r="CF87" s="49"/>
      <c r="CH87" s="49"/>
      <c r="CI87" s="49" t="str">
        <f aca="false">IF(DZ87=0,"",DZ87)</f>
        <v/>
      </c>
      <c r="CJ87" s="49"/>
      <c r="CK87" s="49"/>
      <c r="CM87" s="49"/>
      <c r="CN87" s="49" t="str">
        <f aca="false">IF(EB87=0,"",EB87)</f>
        <v/>
      </c>
      <c r="CO87" s="49"/>
      <c r="CP87" s="49"/>
      <c r="CR87" s="49"/>
      <c r="CS87" s="21"/>
      <c r="CT87" s="22" t="str">
        <f aca="false">IFERROR(CT88+CT89,"")</f>
        <v/>
      </c>
      <c r="CU87" s="21"/>
      <c r="CV87" s="22" t="str">
        <f aca="false">IFERROR(CV88+CV89,"")</f>
        <v/>
      </c>
      <c r="CW87" s="21"/>
      <c r="CX87" s="22" t="str">
        <f aca="false">IFERROR(CX88+CX89,"")</f>
        <v/>
      </c>
      <c r="CY87" s="21"/>
      <c r="CZ87" s="22" t="str">
        <f aca="false">IFERROR(CZ88+CZ89,"")</f>
        <v/>
      </c>
      <c r="DA87" s="21"/>
      <c r="DB87" s="22" t="str">
        <f aca="false">IFERROR(DB88+DB89,"")</f>
        <v/>
      </c>
      <c r="DC87" s="21"/>
      <c r="DD87" s="22" t="str">
        <f aca="false">IFERROR(DD88+DD89,"")</f>
        <v/>
      </c>
      <c r="DE87" s="21"/>
      <c r="DF87" s="22" t="str">
        <f aca="false">IFERROR(DF88+DF89,"")</f>
        <v/>
      </c>
      <c r="DG87" s="21"/>
      <c r="DH87" s="22" t="str">
        <f aca="false">IFERROR(DH88+DH89,"")</f>
        <v/>
      </c>
      <c r="DI87" s="21"/>
      <c r="DJ87" s="22" t="str">
        <f aca="false">IFERROR(DJ88+DJ89,"")</f>
        <v/>
      </c>
      <c r="DK87" s="21"/>
      <c r="DL87" s="22" t="str">
        <f aca="false">IFERROR(DL88+DL89,"")</f>
        <v/>
      </c>
      <c r="DM87" s="21"/>
      <c r="DN87" s="22" t="str">
        <f aca="false">IFERROR(DN88+DN89,"")</f>
        <v/>
      </c>
      <c r="DO87" s="21"/>
      <c r="DP87" s="22" t="str">
        <f aca="false">IFERROR(DP88+DP89,"")</f>
        <v/>
      </c>
      <c r="DQ87" s="21"/>
      <c r="DR87" s="22" t="str">
        <f aca="false">IFERROR(DR88+DR89,"")</f>
        <v/>
      </c>
      <c r="DS87" s="21"/>
      <c r="DT87" s="22" t="str">
        <f aca="false">IFERROR(DT88+DT89,"")</f>
        <v/>
      </c>
      <c r="DU87" s="21"/>
      <c r="DV87" s="22" t="str">
        <f aca="false">IFERROR(DV88+DV89,"")</f>
        <v/>
      </c>
      <c r="DW87" s="21"/>
      <c r="DX87" s="22" t="str">
        <f aca="false">IFERROR(DX88+DX89,"")</f>
        <v/>
      </c>
      <c r="DY87" s="21"/>
      <c r="DZ87" s="22" t="str">
        <f aca="false">IFERROR(DZ88+DZ89,"")</f>
        <v/>
      </c>
      <c r="EA87" s="21"/>
      <c r="EB87" s="22" t="str">
        <f aca="false">IFERROR(EB88+EB89,"")</f>
        <v/>
      </c>
      <c r="EC87" s="17" t="n">
        <f aca="false">IFERROR(LARGE($G87:$CN87,1),0)+IFERROR(LARGE($G87:$CN87,2),0)+IFERROR(LARGE($G87:$CN87,3),0)+IFERROR(LARGE($G87:$CN87,4),0)+IFERROR(LARGE($G87:$CN87,5),0)+IFERROR(LARGE($G87:$CN87,6),0)+IFERROR(LARGE($G87:$CN87,7),0)+IFERROR(LARGE($G87:$CN87,8),0)+IFERROR(LARGE($G87:$CN87,9),0)+IFERROR(LARGE($G87:$CN87,10),0)</f>
        <v>0</v>
      </c>
      <c r="ED87" s="23" t="n">
        <f aca="false">IFERROR(AVERAGE(CT87,CV87,CX87,CZ87,DB87,DD87,DF87,DH87,DJ87,DL87,DN87,DP87,DR87,DT87,DV87,DX87,DZ87,EB87),0)</f>
        <v>0</v>
      </c>
    </row>
    <row r="88" customFormat="false" ht="13.5" hidden="false" customHeight="false" outlineLevel="1" collapsed="false">
      <c r="B88" s="72" t="n">
        <f aca="false">B86+0.0212</f>
        <v>0.7584</v>
      </c>
      <c r="C88" s="68"/>
      <c r="D88" s="68" t="s">
        <v>161</v>
      </c>
      <c r="E88" s="73" t="s">
        <v>43</v>
      </c>
      <c r="F88" s="74"/>
      <c r="G88" s="7"/>
      <c r="H88" s="7" t="str">
        <f aca="false">IF(CS88=0,"",CS88)</f>
        <v/>
      </c>
      <c r="I88" s="7"/>
      <c r="J88" s="49" t="str">
        <f aca="false">IFERROR(RANK(H88,H$6:H$116,0),"")</f>
        <v/>
      </c>
      <c r="K88" s="7"/>
      <c r="L88" s="7"/>
      <c r="M88" s="7" t="str">
        <f aca="false">IF(CU88=0,"",CU88)</f>
        <v/>
      </c>
      <c r="N88" s="7"/>
      <c r="O88" s="49" t="str">
        <f aca="false">IFERROR(RANK(M88,M$6:M$116,0),"")</f>
        <v/>
      </c>
      <c r="P88" s="7"/>
      <c r="Q88" s="7"/>
      <c r="R88" s="7" t="str">
        <f aca="false">IF(CW88=0,"",CW88)</f>
        <v/>
      </c>
      <c r="S88" s="7"/>
      <c r="T88" s="49" t="str">
        <f aca="false">IFERROR(RANK(R88,R$6:R$116,0),"")</f>
        <v/>
      </c>
      <c r="U88" s="7"/>
      <c r="V88" s="7"/>
      <c r="W88" s="7" t="str">
        <f aca="false">IF(CY88=0,"",CY88)</f>
        <v/>
      </c>
      <c r="X88" s="7"/>
      <c r="Y88" s="49" t="str">
        <f aca="false">IFERROR(RANK(W88,W$6:W$116,0),"")</f>
        <v/>
      </c>
      <c r="Z88" s="7"/>
      <c r="AA88" s="7"/>
      <c r="AB88" s="7" t="str">
        <f aca="false">IF(DA88=0,"",DA88)</f>
        <v/>
      </c>
      <c r="AC88" s="7"/>
      <c r="AD88" s="49" t="str">
        <f aca="false">IFERROR(RANK(AB88,AB$6:AB$116,0),"")</f>
        <v/>
      </c>
      <c r="AE88" s="7"/>
      <c r="AF88" s="7"/>
      <c r="AG88" s="7" t="str">
        <f aca="false">IF(DC88=0,"",DC88)</f>
        <v/>
      </c>
      <c r="AH88" s="7"/>
      <c r="AI88" s="49" t="str">
        <f aca="false">IFERROR(RANK(AG88,AG$6:AG$116,0),"")</f>
        <v/>
      </c>
      <c r="AJ88" s="7"/>
      <c r="AK88" s="7"/>
      <c r="AL88" s="7" t="str">
        <f aca="false">IF(DE88=0,"",DE88)</f>
        <v/>
      </c>
      <c r="AM88" s="7"/>
      <c r="AN88" s="49" t="str">
        <f aca="false">IFERROR(RANK(AL88,AL$6:AL$116,0),"")</f>
        <v/>
      </c>
      <c r="AO88" s="7"/>
      <c r="AP88" s="7"/>
      <c r="AQ88" s="7" t="str">
        <f aca="false">IF(DG88=0,"",DG88)</f>
        <v/>
      </c>
      <c r="AR88" s="7"/>
      <c r="AS88" s="49" t="str">
        <f aca="false">IFERROR(RANK(AQ88,AQ$6:AQ$116,0),"")</f>
        <v/>
      </c>
      <c r="AT88" s="7"/>
      <c r="AU88" s="7"/>
      <c r="AV88" s="7" t="str">
        <f aca="false">IF(DI88=0,"",DI88)</f>
        <v/>
      </c>
      <c r="AW88" s="7"/>
      <c r="AX88" s="49" t="str">
        <f aca="false">IFERROR(RANK(AV88,AV$6:AV$116,0),"")</f>
        <v/>
      </c>
      <c r="AY88" s="7"/>
      <c r="AZ88" s="7"/>
      <c r="BA88" s="7" t="str">
        <f aca="false">IF(DK88=0,"",DK88)</f>
        <v/>
      </c>
      <c r="BB88" s="7"/>
      <c r="BC88" s="49" t="str">
        <f aca="false">IFERROR(RANK(BA88,BA$6:BA$116,0),"")</f>
        <v/>
      </c>
      <c r="BD88" s="7"/>
      <c r="BE88" s="7"/>
      <c r="BF88" s="7" t="str">
        <f aca="false">IF(DM88=0,"",DM88)</f>
        <v/>
      </c>
      <c r="BG88" s="7"/>
      <c r="BH88" s="49" t="str">
        <f aca="false">IFERROR(RANK(BF88,BF$6:BF$116,0),"")</f>
        <v/>
      </c>
      <c r="BI88" s="7"/>
      <c r="BJ88" s="7"/>
      <c r="BK88" s="7" t="str">
        <f aca="false">IF(DO88=0,"",DO88)</f>
        <v/>
      </c>
      <c r="BL88" s="7"/>
      <c r="BM88" s="49" t="str">
        <f aca="false">IFERROR(RANK(BK88,BK$6:BK$116,0),"")</f>
        <v/>
      </c>
      <c r="BN88" s="7"/>
      <c r="BO88" s="7"/>
      <c r="BP88" s="7" t="str">
        <f aca="false">IF(DQ88=0,"",DQ88)</f>
        <v/>
      </c>
      <c r="BQ88" s="7"/>
      <c r="BR88" s="49" t="str">
        <f aca="false">IFERROR(RANK(BP88,BP$6:BP$116,0),"")</f>
        <v/>
      </c>
      <c r="BS88" s="7"/>
      <c r="BT88" s="7"/>
      <c r="BU88" s="7" t="str">
        <f aca="false">IF(DS88=0,"",DS88)</f>
        <v/>
      </c>
      <c r="BV88" s="7"/>
      <c r="BW88" s="49" t="str">
        <f aca="false">IFERROR(RANK(BU88,BU$6:BU$116,0),"")</f>
        <v/>
      </c>
      <c r="BX88" s="7"/>
      <c r="BY88" s="7"/>
      <c r="BZ88" s="7" t="str">
        <f aca="false">IF(DU88=0,"",DU88)</f>
        <v/>
      </c>
      <c r="CA88" s="7"/>
      <c r="CB88" s="49" t="str">
        <f aca="false">IFERROR(RANK(BZ88,BZ$6:BZ$116,0),"")</f>
        <v/>
      </c>
      <c r="CC88" s="7"/>
      <c r="CD88" s="7"/>
      <c r="CE88" s="7" t="str">
        <f aca="false">IF(DW88=0,"",DW88)</f>
        <v/>
      </c>
      <c r="CF88" s="7"/>
      <c r="CG88" s="49" t="str">
        <f aca="false">IFERROR(RANK(CE88,CE$6:CE$116,0),"")</f>
        <v/>
      </c>
      <c r="CH88" s="7"/>
      <c r="CI88" s="7"/>
      <c r="CJ88" s="7" t="str">
        <f aca="false">IF(DY88=0,"",DY88)</f>
        <v/>
      </c>
      <c r="CK88" s="7"/>
      <c r="CL88" s="49" t="str">
        <f aca="false">IFERROR(RANK(CJ88,CJ$6:CJ$116,0),"")</f>
        <v/>
      </c>
      <c r="CM88" s="7"/>
      <c r="CN88" s="7"/>
      <c r="CO88" s="7" t="str">
        <f aca="false">IF(EA88=0,"",EA88)</f>
        <v/>
      </c>
      <c r="CP88" s="7"/>
      <c r="CQ88" s="49" t="str">
        <f aca="false">IFERROR(RANK(CO88,CO$6:CO$116,0),"")</f>
        <v/>
      </c>
      <c r="CR88" s="7"/>
      <c r="CS88" s="21"/>
      <c r="CT88" s="25" t="str">
        <f aca="true">IFERROR(AVERAGE(OFFSET('Data - For Rank'!B$2,J88,0,COUNTIF($J$7:J$116,J88)))+IFERROR(VLOOKUP((COUNT($H$6:$H$116)/4),$ER$9:$ES$13,2,FALSE()),0),"")</f>
        <v/>
      </c>
      <c r="CU88" s="21"/>
      <c r="CV88" s="25" t="str">
        <f aca="true">IFERROR(AVERAGE(OFFSET('Data - For Rank'!$C$2,O88,0,COUNTIF(O$7:O$116,O88)))+IFERROR(VLOOKUP((COUNT(M$6:M$116)/4),$ER$9:$ES$13,2,FALSE()),0),"")</f>
        <v/>
      </c>
      <c r="CW88" s="21"/>
      <c r="CX88" s="25" t="str">
        <f aca="true">IFERROR(AVERAGE(OFFSET('Data - For Rank'!D$2,T88,0,COUNTIF(T$7:T$116,T88)))+IFERROR(VLOOKUP((COUNT(R$6:R$116)/4),$ER$9:$ES$13,2,FALSE()),0),"")</f>
        <v/>
      </c>
      <c r="CY88" s="21"/>
      <c r="CZ88" s="25" t="str">
        <f aca="true">IFERROR(AVERAGE(OFFSET('Data - For Rank'!E$2,Y88,0,COUNTIF(Y$7:Y$116,Y88)))+IFERROR(VLOOKUP((COUNT(W$6:W$116)/4),$ER$9:$ES$13,2,FALSE()),0),"")</f>
        <v/>
      </c>
      <c r="DA88" s="21"/>
      <c r="DB88" s="25" t="str">
        <f aca="true">IFERROR(AVERAGE(OFFSET('Data - For Rank'!F$2,AD88,0,COUNTIF(AD$7:AD$116,AD88)))+IFERROR(VLOOKUP((COUNT(AB$6:AB$116)/4),$ER$9:$ES$13,2,FALSE()),0),"")</f>
        <v/>
      </c>
      <c r="DC88" s="21"/>
      <c r="DD88" s="25" t="str">
        <f aca="true">IFERROR(AVERAGE(OFFSET('Data - For Rank'!G$2,AI88,0,COUNTIF(AI$7:AI$116,AI88)))+IFERROR(VLOOKUP((COUNT(AG$6:AG$116)/4),$ER$9:$ES$13,2,FALSE()),0),"")</f>
        <v/>
      </c>
      <c r="DE88" s="21"/>
      <c r="DF88" s="25" t="str">
        <f aca="true">IFERROR(AVERAGE(OFFSET('Data - For Rank'!$H$2,AN88,0,COUNTIF(AN$7:AN$116,AN88)))+IFERROR(VLOOKUP((COUNT(AL$6:AL$116)/4),$ER$9:$ES$13,2,FALSE()),0),"")</f>
        <v/>
      </c>
      <c r="DG88" s="21"/>
      <c r="DH88" s="25" t="str">
        <f aca="true">IFERROR(AVERAGE(OFFSET('Data - For Rank'!$I$2,AS88,0,COUNTIF(AS$7:AS$116,AS88)))+IFERROR(VLOOKUP((COUNT(AQ$6:AQ$116)/4),$ER$9:$ES$13,2,FALSE()),0),"")</f>
        <v/>
      </c>
      <c r="DI88" s="21"/>
      <c r="DJ88" s="25" t="str">
        <f aca="true">IFERROR(AVERAGE(OFFSET('Data - For Rank'!$J$2,AX88,0,COUNTIF(AX$7:AX$116,AX88)))+IFERROR(VLOOKUP((COUNT(AV$6:AV$116)/4),$ER$9:$ES$13,2,FALSE()),0),"")</f>
        <v/>
      </c>
      <c r="DK88" s="21"/>
      <c r="DL88" s="25" t="str">
        <f aca="true">IFERROR(AVERAGE(OFFSET('Data - For Rank'!$K$2,BC88,0,COUNTIF(BC$7:BC$116,BC88)))+IFERROR(VLOOKUP((COUNT(BA$6:BA$116)/4),$ER$9:$ES$13,2,FALSE()),0),"")</f>
        <v/>
      </c>
      <c r="DM88" s="21"/>
      <c r="DN88" s="25" t="str">
        <f aca="true">IFERROR(AVERAGE(OFFSET('Data - For Rank'!$L$2,BH88,0,COUNTIF(BH$7:BH$116,BH88)))+IFERROR(VLOOKUP((COUNT(BF$6:BF$116)/4),$ER$9:$ES$13,2,FALSE()),0),"")</f>
        <v/>
      </c>
      <c r="DO88" s="21"/>
      <c r="DP88" s="25" t="str">
        <f aca="true">IFERROR(AVERAGE(OFFSET('Data - For Rank'!$M$2,BM88,0,COUNTIF(BM$7:BM$116,BM88)))+IFERROR(VLOOKUP((COUNT(BK$6:BK$116)/4),$ER$9:$ES$13,2,FALSE()),0),"")</f>
        <v/>
      </c>
      <c r="DQ88" s="21"/>
      <c r="DR88" s="25" t="str">
        <f aca="true">IFERROR(AVERAGE(OFFSET('Data - For Rank'!$N$2,BR88,0,COUNTIF(BR$7:BR$116,BR88)))+IFERROR(VLOOKUP((COUNT(BP$6:BP$116)/4),$ER$9:$ES$13,2,FALSE()),0),"")</f>
        <v/>
      </c>
      <c r="DS88" s="21"/>
      <c r="DT88" s="25" t="str">
        <f aca="true">IFERROR(AVERAGE(OFFSET('Data - For Rank'!$O$2,BW88,0,COUNTIF(BW$7:BW$116,BW88)))+IFERROR(VLOOKUP((COUNT(BU$6:BU$116)/4),$ER$9:$ES$13,2,FALSE()),0),"")</f>
        <v/>
      </c>
      <c r="DU88" s="21"/>
      <c r="DV88" s="25" t="str">
        <f aca="true">IFERROR(AVERAGE(OFFSET('Data - For Rank'!$P$2,CB88,0,COUNTIF(CB$7:CB$116,CB88)))+IFERROR(VLOOKUP((COUNT(BZ$6:BZ$116)/4),$ER$9:$ES$13,2,FALSE()),0),"")</f>
        <v/>
      </c>
      <c r="DW88" s="21"/>
      <c r="DX88" s="25" t="str">
        <f aca="true">IFERROR(AVERAGE(OFFSET('Data - For Rank'!$Q$2,CG88,0,COUNTIF(CG$7:CG$116,CG88)))+IFERROR(VLOOKUP((COUNT(CE$6:CE$116)/4),$ER$9:$ES$13,2,FALSE()),0),"")</f>
        <v/>
      </c>
      <c r="DY88" s="21"/>
      <c r="DZ88" s="25" t="str">
        <f aca="true">IFERROR(AVERAGE(OFFSET('Data - For Rank'!$R$2,CL88,0,COUNTIF(CL$7:CL$116,CL88)))+IFERROR(VLOOKUP((COUNT(CJ$6:CJ$116)/4),$ER$9:$ES$13,2,FALSE()),0),"")</f>
        <v/>
      </c>
      <c r="EA88" s="21"/>
      <c r="EB88" s="25" t="str">
        <f aca="true">IFERROR(AVERAGE(OFFSET('Data - For Rank'!$S$2,CQ88,0,COUNTIF(CQ$7:CQ$116,CQ88)))+IFERROR(VLOOKUP((COUNT(CO$6:CO$116)/4),$ER$9:$ES$13,2,FALSE()),0),"")</f>
        <v/>
      </c>
      <c r="EC88" s="26" t="n">
        <f aca="false">IFERROR(AVERAGE(CS88,CU88,CW88,CY88,DA88,DC88,DE88,DG88,DI88,DK88,DM88,DO88,DQ88,DS88,DU88,DW88,DY88,EA88),0)</f>
        <v>0</v>
      </c>
      <c r="ED88" s="23" t="n">
        <f aca="false">IFERROR(AVERAGE(CT88,CV88,CX88,CZ88,DB88,DD88,DF88,DH88,DJ88,DL88,DN88,DP88,DR88,DT88,DV88,DX88,DZ88,EB88),0)</f>
        <v>0</v>
      </c>
    </row>
    <row r="89" customFormat="false" ht="13.5" hidden="false" customHeight="false" outlineLevel="1" collapsed="false">
      <c r="B89" s="75" t="n">
        <f aca="false">B88+0.112</f>
        <v>0.8704</v>
      </c>
      <c r="C89" s="68"/>
      <c r="D89" s="68" t="s">
        <v>162</v>
      </c>
      <c r="E89" s="76" t="s">
        <v>44</v>
      </c>
      <c r="F89" s="77"/>
      <c r="G89" s="29"/>
      <c r="H89" s="29"/>
      <c r="I89" s="53" t="str">
        <f aca="false">IF(CS89=0,"",CS89)</f>
        <v/>
      </c>
      <c r="J89" s="53"/>
      <c r="K89" s="54" t="str">
        <f aca="false">IFERROR(_xlfn.RANK.EQ(I89,I$6:I$116,0),"")</f>
        <v/>
      </c>
      <c r="L89" s="29"/>
      <c r="M89" s="29"/>
      <c r="N89" s="53" t="str">
        <f aca="false">IF(CU89=0,"",CU89)</f>
        <v/>
      </c>
      <c r="O89" s="53"/>
      <c r="P89" s="54" t="str">
        <f aca="false">IFERROR(_xlfn.RANK.EQ(N89,N$6:N$116,0),"")</f>
        <v/>
      </c>
      <c r="Q89" s="29"/>
      <c r="R89" s="29"/>
      <c r="S89" s="53" t="str">
        <f aca="false">IF(CW89=0,"",CW89)</f>
        <v/>
      </c>
      <c r="T89" s="53"/>
      <c r="U89" s="54" t="str">
        <f aca="false">IFERROR(_xlfn.RANK.EQ(S89,S$6:S$116,0),"")</f>
        <v/>
      </c>
      <c r="V89" s="29"/>
      <c r="W89" s="29"/>
      <c r="X89" s="53" t="str">
        <f aca="false">IF(CY89=0,"",CY89)</f>
        <v/>
      </c>
      <c r="Y89" s="53"/>
      <c r="Z89" s="54" t="str">
        <f aca="false">IFERROR(_xlfn.RANK.EQ(X89,X$6:X$116,0),"")</f>
        <v/>
      </c>
      <c r="AA89" s="29"/>
      <c r="AB89" s="29"/>
      <c r="AC89" s="53" t="str">
        <f aca="false">IF(DA89=0,"",DA89)</f>
        <v/>
      </c>
      <c r="AD89" s="53"/>
      <c r="AE89" s="54" t="str">
        <f aca="false">IFERROR(_xlfn.RANK.EQ(AC89,AC$6:AC$116,0),"")</f>
        <v/>
      </c>
      <c r="AF89" s="29"/>
      <c r="AG89" s="29"/>
      <c r="AH89" s="53" t="str">
        <f aca="false">IF(DC89=0,"",DC89)</f>
        <v/>
      </c>
      <c r="AI89" s="53"/>
      <c r="AJ89" s="54" t="str">
        <f aca="false">IFERROR(_xlfn.RANK.EQ(AH89,AH$6:AH$116,0),"")</f>
        <v/>
      </c>
      <c r="AK89" s="29"/>
      <c r="AL89" s="29"/>
      <c r="AM89" s="53" t="str">
        <f aca="false">IF(DE89=0,"",DE89)</f>
        <v/>
      </c>
      <c r="AN89" s="53"/>
      <c r="AO89" s="54" t="str">
        <f aca="false">IFERROR(_xlfn.RANK.EQ(AM89,AM$6:AM$116,0),"")</f>
        <v/>
      </c>
      <c r="AP89" s="29"/>
      <c r="AQ89" s="29"/>
      <c r="AR89" s="53" t="str">
        <f aca="false">IF(DG89=0,"",DG89)</f>
        <v/>
      </c>
      <c r="AS89" s="53"/>
      <c r="AT89" s="54" t="str">
        <f aca="false">IFERROR(_xlfn.RANK.EQ(AR89,AR$6:AR$116,0),"")</f>
        <v/>
      </c>
      <c r="AU89" s="29"/>
      <c r="AV89" s="29"/>
      <c r="AW89" s="53" t="str">
        <f aca="false">IF(DI89=0,"",DI89)</f>
        <v/>
      </c>
      <c r="AX89" s="53"/>
      <c r="AY89" s="54" t="str">
        <f aca="false">IFERROR(_xlfn.RANK.EQ(AW89,AW$6:AW$116,0),"")</f>
        <v/>
      </c>
      <c r="AZ89" s="29"/>
      <c r="BA89" s="29"/>
      <c r="BB89" s="53" t="str">
        <f aca="false">IF(DK89=0,"",DK89)</f>
        <v/>
      </c>
      <c r="BC89" s="53"/>
      <c r="BD89" s="54" t="str">
        <f aca="false">IFERROR(_xlfn.RANK.EQ(BB89,BB$6:BB$116,0),"")</f>
        <v/>
      </c>
      <c r="BE89" s="29"/>
      <c r="BF89" s="29"/>
      <c r="BG89" s="53" t="str">
        <f aca="false">IF(DM89=0,"",DM89)</f>
        <v/>
      </c>
      <c r="BH89" s="53"/>
      <c r="BI89" s="54" t="str">
        <f aca="false">IFERROR(_xlfn.RANK.EQ(BG89,BG$6:BG$116,0),"")</f>
        <v/>
      </c>
      <c r="BJ89" s="29"/>
      <c r="BK89" s="29"/>
      <c r="BL89" s="53" t="str">
        <f aca="false">IF(DO89=0,"",DO89)</f>
        <v/>
      </c>
      <c r="BM89" s="53"/>
      <c r="BN89" s="54" t="str">
        <f aca="false">IFERROR(_xlfn.RANK.EQ(BL89,BL$6:BL$116,0),"")</f>
        <v/>
      </c>
      <c r="BO89" s="29"/>
      <c r="BP89" s="29"/>
      <c r="BQ89" s="53" t="str">
        <f aca="false">IF(DQ89=0,"",DQ89)</f>
        <v/>
      </c>
      <c r="BR89" s="53"/>
      <c r="BS89" s="54" t="str">
        <f aca="false">IFERROR(_xlfn.RANK.EQ(BQ89,BQ$6:BQ$116,0),"")</f>
        <v/>
      </c>
      <c r="BT89" s="29"/>
      <c r="BU89" s="29"/>
      <c r="BV89" s="53" t="str">
        <f aca="false">IF(DS89=0,"",DS89)</f>
        <v/>
      </c>
      <c r="BW89" s="53"/>
      <c r="BX89" s="54" t="str">
        <f aca="false">IFERROR(_xlfn.RANK.EQ(BV89,BV$6:BV$116,0),"")</f>
        <v/>
      </c>
      <c r="BY89" s="29"/>
      <c r="BZ89" s="29"/>
      <c r="CA89" s="53" t="str">
        <f aca="false">IF(DU89=0,"",DU89)</f>
        <v/>
      </c>
      <c r="CB89" s="53"/>
      <c r="CC89" s="54" t="str">
        <f aca="false">IFERROR(_xlfn.RANK.EQ(CA89,CA$6:CA$116,0),"")</f>
        <v/>
      </c>
      <c r="CD89" s="29"/>
      <c r="CE89" s="29"/>
      <c r="CF89" s="53" t="str">
        <f aca="false">IF(DW89=0,"",DW89)</f>
        <v/>
      </c>
      <c r="CG89" s="53"/>
      <c r="CH89" s="54" t="str">
        <f aca="false">IFERROR(_xlfn.RANK.EQ(CF89,CF$6:CF$116,0),"")</f>
        <v/>
      </c>
      <c r="CI89" s="29"/>
      <c r="CJ89" s="29"/>
      <c r="CK89" s="53" t="str">
        <f aca="false">IF(DY89=0,"",DY89)</f>
        <v/>
      </c>
      <c r="CL89" s="53"/>
      <c r="CM89" s="54" t="str">
        <f aca="false">IFERROR(_xlfn.RANK.EQ(CK89,CK$6:CK$116,0),"")</f>
        <v/>
      </c>
      <c r="CN89" s="29"/>
      <c r="CO89" s="29"/>
      <c r="CP89" s="53" t="str">
        <f aca="false">IF(EA89=0,"",EA89)</f>
        <v/>
      </c>
      <c r="CQ89" s="53"/>
      <c r="CR89" s="54" t="str">
        <f aca="false">IFERROR(_xlfn.RANK.EQ(CP89,CP$6:CP$116,0),"")</f>
        <v/>
      </c>
      <c r="CS89" s="30"/>
      <c r="CT89" s="31" t="str">
        <f aca="true">IFERROR(AVERAGE(OFFSET('Data - For Rank'!B$2,K89,0,COUNTIF(K$6:K$116,K89)))+IFERROR(VLOOKUP((COUNT($I$6:$I$116)/4),$ER$9:$ES$13,2,FALSE()),0),"")</f>
        <v/>
      </c>
      <c r="CU89" s="30"/>
      <c r="CV89" s="31" t="str">
        <f aca="true">IFERROR(AVERAGE(OFFSET('Data - For Rank'!$C$2,P89,0,COUNTIF(P$6:P$116,P89)))+IFERROR(VLOOKUP((COUNT(N$6:N$116)/4),$ER$9:$ES$13,2,FALSE()),0),"")</f>
        <v/>
      </c>
      <c r="CW89" s="30"/>
      <c r="CX89" s="31" t="str">
        <f aca="true">IFERROR(AVERAGE(OFFSET('Data - For Rank'!D$2,U89,0,COUNTIF(U$6:$U196,U89)))+IFERROR(VLOOKUP((COUNT(S$6:S$116)/4),$ER$9:$ES$13,2,FALSE()),0),"")</f>
        <v/>
      </c>
      <c r="CY89" s="30"/>
      <c r="CZ89" s="31" t="str">
        <f aca="true">IFERROR(AVERAGE(OFFSET('Data - For Rank'!E$2,Z89,0,COUNTIF(Z$6:Z$116,Z89)))+IFERROR(VLOOKUP((COUNT(W$6:W$116)/4),$ER$9:$ES$13,2,FALSE()),0),"")</f>
        <v/>
      </c>
      <c r="DA89" s="30"/>
      <c r="DB89" s="31" t="str">
        <f aca="true">IFERROR(AVERAGE(OFFSET('Data - For Rank'!F$2,AE89,0,COUNTIF(AE$6:AE$116,AE89)))+IFERROR(VLOOKUP((COUNT(AC$6:AC$116)/4),$ER$9:$ES$13,2,FALSE()),0),"")</f>
        <v/>
      </c>
      <c r="DC89" s="30"/>
      <c r="DD89" s="31" t="str">
        <f aca="true">IFERROR(AVERAGE(OFFSET('Data - For Rank'!G$2,AJ89,0,COUNTIF(AJ$6:AJ$116,AJ89)))+IFERROR(VLOOKUP((COUNT(AH$6:AH$116)/4),$ER$9:$ES$13,2,FALSE()),0),"")</f>
        <v/>
      </c>
      <c r="DE89" s="30"/>
      <c r="DF89" s="31" t="str">
        <f aca="true">IFERROR(AVERAGE(OFFSET('Data - For Rank'!$H$2,AO89,0,COUNTIF(AO$6:AO$116,AO89)))+IFERROR(VLOOKUP((COUNT(AM$6:AM$116)/4),$ER$9:$ES$13,2,FALSE()),0),"")</f>
        <v/>
      </c>
      <c r="DG89" s="30"/>
      <c r="DH89" s="31" t="str">
        <f aca="true">IFERROR(AVERAGE(OFFSET('Data - For Rank'!$I$2,AT89,0,COUNTIF(AT$6:AT$116,AT89)))+IFERROR(VLOOKUP((COUNT(AR$6:AR$116)/4),$ER$9:$ES$13,2,FALSE()),0),"")</f>
        <v/>
      </c>
      <c r="DI89" s="30"/>
      <c r="DJ89" s="31" t="str">
        <f aca="true">IFERROR(AVERAGE(OFFSET('Data - For Rank'!$J$2,AY89,0,COUNTIF(AY$6:AY$116,AY89)))+IFERROR(VLOOKUP((COUNT(AW$6:AW$116)/4),$ER$9:$ES$13,2,FALSE()),0),"")</f>
        <v/>
      </c>
      <c r="DK89" s="30"/>
      <c r="DL89" s="31" t="str">
        <f aca="true">IFERROR(AVERAGE(OFFSET('Data - For Rank'!$K$2,BD89,0,COUNTIF(BD$6:BD$116,BD89)))+IFERROR(VLOOKUP((COUNT(BB$6:BB$116)/4),$ER$9:$ES$13,2,FALSE()),0),"")</f>
        <v/>
      </c>
      <c r="DM89" s="30"/>
      <c r="DN89" s="31" t="str">
        <f aca="true">IFERROR(AVERAGE(OFFSET('Data - For Rank'!$L$2,BI89,0,COUNTIF(BI$6:BI$116,BI89)))+IFERROR(VLOOKUP((COUNT(BG$6:BG$116)/4),$ER$9:$ES$13,2,FALSE()),0),"")</f>
        <v/>
      </c>
      <c r="DO89" s="30"/>
      <c r="DP89" s="31" t="str">
        <f aca="true">IFERROR(AVERAGE(OFFSET('Data - For Rank'!$M$2,BN89,0,COUNTIF(BN$6:BN$116,BN89)))+IFERROR(VLOOKUP((COUNT(BL$6:BL$116)/4),$ER$9:$ES$13,2,FALSE()),0),"")</f>
        <v/>
      </c>
      <c r="DQ89" s="30"/>
      <c r="DR89" s="31" t="str">
        <f aca="true">IFERROR(AVERAGE(OFFSET('Data - For Rank'!$N$2,BS89,0,COUNTIF(BS$6:BS$116,BS89)))+IFERROR(VLOOKUP((COUNT(BQ$6:BQ$116)/4),$ER$9:$ES$13,2,FALSE()),0),"")</f>
        <v/>
      </c>
      <c r="DS89" s="30"/>
      <c r="DT89" s="31" t="str">
        <f aca="true">IFERROR(AVERAGE(OFFSET('Data - For Rank'!$O$2,BX89,0,COUNTIF(BX$6:BX$116,BX89)))+IFERROR(VLOOKUP((COUNT(BV$6:BV$116)/4),$ER$9:$ES$13,2,FALSE()),0),"")</f>
        <v/>
      </c>
      <c r="DU89" s="30"/>
      <c r="DV89" s="31" t="str">
        <f aca="true">IFERROR(AVERAGE(OFFSET('Data - For Rank'!$P$2,CC89,0,COUNTIF(CC$6:CC$116,CC89)))+IFERROR(VLOOKUP((COUNT(CA$6:CA$116)/4),$ER$9:$ES$13,2,FALSE()),0),"")</f>
        <v/>
      </c>
      <c r="DW89" s="30"/>
      <c r="DX89" s="31" t="str">
        <f aca="true">IFERROR(AVERAGE(OFFSET('Data - For Rank'!$Q$2,CH89,0,COUNTIF(CH$6:CH$116,CH89)))+IFERROR(VLOOKUP((COUNT(CF$6:CF$116)/4),$ER$9:$ES$13,2,FALSE()),0),"")</f>
        <v/>
      </c>
      <c r="DY89" s="30"/>
      <c r="DZ89" s="31" t="str">
        <f aca="true">IFERROR(AVERAGE(OFFSET('Data - For Rank'!$R$2,CM89,0,COUNTIF(CM$6:CM$116,CM89)))+IFERROR(VLOOKUP((COUNT(CK$6:CK$116)/4),$ER$9:$ES$13,2,FALSE()),0),"")</f>
        <v/>
      </c>
      <c r="EA89" s="30"/>
      <c r="EB89" s="31" t="str">
        <f aca="true">IFERROR(AVERAGE(OFFSET('Data - For Rank'!$S$2,CR89,0,COUNTIF(CR$6:CR$116,CR89)))+IFERROR(VLOOKUP((COUNT(CP$6:CP$116)/4),$ER$9:$ES$13,2,FALSE()),0),"")</f>
        <v/>
      </c>
      <c r="EC89" s="32" t="n">
        <f aca="false">CS89+CU89+CW89+CY89+DA89+DC89+DE89+DG89+DI89+DK89+DM89+DO89+DQ89+DS89+DU89+DW89+DY89+EA89</f>
        <v>0</v>
      </c>
      <c r="ED89" s="33" t="n">
        <f aca="false">IFERROR(AVERAGE(CT89,CV89,CX89,CZ89,DB89,DD89,DF89,DH89,DJ89,DL89,DN89,DP89,DR89,DT89,DV89,DX89,DZ89,EB89),0)</f>
        <v>0</v>
      </c>
    </row>
    <row r="90" customFormat="false" ht="13.5" hidden="false" customHeight="false" outlineLevel="0" collapsed="false">
      <c r="B90" s="68" t="n">
        <f aca="false">_xlfn.RANK.EQ(C90,$C$73:$C$116,)</f>
        <v>5</v>
      </c>
      <c r="C90" s="69" t="n">
        <f aca="false">EC90</f>
        <v>0</v>
      </c>
      <c r="D90" s="69" t="s">
        <v>163</v>
      </c>
      <c r="E90" s="78" t="s">
        <v>164</v>
      </c>
      <c r="F90" s="71" t="n">
        <f aca="false">COUNT(CT90,CV90,CX90,CZ90,DB90,DD90,DF90,DH90,DJ90,DL90,DN90,DP90,DR90,DT90,DV90,DX90,DZ90,EB90)</f>
        <v>0</v>
      </c>
      <c r="G90" s="49" t="str">
        <f aca="false">IF(CT90=0,"",CT90)</f>
        <v/>
      </c>
      <c r="H90" s="49"/>
      <c r="I90" s="49"/>
      <c r="K90" s="49"/>
      <c r="L90" s="49" t="str">
        <f aca="false">IF(CV90=0,"",CV90)</f>
        <v/>
      </c>
      <c r="M90" s="49"/>
      <c r="N90" s="49"/>
      <c r="P90" s="49"/>
      <c r="Q90" s="49" t="str">
        <f aca="false">IF(CX90=0,"",CX90)</f>
        <v/>
      </c>
      <c r="R90" s="49"/>
      <c r="S90" s="49"/>
      <c r="U90" s="49"/>
      <c r="V90" s="49" t="str">
        <f aca="false">IF(CZ90=0,"",CZ90)</f>
        <v/>
      </c>
      <c r="W90" s="49"/>
      <c r="X90" s="49"/>
      <c r="Z90" s="49"/>
      <c r="AA90" s="49" t="str">
        <f aca="false">IF(DB90=0,"",DB90)</f>
        <v/>
      </c>
      <c r="AB90" s="49"/>
      <c r="AC90" s="49"/>
      <c r="AE90" s="49"/>
      <c r="AF90" s="49" t="str">
        <f aca="false">IF(DD90=0,"",DD90)</f>
        <v/>
      </c>
      <c r="AG90" s="49"/>
      <c r="AH90" s="49"/>
      <c r="AJ90" s="49"/>
      <c r="AK90" s="49" t="str">
        <f aca="false">IF(DF90=0,"",DF90)</f>
        <v/>
      </c>
      <c r="AL90" s="49"/>
      <c r="AM90" s="49"/>
      <c r="AO90" s="49"/>
      <c r="AP90" s="49" t="str">
        <f aca="false">IF(DH90=0,"",DH90)</f>
        <v/>
      </c>
      <c r="AQ90" s="49"/>
      <c r="AR90" s="49"/>
      <c r="AT90" s="49"/>
      <c r="AU90" s="49" t="str">
        <f aca="false">IF(DJ90=0,"",DJ90)</f>
        <v/>
      </c>
      <c r="AV90" s="49"/>
      <c r="AW90" s="49"/>
      <c r="AY90" s="49"/>
      <c r="AZ90" s="49" t="str">
        <f aca="false">IF(DL90=0,"",DL90)</f>
        <v/>
      </c>
      <c r="BA90" s="49"/>
      <c r="BB90" s="49"/>
      <c r="BD90" s="49"/>
      <c r="BE90" s="49" t="str">
        <f aca="false">IF(DN90=0,"",DN90)</f>
        <v/>
      </c>
      <c r="BF90" s="49"/>
      <c r="BG90" s="49"/>
      <c r="BI90" s="49"/>
      <c r="BJ90" s="49" t="str">
        <f aca="false">IF(DP90=0,"",DP90)</f>
        <v/>
      </c>
      <c r="BK90" s="49"/>
      <c r="BL90" s="49"/>
      <c r="BN90" s="49"/>
      <c r="BO90" s="49" t="str">
        <f aca="false">IF(DR90=0,"",DR90)</f>
        <v/>
      </c>
      <c r="BP90" s="49"/>
      <c r="BQ90" s="49"/>
      <c r="BS90" s="49"/>
      <c r="BT90" s="49" t="str">
        <f aca="false">IF(DT90=0,"",DT90)</f>
        <v/>
      </c>
      <c r="BU90" s="49"/>
      <c r="BV90" s="49"/>
      <c r="BX90" s="49"/>
      <c r="BY90" s="49" t="str">
        <f aca="false">IF(DV90=0,"",DV90)</f>
        <v/>
      </c>
      <c r="BZ90" s="49"/>
      <c r="CA90" s="49"/>
      <c r="CC90" s="49"/>
      <c r="CD90" s="49" t="str">
        <f aca="false">IF(DX90=0,"",DX90)</f>
        <v/>
      </c>
      <c r="CE90" s="49"/>
      <c r="CF90" s="49"/>
      <c r="CH90" s="49"/>
      <c r="CI90" s="49" t="str">
        <f aca="false">IF(DZ90=0,"",DZ90)</f>
        <v/>
      </c>
      <c r="CJ90" s="49"/>
      <c r="CK90" s="49"/>
      <c r="CM90" s="49"/>
      <c r="CN90" s="49" t="str">
        <f aca="false">IF(EB90=0,"",EB90)</f>
        <v/>
      </c>
      <c r="CO90" s="49"/>
      <c r="CP90" s="49"/>
      <c r="CR90" s="49"/>
      <c r="CS90" s="21"/>
      <c r="CT90" s="22" t="str">
        <f aca="false">IFERROR(CT91+CT92,"")</f>
        <v/>
      </c>
      <c r="CU90" s="21"/>
      <c r="CV90" s="22" t="str">
        <f aca="false">IFERROR(CV91+CV92,"")</f>
        <v/>
      </c>
      <c r="CW90" s="21"/>
      <c r="CX90" s="22" t="str">
        <f aca="false">IFERROR(CX91+CX92,"")</f>
        <v/>
      </c>
      <c r="CY90" s="21"/>
      <c r="CZ90" s="22" t="str">
        <f aca="false">IFERROR(CZ91+CZ92,"")</f>
        <v/>
      </c>
      <c r="DA90" s="21"/>
      <c r="DB90" s="22" t="str">
        <f aca="false">IFERROR(DB91+DB92,"")</f>
        <v/>
      </c>
      <c r="DC90" s="21"/>
      <c r="DD90" s="22" t="str">
        <f aca="false">IFERROR(DD91+DD92,"")</f>
        <v/>
      </c>
      <c r="DE90" s="21"/>
      <c r="DF90" s="22" t="str">
        <f aca="false">IFERROR(DF91+DF92,"")</f>
        <v/>
      </c>
      <c r="DG90" s="21"/>
      <c r="DH90" s="22" t="str">
        <f aca="false">IFERROR(DH91+DH92,"")</f>
        <v/>
      </c>
      <c r="DI90" s="21"/>
      <c r="DJ90" s="22" t="str">
        <f aca="false">IFERROR(DJ91+DJ92,"")</f>
        <v/>
      </c>
      <c r="DK90" s="21"/>
      <c r="DL90" s="22" t="str">
        <f aca="false">IFERROR(DL91+DL92,"")</f>
        <v/>
      </c>
      <c r="DM90" s="21"/>
      <c r="DN90" s="22" t="str">
        <f aca="false">IFERROR(DN91+DN92,"")</f>
        <v/>
      </c>
      <c r="DO90" s="21"/>
      <c r="DP90" s="22" t="str">
        <f aca="false">IFERROR(DP91+DP92,"")</f>
        <v/>
      </c>
      <c r="DQ90" s="21"/>
      <c r="DR90" s="22" t="str">
        <f aca="false">IFERROR(DR91+DR92,"")</f>
        <v/>
      </c>
      <c r="DS90" s="21"/>
      <c r="DT90" s="22" t="str">
        <f aca="false">IFERROR(DT91+DT92,"")</f>
        <v/>
      </c>
      <c r="DU90" s="21"/>
      <c r="DV90" s="22" t="str">
        <f aca="false">IFERROR(DV91+DV92,"")</f>
        <v/>
      </c>
      <c r="DW90" s="21"/>
      <c r="DX90" s="22" t="str">
        <f aca="false">IFERROR(DX91+DX92,"")</f>
        <v/>
      </c>
      <c r="DY90" s="21"/>
      <c r="DZ90" s="22" t="str">
        <f aca="false">IFERROR(DZ91+DZ92,"")</f>
        <v/>
      </c>
      <c r="EA90" s="21"/>
      <c r="EB90" s="22" t="str">
        <f aca="false">IFERROR(EB91+EB92,"")</f>
        <v/>
      </c>
      <c r="EC90" s="17" t="n">
        <f aca="false">IFERROR(LARGE($G90:$CN90,1),0)+IFERROR(LARGE($G90:$CN90,2),0)+IFERROR(LARGE($G90:$CN90,3),0)+IFERROR(LARGE($G90:$CN90,4),0)+IFERROR(LARGE($G90:$CN90,5),0)+IFERROR(LARGE($G90:$CN90,6),0)+IFERROR(LARGE($G90:$CN90,7),0)+IFERROR(LARGE($G90:$CN90,8),0)+IFERROR(LARGE($G90:$CN90,9),0)+IFERROR(LARGE($G90:$CN90,10),0)</f>
        <v>0</v>
      </c>
      <c r="ED90" s="23" t="n">
        <f aca="false">IFERROR(AVERAGE(CT90,CV90,CX90,CZ90,DB90,DD90,DF90,DH90,DJ90,DL90,DN90,DP90,DR90,DT90,DV90,DX90,DZ90,EB90),0)</f>
        <v>0</v>
      </c>
    </row>
    <row r="91" customFormat="false" ht="13.5" hidden="false" customHeight="false" outlineLevel="1" collapsed="false">
      <c r="B91" s="72" t="n">
        <f aca="false">B89+0.0211</f>
        <v>0.8915</v>
      </c>
      <c r="C91" s="68"/>
      <c r="D91" s="68" t="s">
        <v>165</v>
      </c>
      <c r="E91" s="73" t="s">
        <v>43</v>
      </c>
      <c r="F91" s="74"/>
      <c r="G91" s="7"/>
      <c r="H91" s="7" t="str">
        <f aca="false">IF(CS91=0,"",CS91)</f>
        <v/>
      </c>
      <c r="I91" s="7"/>
      <c r="J91" s="49" t="str">
        <f aca="false">IFERROR(RANK(H91,H$6:H$116,0),"")</f>
        <v/>
      </c>
      <c r="K91" s="7"/>
      <c r="L91" s="7"/>
      <c r="M91" s="7" t="str">
        <f aca="false">IF(CU91=0,"",CU91)</f>
        <v/>
      </c>
      <c r="N91" s="7"/>
      <c r="O91" s="49" t="str">
        <f aca="false">IFERROR(RANK(M91,M$6:M$116,0),"")</f>
        <v/>
      </c>
      <c r="P91" s="7"/>
      <c r="Q91" s="7"/>
      <c r="R91" s="7" t="str">
        <f aca="false">IF(CW91=0,"",CW91)</f>
        <v/>
      </c>
      <c r="S91" s="7"/>
      <c r="T91" s="49" t="str">
        <f aca="false">IFERROR(RANK(R91,R$6:R$116,0),"")</f>
        <v/>
      </c>
      <c r="U91" s="7"/>
      <c r="V91" s="7"/>
      <c r="W91" s="7" t="str">
        <f aca="false">IF(CY91=0,"",CY91)</f>
        <v/>
      </c>
      <c r="X91" s="7"/>
      <c r="Y91" s="49" t="str">
        <f aca="false">IFERROR(RANK(W91,W$6:W$116,0),"")</f>
        <v/>
      </c>
      <c r="Z91" s="7"/>
      <c r="AA91" s="7"/>
      <c r="AB91" s="7" t="str">
        <f aca="false">IF(DA91=0,"",DA91)</f>
        <v/>
      </c>
      <c r="AC91" s="7"/>
      <c r="AD91" s="49" t="str">
        <f aca="false">IFERROR(RANK(AB91,AB$6:AB$116,0),"")</f>
        <v/>
      </c>
      <c r="AE91" s="7"/>
      <c r="AF91" s="7"/>
      <c r="AG91" s="7" t="str">
        <f aca="false">IF(DC91=0,"",DC91)</f>
        <v/>
      </c>
      <c r="AH91" s="7"/>
      <c r="AI91" s="49" t="str">
        <f aca="false">IFERROR(RANK(AG91,AG$6:AG$116,0),"")</f>
        <v/>
      </c>
      <c r="AJ91" s="7"/>
      <c r="AK91" s="7"/>
      <c r="AL91" s="7" t="str">
        <f aca="false">IF(DE91=0,"",DE91)</f>
        <v/>
      </c>
      <c r="AM91" s="7"/>
      <c r="AN91" s="49" t="str">
        <f aca="false">IFERROR(RANK(AL91,AL$6:AL$116,0),"")</f>
        <v/>
      </c>
      <c r="AO91" s="7"/>
      <c r="AP91" s="7"/>
      <c r="AQ91" s="7" t="str">
        <f aca="false">IF(DG91=0,"",DG91)</f>
        <v/>
      </c>
      <c r="AR91" s="7"/>
      <c r="AS91" s="49" t="str">
        <f aca="false">IFERROR(RANK(AQ91,AQ$6:AQ$116,0),"")</f>
        <v/>
      </c>
      <c r="AT91" s="7"/>
      <c r="AU91" s="7"/>
      <c r="AV91" s="7" t="str">
        <f aca="false">IF(DI91=0,"",DI91)</f>
        <v/>
      </c>
      <c r="AW91" s="7"/>
      <c r="AX91" s="49" t="str">
        <f aca="false">IFERROR(RANK(AV91,AV$6:AV$116,0),"")</f>
        <v/>
      </c>
      <c r="AY91" s="7"/>
      <c r="AZ91" s="7"/>
      <c r="BA91" s="7" t="str">
        <f aca="false">IF(DK91=0,"",DK91)</f>
        <v/>
      </c>
      <c r="BB91" s="7"/>
      <c r="BC91" s="49" t="str">
        <f aca="false">IFERROR(RANK(BA91,BA$6:BA$116,0),"")</f>
        <v/>
      </c>
      <c r="BD91" s="7"/>
      <c r="BE91" s="7"/>
      <c r="BF91" s="7" t="str">
        <f aca="false">IF(DM91=0,"",DM91)</f>
        <v/>
      </c>
      <c r="BG91" s="7"/>
      <c r="BH91" s="49" t="str">
        <f aca="false">IFERROR(RANK(BF91,BF$6:BF$116,0),"")</f>
        <v/>
      </c>
      <c r="BI91" s="7"/>
      <c r="BJ91" s="7"/>
      <c r="BK91" s="7" t="str">
        <f aca="false">IF(DO91=0,"",DO91)</f>
        <v/>
      </c>
      <c r="BL91" s="7"/>
      <c r="BM91" s="49" t="str">
        <f aca="false">IFERROR(RANK(BK91,BK$6:BK$116,0),"")</f>
        <v/>
      </c>
      <c r="BN91" s="7"/>
      <c r="BO91" s="7"/>
      <c r="BP91" s="7" t="str">
        <f aca="false">IF(DQ91=0,"",DQ91)</f>
        <v/>
      </c>
      <c r="BQ91" s="7"/>
      <c r="BR91" s="49" t="str">
        <f aca="false">IFERROR(RANK(BP91,BP$6:BP$116,0),"")</f>
        <v/>
      </c>
      <c r="BS91" s="7"/>
      <c r="BT91" s="7"/>
      <c r="BU91" s="7" t="str">
        <f aca="false">IF(DS91=0,"",DS91)</f>
        <v/>
      </c>
      <c r="BV91" s="7"/>
      <c r="BW91" s="49" t="str">
        <f aca="false">IFERROR(RANK(BU91,BU$6:BU$116,0),"")</f>
        <v/>
      </c>
      <c r="BX91" s="7"/>
      <c r="BY91" s="7"/>
      <c r="BZ91" s="7" t="str">
        <f aca="false">IF(DU91=0,"",DU91)</f>
        <v/>
      </c>
      <c r="CA91" s="7"/>
      <c r="CB91" s="49" t="str">
        <f aca="false">IFERROR(RANK(BZ91,BZ$6:BZ$116,0),"")</f>
        <v/>
      </c>
      <c r="CC91" s="7"/>
      <c r="CD91" s="7"/>
      <c r="CE91" s="7" t="str">
        <f aca="false">IF(DW91=0,"",DW91)</f>
        <v/>
      </c>
      <c r="CF91" s="7"/>
      <c r="CG91" s="49" t="str">
        <f aca="false">IFERROR(RANK(CE91,CE$6:CE$116,0),"")</f>
        <v/>
      </c>
      <c r="CH91" s="7"/>
      <c r="CI91" s="7"/>
      <c r="CJ91" s="7" t="str">
        <f aca="false">IF(DY91=0,"",DY91)</f>
        <v/>
      </c>
      <c r="CK91" s="7"/>
      <c r="CL91" s="49" t="str">
        <f aca="false">IFERROR(RANK(CJ91,CJ$6:CJ$116,0),"")</f>
        <v/>
      </c>
      <c r="CM91" s="7"/>
      <c r="CN91" s="7"/>
      <c r="CO91" s="7" t="str">
        <f aca="false">IF(EA91=0,"",EA91)</f>
        <v/>
      </c>
      <c r="CP91" s="7"/>
      <c r="CQ91" s="49" t="str">
        <f aca="false">IFERROR(RANK(CO91,CO$6:CO$116,0),"")</f>
        <v/>
      </c>
      <c r="CR91" s="7"/>
      <c r="CS91" s="21"/>
      <c r="CT91" s="25" t="str">
        <f aca="true">IFERROR(AVERAGE(OFFSET('Data - For Rank'!B$2,J91,0,COUNTIF($J$7:J$116,J91)))+IFERROR(VLOOKUP((COUNT($H$6:$H$116)/4),$ER$9:$ES$13,2,FALSE()),0),"")</f>
        <v/>
      </c>
      <c r="CU91" s="21"/>
      <c r="CV91" s="25" t="str">
        <f aca="true">IFERROR(AVERAGE(OFFSET('Data - For Rank'!$C$2,O91,0,COUNTIF(O$7:O$116,O91)))+IFERROR(VLOOKUP((COUNT(M$6:M$116)/4),$ER$9:$ES$13,2,FALSE()),0),"")</f>
        <v/>
      </c>
      <c r="CW91" s="21"/>
      <c r="CX91" s="25" t="str">
        <f aca="true">IFERROR(AVERAGE(OFFSET('Data - For Rank'!D$2,T91,0,COUNTIF(T$7:T$116,T91)))+IFERROR(VLOOKUP((COUNT(R$6:R$116)/4),$ER$9:$ES$13,2,FALSE()),0),"")</f>
        <v/>
      </c>
      <c r="CY91" s="21"/>
      <c r="CZ91" s="25" t="str">
        <f aca="true">IFERROR(AVERAGE(OFFSET('Data - For Rank'!E$2,Y91,0,COUNTIF(Y$7:Y$116,Y91)))+IFERROR(VLOOKUP((COUNT(W$6:W$116)/4),$ER$9:$ES$13,2,FALSE()),0),"")</f>
        <v/>
      </c>
      <c r="DA91" s="21"/>
      <c r="DB91" s="25" t="str">
        <f aca="true">IFERROR(AVERAGE(OFFSET('Data - For Rank'!F$2,AD91,0,COUNTIF(AD$7:AD$116,AD91)))+IFERROR(VLOOKUP((COUNT(AB$6:AB$116)/4),$ER$9:$ES$13,2,FALSE()),0),"")</f>
        <v/>
      </c>
      <c r="DC91" s="21"/>
      <c r="DD91" s="25" t="str">
        <f aca="true">IFERROR(AVERAGE(OFFSET('Data - For Rank'!G$2,AI91,0,COUNTIF(AI$7:AI$116,AI91)))+IFERROR(VLOOKUP((COUNT(AG$6:AG$116)/4),$ER$9:$ES$13,2,FALSE()),0),"")</f>
        <v/>
      </c>
      <c r="DE91" s="21"/>
      <c r="DF91" s="25" t="str">
        <f aca="true">IFERROR(AVERAGE(OFFSET('Data - For Rank'!$H$2,AN91,0,COUNTIF(AN$7:AN$116,AN91)))+IFERROR(VLOOKUP((COUNT(AL$6:AL$116)/4),$ER$9:$ES$13,2,FALSE()),0),"")</f>
        <v/>
      </c>
      <c r="DG91" s="21"/>
      <c r="DH91" s="25" t="str">
        <f aca="true">IFERROR(AVERAGE(OFFSET('Data - For Rank'!$I$2,AS91,0,COUNTIF(AS$7:AS$116,AS91)))+IFERROR(VLOOKUP((COUNT(AQ$6:AQ$116)/4),$ER$9:$ES$13,2,FALSE()),0),"")</f>
        <v/>
      </c>
      <c r="DI91" s="21"/>
      <c r="DJ91" s="25" t="str">
        <f aca="true">IFERROR(AVERAGE(OFFSET('Data - For Rank'!$J$2,AX91,0,COUNTIF(AX$7:AX$116,AX91)))+IFERROR(VLOOKUP((COUNT(AV$6:AV$116)/4),$ER$9:$ES$13,2,FALSE()),0),"")</f>
        <v/>
      </c>
      <c r="DK91" s="21"/>
      <c r="DL91" s="25" t="str">
        <f aca="true">IFERROR(AVERAGE(OFFSET('Data - For Rank'!$K$2,BC91,0,COUNTIF(BC$7:BC$116,BC91)))+IFERROR(VLOOKUP((COUNT(BA$6:BA$116)/4),$ER$9:$ES$13,2,FALSE()),0),"")</f>
        <v/>
      </c>
      <c r="DM91" s="21"/>
      <c r="DN91" s="25" t="str">
        <f aca="true">IFERROR(AVERAGE(OFFSET('Data - For Rank'!$L$2,BH91,0,COUNTIF(BH$7:BH$116,BH91)))+IFERROR(VLOOKUP((COUNT(BF$6:BF$116)/4),$ER$9:$ES$13,2,FALSE()),0),"")</f>
        <v/>
      </c>
      <c r="DO91" s="21"/>
      <c r="DP91" s="25" t="str">
        <f aca="true">IFERROR(AVERAGE(OFFSET('Data - For Rank'!$M$2,BM91,0,COUNTIF(BM$7:BM$116,BM91)))+IFERROR(VLOOKUP((COUNT(BK$6:BK$116)/4),$ER$9:$ES$13,2,FALSE()),0),"")</f>
        <v/>
      </c>
      <c r="DQ91" s="21"/>
      <c r="DR91" s="25" t="str">
        <f aca="true">IFERROR(AVERAGE(OFFSET('Data - For Rank'!$N$2,BR91,0,COUNTIF(BR$7:BR$116,BR91)))+IFERROR(VLOOKUP((COUNT(BP$6:BP$116)/4),$ER$9:$ES$13,2,FALSE()),0),"")</f>
        <v/>
      </c>
      <c r="DS91" s="21"/>
      <c r="DT91" s="25" t="str">
        <f aca="true">IFERROR(AVERAGE(OFFSET('Data - For Rank'!$O$2,BW91,0,COUNTIF(BW$7:BW$116,BW91)))+IFERROR(VLOOKUP((COUNT(BU$6:BU$116)/4),$ER$9:$ES$13,2,FALSE()),0),"")</f>
        <v/>
      </c>
      <c r="DU91" s="21"/>
      <c r="DV91" s="25" t="str">
        <f aca="true">IFERROR(AVERAGE(OFFSET('Data - For Rank'!$P$2,CB91,0,COUNTIF(CB$7:CB$116,CB91)))+IFERROR(VLOOKUP((COUNT(BZ$6:BZ$116)/4),$ER$9:$ES$13,2,FALSE()),0),"")</f>
        <v/>
      </c>
      <c r="DW91" s="21"/>
      <c r="DX91" s="25" t="str">
        <f aca="true">IFERROR(AVERAGE(OFFSET('Data - For Rank'!$Q$2,CG91,0,COUNTIF(CG$7:CG$116,CG91)))+IFERROR(VLOOKUP((COUNT(CE$6:CE$116)/4),$ER$9:$ES$13,2,FALSE()),0),"")</f>
        <v/>
      </c>
      <c r="DY91" s="21"/>
      <c r="DZ91" s="25" t="str">
        <f aca="true">IFERROR(AVERAGE(OFFSET('Data - For Rank'!$R$2,CL91,0,COUNTIF(CL$7:CL$116,CL91)))+IFERROR(VLOOKUP((COUNT(CJ$6:CJ$116)/4),$ER$9:$ES$13,2,FALSE()),0),"")</f>
        <v/>
      </c>
      <c r="EA91" s="21"/>
      <c r="EB91" s="25" t="str">
        <f aca="true">IFERROR(AVERAGE(OFFSET('Data - For Rank'!$S$2,CQ91,0,COUNTIF(CQ$7:CQ$116,CQ91)))+IFERROR(VLOOKUP((COUNT(CO$6:CO$116)/4),$ER$9:$ES$13,2,FALSE()),0),"")</f>
        <v/>
      </c>
      <c r="EC91" s="26" t="n">
        <f aca="false">IFERROR(AVERAGE(CS91,CU91,CW91,CY91,DA91,DC91,DE91,DG91,DI91,DK91,DM91,DO91,DQ91,DS91,DU91,DW91,DY91,EA91),0)</f>
        <v>0</v>
      </c>
      <c r="ED91" s="23" t="n">
        <f aca="false">IFERROR(AVERAGE(CT91,CV91,CX91,CZ91,DB91,DD91,DF91,DH91,DJ91,DL91,DN91,DP91,DR91,DT91,DV91,DX91,DZ91,EB91),0)</f>
        <v>0</v>
      </c>
    </row>
    <row r="92" customFormat="false" ht="13.5" hidden="false" customHeight="false" outlineLevel="1" collapsed="false">
      <c r="B92" s="75" t="n">
        <f aca="false">B91+0.111</f>
        <v>1.0025</v>
      </c>
      <c r="C92" s="68"/>
      <c r="D92" s="68" t="s">
        <v>166</v>
      </c>
      <c r="E92" s="76" t="s">
        <v>44</v>
      </c>
      <c r="F92" s="77"/>
      <c r="G92" s="29"/>
      <c r="H92" s="29"/>
      <c r="I92" s="53" t="str">
        <f aca="false">IF(CS92=0,"",CS92)</f>
        <v/>
      </c>
      <c r="J92" s="53"/>
      <c r="K92" s="54" t="str">
        <f aca="false">IFERROR(_xlfn.RANK.EQ(I92,I$6:I$116,0),"")</f>
        <v/>
      </c>
      <c r="L92" s="29"/>
      <c r="M92" s="29"/>
      <c r="N92" s="53" t="str">
        <f aca="false">IF(CU92=0,"",CU92)</f>
        <v/>
      </c>
      <c r="O92" s="53"/>
      <c r="P92" s="54" t="str">
        <f aca="false">IFERROR(_xlfn.RANK.EQ(N92,N$6:N$116,0),"")</f>
        <v/>
      </c>
      <c r="Q92" s="29"/>
      <c r="R92" s="29"/>
      <c r="S92" s="53" t="str">
        <f aca="false">IF(CW92=0,"",CW92)</f>
        <v/>
      </c>
      <c r="T92" s="53"/>
      <c r="U92" s="54" t="str">
        <f aca="false">IFERROR(_xlfn.RANK.EQ(S92,S$6:S$116,0),"")</f>
        <v/>
      </c>
      <c r="V92" s="29"/>
      <c r="W92" s="29"/>
      <c r="X92" s="53" t="str">
        <f aca="false">IF(CY92=0,"",CY92)</f>
        <v/>
      </c>
      <c r="Y92" s="53"/>
      <c r="Z92" s="54" t="str">
        <f aca="false">IFERROR(_xlfn.RANK.EQ(X92,X$6:X$116,0),"")</f>
        <v/>
      </c>
      <c r="AA92" s="29"/>
      <c r="AB92" s="29"/>
      <c r="AC92" s="53" t="str">
        <f aca="false">IF(DA92=0,"",DA92)</f>
        <v/>
      </c>
      <c r="AD92" s="53"/>
      <c r="AE92" s="54" t="str">
        <f aca="false">IFERROR(_xlfn.RANK.EQ(AC92,AC$6:AC$116,0),"")</f>
        <v/>
      </c>
      <c r="AF92" s="29"/>
      <c r="AG92" s="29"/>
      <c r="AH92" s="53" t="str">
        <f aca="false">IF(DC92=0,"",DC92)</f>
        <v/>
      </c>
      <c r="AI92" s="53"/>
      <c r="AJ92" s="54" t="str">
        <f aca="false">IFERROR(_xlfn.RANK.EQ(AH92,AH$6:AH$116,0),"")</f>
        <v/>
      </c>
      <c r="AK92" s="29"/>
      <c r="AL92" s="29"/>
      <c r="AM92" s="53" t="str">
        <f aca="false">IF(DE92=0,"",DE92)</f>
        <v/>
      </c>
      <c r="AN92" s="53"/>
      <c r="AO92" s="54" t="str">
        <f aca="false">IFERROR(_xlfn.RANK.EQ(AM92,AM$6:AM$116,0),"")</f>
        <v/>
      </c>
      <c r="AP92" s="29"/>
      <c r="AQ92" s="29"/>
      <c r="AR92" s="53" t="str">
        <f aca="false">IF(DG92=0,"",DG92)</f>
        <v/>
      </c>
      <c r="AS92" s="53"/>
      <c r="AT92" s="54" t="str">
        <f aca="false">IFERROR(_xlfn.RANK.EQ(AR92,AR$6:AR$116,0),"")</f>
        <v/>
      </c>
      <c r="AU92" s="29"/>
      <c r="AV92" s="29"/>
      <c r="AW92" s="53" t="str">
        <f aca="false">IF(DI92=0,"",DI92)</f>
        <v/>
      </c>
      <c r="AX92" s="53"/>
      <c r="AY92" s="54" t="str">
        <f aca="false">IFERROR(_xlfn.RANK.EQ(AW92,AW$6:AW$116,0),"")</f>
        <v/>
      </c>
      <c r="AZ92" s="29"/>
      <c r="BA92" s="29"/>
      <c r="BB92" s="53" t="str">
        <f aca="false">IF(DK92=0,"",DK92)</f>
        <v/>
      </c>
      <c r="BC92" s="53"/>
      <c r="BD92" s="54" t="str">
        <f aca="false">IFERROR(_xlfn.RANK.EQ(BB92,BB$6:BB$116,0),"")</f>
        <v/>
      </c>
      <c r="BE92" s="29"/>
      <c r="BF92" s="29"/>
      <c r="BG92" s="53" t="str">
        <f aca="false">IF(DM92=0,"",DM92)</f>
        <v/>
      </c>
      <c r="BH92" s="53"/>
      <c r="BI92" s="54" t="str">
        <f aca="false">IFERROR(_xlfn.RANK.EQ(BG92,BG$6:BG$116,0),"")</f>
        <v/>
      </c>
      <c r="BJ92" s="29"/>
      <c r="BK92" s="29"/>
      <c r="BL92" s="53" t="str">
        <f aca="false">IF(DO92=0,"",DO92)</f>
        <v/>
      </c>
      <c r="BM92" s="53"/>
      <c r="BN92" s="54" t="str">
        <f aca="false">IFERROR(_xlfn.RANK.EQ(BL92,BL$6:BL$116,0),"")</f>
        <v/>
      </c>
      <c r="BO92" s="29"/>
      <c r="BP92" s="29"/>
      <c r="BQ92" s="53" t="str">
        <f aca="false">IF(DQ92=0,"",DQ92)</f>
        <v/>
      </c>
      <c r="BR92" s="53"/>
      <c r="BS92" s="54" t="str">
        <f aca="false">IFERROR(_xlfn.RANK.EQ(BQ92,BQ$6:BQ$116,0),"")</f>
        <v/>
      </c>
      <c r="BT92" s="29"/>
      <c r="BU92" s="29"/>
      <c r="BV92" s="53" t="str">
        <f aca="false">IF(DS92=0,"",DS92)</f>
        <v/>
      </c>
      <c r="BW92" s="53"/>
      <c r="BX92" s="54" t="str">
        <f aca="false">IFERROR(_xlfn.RANK.EQ(BV92,BV$6:BV$116,0),"")</f>
        <v/>
      </c>
      <c r="BY92" s="29"/>
      <c r="BZ92" s="29"/>
      <c r="CA92" s="53" t="str">
        <f aca="false">IF(DU92=0,"",DU92)</f>
        <v/>
      </c>
      <c r="CB92" s="53"/>
      <c r="CC92" s="54" t="str">
        <f aca="false">IFERROR(_xlfn.RANK.EQ(CA92,CA$6:CA$116,0),"")</f>
        <v/>
      </c>
      <c r="CD92" s="29"/>
      <c r="CE92" s="29"/>
      <c r="CF92" s="53" t="str">
        <f aca="false">IF(DW92=0,"",DW92)</f>
        <v/>
      </c>
      <c r="CG92" s="53"/>
      <c r="CH92" s="54" t="str">
        <f aca="false">IFERROR(_xlfn.RANK.EQ(CF92,CF$6:CF$116,0),"")</f>
        <v/>
      </c>
      <c r="CI92" s="29"/>
      <c r="CJ92" s="29"/>
      <c r="CK92" s="53" t="str">
        <f aca="false">IF(DY92=0,"",DY92)</f>
        <v/>
      </c>
      <c r="CL92" s="53"/>
      <c r="CM92" s="54" t="str">
        <f aca="false">IFERROR(_xlfn.RANK.EQ(CK92,CK$6:CK$116,0),"")</f>
        <v/>
      </c>
      <c r="CN92" s="29"/>
      <c r="CO92" s="29"/>
      <c r="CP92" s="53" t="str">
        <f aca="false">IF(EA92=0,"",EA92)</f>
        <v/>
      </c>
      <c r="CQ92" s="53"/>
      <c r="CR92" s="54" t="str">
        <f aca="false">IFERROR(_xlfn.RANK.EQ(CP92,CP$6:CP$116,0),"")</f>
        <v/>
      </c>
      <c r="CS92" s="30"/>
      <c r="CT92" s="31" t="str">
        <f aca="true">IFERROR(AVERAGE(OFFSET('Data - For Rank'!B$2,K92,0,COUNTIF(K$6:K$116,K92)))+IFERROR(VLOOKUP((COUNT($I$6:$I$116)/4),$ER$9:$ES$13,2,FALSE()),0),"")</f>
        <v/>
      </c>
      <c r="CU92" s="30"/>
      <c r="CV92" s="31" t="str">
        <f aca="true">IFERROR(AVERAGE(OFFSET('Data - For Rank'!$C$2,P92,0,COUNTIF(P$6:P$116,P92)))+IFERROR(VLOOKUP((COUNT(N$6:N$116)/4),$ER$9:$ES$13,2,FALSE()),0),"")</f>
        <v/>
      </c>
      <c r="CW92" s="30"/>
      <c r="CX92" s="31" t="str">
        <f aca="true">IFERROR(AVERAGE(OFFSET('Data - For Rank'!D$2,U92,0,COUNTIF(U$6:$U199,U92)))+IFERROR(VLOOKUP((COUNT(S$6:S$116)/4),$ER$9:$ES$13,2,FALSE()),0),"")</f>
        <v/>
      </c>
      <c r="CY92" s="30"/>
      <c r="CZ92" s="31" t="str">
        <f aca="true">IFERROR(AVERAGE(OFFSET('Data - For Rank'!E$2,Z92,0,COUNTIF(Z$6:Z$116,Z92)))+IFERROR(VLOOKUP((COUNT(W$6:W$116)/4),$ER$9:$ES$13,2,FALSE()),0),"")</f>
        <v/>
      </c>
      <c r="DA92" s="30"/>
      <c r="DB92" s="31" t="str">
        <f aca="true">IFERROR(AVERAGE(OFFSET('Data - For Rank'!F$2,AE92,0,COUNTIF(AE$6:AE$116,AE92)))+IFERROR(VLOOKUP((COUNT(AC$6:AC$116)/4),$ER$9:$ES$13,2,FALSE()),0),"")</f>
        <v/>
      </c>
      <c r="DC92" s="30"/>
      <c r="DD92" s="31" t="str">
        <f aca="true">IFERROR(AVERAGE(OFFSET('Data - For Rank'!G$2,AJ92,0,COUNTIF(AJ$6:AJ$116,AJ92)))+IFERROR(VLOOKUP((COUNT(AH$6:AH$116)/4),$ER$9:$ES$13,2,FALSE()),0),"")</f>
        <v/>
      </c>
      <c r="DE92" s="30"/>
      <c r="DF92" s="31" t="str">
        <f aca="true">IFERROR(AVERAGE(OFFSET('Data - For Rank'!$H$2,AO92,0,COUNTIF(AO$6:AO$116,AO92)))+IFERROR(VLOOKUP((COUNT(AM$6:AM$116)/4),$ER$9:$ES$13,2,FALSE()),0),"")</f>
        <v/>
      </c>
      <c r="DG92" s="30"/>
      <c r="DH92" s="31" t="str">
        <f aca="true">IFERROR(AVERAGE(OFFSET('Data - For Rank'!$I$2,AT92,0,COUNTIF(AT$6:AT$116,AT92)))+IFERROR(VLOOKUP((COUNT(AR$6:AR$116)/4),$ER$9:$ES$13,2,FALSE()),0),"")</f>
        <v/>
      </c>
      <c r="DI92" s="30"/>
      <c r="DJ92" s="31" t="str">
        <f aca="true">IFERROR(AVERAGE(OFFSET('Data - For Rank'!$J$2,AY92,0,COUNTIF(AY$6:AY$116,AY92)))+IFERROR(VLOOKUP((COUNT(AW$6:AW$116)/4),$ER$9:$ES$13,2,FALSE()),0),"")</f>
        <v/>
      </c>
      <c r="DK92" s="30"/>
      <c r="DL92" s="31" t="str">
        <f aca="true">IFERROR(AVERAGE(OFFSET('Data - For Rank'!$K$2,BD92,0,COUNTIF(BD$6:BD$116,BD92)))+IFERROR(VLOOKUP((COUNT(BB$6:BB$116)/4),$ER$9:$ES$13,2,FALSE()),0),"")</f>
        <v/>
      </c>
      <c r="DM92" s="30"/>
      <c r="DN92" s="31" t="str">
        <f aca="true">IFERROR(AVERAGE(OFFSET('Data - For Rank'!$L$2,BI92,0,COUNTIF(BI$6:BI$116,BI92)))+IFERROR(VLOOKUP((COUNT(BG$6:BG$116)/4),$ER$9:$ES$13,2,FALSE()),0),"")</f>
        <v/>
      </c>
      <c r="DO92" s="30"/>
      <c r="DP92" s="31" t="str">
        <f aca="true">IFERROR(AVERAGE(OFFSET('Data - For Rank'!$M$2,BN92,0,COUNTIF(BN$6:BN$116,BN92)))+IFERROR(VLOOKUP((COUNT(BL$6:BL$116)/4),$ER$9:$ES$13,2,FALSE()),0),"")</f>
        <v/>
      </c>
      <c r="DQ92" s="30"/>
      <c r="DR92" s="31" t="str">
        <f aca="true">IFERROR(AVERAGE(OFFSET('Data - For Rank'!$N$2,BS92,0,COUNTIF(BS$6:BS$116,BS92)))+IFERROR(VLOOKUP((COUNT(BQ$6:BQ$116)/4),$ER$9:$ES$13,2,FALSE()),0),"")</f>
        <v/>
      </c>
      <c r="DS92" s="30"/>
      <c r="DT92" s="31" t="str">
        <f aca="true">IFERROR(AVERAGE(OFFSET('Data - For Rank'!$O$2,BX92,0,COUNTIF(BX$6:BX$116,BX92)))+IFERROR(VLOOKUP((COUNT(BV$6:BV$116)/4),$ER$9:$ES$13,2,FALSE()),0),"")</f>
        <v/>
      </c>
      <c r="DU92" s="30"/>
      <c r="DV92" s="31" t="str">
        <f aca="true">IFERROR(AVERAGE(OFFSET('Data - For Rank'!$P$2,CC92,0,COUNTIF(CC$6:CC$116,CC92)))+IFERROR(VLOOKUP((COUNT(CA$6:CA$116)/4),$ER$9:$ES$13,2,FALSE()),0),"")</f>
        <v/>
      </c>
      <c r="DW92" s="30"/>
      <c r="DX92" s="31" t="str">
        <f aca="true">IFERROR(AVERAGE(OFFSET('Data - For Rank'!$Q$2,CH92,0,COUNTIF(CH$6:CH$116,CH92)))+IFERROR(VLOOKUP((COUNT(CF$6:CF$116)/4),$ER$9:$ES$13,2,FALSE()),0),"")</f>
        <v/>
      </c>
      <c r="DY92" s="30"/>
      <c r="DZ92" s="31" t="str">
        <f aca="true">IFERROR(AVERAGE(OFFSET('Data - For Rank'!$R$2,CM92,0,COUNTIF(CM$6:CM$116,CM92)))+IFERROR(VLOOKUP((COUNT(CK$6:CK$116)/4),$ER$9:$ES$13,2,FALSE()),0),"")</f>
        <v/>
      </c>
      <c r="EA92" s="30"/>
      <c r="EB92" s="31" t="str">
        <f aca="true">IFERROR(AVERAGE(OFFSET('Data - For Rank'!$S$2,CR92,0,COUNTIF(CR$6:CR$116,CR92)))+IFERROR(VLOOKUP((COUNT(CP$6:CP$116)/4),$ER$9:$ES$13,2,FALSE()),0),"")</f>
        <v/>
      </c>
      <c r="EC92" s="32" t="n">
        <f aca="false">CS92+CU92+CW92+CY92+DA92+DC92+DE92+DG92+DI92+DK92+DM92+DO92+DQ92+DS92+DU92+DW92+DY92+EA92</f>
        <v>0</v>
      </c>
      <c r="ED92" s="33" t="n">
        <f aca="false">IFERROR(AVERAGE(CT92,CV92,CX92,CZ92,DB92,DD92,DF92,DH92,DJ92,DL92,DN92,DP92,DR92,DT92,DV92,DX92,DZ92,EB92),0)</f>
        <v>0</v>
      </c>
    </row>
    <row r="93" customFormat="false" ht="13.5" hidden="false" customHeight="false" outlineLevel="0" collapsed="false">
      <c r="B93" s="68" t="n">
        <f aca="false">_xlfn.RANK.EQ(C93,$C$73:$C$116,)</f>
        <v>5</v>
      </c>
      <c r="C93" s="69" t="n">
        <f aca="false">EC93</f>
        <v>0</v>
      </c>
      <c r="D93" s="69" t="s">
        <v>167</v>
      </c>
      <c r="E93" s="78" t="s">
        <v>167</v>
      </c>
      <c r="F93" s="71" t="n">
        <f aca="false">COUNT(CT93,CV93,CX93,CZ93,DB93,DD93,DF93,DH93,DJ93,DL93,DN93,DP93,DR93,DT93,DV93,DX93,DZ93,EB93)</f>
        <v>0</v>
      </c>
      <c r="G93" s="49" t="str">
        <f aca="false">IF(CT93=0,"",CT93)</f>
        <v/>
      </c>
      <c r="H93" s="49"/>
      <c r="I93" s="49"/>
      <c r="K93" s="49"/>
      <c r="L93" s="49" t="str">
        <f aca="false">IF(CV93=0,"",CV93)</f>
        <v/>
      </c>
      <c r="M93" s="49"/>
      <c r="N93" s="49"/>
      <c r="P93" s="49"/>
      <c r="Q93" s="49" t="str">
        <f aca="false">IF(CX93=0,"",CX93)</f>
        <v/>
      </c>
      <c r="R93" s="49"/>
      <c r="S93" s="49"/>
      <c r="U93" s="49"/>
      <c r="V93" s="49" t="str">
        <f aca="false">IF(CZ93=0,"",CZ93)</f>
        <v/>
      </c>
      <c r="W93" s="49"/>
      <c r="X93" s="49"/>
      <c r="Z93" s="49"/>
      <c r="AA93" s="49" t="str">
        <f aca="false">IF(DB93=0,"",DB93)</f>
        <v/>
      </c>
      <c r="AB93" s="49"/>
      <c r="AC93" s="49"/>
      <c r="AE93" s="49"/>
      <c r="AF93" s="49" t="str">
        <f aca="false">IF(DD93=0,"",DD93)</f>
        <v/>
      </c>
      <c r="AG93" s="49"/>
      <c r="AH93" s="49"/>
      <c r="AJ93" s="49"/>
      <c r="AK93" s="49" t="str">
        <f aca="false">IF(DF93=0,"",DF93)</f>
        <v/>
      </c>
      <c r="AL93" s="49"/>
      <c r="AM93" s="49"/>
      <c r="AO93" s="49"/>
      <c r="AP93" s="49" t="str">
        <f aca="false">IF(DH93=0,"",DH93)</f>
        <v/>
      </c>
      <c r="AQ93" s="49"/>
      <c r="AR93" s="49"/>
      <c r="AT93" s="49"/>
      <c r="AU93" s="49" t="str">
        <f aca="false">IF(DJ93=0,"",DJ93)</f>
        <v/>
      </c>
      <c r="AV93" s="49"/>
      <c r="AW93" s="49"/>
      <c r="AY93" s="49"/>
      <c r="AZ93" s="49" t="str">
        <f aca="false">IF(DL93=0,"",DL93)</f>
        <v/>
      </c>
      <c r="BA93" s="49"/>
      <c r="BB93" s="49"/>
      <c r="BD93" s="49"/>
      <c r="BE93" s="49" t="str">
        <f aca="false">IF(DN93=0,"",DN93)</f>
        <v/>
      </c>
      <c r="BF93" s="49"/>
      <c r="BG93" s="49"/>
      <c r="BI93" s="49"/>
      <c r="BJ93" s="49" t="str">
        <f aca="false">IF(DP93=0,"",DP93)</f>
        <v/>
      </c>
      <c r="BK93" s="49"/>
      <c r="BL93" s="49"/>
      <c r="BN93" s="49"/>
      <c r="BO93" s="49" t="str">
        <f aca="false">IF(DR93=0,"",DR93)</f>
        <v/>
      </c>
      <c r="BP93" s="49"/>
      <c r="BQ93" s="49"/>
      <c r="BS93" s="49"/>
      <c r="BT93" s="49" t="str">
        <f aca="false">IF(DT93=0,"",DT93)</f>
        <v/>
      </c>
      <c r="BU93" s="49"/>
      <c r="BV93" s="49"/>
      <c r="BX93" s="49"/>
      <c r="BY93" s="49" t="str">
        <f aca="false">IF(DV93=0,"",DV93)</f>
        <v/>
      </c>
      <c r="BZ93" s="49"/>
      <c r="CA93" s="49"/>
      <c r="CC93" s="49"/>
      <c r="CD93" s="49" t="str">
        <f aca="false">IF(DX93=0,"",DX93)</f>
        <v/>
      </c>
      <c r="CE93" s="49"/>
      <c r="CF93" s="49"/>
      <c r="CH93" s="49"/>
      <c r="CI93" s="49" t="str">
        <f aca="false">IF(DZ93=0,"",DZ93)</f>
        <v/>
      </c>
      <c r="CJ93" s="49"/>
      <c r="CK93" s="49"/>
      <c r="CM93" s="49"/>
      <c r="CN93" s="49" t="str">
        <f aca="false">IF(EB93=0,"",EB93)</f>
        <v/>
      </c>
      <c r="CO93" s="49"/>
      <c r="CP93" s="49"/>
      <c r="CR93" s="49"/>
      <c r="CS93" s="21"/>
      <c r="CT93" s="22" t="str">
        <f aca="false">IFERROR(CT94+CT95,"")</f>
        <v/>
      </c>
      <c r="CU93" s="21"/>
      <c r="CV93" s="22" t="str">
        <f aca="false">IFERROR(CV94+CV95,"")</f>
        <v/>
      </c>
      <c r="CW93" s="21"/>
      <c r="CX93" s="22" t="str">
        <f aca="false">IFERROR(CX94+CX95,"")</f>
        <v/>
      </c>
      <c r="CY93" s="21"/>
      <c r="CZ93" s="22" t="str">
        <f aca="false">IFERROR(CZ94+CZ95,"")</f>
        <v/>
      </c>
      <c r="DA93" s="21"/>
      <c r="DB93" s="22" t="str">
        <f aca="false">IFERROR(DB94+DB95,"")</f>
        <v/>
      </c>
      <c r="DC93" s="21"/>
      <c r="DD93" s="22" t="str">
        <f aca="false">IFERROR(DD94+DD95,"")</f>
        <v/>
      </c>
      <c r="DE93" s="21"/>
      <c r="DF93" s="22" t="str">
        <f aca="false">IFERROR(DF94+DF95,"")</f>
        <v/>
      </c>
      <c r="DG93" s="21"/>
      <c r="DH93" s="22" t="str">
        <f aca="false">IFERROR(DH94+DH95,"")</f>
        <v/>
      </c>
      <c r="DI93" s="21"/>
      <c r="DJ93" s="22" t="str">
        <f aca="false">IFERROR(DJ94+DJ95,"")</f>
        <v/>
      </c>
      <c r="DK93" s="21"/>
      <c r="DL93" s="22" t="str">
        <f aca="false">IFERROR(DL94+DL95,"")</f>
        <v/>
      </c>
      <c r="DM93" s="21"/>
      <c r="DN93" s="22" t="str">
        <f aca="false">IFERROR(DN94+DN95,"")</f>
        <v/>
      </c>
      <c r="DO93" s="21"/>
      <c r="DP93" s="22" t="str">
        <f aca="false">IFERROR(DP94+DP95,"")</f>
        <v/>
      </c>
      <c r="DQ93" s="21"/>
      <c r="DR93" s="22" t="str">
        <f aca="false">IFERROR(DR94+DR95,"")</f>
        <v/>
      </c>
      <c r="DS93" s="21"/>
      <c r="DT93" s="22" t="str">
        <f aca="false">IFERROR(DT94+DT95,"")</f>
        <v/>
      </c>
      <c r="DU93" s="21"/>
      <c r="DV93" s="22" t="str">
        <f aca="false">IFERROR(DV94+DV95,"")</f>
        <v/>
      </c>
      <c r="DW93" s="21"/>
      <c r="DX93" s="22" t="str">
        <f aca="false">IFERROR(DX94+DX95,"")</f>
        <v/>
      </c>
      <c r="DY93" s="21"/>
      <c r="DZ93" s="22" t="str">
        <f aca="false">IFERROR(DZ94+DZ95,"")</f>
        <v/>
      </c>
      <c r="EA93" s="21"/>
      <c r="EB93" s="22" t="str">
        <f aca="false">IFERROR(EB94+EB95,"")</f>
        <v/>
      </c>
      <c r="EC93" s="17" t="n">
        <f aca="false">IFERROR(LARGE($G93:$CN93,1),0)+IFERROR(LARGE($G93:$CN93,2),0)+IFERROR(LARGE($G93:$CN93,3),0)+IFERROR(LARGE($G93:$CN93,4),0)+IFERROR(LARGE($G93:$CN93,5),0)+IFERROR(LARGE($G93:$CN93,6),0)+IFERROR(LARGE($G93:$CN93,7),0)+IFERROR(LARGE($G93:$CN93,8),0)+IFERROR(LARGE($G93:$CN93,9),0)+IFERROR(LARGE($G93:$CN93,10),0)</f>
        <v>0</v>
      </c>
      <c r="ED93" s="23" t="n">
        <f aca="false">IFERROR(AVERAGE(CT93,CV93,CX93,CZ93,DB93,DD93,DF93,DH93,DJ93,DL93,DN93,DP93,DR93,DT93,DV93,DX93,DZ93,EB93),0)</f>
        <v>0</v>
      </c>
    </row>
    <row r="94" customFormat="false" ht="13.5" hidden="false" customHeight="false" outlineLevel="1" collapsed="false">
      <c r="B94" s="72" t="n">
        <f aca="false">B92+0.029</f>
        <v>1.0315</v>
      </c>
      <c r="C94" s="68"/>
      <c r="D94" s="68" t="s">
        <v>168</v>
      </c>
      <c r="E94" s="73" t="s">
        <v>43</v>
      </c>
      <c r="F94" s="74"/>
      <c r="G94" s="7"/>
      <c r="H94" s="7" t="str">
        <f aca="false">IF(CS94=0,"",CS94)</f>
        <v/>
      </c>
      <c r="I94" s="7"/>
      <c r="J94" s="49" t="str">
        <f aca="false">IFERROR(RANK(H94,H$6:H$116,0),"")</f>
        <v/>
      </c>
      <c r="K94" s="7"/>
      <c r="L94" s="7"/>
      <c r="M94" s="7" t="str">
        <f aca="false">IF(CU94=0,"",CU94)</f>
        <v/>
      </c>
      <c r="N94" s="7"/>
      <c r="O94" s="49" t="str">
        <f aca="false">IFERROR(RANK(M94,M$6:M$116,0),"")</f>
        <v/>
      </c>
      <c r="P94" s="7"/>
      <c r="Q94" s="7"/>
      <c r="R94" s="7" t="str">
        <f aca="false">IF(CW94=0,"",CW94)</f>
        <v/>
      </c>
      <c r="S94" s="7"/>
      <c r="T94" s="49" t="str">
        <f aca="false">IFERROR(RANK(R94,R$6:R$116,0),"")</f>
        <v/>
      </c>
      <c r="U94" s="7"/>
      <c r="V94" s="7"/>
      <c r="W94" s="7" t="str">
        <f aca="false">IF(CY94=0,"",CY94)</f>
        <v/>
      </c>
      <c r="X94" s="7"/>
      <c r="Y94" s="49" t="str">
        <f aca="false">IFERROR(RANK(W94,W$6:W$116,0),"")</f>
        <v/>
      </c>
      <c r="Z94" s="7"/>
      <c r="AA94" s="7"/>
      <c r="AB94" s="7" t="str">
        <f aca="false">IF(DA94=0,"",DA94)</f>
        <v/>
      </c>
      <c r="AC94" s="7"/>
      <c r="AD94" s="49" t="str">
        <f aca="false">IFERROR(RANK(AB94,AB$6:AB$116,0),"")</f>
        <v/>
      </c>
      <c r="AE94" s="7"/>
      <c r="AF94" s="7"/>
      <c r="AG94" s="7" t="str">
        <f aca="false">IF(DC94=0,"",DC94)</f>
        <v/>
      </c>
      <c r="AH94" s="7"/>
      <c r="AI94" s="49" t="str">
        <f aca="false">IFERROR(RANK(AG94,AG$6:AG$116,0),"")</f>
        <v/>
      </c>
      <c r="AJ94" s="7"/>
      <c r="AK94" s="7"/>
      <c r="AL94" s="7" t="str">
        <f aca="false">IF(DE94=0,"",DE94)</f>
        <v/>
      </c>
      <c r="AM94" s="7"/>
      <c r="AN94" s="49" t="str">
        <f aca="false">IFERROR(RANK(AL94,AL$6:AL$116,0),"")</f>
        <v/>
      </c>
      <c r="AO94" s="7"/>
      <c r="AP94" s="7"/>
      <c r="AQ94" s="7" t="str">
        <f aca="false">IF(DG94=0,"",DG94)</f>
        <v/>
      </c>
      <c r="AR94" s="7"/>
      <c r="AS94" s="49" t="str">
        <f aca="false">IFERROR(RANK(AQ94,AQ$6:AQ$116,0),"")</f>
        <v/>
      </c>
      <c r="AT94" s="7"/>
      <c r="AU94" s="7"/>
      <c r="AV94" s="7" t="str">
        <f aca="false">IF(DI94=0,"",DI94)</f>
        <v/>
      </c>
      <c r="AW94" s="7"/>
      <c r="AX94" s="49" t="str">
        <f aca="false">IFERROR(RANK(AV94,AV$6:AV$116,0),"")</f>
        <v/>
      </c>
      <c r="AY94" s="7"/>
      <c r="AZ94" s="7"/>
      <c r="BA94" s="7" t="str">
        <f aca="false">IF(DK94=0,"",DK94)</f>
        <v/>
      </c>
      <c r="BB94" s="7"/>
      <c r="BC94" s="49" t="str">
        <f aca="false">IFERROR(RANK(BA94,BA$6:BA$116,0),"")</f>
        <v/>
      </c>
      <c r="BD94" s="7"/>
      <c r="BE94" s="7"/>
      <c r="BF94" s="7" t="str">
        <f aca="false">IF(DM94=0,"",DM94)</f>
        <v/>
      </c>
      <c r="BG94" s="7"/>
      <c r="BH94" s="49" t="str">
        <f aca="false">IFERROR(RANK(BF94,BF$6:BF$116,0),"")</f>
        <v/>
      </c>
      <c r="BI94" s="7"/>
      <c r="BJ94" s="7"/>
      <c r="BK94" s="7" t="str">
        <f aca="false">IF(DO94=0,"",DO94)</f>
        <v/>
      </c>
      <c r="BL94" s="7"/>
      <c r="BM94" s="49" t="str">
        <f aca="false">IFERROR(RANK(BK94,BK$6:BK$116,0),"")</f>
        <v/>
      </c>
      <c r="BN94" s="7"/>
      <c r="BO94" s="7"/>
      <c r="BP94" s="7" t="str">
        <f aca="false">IF(DQ94=0,"",DQ94)</f>
        <v/>
      </c>
      <c r="BQ94" s="7"/>
      <c r="BR94" s="49" t="str">
        <f aca="false">IFERROR(RANK(BP94,BP$6:BP$116,0),"")</f>
        <v/>
      </c>
      <c r="BS94" s="7"/>
      <c r="BT94" s="7"/>
      <c r="BU94" s="7" t="str">
        <f aca="false">IF(DS94=0,"",DS94)</f>
        <v/>
      </c>
      <c r="BV94" s="7"/>
      <c r="BW94" s="49" t="str">
        <f aca="false">IFERROR(RANK(BU94,BU$6:BU$116,0),"")</f>
        <v/>
      </c>
      <c r="BX94" s="7"/>
      <c r="BY94" s="7"/>
      <c r="BZ94" s="7" t="str">
        <f aca="false">IF(DU94=0,"",DU94)</f>
        <v/>
      </c>
      <c r="CA94" s="7"/>
      <c r="CB94" s="49" t="str">
        <f aca="false">IFERROR(RANK(BZ94,BZ$6:BZ$116,0),"")</f>
        <v/>
      </c>
      <c r="CC94" s="7"/>
      <c r="CD94" s="7"/>
      <c r="CE94" s="7" t="str">
        <f aca="false">IF(DW94=0,"",DW94)</f>
        <v/>
      </c>
      <c r="CF94" s="7"/>
      <c r="CG94" s="49" t="str">
        <f aca="false">IFERROR(RANK(CE94,CE$6:CE$116,0),"")</f>
        <v/>
      </c>
      <c r="CH94" s="7"/>
      <c r="CI94" s="7"/>
      <c r="CJ94" s="7" t="str">
        <f aca="false">IF(DY94=0,"",DY94)</f>
        <v/>
      </c>
      <c r="CK94" s="7"/>
      <c r="CL94" s="49" t="str">
        <f aca="false">IFERROR(RANK(CJ94,CJ$6:CJ$116,0),"")</f>
        <v/>
      </c>
      <c r="CM94" s="7"/>
      <c r="CN94" s="7"/>
      <c r="CO94" s="7" t="str">
        <f aca="false">IF(EA94=0,"",EA94)</f>
        <v/>
      </c>
      <c r="CP94" s="7"/>
      <c r="CQ94" s="49" t="str">
        <f aca="false">IFERROR(RANK(CO94,CO$6:CO$116,0),"")</f>
        <v/>
      </c>
      <c r="CR94" s="7"/>
      <c r="CS94" s="21"/>
      <c r="CT94" s="25" t="str">
        <f aca="true">IFERROR(AVERAGE(OFFSET('Data - For Rank'!B$2,J94,0,COUNTIF($J$7:J$116,J94)))+IFERROR(VLOOKUP((COUNT($H$6:$H$116)/4),$ER$9:$ES$13,2,FALSE()),0),"")</f>
        <v/>
      </c>
      <c r="CU94" s="21"/>
      <c r="CV94" s="25" t="str">
        <f aca="true">IFERROR(AVERAGE(OFFSET('Data - For Rank'!$C$2,O94,0,COUNTIF(O$7:O$116,O94)))+IFERROR(VLOOKUP((COUNT(M$6:M$116)/4),$ER$9:$ES$13,2,FALSE()),0),"")</f>
        <v/>
      </c>
      <c r="CW94" s="21"/>
      <c r="CX94" s="25" t="str">
        <f aca="true">IFERROR(AVERAGE(OFFSET('Data - For Rank'!D$2,T94,0,COUNTIF(T$7:T$116,T94)))+IFERROR(VLOOKUP((COUNT(R$6:R$116)/4),$ER$9:$ES$13,2,FALSE()),0),"")</f>
        <v/>
      </c>
      <c r="CY94" s="21"/>
      <c r="CZ94" s="25" t="str">
        <f aca="true">IFERROR(AVERAGE(OFFSET('Data - For Rank'!E$2,Y94,0,COUNTIF(Y$7:Y$116,Y94)))+IFERROR(VLOOKUP((COUNT(W$6:W$116)/4),$ER$9:$ES$13,2,FALSE()),0),"")</f>
        <v/>
      </c>
      <c r="DA94" s="21"/>
      <c r="DB94" s="25" t="str">
        <f aca="true">IFERROR(AVERAGE(OFFSET('Data - For Rank'!F$2,AD94,0,COUNTIF(AD$7:AD$116,AD94)))+IFERROR(VLOOKUP((COUNT(AB$6:AB$116)/4),$ER$9:$ES$13,2,FALSE()),0),"")</f>
        <v/>
      </c>
      <c r="DC94" s="21"/>
      <c r="DD94" s="25" t="str">
        <f aca="true">IFERROR(AVERAGE(OFFSET('Data - For Rank'!G$2,AI94,0,COUNTIF(AI$7:AI$116,AI94)))+IFERROR(VLOOKUP((COUNT(AG$6:AG$116)/4),$ER$9:$ES$13,2,FALSE()),0),"")</f>
        <v/>
      </c>
      <c r="DE94" s="21"/>
      <c r="DF94" s="25" t="str">
        <f aca="true">IFERROR(AVERAGE(OFFSET('Data - For Rank'!$H$2,AN94,0,COUNTIF(AN$7:AN$116,AN94)))+IFERROR(VLOOKUP((COUNT(AL$6:AL$116)/4),$ER$9:$ES$13,2,FALSE()),0),"")</f>
        <v/>
      </c>
      <c r="DG94" s="21"/>
      <c r="DH94" s="25" t="str">
        <f aca="true">IFERROR(AVERAGE(OFFSET('Data - For Rank'!$I$2,AS94,0,COUNTIF(AS$7:AS$116,AS94)))+IFERROR(VLOOKUP((COUNT(AQ$6:AQ$116)/4),$ER$9:$ES$13,2,FALSE()),0),"")</f>
        <v/>
      </c>
      <c r="DI94" s="21"/>
      <c r="DJ94" s="25" t="str">
        <f aca="true">IFERROR(AVERAGE(OFFSET('Data - For Rank'!$J$2,AX94,0,COUNTIF(AX$7:AX$116,AX94)))+IFERROR(VLOOKUP((COUNT(AV$6:AV$116)/4),$ER$9:$ES$13,2,FALSE()),0),"")</f>
        <v/>
      </c>
      <c r="DK94" s="21"/>
      <c r="DL94" s="25" t="str">
        <f aca="true">IFERROR(AVERAGE(OFFSET('Data - For Rank'!$K$2,BC94,0,COUNTIF(BC$7:BC$116,BC94)))+IFERROR(VLOOKUP((COUNT(BA$6:BA$116)/4),$ER$9:$ES$13,2,FALSE()),0),"")</f>
        <v/>
      </c>
      <c r="DM94" s="21"/>
      <c r="DN94" s="25" t="str">
        <f aca="true">IFERROR(AVERAGE(OFFSET('Data - For Rank'!$L$2,BH94,0,COUNTIF(BH$7:BH$116,BH94)))+IFERROR(VLOOKUP((COUNT(BF$6:BF$116)/4),$ER$9:$ES$13,2,FALSE()),0),"")</f>
        <v/>
      </c>
      <c r="DO94" s="21"/>
      <c r="DP94" s="25" t="str">
        <f aca="true">IFERROR(AVERAGE(OFFSET('Data - For Rank'!$M$2,BM94,0,COUNTIF(BM$7:BM$116,BM94)))+IFERROR(VLOOKUP((COUNT(BK$6:BK$116)/4),$ER$9:$ES$13,2,FALSE()),0),"")</f>
        <v/>
      </c>
      <c r="DQ94" s="21"/>
      <c r="DR94" s="25" t="str">
        <f aca="true">IFERROR(AVERAGE(OFFSET('Data - For Rank'!$N$2,BR94,0,COUNTIF(BR$7:BR$116,BR94)))+IFERROR(VLOOKUP((COUNT(BP$6:BP$116)/4),$ER$9:$ES$13,2,FALSE()),0),"")</f>
        <v/>
      </c>
      <c r="DS94" s="21"/>
      <c r="DT94" s="25" t="str">
        <f aca="true">IFERROR(AVERAGE(OFFSET('Data - For Rank'!$O$2,BW94,0,COUNTIF(BW$7:BW$116,BW94)))+IFERROR(VLOOKUP((COUNT(BU$6:BU$116)/4),$ER$9:$ES$13,2,FALSE()),0),"")</f>
        <v/>
      </c>
      <c r="DU94" s="21"/>
      <c r="DV94" s="25" t="str">
        <f aca="true">IFERROR(AVERAGE(OFFSET('Data - For Rank'!$P$2,CB94,0,COUNTIF(CB$7:CB$116,CB94)))+IFERROR(VLOOKUP((COUNT(BZ$6:BZ$116)/4),$ER$9:$ES$13,2,FALSE()),0),"")</f>
        <v/>
      </c>
      <c r="DW94" s="21"/>
      <c r="DX94" s="25" t="str">
        <f aca="true">IFERROR(AVERAGE(OFFSET('Data - For Rank'!$Q$2,CG94,0,COUNTIF(CG$7:CG$116,CG94)))+IFERROR(VLOOKUP((COUNT(CE$6:CE$116)/4),$ER$9:$ES$13,2,FALSE()),0),"")</f>
        <v/>
      </c>
      <c r="DY94" s="21"/>
      <c r="DZ94" s="25" t="str">
        <f aca="true">IFERROR(AVERAGE(OFFSET('Data - For Rank'!$R$2,CL94,0,COUNTIF(CL$7:CL$116,CL94)))+IFERROR(VLOOKUP((COUNT(CJ$6:CJ$116)/4),$ER$9:$ES$13,2,FALSE()),0),"")</f>
        <v/>
      </c>
      <c r="EA94" s="21"/>
      <c r="EB94" s="25" t="str">
        <f aca="true">IFERROR(AVERAGE(OFFSET('Data - For Rank'!$S$2,CQ94,0,COUNTIF(CQ$7:CQ$116,CQ94)))+IFERROR(VLOOKUP((COUNT(CO$6:CO$116)/4),$ER$9:$ES$13,2,FALSE()),0),"")</f>
        <v/>
      </c>
      <c r="EC94" s="26" t="n">
        <f aca="false">IFERROR(AVERAGE(CS94,CU94,CW94,CY94,DA94,DC94,DE94,DG94,DI94,DK94,DM94,DO94,DQ94,DS94,DU94,DW94,DY94,EA94),0)</f>
        <v>0</v>
      </c>
      <c r="ED94" s="23" t="n">
        <f aca="false">IFERROR(AVERAGE(CT94,CV94,CX94,CZ94,DB94,DD94,DF94,DH94,DJ94,DL94,DN94,DP94,DR94,DT94,DV94,DX94,DZ94,EB94),0)</f>
        <v>0</v>
      </c>
    </row>
    <row r="95" customFormat="false" ht="13.5" hidden="false" customHeight="false" outlineLevel="1" collapsed="false">
      <c r="B95" s="75" t="n">
        <f aca="false">B94+0.19</f>
        <v>1.2215</v>
      </c>
      <c r="C95" s="68"/>
      <c r="D95" s="68" t="s">
        <v>169</v>
      </c>
      <c r="E95" s="76" t="s">
        <v>44</v>
      </c>
      <c r="F95" s="77"/>
      <c r="G95" s="29"/>
      <c r="H95" s="29"/>
      <c r="I95" s="53" t="str">
        <f aca="false">IF(CS95=0,"",CS95)</f>
        <v/>
      </c>
      <c r="J95" s="53"/>
      <c r="K95" s="54" t="str">
        <f aca="false">IFERROR(_xlfn.RANK.EQ(I95,I$6:I$116,0),"")</f>
        <v/>
      </c>
      <c r="L95" s="29"/>
      <c r="M95" s="29"/>
      <c r="N95" s="53" t="str">
        <f aca="false">IF(CU95=0,"",CU95)</f>
        <v/>
      </c>
      <c r="O95" s="53"/>
      <c r="P95" s="54" t="str">
        <f aca="false">IFERROR(_xlfn.RANK.EQ(N95,N$6:N$116,0),"")</f>
        <v/>
      </c>
      <c r="Q95" s="29"/>
      <c r="R95" s="29"/>
      <c r="S95" s="53" t="str">
        <f aca="false">IF(CW95=0,"",CW95)</f>
        <v/>
      </c>
      <c r="T95" s="53"/>
      <c r="U95" s="54" t="str">
        <f aca="false">IFERROR(_xlfn.RANK.EQ(S95,S$6:S$116,0),"")</f>
        <v/>
      </c>
      <c r="V95" s="29"/>
      <c r="W95" s="29"/>
      <c r="X95" s="53" t="str">
        <f aca="false">IF(CY95=0,"",CY95)</f>
        <v/>
      </c>
      <c r="Y95" s="53"/>
      <c r="Z95" s="54" t="str">
        <f aca="false">IFERROR(_xlfn.RANK.EQ(X95,X$6:X$116,0),"")</f>
        <v/>
      </c>
      <c r="AA95" s="29"/>
      <c r="AB95" s="29"/>
      <c r="AC95" s="53" t="str">
        <f aca="false">IF(DA95=0,"",DA95)</f>
        <v/>
      </c>
      <c r="AD95" s="53"/>
      <c r="AE95" s="54" t="str">
        <f aca="false">IFERROR(_xlfn.RANK.EQ(AC95,AC$6:AC$116,0),"")</f>
        <v/>
      </c>
      <c r="AF95" s="29"/>
      <c r="AG95" s="29"/>
      <c r="AH95" s="53" t="str">
        <f aca="false">IF(DC95=0,"",DC95)</f>
        <v/>
      </c>
      <c r="AI95" s="53"/>
      <c r="AJ95" s="54" t="str">
        <f aca="false">IFERROR(_xlfn.RANK.EQ(AH95,AH$6:AH$116,0),"")</f>
        <v/>
      </c>
      <c r="AK95" s="29"/>
      <c r="AL95" s="29"/>
      <c r="AM95" s="53" t="str">
        <f aca="false">IF(DE95=0,"",DE95)</f>
        <v/>
      </c>
      <c r="AN95" s="53"/>
      <c r="AO95" s="54" t="str">
        <f aca="false">IFERROR(_xlfn.RANK.EQ(AM95,AM$6:AM$116,0),"")</f>
        <v/>
      </c>
      <c r="AP95" s="29"/>
      <c r="AQ95" s="29"/>
      <c r="AR95" s="53" t="str">
        <f aca="false">IF(DG95=0,"",DG95)</f>
        <v/>
      </c>
      <c r="AS95" s="53"/>
      <c r="AT95" s="54" t="str">
        <f aca="false">IFERROR(_xlfn.RANK.EQ(AR95,AR$6:AR$116,0),"")</f>
        <v/>
      </c>
      <c r="AU95" s="29"/>
      <c r="AV95" s="29"/>
      <c r="AW95" s="53" t="str">
        <f aca="false">IF(DI95=0,"",DI95)</f>
        <v/>
      </c>
      <c r="AX95" s="53"/>
      <c r="AY95" s="54" t="str">
        <f aca="false">IFERROR(_xlfn.RANK.EQ(AW95,AW$6:AW$116,0),"")</f>
        <v/>
      </c>
      <c r="AZ95" s="29"/>
      <c r="BA95" s="29"/>
      <c r="BB95" s="53" t="str">
        <f aca="false">IF(DK95=0,"",DK95)</f>
        <v/>
      </c>
      <c r="BC95" s="53"/>
      <c r="BD95" s="54" t="str">
        <f aca="false">IFERROR(_xlfn.RANK.EQ(BB95,BB$6:BB$116,0),"")</f>
        <v/>
      </c>
      <c r="BE95" s="29"/>
      <c r="BF95" s="29"/>
      <c r="BG95" s="53" t="str">
        <f aca="false">IF(DM95=0,"",DM95)</f>
        <v/>
      </c>
      <c r="BH95" s="53"/>
      <c r="BI95" s="54" t="str">
        <f aca="false">IFERROR(_xlfn.RANK.EQ(BG95,BG$6:BG$116,0),"")</f>
        <v/>
      </c>
      <c r="BJ95" s="29"/>
      <c r="BK95" s="29"/>
      <c r="BL95" s="53" t="str">
        <f aca="false">IF(DO95=0,"",DO95)</f>
        <v/>
      </c>
      <c r="BM95" s="53"/>
      <c r="BN95" s="54" t="str">
        <f aca="false">IFERROR(_xlfn.RANK.EQ(BL95,BL$6:BL$116,0),"")</f>
        <v/>
      </c>
      <c r="BO95" s="29"/>
      <c r="BP95" s="29"/>
      <c r="BQ95" s="53" t="str">
        <f aca="false">IF(DQ95=0,"",DQ95)</f>
        <v/>
      </c>
      <c r="BR95" s="53"/>
      <c r="BS95" s="54" t="str">
        <f aca="false">IFERROR(_xlfn.RANK.EQ(BQ95,BQ$6:BQ$116,0),"")</f>
        <v/>
      </c>
      <c r="BT95" s="29"/>
      <c r="BU95" s="29"/>
      <c r="BV95" s="53" t="str">
        <f aca="false">IF(DS95=0,"",DS95)</f>
        <v/>
      </c>
      <c r="BW95" s="53"/>
      <c r="BX95" s="54" t="str">
        <f aca="false">IFERROR(_xlfn.RANK.EQ(BV95,BV$6:BV$116,0),"")</f>
        <v/>
      </c>
      <c r="BY95" s="29"/>
      <c r="BZ95" s="29"/>
      <c r="CA95" s="53" t="str">
        <f aca="false">IF(DU95=0,"",DU95)</f>
        <v/>
      </c>
      <c r="CB95" s="53"/>
      <c r="CC95" s="54" t="str">
        <f aca="false">IFERROR(_xlfn.RANK.EQ(CA95,CA$6:CA$116,0),"")</f>
        <v/>
      </c>
      <c r="CD95" s="29"/>
      <c r="CE95" s="29"/>
      <c r="CF95" s="53" t="str">
        <f aca="false">IF(DW95=0,"",DW95)</f>
        <v/>
      </c>
      <c r="CG95" s="53"/>
      <c r="CH95" s="54" t="str">
        <f aca="false">IFERROR(_xlfn.RANK.EQ(CF95,CF$6:CF$116,0),"")</f>
        <v/>
      </c>
      <c r="CI95" s="29"/>
      <c r="CJ95" s="29"/>
      <c r="CK95" s="53" t="str">
        <f aca="false">IF(DY95=0,"",DY95)</f>
        <v/>
      </c>
      <c r="CL95" s="53"/>
      <c r="CM95" s="54" t="str">
        <f aca="false">IFERROR(_xlfn.RANK.EQ(CK95,CK$6:CK$116,0),"")</f>
        <v/>
      </c>
      <c r="CN95" s="29"/>
      <c r="CO95" s="29"/>
      <c r="CP95" s="53" t="str">
        <f aca="false">IF(EA95=0,"",EA95)</f>
        <v/>
      </c>
      <c r="CQ95" s="53"/>
      <c r="CR95" s="54" t="str">
        <f aca="false">IFERROR(_xlfn.RANK.EQ(CP95,CP$6:CP$116,0),"")</f>
        <v/>
      </c>
      <c r="CS95" s="30"/>
      <c r="CT95" s="31" t="str">
        <f aca="true">IFERROR(AVERAGE(OFFSET('Data - For Rank'!B$2,K95,0,COUNTIF(K$6:K$116,K95)))+IFERROR(VLOOKUP((COUNT($I$6:$I$116)/4),$ER$9:$ES$13,2,FALSE()),0),"")</f>
        <v/>
      </c>
      <c r="CU95" s="30"/>
      <c r="CV95" s="31" t="str">
        <f aca="true">IFERROR(AVERAGE(OFFSET('Data - For Rank'!$C$2,P95,0,COUNTIF(P$6:P$116,P95)))+IFERROR(VLOOKUP((COUNT(N$6:N$116)/4),$ER$9:$ES$13,2,FALSE()),0),"")</f>
        <v/>
      </c>
      <c r="CW95" s="30"/>
      <c r="CX95" s="31" t="str">
        <f aca="true">IFERROR(AVERAGE(OFFSET('Data - For Rank'!D$2,U95,0,COUNTIF(U$6:$U202,U95)))+IFERROR(VLOOKUP((COUNT(S$6:S$116)/4),$ER$9:$ES$13,2,FALSE()),0),"")</f>
        <v/>
      </c>
      <c r="CY95" s="30"/>
      <c r="CZ95" s="31" t="str">
        <f aca="true">IFERROR(AVERAGE(OFFSET('Data - For Rank'!E$2,Z95,0,COUNTIF(Z$6:Z$116,Z95)))+IFERROR(VLOOKUP((COUNT(W$6:W$116)/4),$ER$9:$ES$13,2,FALSE()),0),"")</f>
        <v/>
      </c>
      <c r="DA95" s="30"/>
      <c r="DB95" s="31" t="str">
        <f aca="true">IFERROR(AVERAGE(OFFSET('Data - For Rank'!F$2,AE95,0,COUNTIF(AE$6:AE$116,AE95)))+IFERROR(VLOOKUP((COUNT(AC$6:AC$116)/4),$ER$9:$ES$13,2,FALSE()),0),"")</f>
        <v/>
      </c>
      <c r="DC95" s="30"/>
      <c r="DD95" s="31" t="str">
        <f aca="true">IFERROR(AVERAGE(OFFSET('Data - For Rank'!G$2,AJ95,0,COUNTIF(AJ$6:AJ$116,AJ95)))+IFERROR(VLOOKUP((COUNT(AH$6:AH$116)/4),$ER$9:$ES$13,2,FALSE()),0),"")</f>
        <v/>
      </c>
      <c r="DE95" s="30"/>
      <c r="DF95" s="31" t="str">
        <f aca="true">IFERROR(AVERAGE(OFFSET('Data - For Rank'!$H$2,AO95,0,COUNTIF(AO$6:AO$116,AO95)))+IFERROR(VLOOKUP((COUNT(AM$6:AM$116)/4),$ER$9:$ES$13,2,FALSE()),0),"")</f>
        <v/>
      </c>
      <c r="DG95" s="30"/>
      <c r="DH95" s="31" t="str">
        <f aca="true">IFERROR(AVERAGE(OFFSET('Data - For Rank'!$I$2,AT95,0,COUNTIF(AT$6:AT$116,AT95)))+IFERROR(VLOOKUP((COUNT(AR$6:AR$116)/4),$ER$9:$ES$13,2,FALSE()),0),"")</f>
        <v/>
      </c>
      <c r="DI95" s="30"/>
      <c r="DJ95" s="31" t="str">
        <f aca="true">IFERROR(AVERAGE(OFFSET('Data - For Rank'!$J$2,AY95,0,COUNTIF(AY$6:AY$116,AY95)))+IFERROR(VLOOKUP((COUNT(AW$6:AW$116)/4),$ER$9:$ES$13,2,FALSE()),0),"")</f>
        <v/>
      </c>
      <c r="DK95" s="30"/>
      <c r="DL95" s="31" t="str">
        <f aca="true">IFERROR(AVERAGE(OFFSET('Data - For Rank'!$K$2,BD95,0,COUNTIF(BD$6:BD$116,BD95)))+IFERROR(VLOOKUP((COUNT(BB$6:BB$116)/4),$ER$9:$ES$13,2,FALSE()),0),"")</f>
        <v/>
      </c>
      <c r="DM95" s="30"/>
      <c r="DN95" s="31" t="str">
        <f aca="true">IFERROR(AVERAGE(OFFSET('Data - For Rank'!$L$2,BI95,0,COUNTIF(BI$6:BI$116,BI95)))+IFERROR(VLOOKUP((COUNT(BG$6:BG$116)/4),$ER$9:$ES$13,2,FALSE()),0),"")</f>
        <v/>
      </c>
      <c r="DO95" s="30"/>
      <c r="DP95" s="31" t="str">
        <f aca="true">IFERROR(AVERAGE(OFFSET('Data - For Rank'!$M$2,BN95,0,COUNTIF(BN$6:BN$116,BN95)))+IFERROR(VLOOKUP((COUNT(BL$6:BL$116)/4),$ER$9:$ES$13,2,FALSE()),0),"")</f>
        <v/>
      </c>
      <c r="DQ95" s="30"/>
      <c r="DR95" s="31" t="str">
        <f aca="true">IFERROR(AVERAGE(OFFSET('Data - For Rank'!$N$2,BS95,0,COUNTIF(BS$6:BS$116,BS95)))+IFERROR(VLOOKUP((COUNT(BQ$6:BQ$116)/4),$ER$9:$ES$13,2,FALSE()),0),"")</f>
        <v/>
      </c>
      <c r="DS95" s="30"/>
      <c r="DT95" s="31" t="str">
        <f aca="true">IFERROR(AVERAGE(OFFSET('Data - For Rank'!$O$2,BX95,0,COUNTIF(BX$6:BX$116,BX95)))+IFERROR(VLOOKUP((COUNT(BV$6:BV$116)/4),$ER$9:$ES$13,2,FALSE()),0),"")</f>
        <v/>
      </c>
      <c r="DU95" s="30"/>
      <c r="DV95" s="31" t="str">
        <f aca="true">IFERROR(AVERAGE(OFFSET('Data - For Rank'!$P$2,CC95,0,COUNTIF(CC$6:CC$116,CC95)))+IFERROR(VLOOKUP((COUNT(CA$6:CA$116)/4),$ER$9:$ES$13,2,FALSE()),0),"")</f>
        <v/>
      </c>
      <c r="DW95" s="30"/>
      <c r="DX95" s="31" t="str">
        <f aca="true">IFERROR(AVERAGE(OFFSET('Data - For Rank'!$Q$2,CH95,0,COUNTIF(CH$6:CH$116,CH95)))+IFERROR(VLOOKUP((COUNT(CF$6:CF$116)/4),$ER$9:$ES$13,2,FALSE()),0),"")</f>
        <v/>
      </c>
      <c r="DY95" s="30"/>
      <c r="DZ95" s="31" t="str">
        <f aca="true">IFERROR(AVERAGE(OFFSET('Data - For Rank'!$R$2,CM95,0,COUNTIF(CM$6:CM$116,CM95)))+IFERROR(VLOOKUP((COUNT(CK$6:CK$116)/4),$ER$9:$ES$13,2,FALSE()),0),"")</f>
        <v/>
      </c>
      <c r="EA95" s="30"/>
      <c r="EB95" s="31" t="str">
        <f aca="true">IFERROR(AVERAGE(OFFSET('Data - For Rank'!$S$2,CR95,0,COUNTIF(CR$6:CR$116,CR95)))+IFERROR(VLOOKUP((COUNT(CP$6:CP$116)/4),$ER$9:$ES$13,2,FALSE()),0),"")</f>
        <v/>
      </c>
      <c r="EC95" s="32" t="n">
        <f aca="false">CS95+CU95+CW95+CY95+DA95+DC95+DE95+DG95+DI95+DK95+DM95+DO95+DQ95+DS95+DU95+DW95+DY95+EA95</f>
        <v>0</v>
      </c>
      <c r="ED95" s="33" t="n">
        <f aca="false">IFERROR(AVERAGE(CT95,CV95,CX95,CZ95,DB95,DD95,DF95,DH95,DJ95,DL95,DN95,DP95,DR95,DT95,DV95,DX95,DZ95,EB95),0)</f>
        <v>0</v>
      </c>
    </row>
    <row r="96" customFormat="false" ht="13.5" hidden="false" customHeight="false" outlineLevel="0" collapsed="false">
      <c r="B96" s="68" t="n">
        <f aca="false">_xlfn.RANK.EQ(C96,$C$73:$C$116,)</f>
        <v>5</v>
      </c>
      <c r="C96" s="69" t="n">
        <f aca="false">EC96</f>
        <v>0</v>
      </c>
      <c r="D96" s="69" t="s">
        <v>170</v>
      </c>
      <c r="E96" s="78" t="s">
        <v>170</v>
      </c>
      <c r="F96" s="71" t="n">
        <f aca="false">COUNT(CT96,CV96,CX96,CZ96,DB96,DD96,DF96,DH96,DJ96,DL96,DN96,DP96,DR96,DT96,DV96,DX96,DZ96,EB96)</f>
        <v>0</v>
      </c>
      <c r="G96" s="49" t="str">
        <f aca="false">IF(CT96=0,"",CT96)</f>
        <v/>
      </c>
      <c r="H96" s="49"/>
      <c r="I96" s="49"/>
      <c r="K96" s="49"/>
      <c r="L96" s="49" t="str">
        <f aca="false">IF(CV96=0,"",CV96)</f>
        <v/>
      </c>
      <c r="M96" s="49"/>
      <c r="N96" s="49"/>
      <c r="P96" s="49"/>
      <c r="Q96" s="49" t="str">
        <f aca="false">IF(CX96=0,"",CX96)</f>
        <v/>
      </c>
      <c r="R96" s="49"/>
      <c r="S96" s="49"/>
      <c r="U96" s="49"/>
      <c r="V96" s="49" t="str">
        <f aca="false">IF(CZ96=0,"",CZ96)</f>
        <v/>
      </c>
      <c r="W96" s="49"/>
      <c r="X96" s="49"/>
      <c r="Z96" s="49"/>
      <c r="AA96" s="49" t="str">
        <f aca="false">IF(DB96=0,"",DB96)</f>
        <v/>
      </c>
      <c r="AB96" s="49"/>
      <c r="AC96" s="49"/>
      <c r="AE96" s="49"/>
      <c r="AF96" s="49" t="str">
        <f aca="false">IF(DD96=0,"",DD96)</f>
        <v/>
      </c>
      <c r="AG96" s="49"/>
      <c r="AH96" s="49"/>
      <c r="AJ96" s="49"/>
      <c r="AK96" s="49" t="str">
        <f aca="false">IF(DF96=0,"",DF96)</f>
        <v/>
      </c>
      <c r="AL96" s="49"/>
      <c r="AM96" s="49"/>
      <c r="AO96" s="49"/>
      <c r="AP96" s="49" t="str">
        <f aca="false">IF(DH96=0,"",DH96)</f>
        <v/>
      </c>
      <c r="AQ96" s="49"/>
      <c r="AR96" s="49"/>
      <c r="AT96" s="49"/>
      <c r="AU96" s="49" t="str">
        <f aca="false">IF(DJ96=0,"",DJ96)</f>
        <v/>
      </c>
      <c r="AV96" s="49"/>
      <c r="AW96" s="49"/>
      <c r="AY96" s="49"/>
      <c r="AZ96" s="49" t="str">
        <f aca="false">IF(DL96=0,"",DL96)</f>
        <v/>
      </c>
      <c r="BA96" s="49"/>
      <c r="BB96" s="49"/>
      <c r="BD96" s="49"/>
      <c r="BE96" s="49" t="str">
        <f aca="false">IF(DN96=0,"",DN96)</f>
        <v/>
      </c>
      <c r="BF96" s="49"/>
      <c r="BG96" s="49"/>
      <c r="BI96" s="49"/>
      <c r="BJ96" s="49" t="str">
        <f aca="false">IF(DP96=0,"",DP96)</f>
        <v/>
      </c>
      <c r="BK96" s="49"/>
      <c r="BL96" s="49"/>
      <c r="BN96" s="49"/>
      <c r="BO96" s="49" t="str">
        <f aca="false">IF(DR96=0,"",DR96)</f>
        <v/>
      </c>
      <c r="BP96" s="49"/>
      <c r="BQ96" s="49"/>
      <c r="BS96" s="49"/>
      <c r="BT96" s="49" t="str">
        <f aca="false">IF(DT96=0,"",DT96)</f>
        <v/>
      </c>
      <c r="BU96" s="49"/>
      <c r="BV96" s="49"/>
      <c r="BX96" s="49"/>
      <c r="BY96" s="49" t="str">
        <f aca="false">IF(DV96=0,"",DV96)</f>
        <v/>
      </c>
      <c r="BZ96" s="49"/>
      <c r="CA96" s="49"/>
      <c r="CC96" s="49"/>
      <c r="CD96" s="49" t="str">
        <f aca="false">IF(DX96=0,"",DX96)</f>
        <v/>
      </c>
      <c r="CE96" s="49"/>
      <c r="CF96" s="49"/>
      <c r="CH96" s="49"/>
      <c r="CI96" s="49" t="str">
        <f aca="false">IF(DZ96=0,"",DZ96)</f>
        <v/>
      </c>
      <c r="CJ96" s="49"/>
      <c r="CK96" s="49"/>
      <c r="CM96" s="49"/>
      <c r="CN96" s="49" t="str">
        <f aca="false">IF(EB96=0,"",EB96)</f>
        <v/>
      </c>
      <c r="CO96" s="49"/>
      <c r="CP96" s="49"/>
      <c r="CR96" s="49"/>
      <c r="CS96" s="21"/>
      <c r="CT96" s="22" t="str">
        <f aca="false">IFERROR(CT97+CT98,"")</f>
        <v/>
      </c>
      <c r="CU96" s="21"/>
      <c r="CV96" s="22" t="str">
        <f aca="false">IFERROR(CV97+CV98,"")</f>
        <v/>
      </c>
      <c r="CW96" s="21"/>
      <c r="CX96" s="22" t="str">
        <f aca="false">IFERROR(CX97+CX98,"")</f>
        <v/>
      </c>
      <c r="CY96" s="21"/>
      <c r="CZ96" s="22" t="str">
        <f aca="false">IFERROR(CZ97+CZ98,"")</f>
        <v/>
      </c>
      <c r="DA96" s="21"/>
      <c r="DB96" s="22" t="str">
        <f aca="false">IFERROR(DB97+DB98,"")</f>
        <v/>
      </c>
      <c r="DC96" s="21"/>
      <c r="DD96" s="22" t="str">
        <f aca="false">IFERROR(DD97+DD98,"")</f>
        <v/>
      </c>
      <c r="DE96" s="21"/>
      <c r="DF96" s="22" t="str">
        <f aca="false">IFERROR(DF97+DF98,"")</f>
        <v/>
      </c>
      <c r="DG96" s="21"/>
      <c r="DH96" s="22" t="str">
        <f aca="false">IFERROR(DH97+DH98,"")</f>
        <v/>
      </c>
      <c r="DI96" s="21"/>
      <c r="DJ96" s="22" t="str">
        <f aca="false">IFERROR(DJ97+DJ98,"")</f>
        <v/>
      </c>
      <c r="DK96" s="21"/>
      <c r="DL96" s="22" t="str">
        <f aca="false">IFERROR(DL97+DL98,"")</f>
        <v/>
      </c>
      <c r="DM96" s="21"/>
      <c r="DN96" s="22" t="str">
        <f aca="false">IFERROR(DN97+DN98,"")</f>
        <v/>
      </c>
      <c r="DO96" s="21"/>
      <c r="DP96" s="22" t="str">
        <f aca="false">IFERROR(DP97+DP98,"")</f>
        <v/>
      </c>
      <c r="DQ96" s="21"/>
      <c r="DR96" s="22" t="str">
        <f aca="false">IFERROR(DR97+DR98,"")</f>
        <v/>
      </c>
      <c r="DS96" s="21"/>
      <c r="DT96" s="22" t="str">
        <f aca="false">IFERROR(DT97+DT98,"")</f>
        <v/>
      </c>
      <c r="DU96" s="21"/>
      <c r="DV96" s="22" t="str">
        <f aca="false">IFERROR(DV97+DV98,"")</f>
        <v/>
      </c>
      <c r="DW96" s="21"/>
      <c r="DX96" s="22" t="str">
        <f aca="false">IFERROR(DX97+DX98,"")</f>
        <v/>
      </c>
      <c r="DY96" s="21"/>
      <c r="DZ96" s="22" t="str">
        <f aca="false">IFERROR(DZ97+DZ98,"")</f>
        <v/>
      </c>
      <c r="EA96" s="21"/>
      <c r="EB96" s="22" t="str">
        <f aca="false">IFERROR(EB97+EB98,"")</f>
        <v/>
      </c>
      <c r="EC96" s="17" t="n">
        <f aca="false">IFERROR(LARGE($G96:$CN96,1),0)+IFERROR(LARGE($G96:$CN96,2),0)+IFERROR(LARGE($G96:$CN96,3),0)+IFERROR(LARGE($G96:$CN96,4),0)+IFERROR(LARGE($G96:$CN96,5),0)+IFERROR(LARGE($G96:$CN96,6),0)+IFERROR(LARGE($G96:$CN96,7),0)+IFERROR(LARGE($G96:$CN96,8),0)+IFERROR(LARGE($G96:$CN96,9),0)+IFERROR(LARGE($G96:$CN96,10),0)</f>
        <v>0</v>
      </c>
      <c r="ED96" s="23" t="n">
        <f aca="false">IFERROR(AVERAGE(CT96,CV96,CX96,CZ96,DB96,DD96,DF96,DH96,DJ96,DL96,DN96,DP96,DR96,DT96,DV96,DX96,DZ96,EB96),0)</f>
        <v>0</v>
      </c>
    </row>
    <row r="97" customFormat="false" ht="13.5" hidden="false" customHeight="false" outlineLevel="1" collapsed="false">
      <c r="B97" s="72" t="n">
        <f aca="false">B95+0.08</f>
        <v>1.3015</v>
      </c>
      <c r="C97" s="68"/>
      <c r="D97" s="68" t="s">
        <v>171</v>
      </c>
      <c r="E97" s="73" t="s">
        <v>43</v>
      </c>
      <c r="F97" s="74"/>
      <c r="G97" s="7"/>
      <c r="H97" s="7" t="str">
        <f aca="false">IF(CS97=0,"",CS97)</f>
        <v/>
      </c>
      <c r="I97" s="7"/>
      <c r="J97" s="49" t="str">
        <f aca="false">IFERROR(RANK(H97,H$6:H$116,0),"")</f>
        <v/>
      </c>
      <c r="K97" s="7"/>
      <c r="L97" s="7"/>
      <c r="M97" s="7" t="str">
        <f aca="false">IF(CU97=0,"",CU97)</f>
        <v/>
      </c>
      <c r="N97" s="7"/>
      <c r="O97" s="49" t="str">
        <f aca="false">IFERROR(RANK(M97,M$6:M$116,0),"")</f>
        <v/>
      </c>
      <c r="P97" s="7"/>
      <c r="Q97" s="7"/>
      <c r="R97" s="7" t="str">
        <f aca="false">IF(CW97=0,"",CW97)</f>
        <v/>
      </c>
      <c r="S97" s="7"/>
      <c r="T97" s="49" t="str">
        <f aca="false">IFERROR(RANK(R97,R$6:R$116,0),"")</f>
        <v/>
      </c>
      <c r="U97" s="7"/>
      <c r="V97" s="7"/>
      <c r="W97" s="7" t="str">
        <f aca="false">IF(CY97=0,"",CY97)</f>
        <v/>
      </c>
      <c r="X97" s="7"/>
      <c r="Y97" s="49" t="str">
        <f aca="false">IFERROR(RANK(W97,W$6:W$116,0),"")</f>
        <v/>
      </c>
      <c r="Z97" s="7"/>
      <c r="AA97" s="7"/>
      <c r="AB97" s="7" t="str">
        <f aca="false">IF(DA97=0,"",DA97)</f>
        <v/>
      </c>
      <c r="AC97" s="7"/>
      <c r="AD97" s="49" t="str">
        <f aca="false">IFERROR(RANK(AB97,AB$6:AB$116,0),"")</f>
        <v/>
      </c>
      <c r="AE97" s="7"/>
      <c r="AF97" s="7"/>
      <c r="AG97" s="7" t="str">
        <f aca="false">IF(DC97=0,"",DC97)</f>
        <v/>
      </c>
      <c r="AH97" s="7"/>
      <c r="AI97" s="49" t="str">
        <f aca="false">IFERROR(RANK(AG97,AG$6:AG$116,0),"")</f>
        <v/>
      </c>
      <c r="AJ97" s="7"/>
      <c r="AK97" s="7"/>
      <c r="AL97" s="7" t="str">
        <f aca="false">IF(DE97=0,"",DE97)</f>
        <v/>
      </c>
      <c r="AM97" s="7"/>
      <c r="AN97" s="49" t="str">
        <f aca="false">IFERROR(RANK(AL97,AL$6:AL$116,0),"")</f>
        <v/>
      </c>
      <c r="AO97" s="7"/>
      <c r="AP97" s="7"/>
      <c r="AQ97" s="7" t="str">
        <f aca="false">IF(DG97=0,"",DG97)</f>
        <v/>
      </c>
      <c r="AR97" s="7"/>
      <c r="AS97" s="49" t="str">
        <f aca="false">IFERROR(RANK(AQ97,AQ$6:AQ$116,0),"")</f>
        <v/>
      </c>
      <c r="AT97" s="7"/>
      <c r="AU97" s="7"/>
      <c r="AV97" s="7" t="str">
        <f aca="false">IF(DI97=0,"",DI97)</f>
        <v/>
      </c>
      <c r="AW97" s="7"/>
      <c r="AX97" s="49" t="str">
        <f aca="false">IFERROR(RANK(AV97,AV$6:AV$116,0),"")</f>
        <v/>
      </c>
      <c r="AY97" s="7"/>
      <c r="AZ97" s="7"/>
      <c r="BA97" s="7" t="str">
        <f aca="false">IF(DK97=0,"",DK97)</f>
        <v/>
      </c>
      <c r="BB97" s="7"/>
      <c r="BC97" s="49" t="str">
        <f aca="false">IFERROR(RANK(BA97,BA$6:BA$116,0),"")</f>
        <v/>
      </c>
      <c r="BD97" s="7"/>
      <c r="BE97" s="7"/>
      <c r="BF97" s="7" t="str">
        <f aca="false">IF(DM97=0,"",DM97)</f>
        <v/>
      </c>
      <c r="BG97" s="7"/>
      <c r="BH97" s="49" t="str">
        <f aca="false">IFERROR(RANK(BF97,BF$6:BF$116,0),"")</f>
        <v/>
      </c>
      <c r="BI97" s="7"/>
      <c r="BJ97" s="7"/>
      <c r="BK97" s="7" t="str">
        <f aca="false">IF(DO97=0,"",DO97)</f>
        <v/>
      </c>
      <c r="BL97" s="7"/>
      <c r="BM97" s="49" t="str">
        <f aca="false">IFERROR(RANK(BK97,BK$6:BK$116,0),"")</f>
        <v/>
      </c>
      <c r="BN97" s="7"/>
      <c r="BO97" s="7"/>
      <c r="BP97" s="7" t="str">
        <f aca="false">IF(DQ97=0,"",DQ97)</f>
        <v/>
      </c>
      <c r="BQ97" s="7"/>
      <c r="BR97" s="49" t="str">
        <f aca="false">IFERROR(RANK(BP97,BP$6:BP$116,0),"")</f>
        <v/>
      </c>
      <c r="BS97" s="7"/>
      <c r="BT97" s="7"/>
      <c r="BU97" s="7" t="str">
        <f aca="false">IF(DS97=0,"",DS97)</f>
        <v/>
      </c>
      <c r="BV97" s="7"/>
      <c r="BW97" s="49" t="str">
        <f aca="false">IFERROR(RANK(BU97,BU$6:BU$116,0),"")</f>
        <v/>
      </c>
      <c r="BX97" s="7"/>
      <c r="BY97" s="7"/>
      <c r="BZ97" s="7" t="str">
        <f aca="false">IF(DU97=0,"",DU97)</f>
        <v/>
      </c>
      <c r="CA97" s="7"/>
      <c r="CB97" s="49" t="str">
        <f aca="false">IFERROR(RANK(BZ97,BZ$6:BZ$116,0),"")</f>
        <v/>
      </c>
      <c r="CC97" s="7"/>
      <c r="CD97" s="7"/>
      <c r="CE97" s="7" t="str">
        <f aca="false">IF(DW97=0,"",DW97)</f>
        <v/>
      </c>
      <c r="CF97" s="7"/>
      <c r="CG97" s="49" t="str">
        <f aca="false">IFERROR(RANK(CE97,CE$6:CE$116,0),"")</f>
        <v/>
      </c>
      <c r="CH97" s="7"/>
      <c r="CI97" s="7"/>
      <c r="CJ97" s="7" t="str">
        <f aca="false">IF(DY97=0,"",DY97)</f>
        <v/>
      </c>
      <c r="CK97" s="7"/>
      <c r="CL97" s="49" t="str">
        <f aca="false">IFERROR(RANK(CJ97,CJ$6:CJ$116,0),"")</f>
        <v/>
      </c>
      <c r="CM97" s="7"/>
      <c r="CN97" s="7"/>
      <c r="CO97" s="7" t="str">
        <f aca="false">IF(EA97=0,"",EA97)</f>
        <v/>
      </c>
      <c r="CP97" s="7"/>
      <c r="CQ97" s="49" t="str">
        <f aca="false">IFERROR(RANK(CO97,CO$6:CO$116,0),"")</f>
        <v/>
      </c>
      <c r="CR97" s="7"/>
      <c r="CS97" s="21"/>
      <c r="CT97" s="25" t="str">
        <f aca="true">IFERROR(AVERAGE(OFFSET('Data - For Rank'!B$2,J97,0,COUNTIF($J$7:J$116,J97)))+IFERROR(VLOOKUP((COUNT($H$6:$H$116)/4),$ER$9:$ES$13,2,FALSE()),0),"")</f>
        <v/>
      </c>
      <c r="CU97" s="21"/>
      <c r="CV97" s="25" t="str">
        <f aca="true">IFERROR(AVERAGE(OFFSET('Data - For Rank'!$C$2,O97,0,COUNTIF(O$7:O$116,O97)))+IFERROR(VLOOKUP((COUNT(M$6:M$116)/4),$ER$9:$ES$13,2,FALSE()),0),"")</f>
        <v/>
      </c>
      <c r="CW97" s="21"/>
      <c r="CX97" s="25" t="str">
        <f aca="true">IFERROR(AVERAGE(OFFSET('Data - For Rank'!D$2,T97,0,COUNTIF(T$7:T$116,T97)))+IFERROR(VLOOKUP((COUNT(R$6:R$116)/4),$ER$9:$ES$13,2,FALSE()),0),"")</f>
        <v/>
      </c>
      <c r="CY97" s="21"/>
      <c r="CZ97" s="25" t="str">
        <f aca="true">IFERROR(AVERAGE(OFFSET('Data - For Rank'!E$2,Y97,0,COUNTIF(Y$7:Y$116,Y97)))+IFERROR(VLOOKUP((COUNT(W$6:W$116)/4),$ER$9:$ES$13,2,FALSE()),0),"")</f>
        <v/>
      </c>
      <c r="DA97" s="21"/>
      <c r="DB97" s="25" t="str">
        <f aca="true">IFERROR(AVERAGE(OFFSET('Data - For Rank'!F$2,AD97,0,COUNTIF(AD$7:AD$116,AD97)))+IFERROR(VLOOKUP((COUNT(AB$6:AB$116)/4),$ER$9:$ES$13,2,FALSE()),0),"")</f>
        <v/>
      </c>
      <c r="DC97" s="21"/>
      <c r="DD97" s="25" t="str">
        <f aca="true">IFERROR(AVERAGE(OFFSET('Data - For Rank'!G$2,AI97,0,COUNTIF(AI$7:AI$116,AI97)))+IFERROR(VLOOKUP((COUNT(AG$6:AG$116)/4),$ER$9:$ES$13,2,FALSE()),0),"")</f>
        <v/>
      </c>
      <c r="DE97" s="21"/>
      <c r="DF97" s="25" t="str">
        <f aca="true">IFERROR(AVERAGE(OFFSET('Data - For Rank'!$H$2,AN97,0,COUNTIF(AN$7:AN$116,AN97)))+IFERROR(VLOOKUP((COUNT(AL$6:AL$116)/4),$ER$9:$ES$13,2,FALSE()),0),"")</f>
        <v/>
      </c>
      <c r="DG97" s="21"/>
      <c r="DH97" s="25" t="str">
        <f aca="true">IFERROR(AVERAGE(OFFSET('Data - For Rank'!$I$2,AS97,0,COUNTIF(AS$7:AS$116,AS97)))+IFERROR(VLOOKUP((COUNT(AQ$6:AQ$116)/4),$ER$9:$ES$13,2,FALSE()),0),"")</f>
        <v/>
      </c>
      <c r="DI97" s="21"/>
      <c r="DJ97" s="25" t="str">
        <f aca="true">IFERROR(AVERAGE(OFFSET('Data - For Rank'!$J$2,AX97,0,COUNTIF(AX$7:AX$116,AX97)))+IFERROR(VLOOKUP((COUNT(AV$6:AV$116)/4),$ER$9:$ES$13,2,FALSE()),0),"")</f>
        <v/>
      </c>
      <c r="DK97" s="21"/>
      <c r="DL97" s="25" t="str">
        <f aca="true">IFERROR(AVERAGE(OFFSET('Data - For Rank'!$K$2,BC97,0,COUNTIF(BC$7:BC$116,BC97)))+IFERROR(VLOOKUP((COUNT(BA$6:BA$116)/4),$ER$9:$ES$13,2,FALSE()),0),"")</f>
        <v/>
      </c>
      <c r="DM97" s="21"/>
      <c r="DN97" s="25" t="str">
        <f aca="true">IFERROR(AVERAGE(OFFSET('Data - For Rank'!$L$2,BH97,0,COUNTIF(BH$7:BH$116,BH97)))+IFERROR(VLOOKUP((COUNT(BF$6:BF$116)/4),$ER$9:$ES$13,2,FALSE()),0),"")</f>
        <v/>
      </c>
      <c r="DO97" s="21"/>
      <c r="DP97" s="25" t="str">
        <f aca="true">IFERROR(AVERAGE(OFFSET('Data - For Rank'!$M$2,BM97,0,COUNTIF(BM$7:BM$116,BM97)))+IFERROR(VLOOKUP((COUNT(BK$6:BK$116)/4),$ER$9:$ES$13,2,FALSE()),0),"")</f>
        <v/>
      </c>
      <c r="DQ97" s="21"/>
      <c r="DR97" s="25" t="str">
        <f aca="true">IFERROR(AVERAGE(OFFSET('Data - For Rank'!$N$2,BR97,0,COUNTIF(BR$7:BR$116,BR97)))+IFERROR(VLOOKUP((COUNT(BP$6:BP$116)/4),$ER$9:$ES$13,2,FALSE()),0),"")</f>
        <v/>
      </c>
      <c r="DS97" s="21"/>
      <c r="DT97" s="25" t="str">
        <f aca="true">IFERROR(AVERAGE(OFFSET('Data - For Rank'!$O$2,BW97,0,COUNTIF(BW$7:BW$116,BW97)))+IFERROR(VLOOKUP((COUNT(BU$6:BU$116)/4),$ER$9:$ES$13,2,FALSE()),0),"")</f>
        <v/>
      </c>
      <c r="DU97" s="21"/>
      <c r="DV97" s="25" t="str">
        <f aca="true">IFERROR(AVERAGE(OFFSET('Data - For Rank'!$P$2,CB97,0,COUNTIF(CB$7:CB$116,CB97)))+IFERROR(VLOOKUP((COUNT(BZ$6:BZ$116)/4),$ER$9:$ES$13,2,FALSE()),0),"")</f>
        <v/>
      </c>
      <c r="DW97" s="21"/>
      <c r="DX97" s="25" t="str">
        <f aca="true">IFERROR(AVERAGE(OFFSET('Data - For Rank'!$Q$2,CG97,0,COUNTIF(CG$7:CG$116,CG97)))+IFERROR(VLOOKUP((COUNT(CE$6:CE$116)/4),$ER$9:$ES$13,2,FALSE()),0),"")</f>
        <v/>
      </c>
      <c r="DY97" s="21"/>
      <c r="DZ97" s="25" t="str">
        <f aca="true">IFERROR(AVERAGE(OFFSET('Data - For Rank'!$R$2,CL97,0,COUNTIF(CL$7:CL$116,CL97)))+IFERROR(VLOOKUP((COUNT(CJ$6:CJ$116)/4),$ER$9:$ES$13,2,FALSE()),0),"")</f>
        <v/>
      </c>
      <c r="EA97" s="21"/>
      <c r="EB97" s="25" t="str">
        <f aca="true">IFERROR(AVERAGE(OFFSET('Data - For Rank'!$S$2,CQ97,0,COUNTIF(CQ$7:CQ$116,CQ97)))+IFERROR(VLOOKUP((COUNT(CO$6:CO$116)/4),$ER$9:$ES$13,2,FALSE()),0),"")</f>
        <v/>
      </c>
      <c r="EC97" s="26" t="n">
        <f aca="false">IFERROR(AVERAGE(CS97,CU97,CW97,CY97,DA97,DC97,DE97,DG97,DI97,DK97,DM97,DO97,DQ97,DS97,DU97,DW97,DY97,EA97),0)</f>
        <v>0</v>
      </c>
      <c r="ED97" s="23" t="n">
        <f aca="false">IFERROR(AVERAGE(CT97,CV97,CX97,CZ97,DB97,DD97,DF97,DH97,DJ97,DL97,DN97,DP97,DR97,DT97,DV97,DX97,DZ97,EB97),0)</f>
        <v>0</v>
      </c>
    </row>
    <row r="98" customFormat="false" ht="13.5" hidden="false" customHeight="false" outlineLevel="1" collapsed="false">
      <c r="B98" s="75" t="n">
        <f aca="false">B97+0.18</f>
        <v>1.4815</v>
      </c>
      <c r="C98" s="68"/>
      <c r="D98" s="68" t="s">
        <v>172</v>
      </c>
      <c r="E98" s="76" t="s">
        <v>44</v>
      </c>
      <c r="F98" s="77"/>
      <c r="G98" s="29"/>
      <c r="H98" s="29"/>
      <c r="I98" s="53" t="str">
        <f aca="false">IF(CS98=0,"",CS98)</f>
        <v/>
      </c>
      <c r="J98" s="53"/>
      <c r="K98" s="54" t="str">
        <f aca="false">IFERROR(_xlfn.RANK.EQ(I98,I$6:I$116,0),"")</f>
        <v/>
      </c>
      <c r="L98" s="29"/>
      <c r="M98" s="29"/>
      <c r="N98" s="53" t="str">
        <f aca="false">IF(CU98=0,"",CU98)</f>
        <v/>
      </c>
      <c r="O98" s="53"/>
      <c r="P98" s="54" t="str">
        <f aca="false">IFERROR(_xlfn.RANK.EQ(N98,N$6:N$116,0),"")</f>
        <v/>
      </c>
      <c r="Q98" s="29"/>
      <c r="R98" s="29"/>
      <c r="S98" s="53" t="str">
        <f aca="false">IF(CW98=0,"",CW98)</f>
        <v/>
      </c>
      <c r="T98" s="53"/>
      <c r="U98" s="54" t="str">
        <f aca="false">IFERROR(_xlfn.RANK.EQ(S98,S$6:S$116,0),"")</f>
        <v/>
      </c>
      <c r="V98" s="29"/>
      <c r="W98" s="29"/>
      <c r="X98" s="53" t="str">
        <f aca="false">IF(CY98=0,"",CY98)</f>
        <v/>
      </c>
      <c r="Y98" s="53"/>
      <c r="Z98" s="54" t="str">
        <f aca="false">IFERROR(_xlfn.RANK.EQ(X98,X$6:X$116,0),"")</f>
        <v/>
      </c>
      <c r="AA98" s="29"/>
      <c r="AB98" s="29"/>
      <c r="AC98" s="53" t="str">
        <f aca="false">IF(DA98=0,"",DA98)</f>
        <v/>
      </c>
      <c r="AD98" s="53"/>
      <c r="AE98" s="54" t="str">
        <f aca="false">IFERROR(_xlfn.RANK.EQ(AC98,AC$6:AC$116,0),"")</f>
        <v/>
      </c>
      <c r="AF98" s="29"/>
      <c r="AG98" s="29"/>
      <c r="AH98" s="53" t="str">
        <f aca="false">IF(DC98=0,"",DC98)</f>
        <v/>
      </c>
      <c r="AI98" s="53"/>
      <c r="AJ98" s="54" t="str">
        <f aca="false">IFERROR(_xlfn.RANK.EQ(AH98,AH$6:AH$116,0),"")</f>
        <v/>
      </c>
      <c r="AK98" s="29"/>
      <c r="AL98" s="29"/>
      <c r="AM98" s="53" t="str">
        <f aca="false">IF(DE98=0,"",DE98)</f>
        <v/>
      </c>
      <c r="AN98" s="53"/>
      <c r="AO98" s="54" t="str">
        <f aca="false">IFERROR(_xlfn.RANK.EQ(AM98,AM$6:AM$116,0),"")</f>
        <v/>
      </c>
      <c r="AP98" s="29"/>
      <c r="AQ98" s="29"/>
      <c r="AR98" s="53" t="str">
        <f aca="false">IF(DG98=0,"",DG98)</f>
        <v/>
      </c>
      <c r="AS98" s="53"/>
      <c r="AT98" s="54" t="str">
        <f aca="false">IFERROR(_xlfn.RANK.EQ(AR98,AR$6:AR$116,0),"")</f>
        <v/>
      </c>
      <c r="AU98" s="29"/>
      <c r="AV98" s="29"/>
      <c r="AW98" s="53" t="str">
        <f aca="false">IF(DI98=0,"",DI98)</f>
        <v/>
      </c>
      <c r="AX98" s="53"/>
      <c r="AY98" s="54" t="str">
        <f aca="false">IFERROR(_xlfn.RANK.EQ(AW98,AW$6:AW$116,0),"")</f>
        <v/>
      </c>
      <c r="AZ98" s="29"/>
      <c r="BA98" s="29"/>
      <c r="BB98" s="53" t="str">
        <f aca="false">IF(DK98=0,"",DK98)</f>
        <v/>
      </c>
      <c r="BC98" s="53"/>
      <c r="BD98" s="54" t="str">
        <f aca="false">IFERROR(_xlfn.RANK.EQ(BB98,BB$6:BB$116,0),"")</f>
        <v/>
      </c>
      <c r="BE98" s="29"/>
      <c r="BF98" s="29"/>
      <c r="BG98" s="53" t="str">
        <f aca="false">IF(DM98=0,"",DM98)</f>
        <v/>
      </c>
      <c r="BH98" s="53"/>
      <c r="BI98" s="54" t="str">
        <f aca="false">IFERROR(_xlfn.RANK.EQ(BG98,BG$6:BG$116,0),"")</f>
        <v/>
      </c>
      <c r="BJ98" s="29"/>
      <c r="BK98" s="29"/>
      <c r="BL98" s="53" t="str">
        <f aca="false">IF(DO98=0,"",DO98)</f>
        <v/>
      </c>
      <c r="BM98" s="53"/>
      <c r="BN98" s="54" t="str">
        <f aca="false">IFERROR(_xlfn.RANK.EQ(BL98,BL$6:BL$116,0),"")</f>
        <v/>
      </c>
      <c r="BO98" s="29"/>
      <c r="BP98" s="29"/>
      <c r="BQ98" s="53" t="str">
        <f aca="false">IF(DQ98=0,"",DQ98)</f>
        <v/>
      </c>
      <c r="BR98" s="53"/>
      <c r="BS98" s="54" t="str">
        <f aca="false">IFERROR(_xlfn.RANK.EQ(BQ98,BQ$6:BQ$116,0),"")</f>
        <v/>
      </c>
      <c r="BT98" s="29"/>
      <c r="BU98" s="29"/>
      <c r="BV98" s="53" t="str">
        <f aca="false">IF(DS98=0,"",DS98)</f>
        <v/>
      </c>
      <c r="BW98" s="53"/>
      <c r="BX98" s="54" t="str">
        <f aca="false">IFERROR(_xlfn.RANK.EQ(BV98,BV$6:BV$116,0),"")</f>
        <v/>
      </c>
      <c r="BY98" s="29"/>
      <c r="BZ98" s="29"/>
      <c r="CA98" s="53" t="str">
        <f aca="false">IF(DU98=0,"",DU98)</f>
        <v/>
      </c>
      <c r="CB98" s="53"/>
      <c r="CC98" s="54" t="str">
        <f aca="false">IFERROR(_xlfn.RANK.EQ(CA98,CA$6:CA$116,0),"")</f>
        <v/>
      </c>
      <c r="CD98" s="29"/>
      <c r="CE98" s="29"/>
      <c r="CF98" s="53" t="str">
        <f aca="false">IF(DW98=0,"",DW98)</f>
        <v/>
      </c>
      <c r="CG98" s="53"/>
      <c r="CH98" s="54" t="str">
        <f aca="false">IFERROR(_xlfn.RANK.EQ(CF98,CF$6:CF$116,0),"")</f>
        <v/>
      </c>
      <c r="CI98" s="29"/>
      <c r="CJ98" s="29"/>
      <c r="CK98" s="53" t="str">
        <f aca="false">IF(DY98=0,"",DY98)</f>
        <v/>
      </c>
      <c r="CL98" s="53"/>
      <c r="CM98" s="54" t="str">
        <f aca="false">IFERROR(_xlfn.RANK.EQ(CK98,CK$6:CK$116,0),"")</f>
        <v/>
      </c>
      <c r="CN98" s="29"/>
      <c r="CO98" s="29"/>
      <c r="CP98" s="53" t="str">
        <f aca="false">IF(EA98=0,"",EA98)</f>
        <v/>
      </c>
      <c r="CQ98" s="53"/>
      <c r="CR98" s="54" t="str">
        <f aca="false">IFERROR(_xlfn.RANK.EQ(CP98,CP$6:CP$116,0),"")</f>
        <v/>
      </c>
      <c r="CS98" s="30"/>
      <c r="CT98" s="31" t="str">
        <f aca="true">IFERROR(AVERAGE(OFFSET('Data - For Rank'!B$2,K98,0,COUNTIF(K$6:K$116,K98)))+IFERROR(VLOOKUP((COUNT($I$6:$I$116)/4),$ER$9:$ES$13,2,FALSE()),0),"")</f>
        <v/>
      </c>
      <c r="CU98" s="30"/>
      <c r="CV98" s="31" t="str">
        <f aca="true">IFERROR(AVERAGE(OFFSET('Data - For Rank'!$C$2,P98,0,COUNTIF(P$6:P$116,P98)))+IFERROR(VLOOKUP((COUNT(N$6:N$116)/4),$ER$9:$ES$13,2,FALSE()),0),"")</f>
        <v/>
      </c>
      <c r="CW98" s="30"/>
      <c r="CX98" s="31" t="str">
        <f aca="true">IFERROR(AVERAGE(OFFSET('Data - For Rank'!D$2,U98,0,COUNTIF(U$6:$U205,U98)))+IFERROR(VLOOKUP((COUNT(S$6:S$116)/4),$ER$9:$ES$13,2,FALSE()),0),"")</f>
        <v/>
      </c>
      <c r="CY98" s="30"/>
      <c r="CZ98" s="31" t="str">
        <f aca="true">IFERROR(AVERAGE(OFFSET('Data - For Rank'!E$2,Z98,0,COUNTIF(Z$6:Z$116,Z98)))+IFERROR(VLOOKUP((COUNT(W$6:W$116)/4),$ER$9:$ES$13,2,FALSE()),0),"")</f>
        <v/>
      </c>
      <c r="DA98" s="30"/>
      <c r="DB98" s="31" t="str">
        <f aca="true">IFERROR(AVERAGE(OFFSET('Data - For Rank'!F$2,AE98,0,COUNTIF(AE$6:AE$116,AE98)))+IFERROR(VLOOKUP((COUNT(AC$6:AC$116)/4),$ER$9:$ES$13,2,FALSE()),0),"")</f>
        <v/>
      </c>
      <c r="DC98" s="30"/>
      <c r="DD98" s="31" t="str">
        <f aca="true">IFERROR(AVERAGE(OFFSET('Data - For Rank'!G$2,AJ98,0,COUNTIF(AJ$6:AJ$116,AJ98)))+IFERROR(VLOOKUP((COUNT(AH$6:AH$116)/4),$ER$9:$ES$13,2,FALSE()),0),"")</f>
        <v/>
      </c>
      <c r="DE98" s="30"/>
      <c r="DF98" s="31" t="str">
        <f aca="true">IFERROR(AVERAGE(OFFSET('Data - For Rank'!$H$2,AO98,0,COUNTIF(AO$6:AO$116,AO98)))+IFERROR(VLOOKUP((COUNT(AM$6:AM$116)/4),$ER$9:$ES$13,2,FALSE()),0),"")</f>
        <v/>
      </c>
      <c r="DG98" s="30"/>
      <c r="DH98" s="31" t="str">
        <f aca="true">IFERROR(AVERAGE(OFFSET('Data - For Rank'!$I$2,AT98,0,COUNTIF(AT$6:AT$116,AT98)))+IFERROR(VLOOKUP((COUNT(AR$6:AR$116)/4),$ER$9:$ES$13,2,FALSE()),0),"")</f>
        <v/>
      </c>
      <c r="DI98" s="30"/>
      <c r="DJ98" s="31" t="str">
        <f aca="true">IFERROR(AVERAGE(OFFSET('Data - For Rank'!$J$2,AY98,0,COUNTIF(AY$6:AY$116,AY98)))+IFERROR(VLOOKUP((COUNT(AW$6:AW$116)/4),$ER$9:$ES$13,2,FALSE()),0),"")</f>
        <v/>
      </c>
      <c r="DK98" s="30"/>
      <c r="DL98" s="31" t="str">
        <f aca="true">IFERROR(AVERAGE(OFFSET('Data - For Rank'!$K$2,BD98,0,COUNTIF(BD$6:BD$116,BD98)))+IFERROR(VLOOKUP((COUNT(BB$6:BB$116)/4),$ER$9:$ES$13,2,FALSE()),0),"")</f>
        <v/>
      </c>
      <c r="DM98" s="30"/>
      <c r="DN98" s="31" t="str">
        <f aca="true">IFERROR(AVERAGE(OFFSET('Data - For Rank'!$L$2,BI98,0,COUNTIF(BI$6:BI$116,BI98)))+IFERROR(VLOOKUP((COUNT(BG$6:BG$116)/4),$ER$9:$ES$13,2,FALSE()),0),"")</f>
        <v/>
      </c>
      <c r="DO98" s="30"/>
      <c r="DP98" s="31" t="str">
        <f aca="true">IFERROR(AVERAGE(OFFSET('Data - For Rank'!$M$2,BN98,0,COUNTIF(BN$6:BN$116,BN98)))+IFERROR(VLOOKUP((COUNT(BL$6:BL$116)/4),$ER$9:$ES$13,2,FALSE()),0),"")</f>
        <v/>
      </c>
      <c r="DQ98" s="30"/>
      <c r="DR98" s="31" t="str">
        <f aca="true">IFERROR(AVERAGE(OFFSET('Data - For Rank'!$N$2,BS98,0,COUNTIF(BS$6:BS$116,BS98)))+IFERROR(VLOOKUP((COUNT(BQ$6:BQ$116)/4),$ER$9:$ES$13,2,FALSE()),0),"")</f>
        <v/>
      </c>
      <c r="DS98" s="30"/>
      <c r="DT98" s="31" t="str">
        <f aca="true">IFERROR(AVERAGE(OFFSET('Data - For Rank'!$O$2,BX98,0,COUNTIF(BX$6:BX$116,BX98)))+IFERROR(VLOOKUP((COUNT(BV$6:BV$116)/4),$ER$9:$ES$13,2,FALSE()),0),"")</f>
        <v/>
      </c>
      <c r="DU98" s="30"/>
      <c r="DV98" s="31" t="str">
        <f aca="true">IFERROR(AVERAGE(OFFSET('Data - For Rank'!$P$2,CC98,0,COUNTIF(CC$6:CC$116,CC98)))+IFERROR(VLOOKUP((COUNT(CA$6:CA$116)/4),$ER$9:$ES$13,2,FALSE()),0),"")</f>
        <v/>
      </c>
      <c r="DW98" s="30"/>
      <c r="DX98" s="31" t="str">
        <f aca="true">IFERROR(AVERAGE(OFFSET('Data - For Rank'!$Q$2,CH98,0,COUNTIF(CH$6:CH$116,CH98)))+IFERROR(VLOOKUP((COUNT(CF$6:CF$116)/4),$ER$9:$ES$13,2,FALSE()),0),"")</f>
        <v/>
      </c>
      <c r="DY98" s="30"/>
      <c r="DZ98" s="31" t="str">
        <f aca="true">IFERROR(AVERAGE(OFFSET('Data - For Rank'!$R$2,CM98,0,COUNTIF(CM$6:CM$116,CM98)))+IFERROR(VLOOKUP((COUNT(CK$6:CK$116)/4),$ER$9:$ES$13,2,FALSE()),0),"")</f>
        <v/>
      </c>
      <c r="EA98" s="30"/>
      <c r="EB98" s="31" t="str">
        <f aca="true">IFERROR(AVERAGE(OFFSET('Data - For Rank'!$S$2,CR98,0,COUNTIF(CR$6:CR$116,CR98)))+IFERROR(VLOOKUP((COUNT(CP$6:CP$116)/4),$ER$9:$ES$13,2,FALSE()),0),"")</f>
        <v/>
      </c>
      <c r="EC98" s="32" t="n">
        <f aca="false">CS98+CU98+CW98+CY98+DA98+DC98+DE98+DG98+DI98+DK98+DM98+DO98+DQ98+DS98+DU98+DW98+DY98+EA98</f>
        <v>0</v>
      </c>
      <c r="ED98" s="33" t="n">
        <f aca="false">IFERROR(AVERAGE(CT98,CV98,CX98,CZ98,DB98,DD98,DF98,DH98,DJ98,DL98,DN98,DP98,DR98,DT98,DV98,DX98,DZ98,EB98),0)</f>
        <v>0</v>
      </c>
    </row>
    <row r="99" customFormat="false" ht="15.75" hidden="false" customHeight="true" outlineLevel="0" collapsed="false">
      <c r="B99" s="68" t="n">
        <f aca="false">_xlfn.RANK.EQ(C99,$C$73:$C$116,)</f>
        <v>5</v>
      </c>
      <c r="C99" s="69" t="n">
        <f aca="false">EC99</f>
        <v>0</v>
      </c>
      <c r="D99" s="69" t="s">
        <v>173</v>
      </c>
      <c r="E99" s="78" t="s">
        <v>173</v>
      </c>
      <c r="F99" s="71" t="n">
        <f aca="false">COUNT(CT99,CV99,CX99,CZ99,DB99,DD99,DF99,DH99,DJ99,DL99,DN99,DP99,DR99,DT99,DV99,DX99,DZ99,EB99)</f>
        <v>0</v>
      </c>
      <c r="G99" s="49" t="str">
        <f aca="false">IF(CT99=0,"",CT99)</f>
        <v/>
      </c>
      <c r="H99" s="49"/>
      <c r="I99" s="49"/>
      <c r="K99" s="49"/>
      <c r="L99" s="49" t="str">
        <f aca="false">IF(CV99=0,"",CV99)</f>
        <v/>
      </c>
      <c r="M99" s="49"/>
      <c r="N99" s="49"/>
      <c r="P99" s="49"/>
      <c r="Q99" s="49" t="str">
        <f aca="false">IF(CX99=0,"",CX99)</f>
        <v/>
      </c>
      <c r="R99" s="49"/>
      <c r="S99" s="49"/>
      <c r="U99" s="49"/>
      <c r="V99" s="49" t="str">
        <f aca="false">IF(CZ99=0,"",CZ99)</f>
        <v/>
      </c>
      <c r="W99" s="49"/>
      <c r="X99" s="49"/>
      <c r="Z99" s="49"/>
      <c r="AA99" s="49" t="str">
        <f aca="false">IF(DB99=0,"",DB99)</f>
        <v/>
      </c>
      <c r="AB99" s="49"/>
      <c r="AC99" s="49"/>
      <c r="AE99" s="49"/>
      <c r="AF99" s="49" t="str">
        <f aca="false">IF(DD99=0,"",DD99)</f>
        <v/>
      </c>
      <c r="AG99" s="49"/>
      <c r="AH99" s="49"/>
      <c r="AJ99" s="49"/>
      <c r="AK99" s="49" t="str">
        <f aca="false">IF(DF99=0,"",DF99)</f>
        <v/>
      </c>
      <c r="AL99" s="49"/>
      <c r="AM99" s="49"/>
      <c r="AO99" s="49"/>
      <c r="AP99" s="49" t="str">
        <f aca="false">IF(DH99=0,"",DH99)</f>
        <v/>
      </c>
      <c r="AQ99" s="49"/>
      <c r="AR99" s="49"/>
      <c r="AT99" s="49"/>
      <c r="AU99" s="49" t="str">
        <f aca="false">IF(DJ99=0,"",DJ99)</f>
        <v/>
      </c>
      <c r="AV99" s="49"/>
      <c r="AW99" s="49"/>
      <c r="AY99" s="49"/>
      <c r="AZ99" s="49" t="str">
        <f aca="false">IF(DL99=0,"",DL99)</f>
        <v/>
      </c>
      <c r="BA99" s="49"/>
      <c r="BB99" s="49"/>
      <c r="BD99" s="49"/>
      <c r="BE99" s="49" t="str">
        <f aca="false">IF(DN99=0,"",DN99)</f>
        <v/>
      </c>
      <c r="BF99" s="49"/>
      <c r="BG99" s="49"/>
      <c r="BI99" s="49"/>
      <c r="BJ99" s="49" t="str">
        <f aca="false">IF(DP99=0,"",DP99)</f>
        <v/>
      </c>
      <c r="BK99" s="49"/>
      <c r="BL99" s="49"/>
      <c r="BN99" s="49"/>
      <c r="BO99" s="49" t="str">
        <f aca="false">IF(DR99=0,"",DR99)</f>
        <v/>
      </c>
      <c r="BP99" s="49"/>
      <c r="BQ99" s="49"/>
      <c r="BS99" s="49"/>
      <c r="BT99" s="49" t="str">
        <f aca="false">IF(DT99=0,"",DT99)</f>
        <v/>
      </c>
      <c r="BU99" s="49"/>
      <c r="BV99" s="49"/>
      <c r="BX99" s="49"/>
      <c r="BY99" s="49" t="str">
        <f aca="false">IF(DV99=0,"",DV99)</f>
        <v/>
      </c>
      <c r="BZ99" s="49"/>
      <c r="CA99" s="49"/>
      <c r="CC99" s="49"/>
      <c r="CD99" s="49" t="str">
        <f aca="false">IF(DX99=0,"",DX99)</f>
        <v/>
      </c>
      <c r="CE99" s="49"/>
      <c r="CF99" s="49"/>
      <c r="CH99" s="49"/>
      <c r="CI99" s="49" t="str">
        <f aca="false">IF(DZ99=0,"",DZ99)</f>
        <v/>
      </c>
      <c r="CJ99" s="49"/>
      <c r="CK99" s="49"/>
      <c r="CM99" s="49"/>
      <c r="CN99" s="49" t="str">
        <f aca="false">IF(EB99=0,"",EB99)</f>
        <v/>
      </c>
      <c r="CO99" s="49"/>
      <c r="CP99" s="49"/>
      <c r="CR99" s="49"/>
      <c r="CS99" s="21"/>
      <c r="CT99" s="22" t="str">
        <f aca="false">IFERROR(CT100+CT101,"")</f>
        <v/>
      </c>
      <c r="CU99" s="21"/>
      <c r="CV99" s="22" t="str">
        <f aca="false">IFERROR(CV100+CV101,"")</f>
        <v/>
      </c>
      <c r="CW99" s="21"/>
      <c r="CX99" s="22" t="str">
        <f aca="false">IFERROR(CX100+CX101,"")</f>
        <v/>
      </c>
      <c r="CY99" s="21"/>
      <c r="CZ99" s="22" t="str">
        <f aca="false">IFERROR(CZ100+CZ101,"")</f>
        <v/>
      </c>
      <c r="DA99" s="21"/>
      <c r="DB99" s="22" t="str">
        <f aca="false">IFERROR(DB100+DB101,"")</f>
        <v/>
      </c>
      <c r="DC99" s="21"/>
      <c r="DD99" s="22" t="str">
        <f aca="false">IFERROR(DD100+DD101,"")</f>
        <v/>
      </c>
      <c r="DE99" s="21"/>
      <c r="DF99" s="22" t="str">
        <f aca="false">IFERROR(DF100+DF101,"")</f>
        <v/>
      </c>
      <c r="DG99" s="21"/>
      <c r="DH99" s="22" t="str">
        <f aca="false">IFERROR(DH100+DH101,"")</f>
        <v/>
      </c>
      <c r="DI99" s="21"/>
      <c r="DJ99" s="22" t="str">
        <f aca="false">IFERROR(DJ100+DJ101,"")</f>
        <v/>
      </c>
      <c r="DK99" s="21"/>
      <c r="DL99" s="22" t="str">
        <f aca="false">IFERROR(DL100+DL101,"")</f>
        <v/>
      </c>
      <c r="DM99" s="21"/>
      <c r="DN99" s="22" t="str">
        <f aca="false">IFERROR(DN100+DN101,"")</f>
        <v/>
      </c>
      <c r="DO99" s="21"/>
      <c r="DP99" s="22" t="str">
        <f aca="false">IFERROR(DP100+DP101,"")</f>
        <v/>
      </c>
      <c r="DQ99" s="21"/>
      <c r="DR99" s="22" t="str">
        <f aca="false">IFERROR(DR100+DR101,"")</f>
        <v/>
      </c>
      <c r="DS99" s="21"/>
      <c r="DT99" s="22" t="str">
        <f aca="false">IFERROR(DT100+DT101,"")</f>
        <v/>
      </c>
      <c r="DU99" s="21"/>
      <c r="DV99" s="22" t="str">
        <f aca="false">IFERROR(DV100+DV101,"")</f>
        <v/>
      </c>
      <c r="DW99" s="21"/>
      <c r="DX99" s="22" t="str">
        <f aca="false">IFERROR(DX100+DX101,"")</f>
        <v/>
      </c>
      <c r="DY99" s="21"/>
      <c r="DZ99" s="22" t="str">
        <f aca="false">IFERROR(DZ100+DZ101,"")</f>
        <v/>
      </c>
      <c r="EA99" s="21"/>
      <c r="EB99" s="22" t="str">
        <f aca="false">IFERROR(EB100+EB101,"")</f>
        <v/>
      </c>
      <c r="EC99" s="17" t="n">
        <f aca="false">IFERROR(LARGE($G99:$CN99,1),0)+IFERROR(LARGE($G99:$CN99,2),0)+IFERROR(LARGE($G99:$CN99,3),0)+IFERROR(LARGE($G99:$CN99,4),0)+IFERROR(LARGE($G99:$CN99,5),0)+IFERROR(LARGE($G99:$CN99,6),0)+IFERROR(LARGE($G99:$CN99,7),0)+IFERROR(LARGE($G99:$CN99,8),0)+IFERROR(LARGE($G99:$CN99,9),0)+IFERROR(LARGE($G99:$CN99,10),0)</f>
        <v>0</v>
      </c>
      <c r="ED99" s="23" t="n">
        <f aca="false">IFERROR(AVERAGE(CT99,CV99,CX99,CZ99,DB99,DD99,DF99,DH99,DJ99,DL99,DN99,DP99,DR99,DT99,DV99,DX99,DZ99,EB99),0)</f>
        <v>0</v>
      </c>
    </row>
    <row r="100" customFormat="false" ht="13.5" hidden="false" customHeight="false" outlineLevel="1" collapsed="false">
      <c r="B100" s="72" t="n">
        <f aca="false">B98+0.027</f>
        <v>1.5085</v>
      </c>
      <c r="C100" s="68"/>
      <c r="D100" s="68" t="s">
        <v>174</v>
      </c>
      <c r="E100" s="73" t="s">
        <v>43</v>
      </c>
      <c r="F100" s="74"/>
      <c r="G100" s="7"/>
      <c r="H100" s="7" t="str">
        <f aca="false">IF(CS100=0,"",CS100)</f>
        <v/>
      </c>
      <c r="I100" s="7"/>
      <c r="J100" s="49" t="str">
        <f aca="false">IFERROR(RANK(H100,H$6:H$116,0),"")</f>
        <v/>
      </c>
      <c r="K100" s="7"/>
      <c r="L100" s="7"/>
      <c r="M100" s="7" t="str">
        <f aca="false">IF(CU100=0,"",CU100)</f>
        <v/>
      </c>
      <c r="N100" s="7"/>
      <c r="O100" s="49" t="str">
        <f aca="false">IFERROR(RANK(M100,M$6:M$116,0),"")</f>
        <v/>
      </c>
      <c r="P100" s="7"/>
      <c r="Q100" s="7"/>
      <c r="R100" s="7" t="str">
        <f aca="false">IF(CW100=0,"",CW100)</f>
        <v/>
      </c>
      <c r="S100" s="7"/>
      <c r="T100" s="49" t="str">
        <f aca="false">IFERROR(RANK(R100,R$6:R$116,0),"")</f>
        <v/>
      </c>
      <c r="U100" s="7"/>
      <c r="V100" s="7"/>
      <c r="W100" s="7" t="str">
        <f aca="false">IF(CY100=0,"",CY100)</f>
        <v/>
      </c>
      <c r="X100" s="7"/>
      <c r="Y100" s="49" t="str">
        <f aca="false">IFERROR(RANK(W100,W$6:W$116,0),"")</f>
        <v/>
      </c>
      <c r="Z100" s="7"/>
      <c r="AA100" s="7"/>
      <c r="AB100" s="7" t="str">
        <f aca="false">IF(DA100=0,"",DA100)</f>
        <v/>
      </c>
      <c r="AC100" s="7"/>
      <c r="AD100" s="49" t="str">
        <f aca="false">IFERROR(RANK(AB100,AB$6:AB$116,0),"")</f>
        <v/>
      </c>
      <c r="AE100" s="7"/>
      <c r="AF100" s="7"/>
      <c r="AG100" s="7" t="str">
        <f aca="false">IF(DC100=0,"",DC100)</f>
        <v/>
      </c>
      <c r="AH100" s="7"/>
      <c r="AI100" s="49" t="str">
        <f aca="false">IFERROR(RANK(AG100,AG$6:AG$116,0),"")</f>
        <v/>
      </c>
      <c r="AJ100" s="7"/>
      <c r="AK100" s="7"/>
      <c r="AL100" s="7" t="str">
        <f aca="false">IF(DE100=0,"",DE100)</f>
        <v/>
      </c>
      <c r="AM100" s="7"/>
      <c r="AN100" s="49" t="str">
        <f aca="false">IFERROR(RANK(AL100,AL$6:AL$116,0),"")</f>
        <v/>
      </c>
      <c r="AO100" s="7"/>
      <c r="AP100" s="7"/>
      <c r="AQ100" s="7" t="str">
        <f aca="false">IF(DG100=0,"",DG100)</f>
        <v/>
      </c>
      <c r="AR100" s="7"/>
      <c r="AS100" s="49" t="str">
        <f aca="false">IFERROR(RANK(AQ100,AQ$6:AQ$116,0),"")</f>
        <v/>
      </c>
      <c r="AT100" s="7"/>
      <c r="AU100" s="7"/>
      <c r="AV100" s="7" t="str">
        <f aca="false">IF(DI100=0,"",DI100)</f>
        <v/>
      </c>
      <c r="AW100" s="7"/>
      <c r="AX100" s="49" t="str">
        <f aca="false">IFERROR(RANK(AV100,AV$6:AV$116,0),"")</f>
        <v/>
      </c>
      <c r="AY100" s="7"/>
      <c r="AZ100" s="7"/>
      <c r="BA100" s="7" t="str">
        <f aca="false">IF(DK100=0,"",DK100)</f>
        <v/>
      </c>
      <c r="BB100" s="7"/>
      <c r="BC100" s="49" t="str">
        <f aca="false">IFERROR(RANK(BA100,BA$6:BA$116,0),"")</f>
        <v/>
      </c>
      <c r="BD100" s="7"/>
      <c r="BE100" s="7"/>
      <c r="BF100" s="7" t="str">
        <f aca="false">IF(DM100=0,"",DM100)</f>
        <v/>
      </c>
      <c r="BG100" s="7"/>
      <c r="BH100" s="49" t="str">
        <f aca="false">IFERROR(RANK(BF100,BF$6:BF$116,0),"")</f>
        <v/>
      </c>
      <c r="BI100" s="7"/>
      <c r="BJ100" s="7"/>
      <c r="BK100" s="7" t="str">
        <f aca="false">IF(DO100=0,"",DO100)</f>
        <v/>
      </c>
      <c r="BL100" s="7"/>
      <c r="BM100" s="49" t="str">
        <f aca="false">IFERROR(RANK(BK100,BK$6:BK$116,0),"")</f>
        <v/>
      </c>
      <c r="BN100" s="7"/>
      <c r="BO100" s="7"/>
      <c r="BP100" s="7" t="str">
        <f aca="false">IF(DQ100=0,"",DQ100)</f>
        <v/>
      </c>
      <c r="BQ100" s="7"/>
      <c r="BR100" s="49" t="str">
        <f aca="false">IFERROR(RANK(BP100,BP$6:BP$116,0),"")</f>
        <v/>
      </c>
      <c r="BS100" s="7"/>
      <c r="BT100" s="7"/>
      <c r="BU100" s="7" t="str">
        <f aca="false">IF(DS100=0,"",DS100)</f>
        <v/>
      </c>
      <c r="BV100" s="7"/>
      <c r="BW100" s="49" t="str">
        <f aca="false">IFERROR(RANK(BU100,BU$6:BU$116,0),"")</f>
        <v/>
      </c>
      <c r="BX100" s="7"/>
      <c r="BY100" s="7"/>
      <c r="BZ100" s="7" t="str">
        <f aca="false">IF(DU100=0,"",DU100)</f>
        <v/>
      </c>
      <c r="CA100" s="7"/>
      <c r="CB100" s="49" t="str">
        <f aca="false">IFERROR(RANK(BZ100,BZ$6:BZ$116,0),"")</f>
        <v/>
      </c>
      <c r="CC100" s="7"/>
      <c r="CD100" s="7"/>
      <c r="CE100" s="7" t="str">
        <f aca="false">IF(DW100=0,"",DW100)</f>
        <v/>
      </c>
      <c r="CF100" s="7"/>
      <c r="CG100" s="49" t="str">
        <f aca="false">IFERROR(RANK(CE100,CE$6:CE$116,0),"")</f>
        <v/>
      </c>
      <c r="CH100" s="7"/>
      <c r="CI100" s="7"/>
      <c r="CJ100" s="7" t="str">
        <f aca="false">IF(DY100=0,"",DY100)</f>
        <v/>
      </c>
      <c r="CK100" s="7"/>
      <c r="CL100" s="49" t="str">
        <f aca="false">IFERROR(RANK(CJ100,CJ$6:CJ$116,0),"")</f>
        <v/>
      </c>
      <c r="CM100" s="7"/>
      <c r="CN100" s="7"/>
      <c r="CO100" s="7" t="str">
        <f aca="false">IF(EA100=0,"",EA100)</f>
        <v/>
      </c>
      <c r="CP100" s="7"/>
      <c r="CQ100" s="49" t="str">
        <f aca="false">IFERROR(RANK(CO100,CO$6:CO$116,0),"")</f>
        <v/>
      </c>
      <c r="CR100" s="7"/>
      <c r="CS100" s="21"/>
      <c r="CT100" s="25" t="str">
        <f aca="true">IFERROR(AVERAGE(OFFSET('Data - For Rank'!B$2,J100,0,COUNTIF($J$7:J$116,J100)))+IFERROR(VLOOKUP((COUNT($H$6:$H$116)/4),$ER$9:$ES$13,2,FALSE()),0),"")</f>
        <v/>
      </c>
      <c r="CU100" s="21"/>
      <c r="CV100" s="25" t="str">
        <f aca="true">IFERROR(AVERAGE(OFFSET('Data - For Rank'!$C$2,O100,0,COUNTIF(O$7:O$116,O100)))+IFERROR(VLOOKUP((COUNT(M$6:M$116)/4),$ER$9:$ES$13,2,FALSE()),0),"")</f>
        <v/>
      </c>
      <c r="CW100" s="21"/>
      <c r="CX100" s="25" t="str">
        <f aca="true">IFERROR(AVERAGE(OFFSET('Data - For Rank'!D$2,T100,0,COUNTIF(T$7:T$116,T100)))+IFERROR(VLOOKUP((COUNT(R$6:R$116)/4),$ER$9:$ES$13,2,FALSE()),0),"")</f>
        <v/>
      </c>
      <c r="CY100" s="21"/>
      <c r="CZ100" s="25" t="str">
        <f aca="true">IFERROR(AVERAGE(OFFSET('Data - For Rank'!E$2,Y100,0,COUNTIF(Y$7:Y$116,Y100)))+IFERROR(VLOOKUP((COUNT(W$6:W$116)/4),$ER$9:$ES$13,2,FALSE()),0),"")</f>
        <v/>
      </c>
      <c r="DA100" s="21"/>
      <c r="DB100" s="25" t="str">
        <f aca="true">IFERROR(AVERAGE(OFFSET('Data - For Rank'!F$2,AD100,0,COUNTIF(AD$7:AD$116,AD100)))+IFERROR(VLOOKUP((COUNT(AB$6:AB$116)/4),$ER$9:$ES$13,2,FALSE()),0),"")</f>
        <v/>
      </c>
      <c r="DC100" s="21"/>
      <c r="DD100" s="25" t="str">
        <f aca="true">IFERROR(AVERAGE(OFFSET('Data - For Rank'!G$2,AI100,0,COUNTIF(AI$7:AI$116,AI100)))+IFERROR(VLOOKUP((COUNT(AG$6:AG$116)/4),$ER$9:$ES$13,2,FALSE()),0),"")</f>
        <v/>
      </c>
      <c r="DE100" s="21"/>
      <c r="DF100" s="25" t="str">
        <f aca="true">IFERROR(AVERAGE(OFFSET('Data - For Rank'!$H$2,AN100,0,COUNTIF(AN$7:AN$116,AN100)))+IFERROR(VLOOKUP((COUNT(AL$6:AL$116)/4),$ER$9:$ES$13,2,FALSE()),0),"")</f>
        <v/>
      </c>
      <c r="DG100" s="21"/>
      <c r="DH100" s="25" t="str">
        <f aca="true">IFERROR(AVERAGE(OFFSET('Data - For Rank'!$I$2,AS100,0,COUNTIF(AS$7:AS$116,AS100)))+IFERROR(VLOOKUP((COUNT(AQ$6:AQ$116)/4),$ER$9:$ES$13,2,FALSE()),0),"")</f>
        <v/>
      </c>
      <c r="DI100" s="21"/>
      <c r="DJ100" s="25" t="str">
        <f aca="true">IFERROR(AVERAGE(OFFSET('Data - For Rank'!$J$2,AX100,0,COUNTIF(AX$7:AX$116,AX100)))+IFERROR(VLOOKUP((COUNT(AV$6:AV$116)/4),$ER$9:$ES$13,2,FALSE()),0),"")</f>
        <v/>
      </c>
      <c r="DK100" s="21"/>
      <c r="DL100" s="25" t="str">
        <f aca="true">IFERROR(AVERAGE(OFFSET('Data - For Rank'!$K$2,BC100,0,COUNTIF(BC$7:BC$116,BC100)))+IFERROR(VLOOKUP((COUNT(BA$6:BA$116)/4),$ER$9:$ES$13,2,FALSE()),0),"")</f>
        <v/>
      </c>
      <c r="DM100" s="21"/>
      <c r="DN100" s="25" t="str">
        <f aca="true">IFERROR(AVERAGE(OFFSET('Data - For Rank'!$L$2,BH100,0,COUNTIF(BH$7:BH$116,BH100)))+IFERROR(VLOOKUP((COUNT(BF$6:BF$116)/4),$ER$9:$ES$13,2,FALSE()),0),"")</f>
        <v/>
      </c>
      <c r="DO100" s="21"/>
      <c r="DP100" s="25" t="str">
        <f aca="true">IFERROR(AVERAGE(OFFSET('Data - For Rank'!$M$2,BM100,0,COUNTIF(BM$7:BM$116,BM100)))+IFERROR(VLOOKUP((COUNT(BK$6:BK$116)/4),$ER$9:$ES$13,2,FALSE()),0),"")</f>
        <v/>
      </c>
      <c r="DQ100" s="21"/>
      <c r="DR100" s="25" t="str">
        <f aca="true">IFERROR(AVERAGE(OFFSET('Data - For Rank'!$N$2,BR100,0,COUNTIF(BR$7:BR$116,BR100)))+IFERROR(VLOOKUP((COUNT(BP$6:BP$116)/4),$ER$9:$ES$13,2,FALSE()),0),"")</f>
        <v/>
      </c>
      <c r="DS100" s="21"/>
      <c r="DT100" s="25" t="str">
        <f aca="true">IFERROR(AVERAGE(OFFSET('Data - For Rank'!$O$2,BW100,0,COUNTIF(BW$7:BW$116,BW100)))+IFERROR(VLOOKUP((COUNT(BU$6:BU$116)/4),$ER$9:$ES$13,2,FALSE()),0),"")</f>
        <v/>
      </c>
      <c r="DU100" s="21"/>
      <c r="DV100" s="25" t="str">
        <f aca="true">IFERROR(AVERAGE(OFFSET('Data - For Rank'!$P$2,CB100,0,COUNTIF(CB$7:CB$116,CB100)))+IFERROR(VLOOKUP((COUNT(BZ$6:BZ$116)/4),$ER$9:$ES$13,2,FALSE()),0),"")</f>
        <v/>
      </c>
      <c r="DW100" s="21"/>
      <c r="DX100" s="25" t="str">
        <f aca="true">IFERROR(AVERAGE(OFFSET('Data - For Rank'!$Q$2,CG100,0,COUNTIF(CG$7:CG$116,CG100)))+IFERROR(VLOOKUP((COUNT(CE$6:CE$116)/4),$ER$9:$ES$13,2,FALSE()),0),"")</f>
        <v/>
      </c>
      <c r="DY100" s="21"/>
      <c r="DZ100" s="25" t="str">
        <f aca="true">IFERROR(AVERAGE(OFFSET('Data - For Rank'!$R$2,CL100,0,COUNTIF(CL$7:CL$116,CL100)))+IFERROR(VLOOKUP((COUNT(CJ$6:CJ$116)/4),$ER$9:$ES$13,2,FALSE()),0),"")</f>
        <v/>
      </c>
      <c r="EA100" s="21"/>
      <c r="EB100" s="25" t="str">
        <f aca="true">IFERROR(AVERAGE(OFFSET('Data - For Rank'!$S$2,CQ100,0,COUNTIF(CQ$7:CQ$116,CQ100)))+IFERROR(VLOOKUP((COUNT(CO$6:CO$116)/4),$ER$9:$ES$13,2,FALSE()),0),"")</f>
        <v/>
      </c>
      <c r="EC100" s="26" t="n">
        <f aca="false">IFERROR(AVERAGE(CS100,CU100,CW100,CY100,DA100,DC100,DE100,DG100,DI100,DK100,DM100,DO100,DQ100,DS100,DU100,DW100,DY100,EA100),0)</f>
        <v>0</v>
      </c>
      <c r="ED100" s="23" t="n">
        <f aca="false">IFERROR(AVERAGE(CT100,CV100,CX100,CZ100,DB100,DD100,DF100,DH100,DJ100,DL100,DN100,DP100,DR100,DT100,DV100,DX100,DZ100,EB100),0)</f>
        <v>0</v>
      </c>
    </row>
    <row r="101" customFormat="false" ht="13.5" hidden="false" customHeight="false" outlineLevel="1" collapsed="false">
      <c r="B101" s="75" t="n">
        <f aca="false">B100+0.17</f>
        <v>1.6785</v>
      </c>
      <c r="C101" s="68"/>
      <c r="D101" s="68" t="s">
        <v>175</v>
      </c>
      <c r="E101" s="76" t="s">
        <v>44</v>
      </c>
      <c r="F101" s="77"/>
      <c r="G101" s="29"/>
      <c r="H101" s="29"/>
      <c r="I101" s="53" t="str">
        <f aca="false">IF(CS101=0,"",CS101)</f>
        <v/>
      </c>
      <c r="J101" s="53"/>
      <c r="K101" s="54" t="str">
        <f aca="false">IFERROR(_xlfn.RANK.EQ(I101,I$6:I$116,0),"")</f>
        <v/>
      </c>
      <c r="L101" s="29"/>
      <c r="M101" s="29"/>
      <c r="N101" s="53" t="str">
        <f aca="false">IF(CU101=0,"",CU101)</f>
        <v/>
      </c>
      <c r="O101" s="53"/>
      <c r="P101" s="54" t="str">
        <f aca="false">IFERROR(_xlfn.RANK.EQ(N101,N$6:N$116,0),"")</f>
        <v/>
      </c>
      <c r="Q101" s="29"/>
      <c r="R101" s="29"/>
      <c r="S101" s="53" t="str">
        <f aca="false">IF(CW101=0,"",CW101)</f>
        <v/>
      </c>
      <c r="T101" s="53"/>
      <c r="U101" s="54" t="str">
        <f aca="false">IFERROR(_xlfn.RANK.EQ(S101,S$6:S$116,0),"")</f>
        <v/>
      </c>
      <c r="V101" s="29"/>
      <c r="W101" s="29"/>
      <c r="X101" s="53" t="str">
        <f aca="false">IF(CY101=0,"",CY101)</f>
        <v/>
      </c>
      <c r="Y101" s="53"/>
      <c r="Z101" s="54" t="str">
        <f aca="false">IFERROR(_xlfn.RANK.EQ(X101,X$6:X$116,0),"")</f>
        <v/>
      </c>
      <c r="AA101" s="29"/>
      <c r="AB101" s="29"/>
      <c r="AC101" s="53" t="str">
        <f aca="false">IF(DA101=0,"",DA101)</f>
        <v/>
      </c>
      <c r="AD101" s="53"/>
      <c r="AE101" s="54" t="str">
        <f aca="false">IFERROR(_xlfn.RANK.EQ(AC101,AC$6:AC$116,0),"")</f>
        <v/>
      </c>
      <c r="AF101" s="29"/>
      <c r="AG101" s="29"/>
      <c r="AH101" s="53" t="str">
        <f aca="false">IF(DC101=0,"",DC101)</f>
        <v/>
      </c>
      <c r="AI101" s="53"/>
      <c r="AJ101" s="54" t="str">
        <f aca="false">IFERROR(_xlfn.RANK.EQ(AH101,AH$6:AH$116,0),"")</f>
        <v/>
      </c>
      <c r="AK101" s="29"/>
      <c r="AL101" s="29"/>
      <c r="AM101" s="53" t="str">
        <f aca="false">IF(DE101=0,"",DE101)</f>
        <v/>
      </c>
      <c r="AN101" s="53"/>
      <c r="AO101" s="54" t="str">
        <f aca="false">IFERROR(_xlfn.RANK.EQ(AM101,AM$6:AM$116,0),"")</f>
        <v/>
      </c>
      <c r="AP101" s="29"/>
      <c r="AQ101" s="29"/>
      <c r="AR101" s="53" t="str">
        <f aca="false">IF(DG101=0,"",DG101)</f>
        <v/>
      </c>
      <c r="AS101" s="53"/>
      <c r="AT101" s="54" t="str">
        <f aca="false">IFERROR(_xlfn.RANK.EQ(AR101,AR$6:AR$116,0),"")</f>
        <v/>
      </c>
      <c r="AU101" s="29"/>
      <c r="AV101" s="29"/>
      <c r="AW101" s="53" t="str">
        <f aca="false">IF(DI101=0,"",DI101)</f>
        <v/>
      </c>
      <c r="AX101" s="53"/>
      <c r="AY101" s="54" t="str">
        <f aca="false">IFERROR(_xlfn.RANK.EQ(AW101,AW$6:AW$116,0),"")</f>
        <v/>
      </c>
      <c r="AZ101" s="29"/>
      <c r="BA101" s="29"/>
      <c r="BB101" s="53" t="str">
        <f aca="false">IF(DK101=0,"",DK101)</f>
        <v/>
      </c>
      <c r="BC101" s="53"/>
      <c r="BD101" s="54" t="str">
        <f aca="false">IFERROR(_xlfn.RANK.EQ(BB101,BB$6:BB$116,0),"")</f>
        <v/>
      </c>
      <c r="BE101" s="29"/>
      <c r="BF101" s="29"/>
      <c r="BG101" s="53" t="str">
        <f aca="false">IF(DM101=0,"",DM101)</f>
        <v/>
      </c>
      <c r="BH101" s="53"/>
      <c r="BI101" s="54" t="str">
        <f aca="false">IFERROR(_xlfn.RANK.EQ(BG101,BG$6:BG$116,0),"")</f>
        <v/>
      </c>
      <c r="BJ101" s="29"/>
      <c r="BK101" s="29"/>
      <c r="BL101" s="53" t="str">
        <f aca="false">IF(DO101=0,"",DO101)</f>
        <v/>
      </c>
      <c r="BM101" s="53"/>
      <c r="BN101" s="54" t="str">
        <f aca="false">IFERROR(_xlfn.RANK.EQ(BL101,BL$6:BL$116,0),"")</f>
        <v/>
      </c>
      <c r="BO101" s="29"/>
      <c r="BP101" s="29"/>
      <c r="BQ101" s="53" t="str">
        <f aca="false">IF(DQ101=0,"",DQ101)</f>
        <v/>
      </c>
      <c r="BR101" s="53"/>
      <c r="BS101" s="54" t="str">
        <f aca="false">IFERROR(_xlfn.RANK.EQ(BQ101,BQ$6:BQ$116,0),"")</f>
        <v/>
      </c>
      <c r="BT101" s="29"/>
      <c r="BU101" s="29"/>
      <c r="BV101" s="53" t="str">
        <f aca="false">IF(DS101=0,"",DS101)</f>
        <v/>
      </c>
      <c r="BW101" s="53"/>
      <c r="BX101" s="54" t="str">
        <f aca="false">IFERROR(_xlfn.RANK.EQ(BV101,BV$6:BV$116,0),"")</f>
        <v/>
      </c>
      <c r="BY101" s="29"/>
      <c r="BZ101" s="29"/>
      <c r="CA101" s="53" t="str">
        <f aca="false">IF(DU101=0,"",DU101)</f>
        <v/>
      </c>
      <c r="CB101" s="53"/>
      <c r="CC101" s="54" t="str">
        <f aca="false">IFERROR(_xlfn.RANK.EQ(CA101,CA$6:CA$116,0),"")</f>
        <v/>
      </c>
      <c r="CD101" s="29"/>
      <c r="CE101" s="29"/>
      <c r="CF101" s="53" t="str">
        <f aca="false">IF(DW101=0,"",DW101)</f>
        <v/>
      </c>
      <c r="CG101" s="53"/>
      <c r="CH101" s="54" t="str">
        <f aca="false">IFERROR(_xlfn.RANK.EQ(CF101,CF$6:CF$116,0),"")</f>
        <v/>
      </c>
      <c r="CI101" s="29"/>
      <c r="CJ101" s="29"/>
      <c r="CK101" s="53" t="str">
        <f aca="false">IF(DY101=0,"",DY101)</f>
        <v/>
      </c>
      <c r="CL101" s="53"/>
      <c r="CM101" s="54" t="str">
        <f aca="false">IFERROR(_xlfn.RANK.EQ(CK101,CK$6:CK$116,0),"")</f>
        <v/>
      </c>
      <c r="CN101" s="29"/>
      <c r="CO101" s="29"/>
      <c r="CP101" s="53" t="str">
        <f aca="false">IF(EA101=0,"",EA101)</f>
        <v/>
      </c>
      <c r="CQ101" s="53"/>
      <c r="CR101" s="54" t="str">
        <f aca="false">IFERROR(_xlfn.RANK.EQ(CP101,CP$6:CP$116,0),"")</f>
        <v/>
      </c>
      <c r="CS101" s="30"/>
      <c r="CT101" s="31" t="str">
        <f aca="true">IFERROR(AVERAGE(OFFSET('Data - For Rank'!B$2,K101,0,COUNTIF(K$6:K$116,K101)))+IFERROR(VLOOKUP((COUNT($I$6:$I$116)/4),$ER$9:$ES$13,2,FALSE()),0),"")</f>
        <v/>
      </c>
      <c r="CU101" s="30"/>
      <c r="CV101" s="31" t="str">
        <f aca="true">IFERROR(AVERAGE(OFFSET('Data - For Rank'!$C$2,P101,0,COUNTIF(P$6:P$116,P101)))+IFERROR(VLOOKUP((COUNT(N$6:N$116)/4),$ER$9:$ES$13,2,FALSE()),0),"")</f>
        <v/>
      </c>
      <c r="CW101" s="30"/>
      <c r="CX101" s="31" t="str">
        <f aca="true">IFERROR(AVERAGE(OFFSET('Data - For Rank'!D$2,U101,0,COUNTIF(U$6:$U208,U101)))+IFERROR(VLOOKUP((COUNT(S$6:S$116)/4),$ER$9:$ES$13,2,FALSE()),0),"")</f>
        <v/>
      </c>
      <c r="CY101" s="30"/>
      <c r="CZ101" s="31" t="str">
        <f aca="true">IFERROR(AVERAGE(OFFSET('Data - For Rank'!E$2,Z101,0,COUNTIF(Z$6:Z$116,Z101)))+IFERROR(VLOOKUP((COUNT(W$6:W$116)/4),$ER$9:$ES$13,2,FALSE()),0),"")</f>
        <v/>
      </c>
      <c r="DA101" s="30"/>
      <c r="DB101" s="31" t="str">
        <f aca="true">IFERROR(AVERAGE(OFFSET('Data - For Rank'!F$2,AE101,0,COUNTIF(AE$6:AE$116,AE101)))+IFERROR(VLOOKUP((COUNT(AC$6:AC$116)/4),$ER$9:$ES$13,2,FALSE()),0),"")</f>
        <v/>
      </c>
      <c r="DC101" s="30"/>
      <c r="DD101" s="31" t="str">
        <f aca="true">IFERROR(AVERAGE(OFFSET('Data - For Rank'!G$2,AJ101,0,COUNTIF(AJ$6:AJ$116,AJ101)))+IFERROR(VLOOKUP((COUNT(AH$6:AH$116)/4),$ER$9:$ES$13,2,FALSE()),0),"")</f>
        <v/>
      </c>
      <c r="DE101" s="30"/>
      <c r="DF101" s="31" t="str">
        <f aca="true">IFERROR(AVERAGE(OFFSET('Data - For Rank'!$H$2,AO101,0,COUNTIF(AO$6:AO$116,AO101)))+IFERROR(VLOOKUP((COUNT(AM$6:AM$116)/4),$ER$9:$ES$13,2,FALSE()),0),"")</f>
        <v/>
      </c>
      <c r="DG101" s="30"/>
      <c r="DH101" s="31" t="str">
        <f aca="true">IFERROR(AVERAGE(OFFSET('Data - For Rank'!$I$2,AT101,0,COUNTIF(AT$6:AT$116,AT101)))+IFERROR(VLOOKUP((COUNT(AR$6:AR$116)/4),$ER$9:$ES$13,2,FALSE()),0),"")</f>
        <v/>
      </c>
      <c r="DI101" s="30"/>
      <c r="DJ101" s="31" t="str">
        <f aca="true">IFERROR(AVERAGE(OFFSET('Data - For Rank'!$J$2,AY101,0,COUNTIF(AY$6:AY$116,AY101)))+IFERROR(VLOOKUP((COUNT(AW$6:AW$116)/4),$ER$9:$ES$13,2,FALSE()),0),"")</f>
        <v/>
      </c>
      <c r="DK101" s="30"/>
      <c r="DL101" s="31" t="str">
        <f aca="true">IFERROR(AVERAGE(OFFSET('Data - For Rank'!$K$2,BD101,0,COUNTIF(BD$6:BD$116,BD101)))+IFERROR(VLOOKUP((COUNT(BB$6:BB$116)/4),$ER$9:$ES$13,2,FALSE()),0),"")</f>
        <v/>
      </c>
      <c r="DM101" s="30"/>
      <c r="DN101" s="31" t="str">
        <f aca="true">IFERROR(AVERAGE(OFFSET('Data - For Rank'!$L$2,BI101,0,COUNTIF(BI$6:BI$116,BI101)))+IFERROR(VLOOKUP((COUNT(BG$6:BG$116)/4),$ER$9:$ES$13,2,FALSE()),0),"")</f>
        <v/>
      </c>
      <c r="DO101" s="30"/>
      <c r="DP101" s="31" t="str">
        <f aca="true">IFERROR(AVERAGE(OFFSET('Data - For Rank'!$M$2,BN101,0,COUNTIF(BN$6:BN$116,BN101)))+IFERROR(VLOOKUP((COUNT(BL$6:BL$116)/4),$ER$9:$ES$13,2,FALSE()),0),"")</f>
        <v/>
      </c>
      <c r="DQ101" s="30"/>
      <c r="DR101" s="31" t="str">
        <f aca="true">IFERROR(AVERAGE(OFFSET('Data - For Rank'!$N$2,BS101,0,COUNTIF(BS$6:BS$116,BS101)))+IFERROR(VLOOKUP((COUNT(BQ$6:BQ$116)/4),$ER$9:$ES$13,2,FALSE()),0),"")</f>
        <v/>
      </c>
      <c r="DS101" s="30"/>
      <c r="DT101" s="31" t="str">
        <f aca="true">IFERROR(AVERAGE(OFFSET('Data - For Rank'!$O$2,BX101,0,COUNTIF(BX$6:BX$116,BX101)))+IFERROR(VLOOKUP((COUNT(BV$6:BV$116)/4),$ER$9:$ES$13,2,FALSE()),0),"")</f>
        <v/>
      </c>
      <c r="DU101" s="30"/>
      <c r="DV101" s="31" t="str">
        <f aca="true">IFERROR(AVERAGE(OFFSET('Data - For Rank'!$P$2,CC101,0,COUNTIF(CC$6:CC$116,CC101)))+IFERROR(VLOOKUP((COUNT(CA$6:CA$116)/4),$ER$9:$ES$13,2,FALSE()),0),"")</f>
        <v/>
      </c>
      <c r="DW101" s="30"/>
      <c r="DX101" s="31" t="str">
        <f aca="true">IFERROR(AVERAGE(OFFSET('Data - For Rank'!$Q$2,CH101,0,COUNTIF(CH$6:CH$116,CH101)))+IFERROR(VLOOKUP((COUNT(CF$6:CF$116)/4),$ER$9:$ES$13,2,FALSE()),0),"")</f>
        <v/>
      </c>
      <c r="DY101" s="30"/>
      <c r="DZ101" s="31" t="str">
        <f aca="true">IFERROR(AVERAGE(OFFSET('Data - For Rank'!$R$2,CM101,0,COUNTIF(CM$6:CM$116,CM101)))+IFERROR(VLOOKUP((COUNT(CK$6:CK$116)/4),$ER$9:$ES$13,2,FALSE()),0),"")</f>
        <v/>
      </c>
      <c r="EA101" s="30"/>
      <c r="EB101" s="31" t="str">
        <f aca="true">IFERROR(AVERAGE(OFFSET('Data - For Rank'!$S$2,CR101,0,COUNTIF(CR$6:CR$116,CR101)))+IFERROR(VLOOKUP((COUNT(CP$6:CP$116)/4),$ER$9:$ES$13,2,FALSE()),0),"")</f>
        <v/>
      </c>
      <c r="EC101" s="32" t="n">
        <f aca="false">CS101+CU101+CW101+CY101+DA101+DC101+DE101+DG101+DI101+DK101+DM101+DO101+DQ101+DS101+DU101+DW101+DY101+EA101</f>
        <v>0</v>
      </c>
      <c r="ED101" s="33" t="n">
        <f aca="false">IFERROR(AVERAGE(CT101,CV101,CX101,CZ101,DB101,DD101,DF101,DH101,DJ101,DL101,DN101,DP101,DR101,DT101,DV101,DX101,DZ101,EB101),0)</f>
        <v>0</v>
      </c>
    </row>
    <row r="102" customFormat="false" ht="13.5" hidden="false" customHeight="false" outlineLevel="0" collapsed="false">
      <c r="B102" s="68" t="n">
        <f aca="false">_xlfn.RANK.EQ(C102,$C$73:$C$116,)</f>
        <v>5</v>
      </c>
      <c r="C102" s="69" t="n">
        <f aca="false">EC102</f>
        <v>0</v>
      </c>
      <c r="D102" s="69" t="s">
        <v>176</v>
      </c>
      <c r="E102" s="78" t="s">
        <v>176</v>
      </c>
      <c r="F102" s="71" t="n">
        <f aca="false">COUNT(CT102,CV102,CX102,CZ102,DB102,DD102,DF102,DH102,DJ102,DL102,DN102,DP102,DR102,DT102,DV102,DX102,DZ102,EB102)</f>
        <v>0</v>
      </c>
      <c r="G102" s="49" t="str">
        <f aca="false">IF(CT102=0,"",CT102)</f>
        <v/>
      </c>
      <c r="H102" s="49"/>
      <c r="I102" s="49"/>
      <c r="K102" s="49"/>
      <c r="L102" s="49" t="str">
        <f aca="false">IF(CV102=0,"",CV102)</f>
        <v/>
      </c>
      <c r="M102" s="49"/>
      <c r="N102" s="49"/>
      <c r="P102" s="49"/>
      <c r="Q102" s="49" t="str">
        <f aca="false">IF(CX102=0,"",CX102)</f>
        <v/>
      </c>
      <c r="R102" s="49"/>
      <c r="S102" s="49"/>
      <c r="U102" s="49"/>
      <c r="V102" s="49" t="str">
        <f aca="false">IF(CZ102=0,"",CZ102)</f>
        <v/>
      </c>
      <c r="W102" s="49"/>
      <c r="X102" s="49"/>
      <c r="Z102" s="49"/>
      <c r="AA102" s="49" t="str">
        <f aca="false">IF(DB102=0,"",DB102)</f>
        <v/>
      </c>
      <c r="AB102" s="49"/>
      <c r="AC102" s="49"/>
      <c r="AE102" s="49"/>
      <c r="AF102" s="49" t="str">
        <f aca="false">IF(DD102=0,"",DD102)</f>
        <v/>
      </c>
      <c r="AG102" s="49"/>
      <c r="AH102" s="49"/>
      <c r="AJ102" s="49"/>
      <c r="AK102" s="49" t="str">
        <f aca="false">IF(DF102=0,"",DF102)</f>
        <v/>
      </c>
      <c r="AL102" s="49"/>
      <c r="AM102" s="49"/>
      <c r="AO102" s="49"/>
      <c r="AP102" s="49" t="str">
        <f aca="false">IF(DH102=0,"",DH102)</f>
        <v/>
      </c>
      <c r="AQ102" s="49"/>
      <c r="AR102" s="49"/>
      <c r="AT102" s="49"/>
      <c r="AU102" s="49" t="str">
        <f aca="false">IF(DJ102=0,"",DJ102)</f>
        <v/>
      </c>
      <c r="AV102" s="49"/>
      <c r="AW102" s="49"/>
      <c r="AY102" s="49"/>
      <c r="AZ102" s="49" t="str">
        <f aca="false">IF(DL102=0,"",DL102)</f>
        <v/>
      </c>
      <c r="BA102" s="49"/>
      <c r="BB102" s="49"/>
      <c r="BD102" s="49"/>
      <c r="BE102" s="49" t="str">
        <f aca="false">IF(DN102=0,"",DN102)</f>
        <v/>
      </c>
      <c r="BF102" s="49"/>
      <c r="BG102" s="49"/>
      <c r="BI102" s="49"/>
      <c r="BJ102" s="49" t="str">
        <f aca="false">IF(DP102=0,"",DP102)</f>
        <v/>
      </c>
      <c r="BK102" s="49"/>
      <c r="BL102" s="49"/>
      <c r="BN102" s="49"/>
      <c r="BO102" s="49" t="str">
        <f aca="false">IF(DR102=0,"",DR102)</f>
        <v/>
      </c>
      <c r="BP102" s="49"/>
      <c r="BQ102" s="49"/>
      <c r="BS102" s="49"/>
      <c r="BT102" s="49" t="str">
        <f aca="false">IF(DT102=0,"",DT102)</f>
        <v/>
      </c>
      <c r="BU102" s="49"/>
      <c r="BV102" s="49"/>
      <c r="BX102" s="49"/>
      <c r="BY102" s="49" t="str">
        <f aca="false">IF(DV102=0,"",DV102)</f>
        <v/>
      </c>
      <c r="BZ102" s="49"/>
      <c r="CA102" s="49"/>
      <c r="CC102" s="49"/>
      <c r="CD102" s="49" t="str">
        <f aca="false">IF(DX102=0,"",DX102)</f>
        <v/>
      </c>
      <c r="CE102" s="49"/>
      <c r="CF102" s="49"/>
      <c r="CH102" s="49"/>
      <c r="CI102" s="49" t="str">
        <f aca="false">IF(DZ102=0,"",DZ102)</f>
        <v/>
      </c>
      <c r="CJ102" s="49"/>
      <c r="CK102" s="49"/>
      <c r="CM102" s="49"/>
      <c r="CN102" s="49" t="str">
        <f aca="false">IF(EB102=0,"",EB102)</f>
        <v/>
      </c>
      <c r="CO102" s="49"/>
      <c r="CP102" s="49"/>
      <c r="CR102" s="49"/>
      <c r="CS102" s="21"/>
      <c r="CT102" s="22" t="str">
        <f aca="false">IFERROR(CT103+CT104,"")</f>
        <v/>
      </c>
      <c r="CU102" s="21"/>
      <c r="CV102" s="22" t="str">
        <f aca="false">IFERROR(CV103+CV104,"")</f>
        <v/>
      </c>
      <c r="CW102" s="21"/>
      <c r="CX102" s="22" t="str">
        <f aca="false">IFERROR(CX103+CX104,"")</f>
        <v/>
      </c>
      <c r="CY102" s="21"/>
      <c r="CZ102" s="22" t="str">
        <f aca="false">IFERROR(CZ103+CZ104,"")</f>
        <v/>
      </c>
      <c r="DA102" s="21"/>
      <c r="DB102" s="22" t="str">
        <f aca="false">IFERROR(DB103+DB104,"")</f>
        <v/>
      </c>
      <c r="DC102" s="21"/>
      <c r="DD102" s="22" t="str">
        <f aca="false">IFERROR(DD103+DD104,"")</f>
        <v/>
      </c>
      <c r="DE102" s="21"/>
      <c r="DF102" s="22" t="str">
        <f aca="false">IFERROR(DF103+DF104,"")</f>
        <v/>
      </c>
      <c r="DG102" s="21"/>
      <c r="DH102" s="22" t="str">
        <f aca="false">IFERROR(DH103+DH104,"")</f>
        <v/>
      </c>
      <c r="DI102" s="21"/>
      <c r="DJ102" s="22" t="str">
        <f aca="false">IFERROR(DJ103+DJ104,"")</f>
        <v/>
      </c>
      <c r="DK102" s="21"/>
      <c r="DL102" s="22" t="str">
        <f aca="false">IFERROR(DL103+DL104,"")</f>
        <v/>
      </c>
      <c r="DM102" s="21"/>
      <c r="DN102" s="22" t="str">
        <f aca="false">IFERROR(DN103+DN104,"")</f>
        <v/>
      </c>
      <c r="DO102" s="21"/>
      <c r="DP102" s="22" t="str">
        <f aca="false">IFERROR(DP103+DP104,"")</f>
        <v/>
      </c>
      <c r="DQ102" s="21"/>
      <c r="DR102" s="22" t="str">
        <f aca="false">IFERROR(DR103+DR104,"")</f>
        <v/>
      </c>
      <c r="DS102" s="21"/>
      <c r="DT102" s="22" t="str">
        <f aca="false">IFERROR(DT103+DT104,"")</f>
        <v/>
      </c>
      <c r="DU102" s="21"/>
      <c r="DV102" s="22" t="str">
        <f aca="false">IFERROR(DV103+DV104,"")</f>
        <v/>
      </c>
      <c r="DW102" s="21"/>
      <c r="DX102" s="22" t="str">
        <f aca="false">IFERROR(DX103+DX104,"")</f>
        <v/>
      </c>
      <c r="DY102" s="21"/>
      <c r="DZ102" s="22" t="str">
        <f aca="false">IFERROR(DZ103+DZ104,"")</f>
        <v/>
      </c>
      <c r="EA102" s="21"/>
      <c r="EB102" s="22" t="str">
        <f aca="false">IFERROR(EB103+EB104,"")</f>
        <v/>
      </c>
      <c r="EC102" s="17" t="n">
        <f aca="false">IFERROR(LARGE($G102:$CN102,1),0)+IFERROR(LARGE($G102:$CN102,2),0)+IFERROR(LARGE($G102:$CN102,3),0)+IFERROR(LARGE($G102:$CN102,4),0)+IFERROR(LARGE($G102:$CN102,5),0)+IFERROR(LARGE($G102:$CN102,6),0)+IFERROR(LARGE($G102:$CN102,7),0)+IFERROR(LARGE($G102:$CN102,8),0)+IFERROR(LARGE($G102:$CN102,9),0)+IFERROR(LARGE($G102:$CN102,10),0)</f>
        <v>0</v>
      </c>
      <c r="ED102" s="23" t="n">
        <f aca="false">IFERROR(AVERAGE(CT102,CV102,CX102,CZ102,DB102,DD102,DF102,DH102,DJ102,DL102,DN102,DP102,DR102,DT102,DV102,DX102,DZ102,EB102),0)</f>
        <v>0</v>
      </c>
    </row>
    <row r="103" customFormat="false" ht="13.5" hidden="false" customHeight="false" outlineLevel="1" collapsed="false">
      <c r="B103" s="72" t="n">
        <f aca="false">B101+0.026</f>
        <v>1.7045</v>
      </c>
      <c r="C103" s="68"/>
      <c r="D103" s="68" t="s">
        <v>177</v>
      </c>
      <c r="E103" s="73" t="s">
        <v>43</v>
      </c>
      <c r="F103" s="74"/>
      <c r="G103" s="7"/>
      <c r="H103" s="7" t="str">
        <f aca="false">IF(CS103=0,"",CS103)</f>
        <v/>
      </c>
      <c r="I103" s="7"/>
      <c r="J103" s="49" t="str">
        <f aca="false">IFERROR(RANK(H103,H$6:H$116,0),"")</f>
        <v/>
      </c>
      <c r="K103" s="7"/>
      <c r="L103" s="7"/>
      <c r="M103" s="7" t="str">
        <f aca="false">IF(CU103=0,"",CU103)</f>
        <v/>
      </c>
      <c r="N103" s="7"/>
      <c r="O103" s="49" t="str">
        <f aca="false">IFERROR(RANK(M103,M$6:M$116,0),"")</f>
        <v/>
      </c>
      <c r="P103" s="7"/>
      <c r="Q103" s="7"/>
      <c r="R103" s="7" t="str">
        <f aca="false">IF(CW103=0,"",CW103)</f>
        <v/>
      </c>
      <c r="S103" s="7"/>
      <c r="T103" s="49" t="str">
        <f aca="false">IFERROR(RANK(R103,R$6:R$116,0),"")</f>
        <v/>
      </c>
      <c r="U103" s="7"/>
      <c r="V103" s="7"/>
      <c r="W103" s="7" t="str">
        <f aca="false">IF(CY103=0,"",CY103)</f>
        <v/>
      </c>
      <c r="X103" s="7"/>
      <c r="Y103" s="49" t="str">
        <f aca="false">IFERROR(RANK(W103,W$6:W$116,0),"")</f>
        <v/>
      </c>
      <c r="Z103" s="7"/>
      <c r="AA103" s="7"/>
      <c r="AB103" s="7" t="str">
        <f aca="false">IF(DA103=0,"",DA103)</f>
        <v/>
      </c>
      <c r="AC103" s="7"/>
      <c r="AD103" s="49" t="str">
        <f aca="false">IFERROR(RANK(AB103,AB$6:AB$116,0),"")</f>
        <v/>
      </c>
      <c r="AE103" s="7"/>
      <c r="AF103" s="7"/>
      <c r="AG103" s="7" t="str">
        <f aca="false">IF(DC103=0,"",DC103)</f>
        <v/>
      </c>
      <c r="AH103" s="7"/>
      <c r="AI103" s="49" t="str">
        <f aca="false">IFERROR(RANK(AG103,AG$6:AG$116,0),"")</f>
        <v/>
      </c>
      <c r="AJ103" s="7"/>
      <c r="AK103" s="7"/>
      <c r="AL103" s="7" t="str">
        <f aca="false">IF(DE103=0,"",DE103)</f>
        <v/>
      </c>
      <c r="AM103" s="7"/>
      <c r="AN103" s="49" t="str">
        <f aca="false">IFERROR(RANK(AL103,AL$6:AL$116,0),"")</f>
        <v/>
      </c>
      <c r="AO103" s="7"/>
      <c r="AP103" s="7"/>
      <c r="AQ103" s="7" t="str">
        <f aca="false">IF(DG103=0,"",DG103)</f>
        <v/>
      </c>
      <c r="AR103" s="7"/>
      <c r="AS103" s="49" t="str">
        <f aca="false">IFERROR(RANK(AQ103,AQ$6:AQ$116,0),"")</f>
        <v/>
      </c>
      <c r="AT103" s="7"/>
      <c r="AU103" s="7"/>
      <c r="AV103" s="7" t="str">
        <f aca="false">IF(DI103=0,"",DI103)</f>
        <v/>
      </c>
      <c r="AW103" s="7"/>
      <c r="AX103" s="49" t="str">
        <f aca="false">IFERROR(RANK(AV103,AV$6:AV$116,0),"")</f>
        <v/>
      </c>
      <c r="AY103" s="7"/>
      <c r="AZ103" s="7"/>
      <c r="BA103" s="7" t="str">
        <f aca="false">IF(DK103=0,"",DK103)</f>
        <v/>
      </c>
      <c r="BB103" s="7"/>
      <c r="BC103" s="49" t="str">
        <f aca="false">IFERROR(RANK(BA103,BA$6:BA$116,0),"")</f>
        <v/>
      </c>
      <c r="BD103" s="7"/>
      <c r="BE103" s="7"/>
      <c r="BF103" s="7" t="str">
        <f aca="false">IF(DM103=0,"",DM103)</f>
        <v/>
      </c>
      <c r="BG103" s="7"/>
      <c r="BH103" s="49" t="str">
        <f aca="false">IFERROR(RANK(BF103,BF$6:BF$116,0),"")</f>
        <v/>
      </c>
      <c r="BI103" s="7"/>
      <c r="BJ103" s="7"/>
      <c r="BK103" s="7" t="str">
        <f aca="false">IF(DO103=0,"",DO103)</f>
        <v/>
      </c>
      <c r="BL103" s="7"/>
      <c r="BM103" s="49" t="str">
        <f aca="false">IFERROR(RANK(BK103,BK$6:BK$116,0),"")</f>
        <v/>
      </c>
      <c r="BN103" s="7"/>
      <c r="BO103" s="7"/>
      <c r="BP103" s="7" t="str">
        <f aca="false">IF(DQ103=0,"",DQ103)</f>
        <v/>
      </c>
      <c r="BQ103" s="7"/>
      <c r="BR103" s="49" t="str">
        <f aca="false">IFERROR(RANK(BP103,BP$6:BP$116,0),"")</f>
        <v/>
      </c>
      <c r="BS103" s="7"/>
      <c r="BT103" s="7"/>
      <c r="BU103" s="7" t="str">
        <f aca="false">IF(DS103=0,"",DS103)</f>
        <v/>
      </c>
      <c r="BV103" s="7"/>
      <c r="BW103" s="49" t="str">
        <f aca="false">IFERROR(RANK(BU103,BU$6:BU$116,0),"")</f>
        <v/>
      </c>
      <c r="BX103" s="7"/>
      <c r="BY103" s="7"/>
      <c r="BZ103" s="7" t="str">
        <f aca="false">IF(DU103=0,"",DU103)</f>
        <v/>
      </c>
      <c r="CA103" s="7"/>
      <c r="CB103" s="49" t="str">
        <f aca="false">IFERROR(RANK(BZ103,BZ$6:BZ$116,0),"")</f>
        <v/>
      </c>
      <c r="CC103" s="7"/>
      <c r="CD103" s="7"/>
      <c r="CE103" s="7" t="str">
        <f aca="false">IF(DW103=0,"",DW103)</f>
        <v/>
      </c>
      <c r="CF103" s="7"/>
      <c r="CG103" s="49" t="str">
        <f aca="false">IFERROR(RANK(CE103,CE$6:CE$116,0),"")</f>
        <v/>
      </c>
      <c r="CH103" s="7"/>
      <c r="CI103" s="7"/>
      <c r="CJ103" s="7" t="str">
        <f aca="false">IF(DY103=0,"",DY103)</f>
        <v/>
      </c>
      <c r="CK103" s="7"/>
      <c r="CL103" s="49" t="str">
        <f aca="false">IFERROR(RANK(CJ103,CJ$6:CJ$116,0),"")</f>
        <v/>
      </c>
      <c r="CM103" s="7"/>
      <c r="CN103" s="7"/>
      <c r="CO103" s="7" t="str">
        <f aca="false">IF(EA103=0,"",EA103)</f>
        <v/>
      </c>
      <c r="CP103" s="7"/>
      <c r="CQ103" s="49" t="str">
        <f aca="false">IFERROR(RANK(CO103,CO$6:CO$116,0),"")</f>
        <v/>
      </c>
      <c r="CR103" s="7"/>
      <c r="CS103" s="21"/>
      <c r="CT103" s="25" t="str">
        <f aca="true">IFERROR(AVERAGE(OFFSET('Data - For Rank'!B$2,J103,0,COUNTIF($J$7:J$116,J103)))+IFERROR(VLOOKUP((COUNT($H$6:$H$116)/4),$ER$9:$ES$13,2,FALSE()),0),"")</f>
        <v/>
      </c>
      <c r="CU103" s="21"/>
      <c r="CV103" s="25" t="str">
        <f aca="true">IFERROR(AVERAGE(OFFSET('Data - For Rank'!$C$2,O103,0,COUNTIF(O$7:O$116,O103)))+IFERROR(VLOOKUP((COUNT(M$6:M$116)/4),$ER$9:$ES$13,2,FALSE()),0),"")</f>
        <v/>
      </c>
      <c r="CW103" s="21"/>
      <c r="CX103" s="25" t="str">
        <f aca="true">IFERROR(AVERAGE(OFFSET('Data - For Rank'!D$2,T103,0,COUNTIF(T$7:T$116,T103)))+IFERROR(VLOOKUP((COUNT(R$6:R$116)/4),$ER$9:$ES$13,2,FALSE()),0),"")</f>
        <v/>
      </c>
      <c r="CY103" s="21"/>
      <c r="CZ103" s="25" t="str">
        <f aca="true">IFERROR(AVERAGE(OFFSET('Data - For Rank'!E$2,Y103,0,COUNTIF(Y$7:Y$116,Y103)))+IFERROR(VLOOKUP((COUNT(W$6:W$116)/4),$ER$9:$ES$13,2,FALSE()),0),"")</f>
        <v/>
      </c>
      <c r="DA103" s="21"/>
      <c r="DB103" s="25" t="str">
        <f aca="true">IFERROR(AVERAGE(OFFSET('Data - For Rank'!F$2,AD103,0,COUNTIF(AD$7:AD$116,AD103)))+IFERROR(VLOOKUP((COUNT(AB$6:AB$116)/4),$ER$9:$ES$13,2,FALSE()),0),"")</f>
        <v/>
      </c>
      <c r="DC103" s="21"/>
      <c r="DD103" s="25" t="str">
        <f aca="true">IFERROR(AVERAGE(OFFSET('Data - For Rank'!G$2,AI103,0,COUNTIF(AI$7:AI$116,AI103)))+IFERROR(VLOOKUP((COUNT(AG$6:AG$116)/4),$ER$9:$ES$13,2,FALSE()),0),"")</f>
        <v/>
      </c>
      <c r="DE103" s="21"/>
      <c r="DF103" s="25" t="str">
        <f aca="true">IFERROR(AVERAGE(OFFSET('Data - For Rank'!$H$2,AN103,0,COUNTIF(AN$7:AN$116,AN103)))+IFERROR(VLOOKUP((COUNT(AL$6:AL$116)/4),$ER$9:$ES$13,2,FALSE()),0),"")</f>
        <v/>
      </c>
      <c r="DG103" s="21"/>
      <c r="DH103" s="25" t="str">
        <f aca="true">IFERROR(AVERAGE(OFFSET('Data - For Rank'!$I$2,AS103,0,COUNTIF(AS$7:AS$116,AS103)))+IFERROR(VLOOKUP((COUNT(AQ$6:AQ$116)/4),$ER$9:$ES$13,2,FALSE()),0),"")</f>
        <v/>
      </c>
      <c r="DI103" s="21"/>
      <c r="DJ103" s="25" t="str">
        <f aca="true">IFERROR(AVERAGE(OFFSET('Data - For Rank'!$J$2,AX103,0,COUNTIF(AX$7:AX$116,AX103)))+IFERROR(VLOOKUP((COUNT(AV$6:AV$116)/4),$ER$9:$ES$13,2,FALSE()),0),"")</f>
        <v/>
      </c>
      <c r="DK103" s="21"/>
      <c r="DL103" s="25" t="str">
        <f aca="true">IFERROR(AVERAGE(OFFSET('Data - For Rank'!$K$2,BC103,0,COUNTIF(BC$7:BC$116,BC103)))+IFERROR(VLOOKUP((COUNT(BA$6:BA$116)/4),$ER$9:$ES$13,2,FALSE()),0),"")</f>
        <v/>
      </c>
      <c r="DM103" s="21"/>
      <c r="DN103" s="25" t="str">
        <f aca="true">IFERROR(AVERAGE(OFFSET('Data - For Rank'!$L$2,BH103,0,COUNTIF(BH$7:BH$116,BH103)))+IFERROR(VLOOKUP((COUNT(BF$6:BF$116)/4),$ER$9:$ES$13,2,FALSE()),0),"")</f>
        <v/>
      </c>
      <c r="DO103" s="21"/>
      <c r="DP103" s="25" t="str">
        <f aca="true">IFERROR(AVERAGE(OFFSET('Data - For Rank'!$M$2,BM103,0,COUNTIF(BM$7:BM$116,BM103)))+IFERROR(VLOOKUP((COUNT(BK$6:BK$116)/4),$ER$9:$ES$13,2,FALSE()),0),"")</f>
        <v/>
      </c>
      <c r="DQ103" s="21"/>
      <c r="DR103" s="25" t="str">
        <f aca="true">IFERROR(AVERAGE(OFFSET('Data - For Rank'!$N$2,BR103,0,COUNTIF(BR$7:BR$116,BR103)))+IFERROR(VLOOKUP((COUNT(BP$6:BP$116)/4),$ER$9:$ES$13,2,FALSE()),0),"")</f>
        <v/>
      </c>
      <c r="DS103" s="21"/>
      <c r="DT103" s="25" t="str">
        <f aca="true">IFERROR(AVERAGE(OFFSET('Data - For Rank'!$O$2,BW103,0,COUNTIF(BW$7:BW$116,BW103)))+IFERROR(VLOOKUP((COUNT(BU$6:BU$116)/4),$ER$9:$ES$13,2,FALSE()),0),"")</f>
        <v/>
      </c>
      <c r="DU103" s="21"/>
      <c r="DV103" s="25" t="str">
        <f aca="true">IFERROR(AVERAGE(OFFSET('Data - For Rank'!$P$2,CB103,0,COUNTIF(CB$7:CB$116,CB103)))+IFERROR(VLOOKUP((COUNT(BZ$6:BZ$116)/4),$ER$9:$ES$13,2,FALSE()),0),"")</f>
        <v/>
      </c>
      <c r="DW103" s="21"/>
      <c r="DX103" s="25" t="str">
        <f aca="true">IFERROR(AVERAGE(OFFSET('Data - For Rank'!$Q$2,CG103,0,COUNTIF(CG$7:CG$116,CG103)))+IFERROR(VLOOKUP((COUNT(CE$6:CE$116)/4),$ER$9:$ES$13,2,FALSE()),0),"")</f>
        <v/>
      </c>
      <c r="DY103" s="21"/>
      <c r="DZ103" s="25" t="str">
        <f aca="true">IFERROR(AVERAGE(OFFSET('Data - For Rank'!$R$2,CL103,0,COUNTIF(CL$7:CL$116,CL103)))+IFERROR(VLOOKUP((COUNT(CJ$6:CJ$116)/4),$ER$9:$ES$13,2,FALSE()),0),"")</f>
        <v/>
      </c>
      <c r="EA103" s="21"/>
      <c r="EB103" s="25" t="str">
        <f aca="true">IFERROR(AVERAGE(OFFSET('Data - For Rank'!$S$2,CQ103,0,COUNTIF(CQ$7:CQ$116,CQ103)))+IFERROR(VLOOKUP((COUNT(CO$6:CO$116)/4),$ER$9:$ES$13,2,FALSE()),0),"")</f>
        <v/>
      </c>
      <c r="EC103" s="26" t="n">
        <f aca="false">IFERROR(AVERAGE(CS103,CU103,CW103,CY103,DA103,DC103,DE103,DG103,DI103,DK103,DM103,DO103,DQ103,DS103,DU103,DW103,DY103,EA103),0)</f>
        <v>0</v>
      </c>
      <c r="ED103" s="23" t="n">
        <f aca="false">IFERROR(AVERAGE(CT103,CV103,CX103,CZ103,DB103,DD103,DF103,DH103,DJ103,DL103,DN103,DP103,DR103,DT103,DV103,DX103,DZ103,EB103),0)</f>
        <v>0</v>
      </c>
    </row>
    <row r="104" customFormat="false" ht="13.5" hidden="false" customHeight="false" outlineLevel="1" collapsed="false">
      <c r="B104" s="75" t="n">
        <f aca="false">B103+0.16</f>
        <v>1.8645</v>
      </c>
      <c r="C104" s="68"/>
      <c r="D104" s="68" t="s">
        <v>178</v>
      </c>
      <c r="E104" s="76" t="s">
        <v>44</v>
      </c>
      <c r="F104" s="77"/>
      <c r="G104" s="29"/>
      <c r="H104" s="29"/>
      <c r="I104" s="53" t="str">
        <f aca="false">IF(CS104=0,"",CS104)</f>
        <v/>
      </c>
      <c r="J104" s="53"/>
      <c r="K104" s="54" t="str">
        <f aca="false">IFERROR(_xlfn.RANK.EQ(I104,I$6:I$116,0),"")</f>
        <v/>
      </c>
      <c r="L104" s="29"/>
      <c r="M104" s="29"/>
      <c r="N104" s="53" t="str">
        <f aca="false">IF(CU104=0,"",CU104)</f>
        <v/>
      </c>
      <c r="O104" s="53"/>
      <c r="P104" s="54" t="str">
        <f aca="false">IFERROR(_xlfn.RANK.EQ(N104,N$6:N$116,0),"")</f>
        <v/>
      </c>
      <c r="Q104" s="29"/>
      <c r="R104" s="29"/>
      <c r="S104" s="53" t="str">
        <f aca="false">IF(CW104=0,"",CW104)</f>
        <v/>
      </c>
      <c r="T104" s="53"/>
      <c r="U104" s="54" t="str">
        <f aca="false">IFERROR(_xlfn.RANK.EQ(S104,S$6:S$116,0),"")</f>
        <v/>
      </c>
      <c r="V104" s="29"/>
      <c r="W104" s="29"/>
      <c r="X104" s="53" t="str">
        <f aca="false">IF(CY104=0,"",CY104)</f>
        <v/>
      </c>
      <c r="Y104" s="53"/>
      <c r="Z104" s="54" t="str">
        <f aca="false">IFERROR(_xlfn.RANK.EQ(X104,X$6:X$116,0),"")</f>
        <v/>
      </c>
      <c r="AA104" s="29"/>
      <c r="AB104" s="29"/>
      <c r="AC104" s="53" t="str">
        <f aca="false">IF(DA104=0,"",DA104)</f>
        <v/>
      </c>
      <c r="AD104" s="53"/>
      <c r="AE104" s="54" t="str">
        <f aca="false">IFERROR(_xlfn.RANK.EQ(AC104,AC$6:AC$116,0),"")</f>
        <v/>
      </c>
      <c r="AF104" s="29"/>
      <c r="AG104" s="29"/>
      <c r="AH104" s="53" t="str">
        <f aca="false">IF(DC104=0,"",DC104)</f>
        <v/>
      </c>
      <c r="AI104" s="53"/>
      <c r="AJ104" s="54" t="str">
        <f aca="false">IFERROR(_xlfn.RANK.EQ(AH104,AH$6:AH$116,0),"")</f>
        <v/>
      </c>
      <c r="AK104" s="29"/>
      <c r="AL104" s="29"/>
      <c r="AM104" s="53" t="str">
        <f aca="false">IF(DE104=0,"",DE104)</f>
        <v/>
      </c>
      <c r="AN104" s="53"/>
      <c r="AO104" s="54" t="str">
        <f aca="false">IFERROR(_xlfn.RANK.EQ(AM104,AM$6:AM$116,0),"")</f>
        <v/>
      </c>
      <c r="AP104" s="29"/>
      <c r="AQ104" s="29"/>
      <c r="AR104" s="53" t="str">
        <f aca="false">IF(DG104=0,"",DG104)</f>
        <v/>
      </c>
      <c r="AS104" s="53"/>
      <c r="AT104" s="54" t="str">
        <f aca="false">IFERROR(_xlfn.RANK.EQ(AR104,AR$6:AR$116,0),"")</f>
        <v/>
      </c>
      <c r="AU104" s="29"/>
      <c r="AV104" s="29"/>
      <c r="AW104" s="53" t="str">
        <f aca="false">IF(DI104=0,"",DI104)</f>
        <v/>
      </c>
      <c r="AX104" s="53"/>
      <c r="AY104" s="54" t="str">
        <f aca="false">IFERROR(_xlfn.RANK.EQ(AW104,AW$6:AW$116,0),"")</f>
        <v/>
      </c>
      <c r="AZ104" s="29"/>
      <c r="BA104" s="29"/>
      <c r="BB104" s="53" t="str">
        <f aca="false">IF(DK104=0,"",DK104)</f>
        <v/>
      </c>
      <c r="BC104" s="53"/>
      <c r="BD104" s="54" t="str">
        <f aca="false">IFERROR(_xlfn.RANK.EQ(BB104,BB$6:BB$116,0),"")</f>
        <v/>
      </c>
      <c r="BE104" s="29"/>
      <c r="BF104" s="29"/>
      <c r="BG104" s="53" t="str">
        <f aca="false">IF(DM104=0,"",DM104)</f>
        <v/>
      </c>
      <c r="BH104" s="53"/>
      <c r="BI104" s="54" t="str">
        <f aca="false">IFERROR(_xlfn.RANK.EQ(BG104,BG$6:BG$116,0),"")</f>
        <v/>
      </c>
      <c r="BJ104" s="29"/>
      <c r="BK104" s="29"/>
      <c r="BL104" s="53" t="str">
        <f aca="false">IF(DO104=0,"",DO104)</f>
        <v/>
      </c>
      <c r="BM104" s="53"/>
      <c r="BN104" s="54" t="str">
        <f aca="false">IFERROR(_xlfn.RANK.EQ(BL104,BL$6:BL$116,0),"")</f>
        <v/>
      </c>
      <c r="BO104" s="29"/>
      <c r="BP104" s="29"/>
      <c r="BQ104" s="53" t="str">
        <f aca="false">IF(DQ104=0,"",DQ104)</f>
        <v/>
      </c>
      <c r="BR104" s="53"/>
      <c r="BS104" s="54" t="str">
        <f aca="false">IFERROR(_xlfn.RANK.EQ(BQ104,BQ$6:BQ$116,0),"")</f>
        <v/>
      </c>
      <c r="BT104" s="29"/>
      <c r="BU104" s="29"/>
      <c r="BV104" s="53" t="str">
        <f aca="false">IF(DS104=0,"",DS104)</f>
        <v/>
      </c>
      <c r="BW104" s="53"/>
      <c r="BX104" s="54" t="str">
        <f aca="false">IFERROR(_xlfn.RANK.EQ(BV104,BV$6:BV$116,0),"")</f>
        <v/>
      </c>
      <c r="BY104" s="29"/>
      <c r="BZ104" s="29"/>
      <c r="CA104" s="53" t="str">
        <f aca="false">IF(DU104=0,"",DU104)</f>
        <v/>
      </c>
      <c r="CB104" s="53"/>
      <c r="CC104" s="54" t="str">
        <f aca="false">IFERROR(_xlfn.RANK.EQ(CA104,CA$6:CA$116,0),"")</f>
        <v/>
      </c>
      <c r="CD104" s="29"/>
      <c r="CE104" s="29"/>
      <c r="CF104" s="53" t="str">
        <f aca="false">IF(DW104=0,"",DW104)</f>
        <v/>
      </c>
      <c r="CG104" s="53"/>
      <c r="CH104" s="54" t="str">
        <f aca="false">IFERROR(_xlfn.RANK.EQ(CF104,CF$6:CF$116,0),"")</f>
        <v/>
      </c>
      <c r="CI104" s="29"/>
      <c r="CJ104" s="29"/>
      <c r="CK104" s="53" t="str">
        <f aca="false">IF(DY104=0,"",DY104)</f>
        <v/>
      </c>
      <c r="CL104" s="53"/>
      <c r="CM104" s="54" t="str">
        <f aca="false">IFERROR(_xlfn.RANK.EQ(CK104,CK$6:CK$116,0),"")</f>
        <v/>
      </c>
      <c r="CN104" s="29"/>
      <c r="CO104" s="29"/>
      <c r="CP104" s="53" t="str">
        <f aca="false">IF(EA104=0,"",EA104)</f>
        <v/>
      </c>
      <c r="CQ104" s="53"/>
      <c r="CR104" s="54" t="str">
        <f aca="false">IFERROR(_xlfn.RANK.EQ(CP104,CP$6:CP$116,0),"")</f>
        <v/>
      </c>
      <c r="CS104" s="30"/>
      <c r="CT104" s="31" t="str">
        <f aca="true">IFERROR(AVERAGE(OFFSET('Data - For Rank'!B$2,K104,0,COUNTIF(K$6:K$116,K104)))+IFERROR(VLOOKUP((COUNT($I$6:$I$116)/4),$ER$9:$ES$13,2,FALSE()),0),"")</f>
        <v/>
      </c>
      <c r="CU104" s="30"/>
      <c r="CV104" s="31" t="str">
        <f aca="true">IFERROR(AVERAGE(OFFSET('Data - For Rank'!$C$2,P104,0,COUNTIF(P$6:P$116,P104)))+IFERROR(VLOOKUP((COUNT(N$6:N$116)/4),$ER$9:$ES$13,2,FALSE()),0),"")</f>
        <v/>
      </c>
      <c r="CW104" s="30"/>
      <c r="CX104" s="31" t="str">
        <f aca="true">IFERROR(AVERAGE(OFFSET('Data - For Rank'!D$2,U104,0,COUNTIF(U$6:$U211,U104)))+IFERROR(VLOOKUP((COUNT(S$6:S$116)/4),$ER$9:$ES$13,2,FALSE()),0),"")</f>
        <v/>
      </c>
      <c r="CY104" s="30"/>
      <c r="CZ104" s="31" t="str">
        <f aca="true">IFERROR(AVERAGE(OFFSET('Data - For Rank'!E$2,Z104,0,COUNTIF(Z$6:Z$116,Z104)))+IFERROR(VLOOKUP((COUNT(W$6:W$116)/4),$ER$9:$ES$13,2,FALSE()),0),"")</f>
        <v/>
      </c>
      <c r="DA104" s="30"/>
      <c r="DB104" s="31" t="str">
        <f aca="true">IFERROR(AVERAGE(OFFSET('Data - For Rank'!F$2,AE104,0,COUNTIF(AE$6:AE$116,AE104)))+IFERROR(VLOOKUP((COUNT(AC$6:AC$116)/4),$ER$9:$ES$13,2,FALSE()),0),"")</f>
        <v/>
      </c>
      <c r="DC104" s="30"/>
      <c r="DD104" s="31" t="str">
        <f aca="true">IFERROR(AVERAGE(OFFSET('Data - For Rank'!G$2,AJ104,0,COUNTIF(AJ$6:AJ$116,AJ104)))+IFERROR(VLOOKUP((COUNT(AH$6:AH$116)/4),$ER$9:$ES$13,2,FALSE()),0),"")</f>
        <v/>
      </c>
      <c r="DE104" s="30"/>
      <c r="DF104" s="31" t="str">
        <f aca="true">IFERROR(AVERAGE(OFFSET('Data - For Rank'!$H$2,AO104,0,COUNTIF(AO$6:AO$116,AO104)))+IFERROR(VLOOKUP((COUNT(AM$6:AM$116)/4),$ER$9:$ES$13,2,FALSE()),0),"")</f>
        <v/>
      </c>
      <c r="DG104" s="30"/>
      <c r="DH104" s="31" t="str">
        <f aca="true">IFERROR(AVERAGE(OFFSET('Data - For Rank'!$I$2,AT104,0,COUNTIF(AT$6:AT$116,AT104)))+IFERROR(VLOOKUP((COUNT(AR$6:AR$116)/4),$ER$9:$ES$13,2,FALSE()),0),"")</f>
        <v/>
      </c>
      <c r="DI104" s="30"/>
      <c r="DJ104" s="31" t="str">
        <f aca="true">IFERROR(AVERAGE(OFFSET('Data - For Rank'!$J$2,AY104,0,COUNTIF(AY$6:AY$116,AY104)))+IFERROR(VLOOKUP((COUNT(AW$6:AW$116)/4),$ER$9:$ES$13,2,FALSE()),0),"")</f>
        <v/>
      </c>
      <c r="DK104" s="30"/>
      <c r="DL104" s="31" t="str">
        <f aca="true">IFERROR(AVERAGE(OFFSET('Data - For Rank'!$K$2,BD104,0,COUNTIF(BD$6:BD$116,BD104)))+IFERROR(VLOOKUP((COUNT(BB$6:BB$116)/4),$ER$9:$ES$13,2,FALSE()),0),"")</f>
        <v/>
      </c>
      <c r="DM104" s="30"/>
      <c r="DN104" s="31" t="str">
        <f aca="true">IFERROR(AVERAGE(OFFSET('Data - For Rank'!$L$2,BI104,0,COUNTIF(BI$6:BI$116,BI104)))+IFERROR(VLOOKUP((COUNT(BG$6:BG$116)/4),$ER$9:$ES$13,2,FALSE()),0),"")</f>
        <v/>
      </c>
      <c r="DO104" s="30"/>
      <c r="DP104" s="31" t="str">
        <f aca="true">IFERROR(AVERAGE(OFFSET('Data - For Rank'!$M$2,BN104,0,COUNTIF(BN$6:BN$116,BN104)))+IFERROR(VLOOKUP((COUNT(BL$6:BL$116)/4),$ER$9:$ES$13,2,FALSE()),0),"")</f>
        <v/>
      </c>
      <c r="DQ104" s="30"/>
      <c r="DR104" s="31" t="str">
        <f aca="true">IFERROR(AVERAGE(OFFSET('Data - For Rank'!$N$2,BS104,0,COUNTIF(BS$6:BS$116,BS104)))+IFERROR(VLOOKUP((COUNT(BQ$6:BQ$116)/4),$ER$9:$ES$13,2,FALSE()),0),"")</f>
        <v/>
      </c>
      <c r="DS104" s="30"/>
      <c r="DT104" s="31" t="str">
        <f aca="true">IFERROR(AVERAGE(OFFSET('Data - For Rank'!$O$2,BX104,0,COUNTIF(BX$6:BX$116,BX104)))+IFERROR(VLOOKUP((COUNT(BV$6:BV$116)/4),$ER$9:$ES$13,2,FALSE()),0),"")</f>
        <v/>
      </c>
      <c r="DU104" s="30"/>
      <c r="DV104" s="31" t="str">
        <f aca="true">IFERROR(AVERAGE(OFFSET('Data - For Rank'!$P$2,CC104,0,COUNTIF(CC$6:CC$116,CC104)))+IFERROR(VLOOKUP((COUNT(CA$6:CA$116)/4),$ER$9:$ES$13,2,FALSE()),0),"")</f>
        <v/>
      </c>
      <c r="DW104" s="30"/>
      <c r="DX104" s="31" t="str">
        <f aca="true">IFERROR(AVERAGE(OFFSET('Data - For Rank'!$Q$2,CH104,0,COUNTIF(CH$6:CH$116,CH104)))+IFERROR(VLOOKUP((COUNT(CF$6:CF$116)/4),$ER$9:$ES$13,2,FALSE()),0),"")</f>
        <v/>
      </c>
      <c r="DY104" s="30"/>
      <c r="DZ104" s="31" t="str">
        <f aca="true">IFERROR(AVERAGE(OFFSET('Data - For Rank'!$R$2,CM104,0,COUNTIF(CM$6:CM$116,CM104)))+IFERROR(VLOOKUP((COUNT(CK$6:CK$116)/4),$ER$9:$ES$13,2,FALSE()),0),"")</f>
        <v/>
      </c>
      <c r="EA104" s="30"/>
      <c r="EB104" s="31" t="str">
        <f aca="true">IFERROR(AVERAGE(OFFSET('Data - For Rank'!$S$2,CR104,0,COUNTIF(CR$6:CR$116,CR104)))+IFERROR(VLOOKUP((COUNT(CP$6:CP$116)/4),$ER$9:$ES$13,2,FALSE()),0),"")</f>
        <v/>
      </c>
      <c r="EC104" s="32" t="n">
        <f aca="false">CS104+CU104+CW104+CY104+DA104+DC104+DE104+DG104+DI104+DK104+DM104+DO104+DQ104+DS104+DU104+DW104+DY104+EA104</f>
        <v>0</v>
      </c>
      <c r="ED104" s="33" t="n">
        <f aca="false">IFERROR(AVERAGE(CT104,CV104,CX104,CZ104,DB104,DD104,DF104,DH104,DJ104,DL104,DN104,DP104,DR104,DT104,DV104,DX104,DZ104,EB104),0)</f>
        <v>0</v>
      </c>
    </row>
    <row r="105" customFormat="false" ht="13.5" hidden="false" customHeight="false" outlineLevel="0" collapsed="false">
      <c r="B105" s="68" t="n">
        <f aca="false">_xlfn.RANK.EQ(C105,$C$73:$C$116,)</f>
        <v>5</v>
      </c>
      <c r="C105" s="69" t="n">
        <f aca="false">EC105</f>
        <v>0</v>
      </c>
      <c r="D105" s="69" t="s">
        <v>179</v>
      </c>
      <c r="E105" s="78" t="s">
        <v>179</v>
      </c>
      <c r="F105" s="71" t="n">
        <f aca="false">COUNT(CT105,CV105,CX105,CZ105,DB105,DD105,DF105,DH105,DJ105,DL105,DN105,DP105,DR105,DT105,DV105,DX105,DZ105,EB105)</f>
        <v>0</v>
      </c>
      <c r="G105" s="49" t="str">
        <f aca="false">IF(CT105=0,"",CT105)</f>
        <v/>
      </c>
      <c r="H105" s="49"/>
      <c r="I105" s="49"/>
      <c r="K105" s="49"/>
      <c r="L105" s="49" t="str">
        <f aca="false">IF(CV105=0,"",CV105)</f>
        <v/>
      </c>
      <c r="M105" s="49"/>
      <c r="N105" s="49"/>
      <c r="P105" s="49"/>
      <c r="Q105" s="49" t="str">
        <f aca="false">IF(CX105=0,"",CX105)</f>
        <v/>
      </c>
      <c r="R105" s="49"/>
      <c r="S105" s="49"/>
      <c r="U105" s="49"/>
      <c r="V105" s="49" t="str">
        <f aca="false">IF(CZ105=0,"",CZ105)</f>
        <v/>
      </c>
      <c r="W105" s="49"/>
      <c r="X105" s="49"/>
      <c r="Z105" s="49"/>
      <c r="AA105" s="49" t="str">
        <f aca="false">IF(DB105=0,"",DB105)</f>
        <v/>
      </c>
      <c r="AB105" s="49"/>
      <c r="AC105" s="49"/>
      <c r="AE105" s="49"/>
      <c r="AF105" s="49" t="str">
        <f aca="false">IF(DD105=0,"",DD105)</f>
        <v/>
      </c>
      <c r="AG105" s="49"/>
      <c r="AH105" s="49"/>
      <c r="AJ105" s="49"/>
      <c r="AK105" s="49" t="str">
        <f aca="false">IF(DF105=0,"",DF105)</f>
        <v/>
      </c>
      <c r="AL105" s="49"/>
      <c r="AM105" s="49"/>
      <c r="AO105" s="49"/>
      <c r="AP105" s="49" t="str">
        <f aca="false">IF(DH105=0,"",DH105)</f>
        <v/>
      </c>
      <c r="AQ105" s="49"/>
      <c r="AR105" s="49"/>
      <c r="AT105" s="49"/>
      <c r="AU105" s="49" t="str">
        <f aca="false">IF(DJ105=0,"",DJ105)</f>
        <v/>
      </c>
      <c r="AV105" s="49"/>
      <c r="AW105" s="49"/>
      <c r="AY105" s="49"/>
      <c r="AZ105" s="49" t="str">
        <f aca="false">IF(DL105=0,"",DL105)</f>
        <v/>
      </c>
      <c r="BA105" s="49"/>
      <c r="BB105" s="49"/>
      <c r="BD105" s="49"/>
      <c r="BE105" s="49" t="str">
        <f aca="false">IF(DN105=0,"",DN105)</f>
        <v/>
      </c>
      <c r="BF105" s="49"/>
      <c r="BG105" s="49"/>
      <c r="BI105" s="49"/>
      <c r="BJ105" s="49" t="str">
        <f aca="false">IF(DP105=0,"",DP105)</f>
        <v/>
      </c>
      <c r="BK105" s="49"/>
      <c r="BL105" s="49"/>
      <c r="BN105" s="49"/>
      <c r="BO105" s="49" t="str">
        <f aca="false">IF(DR105=0,"",DR105)</f>
        <v/>
      </c>
      <c r="BP105" s="49"/>
      <c r="BQ105" s="49"/>
      <c r="BS105" s="49"/>
      <c r="BT105" s="49" t="str">
        <f aca="false">IF(DT105=0,"",DT105)</f>
        <v/>
      </c>
      <c r="BU105" s="49"/>
      <c r="BV105" s="49"/>
      <c r="BX105" s="49"/>
      <c r="BY105" s="49" t="str">
        <f aca="false">IF(DV105=0,"",DV105)</f>
        <v/>
      </c>
      <c r="BZ105" s="49"/>
      <c r="CA105" s="49"/>
      <c r="CC105" s="49"/>
      <c r="CD105" s="49" t="str">
        <f aca="false">IF(DX105=0,"",DX105)</f>
        <v/>
      </c>
      <c r="CE105" s="49"/>
      <c r="CF105" s="49"/>
      <c r="CH105" s="49"/>
      <c r="CI105" s="49" t="str">
        <f aca="false">IF(DZ105=0,"",DZ105)</f>
        <v/>
      </c>
      <c r="CJ105" s="49"/>
      <c r="CK105" s="49"/>
      <c r="CM105" s="49"/>
      <c r="CN105" s="49" t="str">
        <f aca="false">IF(EB105=0,"",EB105)</f>
        <v/>
      </c>
      <c r="CO105" s="49"/>
      <c r="CP105" s="49"/>
      <c r="CR105" s="49"/>
      <c r="CS105" s="21"/>
      <c r="CT105" s="22" t="str">
        <f aca="false">IFERROR(CT106+CT107,"")</f>
        <v/>
      </c>
      <c r="CU105" s="21"/>
      <c r="CV105" s="22" t="str">
        <f aca="false">IFERROR(CV106+CV107,"")</f>
        <v/>
      </c>
      <c r="CW105" s="21"/>
      <c r="CX105" s="22" t="str">
        <f aca="false">IFERROR(CX106+CX107,"")</f>
        <v/>
      </c>
      <c r="CY105" s="21"/>
      <c r="CZ105" s="22" t="str">
        <f aca="false">IFERROR(CZ106+CZ107,"")</f>
        <v/>
      </c>
      <c r="DA105" s="21"/>
      <c r="DB105" s="22" t="str">
        <f aca="false">IFERROR(DB106+DB107,"")</f>
        <v/>
      </c>
      <c r="DC105" s="21"/>
      <c r="DD105" s="22" t="str">
        <f aca="false">IFERROR(DD106+DD107,"")</f>
        <v/>
      </c>
      <c r="DE105" s="21"/>
      <c r="DF105" s="22" t="str">
        <f aca="false">IFERROR(DF106+DF107,"")</f>
        <v/>
      </c>
      <c r="DG105" s="21"/>
      <c r="DH105" s="22" t="str">
        <f aca="false">IFERROR(DH106+DH107,"")</f>
        <v/>
      </c>
      <c r="DI105" s="21"/>
      <c r="DJ105" s="22" t="str">
        <f aca="false">IFERROR(DJ106+DJ107,"")</f>
        <v/>
      </c>
      <c r="DK105" s="21"/>
      <c r="DL105" s="22" t="str">
        <f aca="false">IFERROR(DL106+DL107,"")</f>
        <v/>
      </c>
      <c r="DM105" s="21"/>
      <c r="DN105" s="22" t="str">
        <f aca="false">IFERROR(DN106+DN107,"")</f>
        <v/>
      </c>
      <c r="DO105" s="21"/>
      <c r="DP105" s="22" t="str">
        <f aca="false">IFERROR(DP106+DP107,"")</f>
        <v/>
      </c>
      <c r="DQ105" s="21"/>
      <c r="DR105" s="22" t="str">
        <f aca="false">IFERROR(DR106+DR107,"")</f>
        <v/>
      </c>
      <c r="DS105" s="21"/>
      <c r="DT105" s="22" t="str">
        <f aca="false">IFERROR(DT106+DT107,"")</f>
        <v/>
      </c>
      <c r="DU105" s="21"/>
      <c r="DV105" s="22" t="str">
        <f aca="false">IFERROR(DV106+DV107,"")</f>
        <v/>
      </c>
      <c r="DW105" s="21"/>
      <c r="DX105" s="22" t="str">
        <f aca="false">IFERROR(DX106+DX107,"")</f>
        <v/>
      </c>
      <c r="DY105" s="21"/>
      <c r="DZ105" s="22" t="str">
        <f aca="false">IFERROR(DZ106+DZ107,"")</f>
        <v/>
      </c>
      <c r="EA105" s="21"/>
      <c r="EB105" s="22" t="str">
        <f aca="false">IFERROR(EB106+EB107,"")</f>
        <v/>
      </c>
      <c r="EC105" s="17" t="n">
        <f aca="false">IFERROR(LARGE($G105:$CN105,1),0)+IFERROR(LARGE($G105:$CN105,2),0)+IFERROR(LARGE($G105:$CN105,3),0)+IFERROR(LARGE($G105:$CN105,4),0)+IFERROR(LARGE($G105:$CN105,5),0)+IFERROR(LARGE($G105:$CN105,6),0)+IFERROR(LARGE($G105:$CN105,7),0)+IFERROR(LARGE($G105:$CN105,8),0)+IFERROR(LARGE($G105:$CN105,9),0)+IFERROR(LARGE($G105:$CN105,10),0)</f>
        <v>0</v>
      </c>
      <c r="ED105" s="23" t="n">
        <f aca="false">IFERROR(AVERAGE(CT105,CV105,CX105,CZ105,DB105,DD105,DF105,DH105,DJ105,DL105,DN105,DP105,DR105,DT105,DV105,DX105,DZ105,EB105),0)</f>
        <v>0</v>
      </c>
    </row>
    <row r="106" customFormat="false" ht="13.5" hidden="false" customHeight="false" outlineLevel="1" collapsed="false">
      <c r="B106" s="72" t="n">
        <f aca="false">B104+0.025</f>
        <v>1.8895</v>
      </c>
      <c r="C106" s="68"/>
      <c r="D106" s="68" t="s">
        <v>180</v>
      </c>
      <c r="E106" s="73" t="s">
        <v>43</v>
      </c>
      <c r="F106" s="74"/>
      <c r="G106" s="7"/>
      <c r="H106" s="7" t="str">
        <f aca="false">IF(CS106=0,"",CS106)</f>
        <v/>
      </c>
      <c r="I106" s="7"/>
      <c r="J106" s="49" t="str">
        <f aca="false">IFERROR(RANK(H106,H$6:H$116,0),"")</f>
        <v/>
      </c>
      <c r="K106" s="7"/>
      <c r="L106" s="7"/>
      <c r="M106" s="7" t="str">
        <f aca="false">IF(CU106=0,"",CU106)</f>
        <v/>
      </c>
      <c r="N106" s="7"/>
      <c r="O106" s="49" t="str">
        <f aca="false">IFERROR(RANK(M106,M$6:M$116,0),"")</f>
        <v/>
      </c>
      <c r="P106" s="7"/>
      <c r="Q106" s="7"/>
      <c r="R106" s="7" t="str">
        <f aca="false">IF(CW106=0,"",CW106)</f>
        <v/>
      </c>
      <c r="S106" s="7"/>
      <c r="T106" s="49" t="str">
        <f aca="false">IFERROR(RANK(R106,R$6:R$116,0),"")</f>
        <v/>
      </c>
      <c r="U106" s="7"/>
      <c r="V106" s="7"/>
      <c r="W106" s="7" t="str">
        <f aca="false">IF(CY106=0,"",CY106)</f>
        <v/>
      </c>
      <c r="X106" s="7"/>
      <c r="Y106" s="49" t="str">
        <f aca="false">IFERROR(RANK(W106,W$6:W$116,0),"")</f>
        <v/>
      </c>
      <c r="Z106" s="7"/>
      <c r="AA106" s="7"/>
      <c r="AB106" s="7" t="str">
        <f aca="false">IF(DA106=0,"",DA106)</f>
        <v/>
      </c>
      <c r="AC106" s="7"/>
      <c r="AD106" s="49" t="str">
        <f aca="false">IFERROR(RANK(AB106,AB$6:AB$116,0),"")</f>
        <v/>
      </c>
      <c r="AE106" s="7"/>
      <c r="AF106" s="7"/>
      <c r="AG106" s="7" t="str">
        <f aca="false">IF(DC106=0,"",DC106)</f>
        <v/>
      </c>
      <c r="AH106" s="7"/>
      <c r="AI106" s="49" t="str">
        <f aca="false">IFERROR(RANK(AG106,AG$6:AG$116,0),"")</f>
        <v/>
      </c>
      <c r="AJ106" s="7"/>
      <c r="AK106" s="7"/>
      <c r="AL106" s="7" t="str">
        <f aca="false">IF(DE106=0,"",DE106)</f>
        <v/>
      </c>
      <c r="AM106" s="7"/>
      <c r="AN106" s="49" t="str">
        <f aca="false">IFERROR(RANK(AL106,AL$6:AL$116,0),"")</f>
        <v/>
      </c>
      <c r="AO106" s="7"/>
      <c r="AP106" s="7"/>
      <c r="AQ106" s="7" t="str">
        <f aca="false">IF(DG106=0,"",DG106)</f>
        <v/>
      </c>
      <c r="AR106" s="7"/>
      <c r="AS106" s="49" t="str">
        <f aca="false">IFERROR(RANK(AQ106,AQ$6:AQ$116,0),"")</f>
        <v/>
      </c>
      <c r="AT106" s="7"/>
      <c r="AU106" s="7"/>
      <c r="AV106" s="7" t="str">
        <f aca="false">IF(DI106=0,"",DI106)</f>
        <v/>
      </c>
      <c r="AW106" s="7"/>
      <c r="AX106" s="49" t="str">
        <f aca="false">IFERROR(RANK(AV106,AV$6:AV$116,0),"")</f>
        <v/>
      </c>
      <c r="AY106" s="7"/>
      <c r="AZ106" s="7"/>
      <c r="BA106" s="7" t="str">
        <f aca="false">IF(DK106=0,"",DK106)</f>
        <v/>
      </c>
      <c r="BB106" s="7"/>
      <c r="BC106" s="49" t="str">
        <f aca="false">IFERROR(RANK(BA106,BA$6:BA$116,0),"")</f>
        <v/>
      </c>
      <c r="BD106" s="7"/>
      <c r="BE106" s="7"/>
      <c r="BF106" s="7" t="str">
        <f aca="false">IF(DM106=0,"",DM106)</f>
        <v/>
      </c>
      <c r="BG106" s="7"/>
      <c r="BH106" s="49" t="str">
        <f aca="false">IFERROR(RANK(BF106,BF$6:BF$116,0),"")</f>
        <v/>
      </c>
      <c r="BI106" s="7"/>
      <c r="BJ106" s="7"/>
      <c r="BK106" s="7" t="str">
        <f aca="false">IF(DO106=0,"",DO106)</f>
        <v/>
      </c>
      <c r="BL106" s="7"/>
      <c r="BM106" s="49" t="str">
        <f aca="false">IFERROR(RANK(BK106,BK$6:BK$116,0),"")</f>
        <v/>
      </c>
      <c r="BN106" s="7"/>
      <c r="BO106" s="7"/>
      <c r="BP106" s="7" t="str">
        <f aca="false">IF(DQ106=0,"",DQ106)</f>
        <v/>
      </c>
      <c r="BQ106" s="7"/>
      <c r="BR106" s="49" t="str">
        <f aca="false">IFERROR(RANK(BP106,BP$6:BP$116,0),"")</f>
        <v/>
      </c>
      <c r="BS106" s="7"/>
      <c r="BT106" s="7"/>
      <c r="BU106" s="7" t="str">
        <f aca="false">IF(DS106=0,"",DS106)</f>
        <v/>
      </c>
      <c r="BV106" s="7"/>
      <c r="BW106" s="49" t="str">
        <f aca="false">IFERROR(RANK(BU106,BU$6:BU$116,0),"")</f>
        <v/>
      </c>
      <c r="BX106" s="7"/>
      <c r="BY106" s="7"/>
      <c r="BZ106" s="7" t="str">
        <f aca="false">IF(DU106=0,"",DU106)</f>
        <v/>
      </c>
      <c r="CA106" s="7"/>
      <c r="CB106" s="49" t="str">
        <f aca="false">IFERROR(RANK(BZ106,BZ$6:BZ$116,0),"")</f>
        <v/>
      </c>
      <c r="CC106" s="7"/>
      <c r="CD106" s="7"/>
      <c r="CE106" s="7" t="str">
        <f aca="false">IF(DW106=0,"",DW106)</f>
        <v/>
      </c>
      <c r="CF106" s="7"/>
      <c r="CG106" s="49" t="str">
        <f aca="false">IFERROR(RANK(CE106,CE$6:CE$116,0),"")</f>
        <v/>
      </c>
      <c r="CH106" s="7"/>
      <c r="CI106" s="7"/>
      <c r="CJ106" s="7" t="str">
        <f aca="false">IF(DY106=0,"",DY106)</f>
        <v/>
      </c>
      <c r="CK106" s="7"/>
      <c r="CL106" s="49" t="str">
        <f aca="false">IFERROR(RANK(CJ106,CJ$6:CJ$116,0),"")</f>
        <v/>
      </c>
      <c r="CM106" s="7"/>
      <c r="CN106" s="7"/>
      <c r="CO106" s="7" t="str">
        <f aca="false">IF(EA106=0,"",EA106)</f>
        <v/>
      </c>
      <c r="CP106" s="7"/>
      <c r="CQ106" s="49" t="str">
        <f aca="false">IFERROR(RANK(CO106,CO$6:CO$116,0),"")</f>
        <v/>
      </c>
      <c r="CR106" s="7"/>
      <c r="CS106" s="21"/>
      <c r="CT106" s="25" t="str">
        <f aca="true">IFERROR(AVERAGE(OFFSET('Data - For Rank'!B$2,J106,0,COUNTIF($J$7:J$116,J106)))+IFERROR(VLOOKUP((COUNT($H$6:$H$116)/4),$ER$9:$ES$13,2,FALSE()),0),"")</f>
        <v/>
      </c>
      <c r="CU106" s="21"/>
      <c r="CV106" s="25" t="str">
        <f aca="true">IFERROR(AVERAGE(OFFSET('Data - For Rank'!$C$2,O106,0,COUNTIF(O$7:O$116,O106)))+IFERROR(VLOOKUP((COUNT(M$6:M$116)/4),$ER$9:$ES$13,2,FALSE()),0),"")</f>
        <v/>
      </c>
      <c r="CW106" s="21"/>
      <c r="CX106" s="25" t="str">
        <f aca="true">IFERROR(AVERAGE(OFFSET('Data - For Rank'!D$2,T106,0,COUNTIF(T$7:T$116,T106)))+IFERROR(VLOOKUP((COUNT(R$6:R$116)/4),$ER$9:$ES$13,2,FALSE()),0),"")</f>
        <v/>
      </c>
      <c r="CY106" s="21"/>
      <c r="CZ106" s="25" t="str">
        <f aca="true">IFERROR(AVERAGE(OFFSET('Data - For Rank'!E$2,Y106,0,COUNTIF(Y$7:Y$116,Y106)))+IFERROR(VLOOKUP((COUNT(W$6:W$116)/4),$ER$9:$ES$13,2,FALSE()),0),"")</f>
        <v/>
      </c>
      <c r="DA106" s="21"/>
      <c r="DB106" s="25" t="str">
        <f aca="true">IFERROR(AVERAGE(OFFSET('Data - For Rank'!F$2,AD106,0,COUNTIF(AD$7:AD$116,AD106)))+IFERROR(VLOOKUP((COUNT(AB$6:AB$116)/4),$ER$9:$ES$13,2,FALSE()),0),"")</f>
        <v/>
      </c>
      <c r="DC106" s="21"/>
      <c r="DD106" s="25" t="str">
        <f aca="true">IFERROR(AVERAGE(OFFSET('Data - For Rank'!G$2,AI106,0,COUNTIF(AI$7:AI$116,AI106)))+IFERROR(VLOOKUP((COUNT(AG$6:AG$116)/4),$ER$9:$ES$13,2,FALSE()),0),"")</f>
        <v/>
      </c>
      <c r="DE106" s="21"/>
      <c r="DF106" s="25" t="str">
        <f aca="true">IFERROR(AVERAGE(OFFSET('Data - For Rank'!$H$2,AN106,0,COUNTIF(AN$7:AN$116,AN106)))+IFERROR(VLOOKUP((COUNT(AL$6:AL$116)/4),$ER$9:$ES$13,2,FALSE()),0),"")</f>
        <v/>
      </c>
      <c r="DG106" s="21"/>
      <c r="DH106" s="25" t="str">
        <f aca="true">IFERROR(AVERAGE(OFFSET('Data - For Rank'!$I$2,AS106,0,COUNTIF(AS$7:AS$116,AS106)))+IFERROR(VLOOKUP((COUNT(AQ$6:AQ$116)/4),$ER$9:$ES$13,2,FALSE()),0),"")</f>
        <v/>
      </c>
      <c r="DI106" s="21"/>
      <c r="DJ106" s="25" t="str">
        <f aca="true">IFERROR(AVERAGE(OFFSET('Data - For Rank'!$J$2,AX106,0,COUNTIF(AX$7:AX$116,AX106)))+IFERROR(VLOOKUP((COUNT(AV$6:AV$116)/4),$ER$9:$ES$13,2,FALSE()),0),"")</f>
        <v/>
      </c>
      <c r="DK106" s="21"/>
      <c r="DL106" s="25" t="str">
        <f aca="true">IFERROR(AVERAGE(OFFSET('Data - For Rank'!$K$2,BC106,0,COUNTIF(BC$7:BC$116,BC106)))+IFERROR(VLOOKUP((COUNT(BA$6:BA$116)/4),$ER$9:$ES$13,2,FALSE()),0),"")</f>
        <v/>
      </c>
      <c r="DM106" s="21"/>
      <c r="DN106" s="25" t="str">
        <f aca="true">IFERROR(AVERAGE(OFFSET('Data - For Rank'!$L$2,BH106,0,COUNTIF(BH$7:BH$116,BH106)))+IFERROR(VLOOKUP((COUNT(BF$6:BF$116)/4),$ER$9:$ES$13,2,FALSE()),0),"")</f>
        <v/>
      </c>
      <c r="DO106" s="21"/>
      <c r="DP106" s="25" t="str">
        <f aca="true">IFERROR(AVERAGE(OFFSET('Data - For Rank'!$M$2,BM106,0,COUNTIF(BM$7:BM$116,BM106)))+IFERROR(VLOOKUP((COUNT(BK$6:BK$116)/4),$ER$9:$ES$13,2,FALSE()),0),"")</f>
        <v/>
      </c>
      <c r="DQ106" s="21"/>
      <c r="DR106" s="25" t="str">
        <f aca="true">IFERROR(AVERAGE(OFFSET('Data - For Rank'!$N$2,BR106,0,COUNTIF(BR$7:BR$116,BR106)))+IFERROR(VLOOKUP((COUNT(BP$6:BP$116)/4),$ER$9:$ES$13,2,FALSE()),0),"")</f>
        <v/>
      </c>
      <c r="DS106" s="21"/>
      <c r="DT106" s="25" t="str">
        <f aca="true">IFERROR(AVERAGE(OFFSET('Data - For Rank'!$O$2,BW106,0,COUNTIF(BW$7:BW$116,BW106)))+IFERROR(VLOOKUP((COUNT(BU$6:BU$116)/4),$ER$9:$ES$13,2,FALSE()),0),"")</f>
        <v/>
      </c>
      <c r="DU106" s="21"/>
      <c r="DV106" s="25" t="str">
        <f aca="true">IFERROR(AVERAGE(OFFSET('Data - For Rank'!$P$2,CB106,0,COUNTIF(CB$7:CB$116,CB106)))+IFERROR(VLOOKUP((COUNT(BZ$6:BZ$116)/4),$ER$9:$ES$13,2,FALSE()),0),"")</f>
        <v/>
      </c>
      <c r="DW106" s="21"/>
      <c r="DX106" s="25" t="str">
        <f aca="true">IFERROR(AVERAGE(OFFSET('Data - For Rank'!$Q$2,CG106,0,COUNTIF(CG$7:CG$116,CG106)))+IFERROR(VLOOKUP((COUNT(CE$6:CE$116)/4),$ER$9:$ES$13,2,FALSE()),0),"")</f>
        <v/>
      </c>
      <c r="DY106" s="21"/>
      <c r="DZ106" s="25" t="str">
        <f aca="true">IFERROR(AVERAGE(OFFSET('Data - For Rank'!$R$2,CL106,0,COUNTIF(CL$7:CL$116,CL106)))+IFERROR(VLOOKUP((COUNT(CJ$6:CJ$116)/4),$ER$9:$ES$13,2,FALSE()),0),"")</f>
        <v/>
      </c>
      <c r="EA106" s="21"/>
      <c r="EB106" s="25" t="str">
        <f aca="true">IFERROR(AVERAGE(OFFSET('Data - For Rank'!$S$2,CQ106,0,COUNTIF(CQ$7:CQ$116,CQ106)))+IFERROR(VLOOKUP((COUNT(CO$6:CO$116)/4),$ER$9:$ES$13,2,FALSE()),0),"")</f>
        <v/>
      </c>
      <c r="EC106" s="26" t="n">
        <f aca="false">IFERROR(AVERAGE(CS106,CU106,CW106,CY106,DA106,DC106,DE106,DG106,DI106,DK106,DM106,DO106,DQ106,DS106,DU106,DW106,DY106,EA106),0)</f>
        <v>0</v>
      </c>
      <c r="ED106" s="23" t="n">
        <f aca="false">IFERROR(AVERAGE(CT106,CV106,CX106,CZ106,DB106,DD106,DF106,DH106,DJ106,DL106,DN106,DP106,DR106,DT106,DV106,DX106,DZ106,EB106),0)</f>
        <v>0</v>
      </c>
    </row>
    <row r="107" customFormat="false" ht="13.5" hidden="false" customHeight="false" outlineLevel="1" collapsed="false">
      <c r="B107" s="75" t="n">
        <f aca="false">B106+0.15</f>
        <v>2.0395</v>
      </c>
      <c r="C107" s="68"/>
      <c r="D107" s="68" t="s">
        <v>181</v>
      </c>
      <c r="E107" s="76" t="s">
        <v>44</v>
      </c>
      <c r="F107" s="77"/>
      <c r="G107" s="29"/>
      <c r="H107" s="29"/>
      <c r="I107" s="53" t="str">
        <f aca="false">IF(CS107=0,"",CS107)</f>
        <v/>
      </c>
      <c r="J107" s="53"/>
      <c r="K107" s="54" t="str">
        <f aca="false">IFERROR(_xlfn.RANK.EQ(I107,I$6:I$116,0),"")</f>
        <v/>
      </c>
      <c r="L107" s="29"/>
      <c r="M107" s="29"/>
      <c r="N107" s="53" t="str">
        <f aca="false">IF(CU107=0,"",CU107)</f>
        <v/>
      </c>
      <c r="O107" s="53"/>
      <c r="P107" s="54" t="str">
        <f aca="false">IFERROR(_xlfn.RANK.EQ(N107,N$6:N$116,0),"")</f>
        <v/>
      </c>
      <c r="Q107" s="29"/>
      <c r="R107" s="29"/>
      <c r="S107" s="53" t="str">
        <f aca="false">IF(CW107=0,"",CW107)</f>
        <v/>
      </c>
      <c r="T107" s="53"/>
      <c r="U107" s="54" t="str">
        <f aca="false">IFERROR(_xlfn.RANK.EQ(S107,S$6:S$116,0),"")</f>
        <v/>
      </c>
      <c r="V107" s="29"/>
      <c r="W107" s="29"/>
      <c r="X107" s="53" t="str">
        <f aca="false">IF(CY107=0,"",CY107)</f>
        <v/>
      </c>
      <c r="Y107" s="53"/>
      <c r="Z107" s="54" t="str">
        <f aca="false">IFERROR(_xlfn.RANK.EQ(X107,X$6:X$116,0),"")</f>
        <v/>
      </c>
      <c r="AA107" s="29"/>
      <c r="AB107" s="29"/>
      <c r="AC107" s="53" t="str">
        <f aca="false">IF(DA107=0,"",DA107)</f>
        <v/>
      </c>
      <c r="AD107" s="53"/>
      <c r="AE107" s="54" t="str">
        <f aca="false">IFERROR(_xlfn.RANK.EQ(AC107,AC$6:AC$116,0),"")</f>
        <v/>
      </c>
      <c r="AF107" s="29"/>
      <c r="AG107" s="29"/>
      <c r="AH107" s="53" t="str">
        <f aca="false">IF(DC107=0,"",DC107)</f>
        <v/>
      </c>
      <c r="AI107" s="53"/>
      <c r="AJ107" s="54" t="str">
        <f aca="false">IFERROR(_xlfn.RANK.EQ(AH107,AH$6:AH$116,0),"")</f>
        <v/>
      </c>
      <c r="AK107" s="29"/>
      <c r="AL107" s="29"/>
      <c r="AM107" s="53" t="str">
        <f aca="false">IF(DE107=0,"",DE107)</f>
        <v/>
      </c>
      <c r="AN107" s="53"/>
      <c r="AO107" s="54" t="str">
        <f aca="false">IFERROR(_xlfn.RANK.EQ(AM107,AM$6:AM$116,0),"")</f>
        <v/>
      </c>
      <c r="AP107" s="29"/>
      <c r="AQ107" s="29"/>
      <c r="AR107" s="53" t="str">
        <f aca="false">IF(DG107=0,"",DG107)</f>
        <v/>
      </c>
      <c r="AS107" s="53"/>
      <c r="AT107" s="54" t="str">
        <f aca="false">IFERROR(_xlfn.RANK.EQ(AR107,AR$6:AR$116,0),"")</f>
        <v/>
      </c>
      <c r="AU107" s="29"/>
      <c r="AV107" s="29"/>
      <c r="AW107" s="53" t="str">
        <f aca="false">IF(DI107=0,"",DI107)</f>
        <v/>
      </c>
      <c r="AX107" s="53"/>
      <c r="AY107" s="54" t="str">
        <f aca="false">IFERROR(_xlfn.RANK.EQ(AW107,AW$6:AW$116,0),"")</f>
        <v/>
      </c>
      <c r="AZ107" s="29"/>
      <c r="BA107" s="29"/>
      <c r="BB107" s="53" t="str">
        <f aca="false">IF(DK107=0,"",DK107)</f>
        <v/>
      </c>
      <c r="BC107" s="53"/>
      <c r="BD107" s="54" t="str">
        <f aca="false">IFERROR(_xlfn.RANK.EQ(BB107,BB$6:BB$116,0),"")</f>
        <v/>
      </c>
      <c r="BE107" s="29"/>
      <c r="BF107" s="29"/>
      <c r="BG107" s="53" t="str">
        <f aca="false">IF(DM107=0,"",DM107)</f>
        <v/>
      </c>
      <c r="BH107" s="53"/>
      <c r="BI107" s="54" t="str">
        <f aca="false">IFERROR(_xlfn.RANK.EQ(BG107,BG$6:BG$116,0),"")</f>
        <v/>
      </c>
      <c r="BJ107" s="29"/>
      <c r="BK107" s="29"/>
      <c r="BL107" s="53" t="str">
        <f aca="false">IF(DO107=0,"",DO107)</f>
        <v/>
      </c>
      <c r="BM107" s="53"/>
      <c r="BN107" s="54" t="str">
        <f aca="false">IFERROR(_xlfn.RANK.EQ(BL107,BL$6:BL$116,0),"")</f>
        <v/>
      </c>
      <c r="BO107" s="29"/>
      <c r="BP107" s="29"/>
      <c r="BQ107" s="53" t="str">
        <f aca="false">IF(DQ107=0,"",DQ107)</f>
        <v/>
      </c>
      <c r="BR107" s="53"/>
      <c r="BS107" s="54" t="str">
        <f aca="false">IFERROR(_xlfn.RANK.EQ(BQ107,BQ$6:BQ$116,0),"")</f>
        <v/>
      </c>
      <c r="BT107" s="29"/>
      <c r="BU107" s="29"/>
      <c r="BV107" s="53" t="str">
        <f aca="false">IF(DS107=0,"",DS107)</f>
        <v/>
      </c>
      <c r="BW107" s="53"/>
      <c r="BX107" s="54" t="str">
        <f aca="false">IFERROR(_xlfn.RANK.EQ(BV107,BV$6:BV$116,0),"")</f>
        <v/>
      </c>
      <c r="BY107" s="29"/>
      <c r="BZ107" s="29"/>
      <c r="CA107" s="53" t="str">
        <f aca="false">IF(DU107=0,"",DU107)</f>
        <v/>
      </c>
      <c r="CB107" s="53"/>
      <c r="CC107" s="54" t="str">
        <f aca="false">IFERROR(_xlfn.RANK.EQ(CA107,CA$6:CA$116,0),"")</f>
        <v/>
      </c>
      <c r="CD107" s="29"/>
      <c r="CE107" s="29"/>
      <c r="CF107" s="53" t="str">
        <f aca="false">IF(DW107=0,"",DW107)</f>
        <v/>
      </c>
      <c r="CG107" s="53"/>
      <c r="CH107" s="54" t="str">
        <f aca="false">IFERROR(_xlfn.RANK.EQ(CF107,CF$6:CF$116,0),"")</f>
        <v/>
      </c>
      <c r="CI107" s="29"/>
      <c r="CJ107" s="29"/>
      <c r="CK107" s="53" t="str">
        <f aca="false">IF(DY107=0,"",DY107)</f>
        <v/>
      </c>
      <c r="CL107" s="53"/>
      <c r="CM107" s="54" t="str">
        <f aca="false">IFERROR(_xlfn.RANK.EQ(CK107,CK$6:CK$116,0),"")</f>
        <v/>
      </c>
      <c r="CN107" s="29"/>
      <c r="CO107" s="29"/>
      <c r="CP107" s="53" t="str">
        <f aca="false">IF(EA107=0,"",EA107)</f>
        <v/>
      </c>
      <c r="CQ107" s="53"/>
      <c r="CR107" s="54" t="str">
        <f aca="false">IFERROR(_xlfn.RANK.EQ(CP107,CP$6:CP$116,0),"")</f>
        <v/>
      </c>
      <c r="CS107" s="30"/>
      <c r="CT107" s="31" t="str">
        <f aca="true">IFERROR(AVERAGE(OFFSET('Data - For Rank'!B$2,K107,0,COUNTIF(K$6:K$116,K107)))+IFERROR(VLOOKUP((COUNT($I$6:$I$116)/4),$ER$9:$ES$13,2,FALSE()),0),"")</f>
        <v/>
      </c>
      <c r="CU107" s="30"/>
      <c r="CV107" s="31" t="str">
        <f aca="true">IFERROR(AVERAGE(OFFSET('Data - For Rank'!$C$2,P107,0,COUNTIF(P$6:P$116,P107)))+IFERROR(VLOOKUP((COUNT(N$6:N$116)/4),$ER$9:$ES$13,2,FALSE()),0),"")</f>
        <v/>
      </c>
      <c r="CW107" s="30"/>
      <c r="CX107" s="31" t="str">
        <f aca="true">IFERROR(AVERAGE(OFFSET('Data - For Rank'!D$2,U107,0,COUNTIF(U$6:$U214,U107)))+IFERROR(VLOOKUP((COUNT(S$6:S$116)/4),$ER$9:$ES$13,2,FALSE()),0),"")</f>
        <v/>
      </c>
      <c r="CY107" s="30"/>
      <c r="CZ107" s="31" t="str">
        <f aca="true">IFERROR(AVERAGE(OFFSET('Data - For Rank'!E$2,Z107,0,COUNTIF(Z$6:Z$116,Z107)))+IFERROR(VLOOKUP((COUNT(W$6:W$116)/4),$ER$9:$ES$13,2,FALSE()),0),"")</f>
        <v/>
      </c>
      <c r="DA107" s="30"/>
      <c r="DB107" s="31" t="str">
        <f aca="true">IFERROR(AVERAGE(OFFSET('Data - For Rank'!F$2,AE107,0,COUNTIF(AE$6:AE$116,AE107)))+IFERROR(VLOOKUP((COUNT(AC$6:AC$116)/4),$ER$9:$ES$13,2,FALSE()),0),"")</f>
        <v/>
      </c>
      <c r="DC107" s="30"/>
      <c r="DD107" s="31" t="str">
        <f aca="true">IFERROR(AVERAGE(OFFSET('Data - For Rank'!G$2,AJ107,0,COUNTIF(AJ$6:AJ$116,AJ107)))+IFERROR(VLOOKUP((COUNT(AH$6:AH$116)/4),$ER$9:$ES$13,2,FALSE()),0),"")</f>
        <v/>
      </c>
      <c r="DE107" s="30"/>
      <c r="DF107" s="31" t="str">
        <f aca="true">IFERROR(AVERAGE(OFFSET('Data - For Rank'!$H$2,AO107,0,COUNTIF(AO$6:AO$116,AO107)))+IFERROR(VLOOKUP((COUNT(AM$6:AM$116)/4),$ER$9:$ES$13,2,FALSE()),0),"")</f>
        <v/>
      </c>
      <c r="DG107" s="30"/>
      <c r="DH107" s="31" t="str">
        <f aca="true">IFERROR(AVERAGE(OFFSET('Data - For Rank'!$I$2,AT107,0,COUNTIF(AT$6:AT$116,AT107)))+IFERROR(VLOOKUP((COUNT(AR$6:AR$116)/4),$ER$9:$ES$13,2,FALSE()),0),"")</f>
        <v/>
      </c>
      <c r="DI107" s="30"/>
      <c r="DJ107" s="31" t="str">
        <f aca="true">IFERROR(AVERAGE(OFFSET('Data - For Rank'!$J$2,AY107,0,COUNTIF(AY$6:AY$116,AY107)))+IFERROR(VLOOKUP((COUNT(AW$6:AW$116)/4),$ER$9:$ES$13,2,FALSE()),0),"")</f>
        <v/>
      </c>
      <c r="DK107" s="30"/>
      <c r="DL107" s="31" t="str">
        <f aca="true">IFERROR(AVERAGE(OFFSET('Data - For Rank'!$K$2,BD107,0,COUNTIF(BD$6:BD$116,BD107)))+IFERROR(VLOOKUP((COUNT(BB$6:BB$116)/4),$ER$9:$ES$13,2,FALSE()),0),"")</f>
        <v/>
      </c>
      <c r="DM107" s="30"/>
      <c r="DN107" s="31" t="str">
        <f aca="true">IFERROR(AVERAGE(OFFSET('Data - For Rank'!$L$2,BI107,0,COUNTIF(BI$6:BI$116,BI107)))+IFERROR(VLOOKUP((COUNT(BG$6:BG$116)/4),$ER$9:$ES$13,2,FALSE()),0),"")</f>
        <v/>
      </c>
      <c r="DO107" s="30"/>
      <c r="DP107" s="31" t="str">
        <f aca="true">IFERROR(AVERAGE(OFFSET('Data - For Rank'!$M$2,BN107,0,COUNTIF(BN$6:BN$116,BN107)))+IFERROR(VLOOKUP((COUNT(BL$6:BL$116)/4),$ER$9:$ES$13,2,FALSE()),0),"")</f>
        <v/>
      </c>
      <c r="DQ107" s="30"/>
      <c r="DR107" s="31" t="str">
        <f aca="true">IFERROR(AVERAGE(OFFSET('Data - For Rank'!$N$2,BS107,0,COUNTIF(BS$6:BS$116,BS107)))+IFERROR(VLOOKUP((COUNT(BQ$6:BQ$116)/4),$ER$9:$ES$13,2,FALSE()),0),"")</f>
        <v/>
      </c>
      <c r="DS107" s="30"/>
      <c r="DT107" s="31" t="str">
        <f aca="true">IFERROR(AVERAGE(OFFSET('Data - For Rank'!$O$2,BX107,0,COUNTIF(BX$6:BX$116,BX107)))+IFERROR(VLOOKUP((COUNT(BV$6:BV$116)/4),$ER$9:$ES$13,2,FALSE()),0),"")</f>
        <v/>
      </c>
      <c r="DU107" s="30"/>
      <c r="DV107" s="31" t="str">
        <f aca="true">IFERROR(AVERAGE(OFFSET('Data - For Rank'!$P$2,CC107,0,COUNTIF(CC$6:CC$116,CC107)))+IFERROR(VLOOKUP((COUNT(CA$6:CA$116)/4),$ER$9:$ES$13,2,FALSE()),0),"")</f>
        <v/>
      </c>
      <c r="DW107" s="30"/>
      <c r="DX107" s="31" t="str">
        <f aca="true">IFERROR(AVERAGE(OFFSET('Data - For Rank'!$Q$2,CH107,0,COUNTIF(CH$6:CH$116,CH107)))+IFERROR(VLOOKUP((COUNT(CF$6:CF$116)/4),$ER$9:$ES$13,2,FALSE()),0),"")</f>
        <v/>
      </c>
      <c r="DY107" s="30"/>
      <c r="DZ107" s="31" t="str">
        <f aca="true">IFERROR(AVERAGE(OFFSET('Data - For Rank'!$R$2,CM107,0,COUNTIF(CM$6:CM$116,CM107)))+IFERROR(VLOOKUP((COUNT(CK$6:CK$116)/4),$ER$9:$ES$13,2,FALSE()),0),"")</f>
        <v/>
      </c>
      <c r="EA107" s="30"/>
      <c r="EB107" s="31" t="str">
        <f aca="true">IFERROR(AVERAGE(OFFSET('Data - For Rank'!$S$2,CR107,0,COUNTIF(CR$6:CR$116,CR107)))+IFERROR(VLOOKUP((COUNT(CP$6:CP$116)/4),$ER$9:$ES$13,2,FALSE()),0),"")</f>
        <v/>
      </c>
      <c r="EC107" s="32" t="n">
        <f aca="false">CS107+CU107+CW107+CY107+DA107+DC107+DE107+DG107+DI107+DK107+DM107+DO107+DQ107+DS107+DU107+DW107+DY107+EA107</f>
        <v>0</v>
      </c>
      <c r="ED107" s="33" t="n">
        <f aca="false">IFERROR(AVERAGE(CT107,CV107,CX107,CZ107,DB107,DD107,DF107,DH107,DJ107,DL107,DN107,DP107,DR107,DT107,DV107,DX107,DZ107,EB107),0)</f>
        <v>0</v>
      </c>
    </row>
    <row r="108" customFormat="false" ht="13.5" hidden="false" customHeight="false" outlineLevel="0" collapsed="false">
      <c r="B108" s="68" t="n">
        <f aca="false">_xlfn.RANK.EQ(C108,$C$73:$C$116,)</f>
        <v>5</v>
      </c>
      <c r="C108" s="69" t="n">
        <f aca="false">EC108</f>
        <v>0</v>
      </c>
      <c r="D108" s="69" t="s">
        <v>182</v>
      </c>
      <c r="E108" s="78" t="s">
        <v>182</v>
      </c>
      <c r="F108" s="71" t="n">
        <f aca="false">COUNT(CT108,CV108,CX108,CZ108,DB108,DD108,DF108,DH108,DJ108,DL108,DN108,DP108,DR108,DT108,DV108,DX108,DZ108,EB108)</f>
        <v>0</v>
      </c>
      <c r="G108" s="49" t="str">
        <f aca="false">IF(CT108=0,"",CT108)</f>
        <v/>
      </c>
      <c r="H108" s="49"/>
      <c r="I108" s="49"/>
      <c r="K108" s="49"/>
      <c r="L108" s="49" t="str">
        <f aca="false">IF(CV108=0,"",CV108)</f>
        <v/>
      </c>
      <c r="M108" s="49"/>
      <c r="N108" s="49"/>
      <c r="P108" s="49"/>
      <c r="Q108" s="49" t="str">
        <f aca="false">IF(CX108=0,"",CX108)</f>
        <v/>
      </c>
      <c r="R108" s="49"/>
      <c r="S108" s="49"/>
      <c r="U108" s="49"/>
      <c r="V108" s="49" t="str">
        <f aca="false">IF(CZ108=0,"",CZ108)</f>
        <v/>
      </c>
      <c r="W108" s="49"/>
      <c r="X108" s="49"/>
      <c r="Z108" s="49"/>
      <c r="AA108" s="49" t="str">
        <f aca="false">IF(DB108=0,"",DB108)</f>
        <v/>
      </c>
      <c r="AB108" s="49"/>
      <c r="AC108" s="49"/>
      <c r="AE108" s="49"/>
      <c r="AF108" s="49" t="str">
        <f aca="false">IF(DD108=0,"",DD108)</f>
        <v/>
      </c>
      <c r="AG108" s="49"/>
      <c r="AH108" s="49"/>
      <c r="AJ108" s="49"/>
      <c r="AK108" s="49" t="str">
        <f aca="false">IF(DF108=0,"",DF108)</f>
        <v/>
      </c>
      <c r="AL108" s="49"/>
      <c r="AM108" s="49"/>
      <c r="AO108" s="49"/>
      <c r="AP108" s="49" t="str">
        <f aca="false">IF(DH108=0,"",DH108)</f>
        <v/>
      </c>
      <c r="AQ108" s="49"/>
      <c r="AR108" s="49"/>
      <c r="AT108" s="49"/>
      <c r="AU108" s="49" t="str">
        <f aca="false">IF(DJ108=0,"",DJ108)</f>
        <v/>
      </c>
      <c r="AV108" s="49"/>
      <c r="AW108" s="49"/>
      <c r="AY108" s="49"/>
      <c r="AZ108" s="49" t="str">
        <f aca="false">IF(DL108=0,"",DL108)</f>
        <v/>
      </c>
      <c r="BA108" s="49"/>
      <c r="BB108" s="49"/>
      <c r="BD108" s="49"/>
      <c r="BE108" s="49" t="str">
        <f aca="false">IF(DN108=0,"",DN108)</f>
        <v/>
      </c>
      <c r="BF108" s="49"/>
      <c r="BG108" s="49"/>
      <c r="BI108" s="49"/>
      <c r="BJ108" s="49" t="str">
        <f aca="false">IF(DP108=0,"",DP108)</f>
        <v/>
      </c>
      <c r="BK108" s="49"/>
      <c r="BL108" s="49"/>
      <c r="BN108" s="49"/>
      <c r="BO108" s="49" t="str">
        <f aca="false">IF(DR108=0,"",DR108)</f>
        <v/>
      </c>
      <c r="BP108" s="49"/>
      <c r="BQ108" s="49"/>
      <c r="BS108" s="49"/>
      <c r="BT108" s="49" t="str">
        <f aca="false">IF(DT108=0,"",DT108)</f>
        <v/>
      </c>
      <c r="BU108" s="49"/>
      <c r="BV108" s="49"/>
      <c r="BX108" s="49"/>
      <c r="BY108" s="49" t="str">
        <f aca="false">IF(DV108=0,"",DV108)</f>
        <v/>
      </c>
      <c r="BZ108" s="49"/>
      <c r="CA108" s="49"/>
      <c r="CC108" s="49"/>
      <c r="CD108" s="49" t="str">
        <f aca="false">IF(DX108=0,"",DX108)</f>
        <v/>
      </c>
      <c r="CE108" s="49"/>
      <c r="CF108" s="49"/>
      <c r="CH108" s="49"/>
      <c r="CI108" s="49" t="str">
        <f aca="false">IF(DZ108=0,"",DZ108)</f>
        <v/>
      </c>
      <c r="CJ108" s="49"/>
      <c r="CK108" s="49"/>
      <c r="CM108" s="49"/>
      <c r="CN108" s="49" t="str">
        <f aca="false">IF(EB108=0,"",EB108)</f>
        <v/>
      </c>
      <c r="CO108" s="49"/>
      <c r="CP108" s="49"/>
      <c r="CR108" s="49"/>
      <c r="CS108" s="21"/>
      <c r="CT108" s="22" t="str">
        <f aca="false">IFERROR(CT109+CT110,"")</f>
        <v/>
      </c>
      <c r="CU108" s="21"/>
      <c r="CV108" s="22" t="str">
        <f aca="false">IFERROR(CV109+CV110,"")</f>
        <v/>
      </c>
      <c r="CW108" s="21"/>
      <c r="CX108" s="22" t="str">
        <f aca="false">IFERROR(CX109+CX110,"")</f>
        <v/>
      </c>
      <c r="CY108" s="21"/>
      <c r="CZ108" s="22" t="str">
        <f aca="false">IFERROR(CZ109+CZ110,"")</f>
        <v/>
      </c>
      <c r="DA108" s="21"/>
      <c r="DB108" s="22" t="str">
        <f aca="false">IFERROR(DB109+DB110,"")</f>
        <v/>
      </c>
      <c r="DC108" s="21"/>
      <c r="DD108" s="22" t="str">
        <f aca="false">IFERROR(DD109+DD110,"")</f>
        <v/>
      </c>
      <c r="DE108" s="21"/>
      <c r="DF108" s="22" t="str">
        <f aca="false">IFERROR(DF109+DF110,"")</f>
        <v/>
      </c>
      <c r="DG108" s="21"/>
      <c r="DH108" s="22" t="str">
        <f aca="false">IFERROR(DH109+DH110,"")</f>
        <v/>
      </c>
      <c r="DI108" s="21"/>
      <c r="DJ108" s="22" t="str">
        <f aca="false">IFERROR(DJ109+DJ110,"")</f>
        <v/>
      </c>
      <c r="DK108" s="21"/>
      <c r="DL108" s="22" t="str">
        <f aca="false">IFERROR(DL109+DL110,"")</f>
        <v/>
      </c>
      <c r="DM108" s="21"/>
      <c r="DN108" s="22" t="str">
        <f aca="false">IFERROR(DN109+DN110,"")</f>
        <v/>
      </c>
      <c r="DO108" s="21"/>
      <c r="DP108" s="22" t="str">
        <f aca="false">IFERROR(DP109+DP110,"")</f>
        <v/>
      </c>
      <c r="DQ108" s="21"/>
      <c r="DR108" s="22" t="str">
        <f aca="false">IFERROR(DR109+DR110,"")</f>
        <v/>
      </c>
      <c r="DS108" s="21"/>
      <c r="DT108" s="22" t="str">
        <f aca="false">IFERROR(DT109+DT110,"")</f>
        <v/>
      </c>
      <c r="DU108" s="21"/>
      <c r="DV108" s="22" t="str">
        <f aca="false">IFERROR(DV109+DV110,"")</f>
        <v/>
      </c>
      <c r="DW108" s="21"/>
      <c r="DX108" s="22" t="str">
        <f aca="false">IFERROR(DX109+DX110,"")</f>
        <v/>
      </c>
      <c r="DY108" s="21"/>
      <c r="DZ108" s="22" t="str">
        <f aca="false">IFERROR(DZ109+DZ110,"")</f>
        <v/>
      </c>
      <c r="EA108" s="21"/>
      <c r="EB108" s="22" t="str">
        <f aca="false">IFERROR(EB109+EB110,"")</f>
        <v/>
      </c>
      <c r="EC108" s="17" t="n">
        <f aca="false">IFERROR(LARGE($G108:$CN108,1),0)+IFERROR(LARGE($G108:$CN108,2),0)+IFERROR(LARGE($G108:$CN108,3),0)+IFERROR(LARGE($G108:$CN108,4),0)+IFERROR(LARGE($G108:$CN108,5),0)+IFERROR(LARGE($G108:$CN108,6),0)+IFERROR(LARGE($G108:$CN108,7),0)+IFERROR(LARGE($G108:$CN108,8),0)+IFERROR(LARGE($G108:$CN108,9),0)+IFERROR(LARGE($G108:$CN108,10),0)</f>
        <v>0</v>
      </c>
      <c r="ED108" s="23" t="n">
        <f aca="false">IFERROR(AVERAGE(CT108,CV108,CX108,CZ108,DB108,DD108,DF108,DH108,DJ108,DL108,DN108,DP108,DR108,DT108,DV108,DX108,DZ108,EB108),0)</f>
        <v>0</v>
      </c>
    </row>
    <row r="109" customFormat="false" ht="13.5" hidden="false" customHeight="false" outlineLevel="1" collapsed="false">
      <c r="B109" s="72" t="n">
        <f aca="false">B107+0.024</f>
        <v>2.0635</v>
      </c>
      <c r="C109" s="68"/>
      <c r="D109" s="68" t="s">
        <v>183</v>
      </c>
      <c r="E109" s="73" t="s">
        <v>43</v>
      </c>
      <c r="F109" s="74"/>
      <c r="G109" s="7"/>
      <c r="H109" s="7" t="str">
        <f aca="false">IF(CS109=0,"",CS109)</f>
        <v/>
      </c>
      <c r="I109" s="7"/>
      <c r="J109" s="49" t="str">
        <f aca="false">IFERROR(RANK(H109,H$6:H$116,0),"")</f>
        <v/>
      </c>
      <c r="K109" s="7"/>
      <c r="L109" s="7"/>
      <c r="M109" s="7" t="str">
        <f aca="false">IF(CU109=0,"",CU109)</f>
        <v/>
      </c>
      <c r="N109" s="7"/>
      <c r="O109" s="49" t="str">
        <f aca="false">IFERROR(RANK(M109,M$6:M$116,0),"")</f>
        <v/>
      </c>
      <c r="P109" s="7"/>
      <c r="Q109" s="7"/>
      <c r="R109" s="7" t="str">
        <f aca="false">IF(CW109=0,"",CW109)</f>
        <v/>
      </c>
      <c r="S109" s="7"/>
      <c r="T109" s="49" t="str">
        <f aca="false">IFERROR(RANK(R109,R$6:R$116,0),"")</f>
        <v/>
      </c>
      <c r="U109" s="7"/>
      <c r="V109" s="7"/>
      <c r="W109" s="7" t="str">
        <f aca="false">IF(CY109=0,"",CY109)</f>
        <v/>
      </c>
      <c r="X109" s="7"/>
      <c r="Y109" s="49" t="str">
        <f aca="false">IFERROR(RANK(W109,W$6:W$116,0),"")</f>
        <v/>
      </c>
      <c r="Z109" s="7"/>
      <c r="AA109" s="7"/>
      <c r="AB109" s="7" t="str">
        <f aca="false">IF(DA109=0,"",DA109)</f>
        <v/>
      </c>
      <c r="AC109" s="7"/>
      <c r="AD109" s="49" t="str">
        <f aca="false">IFERROR(RANK(AB109,AB$6:AB$116,0),"")</f>
        <v/>
      </c>
      <c r="AE109" s="7"/>
      <c r="AF109" s="7"/>
      <c r="AG109" s="7" t="str">
        <f aca="false">IF(DC109=0,"",DC109)</f>
        <v/>
      </c>
      <c r="AH109" s="7"/>
      <c r="AI109" s="49" t="str">
        <f aca="false">IFERROR(RANK(AG109,AG$6:AG$116,0),"")</f>
        <v/>
      </c>
      <c r="AJ109" s="7"/>
      <c r="AK109" s="7"/>
      <c r="AL109" s="7" t="str">
        <f aca="false">IF(DE109=0,"",DE109)</f>
        <v/>
      </c>
      <c r="AM109" s="7"/>
      <c r="AN109" s="49" t="str">
        <f aca="false">IFERROR(RANK(AL109,AL$6:AL$116,0),"")</f>
        <v/>
      </c>
      <c r="AO109" s="7"/>
      <c r="AP109" s="7"/>
      <c r="AQ109" s="7" t="str">
        <f aca="false">IF(DG109=0,"",DG109)</f>
        <v/>
      </c>
      <c r="AR109" s="7"/>
      <c r="AS109" s="49" t="str">
        <f aca="false">IFERROR(RANK(AQ109,AQ$6:AQ$116,0),"")</f>
        <v/>
      </c>
      <c r="AT109" s="7"/>
      <c r="AU109" s="7"/>
      <c r="AV109" s="7" t="str">
        <f aca="false">IF(DI109=0,"",DI109)</f>
        <v/>
      </c>
      <c r="AW109" s="7"/>
      <c r="AX109" s="49" t="str">
        <f aca="false">IFERROR(RANK(AV109,AV$6:AV$116,0),"")</f>
        <v/>
      </c>
      <c r="AY109" s="7"/>
      <c r="AZ109" s="7"/>
      <c r="BA109" s="7" t="str">
        <f aca="false">IF(DK109=0,"",DK109)</f>
        <v/>
      </c>
      <c r="BB109" s="7"/>
      <c r="BC109" s="49" t="str">
        <f aca="false">IFERROR(RANK(BA109,BA$6:BA$116,0),"")</f>
        <v/>
      </c>
      <c r="BD109" s="7"/>
      <c r="BE109" s="7"/>
      <c r="BF109" s="7" t="str">
        <f aca="false">IF(DM109=0,"",DM109)</f>
        <v/>
      </c>
      <c r="BG109" s="7"/>
      <c r="BH109" s="49" t="str">
        <f aca="false">IFERROR(RANK(BF109,BF$6:BF$116,0),"")</f>
        <v/>
      </c>
      <c r="BI109" s="7"/>
      <c r="BJ109" s="7"/>
      <c r="BK109" s="7" t="str">
        <f aca="false">IF(DO109=0,"",DO109)</f>
        <v/>
      </c>
      <c r="BL109" s="7"/>
      <c r="BM109" s="49" t="str">
        <f aca="false">IFERROR(RANK(BK109,BK$6:BK$116,0),"")</f>
        <v/>
      </c>
      <c r="BN109" s="7"/>
      <c r="BO109" s="7"/>
      <c r="BP109" s="7" t="str">
        <f aca="false">IF(DQ109=0,"",DQ109)</f>
        <v/>
      </c>
      <c r="BQ109" s="7"/>
      <c r="BR109" s="49" t="str">
        <f aca="false">IFERROR(RANK(BP109,BP$6:BP$116,0),"")</f>
        <v/>
      </c>
      <c r="BS109" s="7"/>
      <c r="BT109" s="7"/>
      <c r="BU109" s="7" t="str">
        <f aca="false">IF(DS109=0,"",DS109)</f>
        <v/>
      </c>
      <c r="BV109" s="7"/>
      <c r="BW109" s="49" t="str">
        <f aca="false">IFERROR(RANK(BU109,BU$6:BU$116,0),"")</f>
        <v/>
      </c>
      <c r="BX109" s="7"/>
      <c r="BY109" s="7"/>
      <c r="BZ109" s="7" t="str">
        <f aca="false">IF(DU109=0,"",DU109)</f>
        <v/>
      </c>
      <c r="CA109" s="7"/>
      <c r="CB109" s="49" t="str">
        <f aca="false">IFERROR(RANK(BZ109,BZ$6:BZ$116,0),"")</f>
        <v/>
      </c>
      <c r="CC109" s="7"/>
      <c r="CD109" s="7"/>
      <c r="CE109" s="7" t="str">
        <f aca="false">IF(DW109=0,"",DW109)</f>
        <v/>
      </c>
      <c r="CF109" s="7"/>
      <c r="CG109" s="49" t="str">
        <f aca="false">IFERROR(RANK(CE109,CE$6:CE$116,0),"")</f>
        <v/>
      </c>
      <c r="CH109" s="7"/>
      <c r="CI109" s="7"/>
      <c r="CJ109" s="7" t="str">
        <f aca="false">IF(DY109=0,"",DY109)</f>
        <v/>
      </c>
      <c r="CK109" s="7"/>
      <c r="CL109" s="49" t="str">
        <f aca="false">IFERROR(RANK(CJ109,CJ$6:CJ$116,0),"")</f>
        <v/>
      </c>
      <c r="CM109" s="7"/>
      <c r="CN109" s="7"/>
      <c r="CO109" s="7" t="str">
        <f aca="false">IF(EA109=0,"",EA109)</f>
        <v/>
      </c>
      <c r="CP109" s="7"/>
      <c r="CQ109" s="49" t="str">
        <f aca="false">IFERROR(RANK(CO109,CO$6:CO$116,0),"")</f>
        <v/>
      </c>
      <c r="CR109" s="7"/>
      <c r="CS109" s="21"/>
      <c r="CT109" s="25" t="str">
        <f aca="true">IFERROR(AVERAGE(OFFSET('Data - For Rank'!B$2,J109,0,COUNTIF($J$7:J$116,J109)))+IFERROR(VLOOKUP((COUNT($H$6:$H$116)/4),$ER$9:$ES$13,2,FALSE()),0),"")</f>
        <v/>
      </c>
      <c r="CU109" s="21"/>
      <c r="CV109" s="25" t="str">
        <f aca="true">IFERROR(AVERAGE(OFFSET('Data - For Rank'!$C$2,O109,0,COUNTIF(O$7:O$116,O109)))+IFERROR(VLOOKUP((COUNT(M$6:M$116)/4),$ER$9:$ES$13,2,FALSE()),0),"")</f>
        <v/>
      </c>
      <c r="CW109" s="21"/>
      <c r="CX109" s="25" t="str">
        <f aca="true">IFERROR(AVERAGE(OFFSET('Data - For Rank'!D$2,T109,0,COUNTIF(T$7:T$116,T109)))+IFERROR(VLOOKUP((COUNT(R$6:R$116)/4),$ER$9:$ES$13,2,FALSE()),0),"")</f>
        <v/>
      </c>
      <c r="CY109" s="21"/>
      <c r="CZ109" s="25" t="str">
        <f aca="true">IFERROR(AVERAGE(OFFSET('Data - For Rank'!E$2,Y109,0,COUNTIF(Y$7:Y$116,Y109)))+IFERROR(VLOOKUP((COUNT(W$6:W$116)/4),$ER$9:$ES$13,2,FALSE()),0),"")</f>
        <v/>
      </c>
      <c r="DA109" s="21"/>
      <c r="DB109" s="25" t="str">
        <f aca="true">IFERROR(AVERAGE(OFFSET('Data - For Rank'!F$2,AD109,0,COUNTIF(AD$7:AD$116,AD109)))+IFERROR(VLOOKUP((COUNT(AB$6:AB$116)/4),$ER$9:$ES$13,2,FALSE()),0),"")</f>
        <v/>
      </c>
      <c r="DC109" s="21"/>
      <c r="DD109" s="25" t="str">
        <f aca="true">IFERROR(AVERAGE(OFFSET('Data - For Rank'!G$2,AI109,0,COUNTIF(AI$7:AI$116,AI109)))+IFERROR(VLOOKUP((COUNT(AG$6:AG$116)/4),$ER$9:$ES$13,2,FALSE()),0),"")</f>
        <v/>
      </c>
      <c r="DE109" s="21"/>
      <c r="DF109" s="25" t="str">
        <f aca="true">IFERROR(AVERAGE(OFFSET('Data - For Rank'!$H$2,AN109,0,COUNTIF(AN$7:AN$116,AN109)))+IFERROR(VLOOKUP((COUNT(AL$6:AL$116)/4),$ER$9:$ES$13,2,FALSE()),0),"")</f>
        <v/>
      </c>
      <c r="DG109" s="21"/>
      <c r="DH109" s="25" t="str">
        <f aca="true">IFERROR(AVERAGE(OFFSET('Data - For Rank'!$I$2,AS109,0,COUNTIF(AS$7:AS$116,AS109)))+IFERROR(VLOOKUP((COUNT(AQ$6:AQ$116)/4),$ER$9:$ES$13,2,FALSE()),0),"")</f>
        <v/>
      </c>
      <c r="DI109" s="21"/>
      <c r="DJ109" s="25" t="str">
        <f aca="true">IFERROR(AVERAGE(OFFSET('Data - For Rank'!$J$2,AX109,0,COUNTIF(AX$7:AX$116,AX109)))+IFERROR(VLOOKUP((COUNT(AV$6:AV$116)/4),$ER$9:$ES$13,2,FALSE()),0),"")</f>
        <v/>
      </c>
      <c r="DK109" s="21"/>
      <c r="DL109" s="25" t="str">
        <f aca="true">IFERROR(AVERAGE(OFFSET('Data - For Rank'!$K$2,BC109,0,COUNTIF(BC$7:BC$116,BC109)))+IFERROR(VLOOKUP((COUNT(BA$6:BA$116)/4),$ER$9:$ES$13,2,FALSE()),0),"")</f>
        <v/>
      </c>
      <c r="DM109" s="21"/>
      <c r="DN109" s="25" t="str">
        <f aca="true">IFERROR(AVERAGE(OFFSET('Data - For Rank'!$L$2,BH109,0,COUNTIF(BH$7:BH$116,BH109)))+IFERROR(VLOOKUP((COUNT(BF$6:BF$116)/4),$ER$9:$ES$13,2,FALSE()),0),"")</f>
        <v/>
      </c>
      <c r="DO109" s="21"/>
      <c r="DP109" s="25" t="str">
        <f aca="true">IFERROR(AVERAGE(OFFSET('Data - For Rank'!$M$2,BM109,0,COUNTIF(BM$7:BM$116,BM109)))+IFERROR(VLOOKUP((COUNT(BK$6:BK$116)/4),$ER$9:$ES$13,2,FALSE()),0),"")</f>
        <v/>
      </c>
      <c r="DQ109" s="21"/>
      <c r="DR109" s="25" t="str">
        <f aca="true">IFERROR(AVERAGE(OFFSET('Data - For Rank'!$N$2,BR109,0,COUNTIF(BR$7:BR$116,BR109)))+IFERROR(VLOOKUP((COUNT(BP$6:BP$116)/4),$ER$9:$ES$13,2,FALSE()),0),"")</f>
        <v/>
      </c>
      <c r="DS109" s="21"/>
      <c r="DT109" s="25" t="str">
        <f aca="true">IFERROR(AVERAGE(OFFSET('Data - For Rank'!$O$2,BW109,0,COUNTIF(BW$7:BW$116,BW109)))+IFERROR(VLOOKUP((COUNT(BU$6:BU$116)/4),$ER$9:$ES$13,2,FALSE()),0),"")</f>
        <v/>
      </c>
      <c r="DU109" s="21"/>
      <c r="DV109" s="25" t="str">
        <f aca="true">IFERROR(AVERAGE(OFFSET('Data - For Rank'!$P$2,CB109,0,COUNTIF(CB$7:CB$116,CB109)))+IFERROR(VLOOKUP((COUNT(BZ$6:BZ$116)/4),$ER$9:$ES$13,2,FALSE()),0),"")</f>
        <v/>
      </c>
      <c r="DW109" s="21"/>
      <c r="DX109" s="25" t="str">
        <f aca="true">IFERROR(AVERAGE(OFFSET('Data - For Rank'!$Q$2,CG109,0,COUNTIF(CG$7:CG$116,CG109)))+IFERROR(VLOOKUP((COUNT(CE$6:CE$116)/4),$ER$9:$ES$13,2,FALSE()),0),"")</f>
        <v/>
      </c>
      <c r="DY109" s="21"/>
      <c r="DZ109" s="25" t="str">
        <f aca="true">IFERROR(AVERAGE(OFFSET('Data - For Rank'!$R$2,CL109,0,COUNTIF(CL$7:CL$116,CL109)))+IFERROR(VLOOKUP((COUNT(CJ$6:CJ$116)/4),$ER$9:$ES$13,2,FALSE()),0),"")</f>
        <v/>
      </c>
      <c r="EA109" s="21"/>
      <c r="EB109" s="25" t="str">
        <f aca="true">IFERROR(AVERAGE(OFFSET('Data - For Rank'!$S$2,CQ109,0,COUNTIF(CQ$7:CQ$116,CQ109)))+IFERROR(VLOOKUP((COUNT(CO$6:CO$116)/4),$ER$9:$ES$13,2,FALSE()),0),"")</f>
        <v/>
      </c>
      <c r="EC109" s="26" t="n">
        <f aca="false">IFERROR(AVERAGE(CS109,CU109,CW109,CY109,DA109,DC109,DE109,DG109,DI109,DK109,DM109,DO109,DQ109,DS109,DU109,DW109,DY109,EA109),0)</f>
        <v>0</v>
      </c>
      <c r="ED109" s="23" t="n">
        <f aca="false">IFERROR(AVERAGE(CT109,CV109,CX109,CZ109,DB109,DD109,DF109,DH109,DJ109,DL109,DN109,DP109,DR109,DT109,DV109,DX109,DZ109,EB109),0)</f>
        <v>0</v>
      </c>
    </row>
    <row r="110" customFormat="false" ht="13.5" hidden="false" customHeight="false" outlineLevel="1" collapsed="false">
      <c r="B110" s="75" t="n">
        <f aca="false">B109+0.14</f>
        <v>2.2035</v>
      </c>
      <c r="C110" s="68"/>
      <c r="D110" s="68" t="s">
        <v>184</v>
      </c>
      <c r="E110" s="76" t="s">
        <v>44</v>
      </c>
      <c r="F110" s="77"/>
      <c r="G110" s="29"/>
      <c r="H110" s="29"/>
      <c r="I110" s="53" t="str">
        <f aca="false">IF(CS110=0,"",CS110)</f>
        <v/>
      </c>
      <c r="J110" s="53"/>
      <c r="K110" s="54" t="str">
        <f aca="false">IFERROR(_xlfn.RANK.EQ(I110,I$6:I$116,0),"")</f>
        <v/>
      </c>
      <c r="L110" s="29"/>
      <c r="M110" s="29"/>
      <c r="N110" s="53" t="str">
        <f aca="false">IF(CU110=0,"",CU110)</f>
        <v/>
      </c>
      <c r="O110" s="53"/>
      <c r="P110" s="54" t="str">
        <f aca="false">IFERROR(_xlfn.RANK.EQ(N110,N$6:N$116,0),"")</f>
        <v/>
      </c>
      <c r="Q110" s="29"/>
      <c r="R110" s="29"/>
      <c r="S110" s="53" t="str">
        <f aca="false">IF(CW110=0,"",CW110)</f>
        <v/>
      </c>
      <c r="T110" s="53"/>
      <c r="U110" s="54" t="str">
        <f aca="false">IFERROR(_xlfn.RANK.EQ(S110,S$6:S$116,0),"")</f>
        <v/>
      </c>
      <c r="V110" s="29"/>
      <c r="W110" s="29"/>
      <c r="X110" s="53" t="str">
        <f aca="false">IF(CY110=0,"",CY110)</f>
        <v/>
      </c>
      <c r="Y110" s="53"/>
      <c r="Z110" s="54" t="str">
        <f aca="false">IFERROR(_xlfn.RANK.EQ(X110,X$6:X$116,0),"")</f>
        <v/>
      </c>
      <c r="AA110" s="29"/>
      <c r="AB110" s="29"/>
      <c r="AC110" s="53" t="str">
        <f aca="false">IF(DA110=0,"",DA110)</f>
        <v/>
      </c>
      <c r="AD110" s="53"/>
      <c r="AE110" s="54" t="str">
        <f aca="false">IFERROR(_xlfn.RANK.EQ(AC110,AC$6:AC$116,0),"")</f>
        <v/>
      </c>
      <c r="AF110" s="29"/>
      <c r="AG110" s="29"/>
      <c r="AH110" s="53" t="str">
        <f aca="false">IF(DC110=0,"",DC110)</f>
        <v/>
      </c>
      <c r="AI110" s="53"/>
      <c r="AJ110" s="54" t="str">
        <f aca="false">IFERROR(_xlfn.RANK.EQ(AH110,AH$6:AH$116,0),"")</f>
        <v/>
      </c>
      <c r="AK110" s="29"/>
      <c r="AL110" s="29"/>
      <c r="AM110" s="53" t="str">
        <f aca="false">IF(DE110=0,"",DE110)</f>
        <v/>
      </c>
      <c r="AN110" s="53"/>
      <c r="AO110" s="54" t="str">
        <f aca="false">IFERROR(_xlfn.RANK.EQ(AM110,AM$6:AM$116,0),"")</f>
        <v/>
      </c>
      <c r="AP110" s="29"/>
      <c r="AQ110" s="29"/>
      <c r="AR110" s="53" t="str">
        <f aca="false">IF(DG110=0,"",DG110)</f>
        <v/>
      </c>
      <c r="AS110" s="53"/>
      <c r="AT110" s="54" t="str">
        <f aca="false">IFERROR(_xlfn.RANK.EQ(AR110,AR$6:AR$116,0),"")</f>
        <v/>
      </c>
      <c r="AU110" s="29"/>
      <c r="AV110" s="29"/>
      <c r="AW110" s="53" t="str">
        <f aca="false">IF(DI110=0,"",DI110)</f>
        <v/>
      </c>
      <c r="AX110" s="53"/>
      <c r="AY110" s="54" t="str">
        <f aca="false">IFERROR(_xlfn.RANK.EQ(AW110,AW$6:AW$116,0),"")</f>
        <v/>
      </c>
      <c r="AZ110" s="29"/>
      <c r="BA110" s="29"/>
      <c r="BB110" s="53" t="str">
        <f aca="false">IF(DK110=0,"",DK110)</f>
        <v/>
      </c>
      <c r="BC110" s="53"/>
      <c r="BD110" s="54" t="str">
        <f aca="false">IFERROR(_xlfn.RANK.EQ(BB110,BB$6:BB$116,0),"")</f>
        <v/>
      </c>
      <c r="BE110" s="29"/>
      <c r="BF110" s="29"/>
      <c r="BG110" s="53" t="str">
        <f aca="false">IF(DM110=0,"",DM110)</f>
        <v/>
      </c>
      <c r="BH110" s="53"/>
      <c r="BI110" s="54" t="str">
        <f aca="false">IFERROR(_xlfn.RANK.EQ(BG110,BG$6:BG$116,0),"")</f>
        <v/>
      </c>
      <c r="BJ110" s="29"/>
      <c r="BK110" s="29"/>
      <c r="BL110" s="53" t="str">
        <f aca="false">IF(DO110=0,"",DO110)</f>
        <v/>
      </c>
      <c r="BM110" s="53"/>
      <c r="BN110" s="54" t="str">
        <f aca="false">IFERROR(_xlfn.RANK.EQ(BL110,BL$6:BL$116,0),"")</f>
        <v/>
      </c>
      <c r="BO110" s="29"/>
      <c r="BP110" s="29"/>
      <c r="BQ110" s="53" t="str">
        <f aca="false">IF(DQ110=0,"",DQ110)</f>
        <v/>
      </c>
      <c r="BR110" s="53"/>
      <c r="BS110" s="54" t="str">
        <f aca="false">IFERROR(_xlfn.RANK.EQ(BQ110,BQ$6:BQ$116,0),"")</f>
        <v/>
      </c>
      <c r="BT110" s="29"/>
      <c r="BU110" s="29"/>
      <c r="BV110" s="53" t="str">
        <f aca="false">IF(DS110=0,"",DS110)</f>
        <v/>
      </c>
      <c r="BW110" s="53"/>
      <c r="BX110" s="54" t="str">
        <f aca="false">IFERROR(_xlfn.RANK.EQ(BV110,BV$6:BV$116,0),"")</f>
        <v/>
      </c>
      <c r="BY110" s="29"/>
      <c r="BZ110" s="29"/>
      <c r="CA110" s="53" t="str">
        <f aca="false">IF(DU110=0,"",DU110)</f>
        <v/>
      </c>
      <c r="CB110" s="53"/>
      <c r="CC110" s="54" t="str">
        <f aca="false">IFERROR(_xlfn.RANK.EQ(CA110,CA$6:CA$116,0),"")</f>
        <v/>
      </c>
      <c r="CD110" s="29"/>
      <c r="CE110" s="29"/>
      <c r="CF110" s="53" t="str">
        <f aca="false">IF(DW110=0,"",DW110)</f>
        <v/>
      </c>
      <c r="CG110" s="53"/>
      <c r="CH110" s="54" t="str">
        <f aca="false">IFERROR(_xlfn.RANK.EQ(CF110,CF$6:CF$116,0),"")</f>
        <v/>
      </c>
      <c r="CI110" s="29"/>
      <c r="CJ110" s="29"/>
      <c r="CK110" s="53" t="str">
        <f aca="false">IF(DY110=0,"",DY110)</f>
        <v/>
      </c>
      <c r="CL110" s="53"/>
      <c r="CM110" s="54" t="str">
        <f aca="false">IFERROR(_xlfn.RANK.EQ(CK110,CK$6:CK$116,0),"")</f>
        <v/>
      </c>
      <c r="CN110" s="29"/>
      <c r="CO110" s="29"/>
      <c r="CP110" s="53" t="str">
        <f aca="false">IF(EA110=0,"",EA110)</f>
        <v/>
      </c>
      <c r="CQ110" s="53"/>
      <c r="CR110" s="54" t="str">
        <f aca="false">IFERROR(_xlfn.RANK.EQ(CP110,CP$6:CP$116,0),"")</f>
        <v/>
      </c>
      <c r="CS110" s="30"/>
      <c r="CT110" s="31" t="str">
        <f aca="true">IFERROR(AVERAGE(OFFSET('Data - For Rank'!B$2,K110,0,COUNTIF(K$6:K$116,K110)))+IFERROR(VLOOKUP((COUNT($I$6:$I$116)/4),$ER$9:$ES$13,2,FALSE()),0),"")</f>
        <v/>
      </c>
      <c r="CU110" s="30"/>
      <c r="CV110" s="31" t="str">
        <f aca="true">IFERROR(AVERAGE(OFFSET('Data - For Rank'!$C$2,P110,0,COUNTIF(P$6:P$116,P110)))+IFERROR(VLOOKUP((COUNT(N$6:N$116)/4),$ER$9:$ES$13,2,FALSE()),0),"")</f>
        <v/>
      </c>
      <c r="CW110" s="30"/>
      <c r="CX110" s="31" t="str">
        <f aca="true">IFERROR(AVERAGE(OFFSET('Data - For Rank'!D$2,U110,0,COUNTIF(U$6:$U217,U110)))+IFERROR(VLOOKUP((COUNT(S$6:S$116)/4),$ER$9:$ES$13,2,FALSE()),0),"")</f>
        <v/>
      </c>
      <c r="CY110" s="30"/>
      <c r="CZ110" s="31" t="str">
        <f aca="true">IFERROR(AVERAGE(OFFSET('Data - For Rank'!E$2,Z110,0,COUNTIF(Z$6:Z$116,Z110)))+IFERROR(VLOOKUP((COUNT(W$6:W$116)/4),$ER$9:$ES$13,2,FALSE()),0),"")</f>
        <v/>
      </c>
      <c r="DA110" s="30"/>
      <c r="DB110" s="31" t="str">
        <f aca="true">IFERROR(AVERAGE(OFFSET('Data - For Rank'!F$2,AE110,0,COUNTIF(AE$6:AE$116,AE110)))+IFERROR(VLOOKUP((COUNT(AC$6:AC$116)/4),$ER$9:$ES$13,2,FALSE()),0),"")</f>
        <v/>
      </c>
      <c r="DC110" s="30"/>
      <c r="DD110" s="31" t="str">
        <f aca="true">IFERROR(AVERAGE(OFFSET('Data - For Rank'!G$2,AJ110,0,COUNTIF(AJ$6:AJ$116,AJ110)))+IFERROR(VLOOKUP((COUNT(AH$6:AH$116)/4),$ER$9:$ES$13,2,FALSE()),0),"")</f>
        <v/>
      </c>
      <c r="DE110" s="30"/>
      <c r="DF110" s="31" t="str">
        <f aca="true">IFERROR(AVERAGE(OFFSET('Data - For Rank'!$H$2,AO110,0,COUNTIF(AO$6:AO$116,AO110)))+IFERROR(VLOOKUP((COUNT(AM$6:AM$116)/4),$ER$9:$ES$13,2,FALSE()),0),"")</f>
        <v/>
      </c>
      <c r="DG110" s="30"/>
      <c r="DH110" s="31" t="str">
        <f aca="true">IFERROR(AVERAGE(OFFSET('Data - For Rank'!$I$2,AT110,0,COUNTIF(AT$6:AT$116,AT110)))+IFERROR(VLOOKUP((COUNT(AR$6:AR$116)/4),$ER$9:$ES$13,2,FALSE()),0),"")</f>
        <v/>
      </c>
      <c r="DI110" s="30"/>
      <c r="DJ110" s="31" t="str">
        <f aca="true">IFERROR(AVERAGE(OFFSET('Data - For Rank'!$J$2,AY110,0,COUNTIF(AY$6:AY$116,AY110)))+IFERROR(VLOOKUP((COUNT(AW$6:AW$116)/4),$ER$9:$ES$13,2,FALSE()),0),"")</f>
        <v/>
      </c>
      <c r="DK110" s="30"/>
      <c r="DL110" s="31" t="str">
        <f aca="true">IFERROR(AVERAGE(OFFSET('Data - For Rank'!$K$2,BD110,0,COUNTIF(BD$6:BD$116,BD110)))+IFERROR(VLOOKUP((COUNT(BB$6:BB$116)/4),$ER$9:$ES$13,2,FALSE()),0),"")</f>
        <v/>
      </c>
      <c r="DM110" s="30"/>
      <c r="DN110" s="31" t="str">
        <f aca="true">IFERROR(AVERAGE(OFFSET('Data - For Rank'!$L$2,BI110,0,COUNTIF(BI$6:BI$116,BI110)))+IFERROR(VLOOKUP((COUNT(BG$6:BG$116)/4),$ER$9:$ES$13,2,FALSE()),0),"")</f>
        <v/>
      </c>
      <c r="DO110" s="30"/>
      <c r="DP110" s="31" t="str">
        <f aca="true">IFERROR(AVERAGE(OFFSET('Data - For Rank'!$M$2,BN110,0,COUNTIF(BN$6:BN$116,BN110)))+IFERROR(VLOOKUP((COUNT(BL$6:BL$116)/4),$ER$9:$ES$13,2,FALSE()),0),"")</f>
        <v/>
      </c>
      <c r="DQ110" s="30"/>
      <c r="DR110" s="31" t="str">
        <f aca="true">IFERROR(AVERAGE(OFFSET('Data - For Rank'!$N$2,BS110,0,COUNTIF(BS$6:BS$116,BS110)))+IFERROR(VLOOKUP((COUNT(BQ$6:BQ$116)/4),$ER$9:$ES$13,2,FALSE()),0),"")</f>
        <v/>
      </c>
      <c r="DS110" s="30"/>
      <c r="DT110" s="31" t="str">
        <f aca="true">IFERROR(AVERAGE(OFFSET('Data - For Rank'!$O$2,BX110,0,COUNTIF(BX$6:BX$116,BX110)))+IFERROR(VLOOKUP((COUNT(BV$6:BV$116)/4),$ER$9:$ES$13,2,FALSE()),0),"")</f>
        <v/>
      </c>
      <c r="DU110" s="30"/>
      <c r="DV110" s="31" t="str">
        <f aca="true">IFERROR(AVERAGE(OFFSET('Data - For Rank'!$P$2,CC110,0,COUNTIF(CC$6:CC$116,CC110)))+IFERROR(VLOOKUP((COUNT(CA$6:CA$116)/4),$ER$9:$ES$13,2,FALSE()),0),"")</f>
        <v/>
      </c>
      <c r="DW110" s="30"/>
      <c r="DX110" s="31" t="str">
        <f aca="true">IFERROR(AVERAGE(OFFSET('Data - For Rank'!$Q$2,CH110,0,COUNTIF(CH$6:CH$116,CH110)))+IFERROR(VLOOKUP((COUNT(CF$6:CF$116)/4),$ER$9:$ES$13,2,FALSE()),0),"")</f>
        <v/>
      </c>
      <c r="DY110" s="30"/>
      <c r="DZ110" s="31" t="str">
        <f aca="true">IFERROR(AVERAGE(OFFSET('Data - For Rank'!$R$2,CM110,0,COUNTIF(CM$6:CM$116,CM110)))+IFERROR(VLOOKUP((COUNT(CK$6:CK$116)/4),$ER$9:$ES$13,2,FALSE()),0),"")</f>
        <v/>
      </c>
      <c r="EA110" s="30"/>
      <c r="EB110" s="31" t="str">
        <f aca="true">IFERROR(AVERAGE(OFFSET('Data - For Rank'!$S$2,CR110,0,COUNTIF(CR$6:CR$116,CR110)))+IFERROR(VLOOKUP((COUNT(CP$6:CP$116)/4),$ER$9:$ES$13,2,FALSE()),0),"")</f>
        <v/>
      </c>
      <c r="EC110" s="32" t="n">
        <f aca="false">CS110+CU110+CW110+CY110+DA110+DC110+DE110+DG110+DI110+DK110+DM110+DO110+DQ110+DS110+DU110+DW110+DY110+EA110</f>
        <v>0</v>
      </c>
      <c r="ED110" s="33" t="n">
        <f aca="false">IFERROR(AVERAGE(CT110,CV110,CX110,CZ110,DB110,DD110,DF110,DH110,DJ110,DL110,DN110,DP110,DR110,DT110,DV110,DX110,DZ110,EB110),0)</f>
        <v>0</v>
      </c>
    </row>
    <row r="111" customFormat="false" ht="13.5" hidden="false" customHeight="false" outlineLevel="0" collapsed="false">
      <c r="B111" s="68" t="n">
        <f aca="false">_xlfn.RANK.EQ(C111,$C$73:$C$116,)</f>
        <v>5</v>
      </c>
      <c r="C111" s="69" t="n">
        <f aca="false">EC111</f>
        <v>0</v>
      </c>
      <c r="D111" s="69" t="s">
        <v>185</v>
      </c>
      <c r="E111" s="78" t="s">
        <v>185</v>
      </c>
      <c r="F111" s="71" t="n">
        <f aca="false">COUNT(CT111,CV111,CX111,CZ111,DB111,DD111,DF111,DH111,DJ111,DL111,DN111,DP111,DR111,DT111,DV111,DX111,DZ111,EB111)</f>
        <v>0</v>
      </c>
      <c r="G111" s="49" t="str">
        <f aca="false">IF(CT111=0,"",CT111)</f>
        <v/>
      </c>
      <c r="H111" s="49"/>
      <c r="I111" s="49"/>
      <c r="K111" s="49"/>
      <c r="L111" s="49" t="str">
        <f aca="false">IF(CV111=0,"",CV111)</f>
        <v/>
      </c>
      <c r="M111" s="49"/>
      <c r="N111" s="49"/>
      <c r="P111" s="49"/>
      <c r="Q111" s="49" t="str">
        <f aca="false">IF(CX111=0,"",CX111)</f>
        <v/>
      </c>
      <c r="R111" s="49"/>
      <c r="S111" s="49"/>
      <c r="U111" s="49"/>
      <c r="V111" s="49" t="str">
        <f aca="false">IF(CZ111=0,"",CZ111)</f>
        <v/>
      </c>
      <c r="W111" s="49"/>
      <c r="X111" s="49"/>
      <c r="Z111" s="49"/>
      <c r="AA111" s="49" t="str">
        <f aca="false">IF(DB111=0,"",DB111)</f>
        <v/>
      </c>
      <c r="AB111" s="49"/>
      <c r="AC111" s="49"/>
      <c r="AE111" s="49"/>
      <c r="AF111" s="49" t="str">
        <f aca="false">IF(DD111=0,"",DD111)</f>
        <v/>
      </c>
      <c r="AG111" s="49"/>
      <c r="AH111" s="49"/>
      <c r="AJ111" s="49"/>
      <c r="AK111" s="49" t="str">
        <f aca="false">IF(DF111=0,"",DF111)</f>
        <v/>
      </c>
      <c r="AL111" s="49"/>
      <c r="AM111" s="49"/>
      <c r="AO111" s="49"/>
      <c r="AP111" s="49" t="str">
        <f aca="false">IF(DH111=0,"",DH111)</f>
        <v/>
      </c>
      <c r="AQ111" s="49"/>
      <c r="AR111" s="49"/>
      <c r="AT111" s="49"/>
      <c r="AU111" s="49" t="str">
        <f aca="false">IF(DJ111=0,"",DJ111)</f>
        <v/>
      </c>
      <c r="AV111" s="49"/>
      <c r="AW111" s="49"/>
      <c r="AY111" s="49"/>
      <c r="AZ111" s="49" t="str">
        <f aca="false">IF(DL111=0,"",DL111)</f>
        <v/>
      </c>
      <c r="BA111" s="49"/>
      <c r="BB111" s="49"/>
      <c r="BD111" s="49"/>
      <c r="BE111" s="49" t="str">
        <f aca="false">IF(DN111=0,"",DN111)</f>
        <v/>
      </c>
      <c r="BF111" s="49"/>
      <c r="BG111" s="49"/>
      <c r="BI111" s="49"/>
      <c r="BJ111" s="49" t="str">
        <f aca="false">IF(DP111=0,"",DP111)</f>
        <v/>
      </c>
      <c r="BK111" s="49"/>
      <c r="BL111" s="49"/>
      <c r="BN111" s="49"/>
      <c r="BO111" s="49" t="str">
        <f aca="false">IF(DR111=0,"",DR111)</f>
        <v/>
      </c>
      <c r="BP111" s="49"/>
      <c r="BQ111" s="49"/>
      <c r="BS111" s="49"/>
      <c r="BT111" s="49" t="str">
        <f aca="false">IF(DT111=0,"",DT111)</f>
        <v/>
      </c>
      <c r="BU111" s="49"/>
      <c r="BV111" s="49"/>
      <c r="BX111" s="49"/>
      <c r="BY111" s="49" t="str">
        <f aca="false">IF(DV111=0,"",DV111)</f>
        <v/>
      </c>
      <c r="BZ111" s="49"/>
      <c r="CA111" s="49"/>
      <c r="CC111" s="49"/>
      <c r="CD111" s="49" t="str">
        <f aca="false">IF(DX111=0,"",DX111)</f>
        <v/>
      </c>
      <c r="CE111" s="49"/>
      <c r="CF111" s="49"/>
      <c r="CH111" s="49"/>
      <c r="CI111" s="49" t="str">
        <f aca="false">IF(DZ111=0,"",DZ111)</f>
        <v/>
      </c>
      <c r="CJ111" s="49"/>
      <c r="CK111" s="49"/>
      <c r="CM111" s="49"/>
      <c r="CN111" s="49" t="str">
        <f aca="false">IF(EB111=0,"",EB111)</f>
        <v/>
      </c>
      <c r="CO111" s="49"/>
      <c r="CP111" s="49"/>
      <c r="CR111" s="49"/>
      <c r="CS111" s="21"/>
      <c r="CT111" s="22" t="str">
        <f aca="false">IFERROR(CT112+CT113,"")</f>
        <v/>
      </c>
      <c r="CU111" s="21"/>
      <c r="CV111" s="22" t="str">
        <f aca="false">IFERROR(CV112+CV113,"")</f>
        <v/>
      </c>
      <c r="CW111" s="21"/>
      <c r="CX111" s="22" t="str">
        <f aca="false">IFERROR(CX112+CX113,"")</f>
        <v/>
      </c>
      <c r="CY111" s="21"/>
      <c r="CZ111" s="22" t="str">
        <f aca="false">IFERROR(CZ112+CZ113,"")</f>
        <v/>
      </c>
      <c r="DA111" s="21"/>
      <c r="DB111" s="22" t="str">
        <f aca="false">IFERROR(DB112+DB113,"")</f>
        <v/>
      </c>
      <c r="DC111" s="21"/>
      <c r="DD111" s="22" t="str">
        <f aca="false">IFERROR(DD112+DD113,"")</f>
        <v/>
      </c>
      <c r="DE111" s="21"/>
      <c r="DF111" s="22" t="str">
        <f aca="false">IFERROR(DF112+DF113,"")</f>
        <v/>
      </c>
      <c r="DG111" s="21"/>
      <c r="DH111" s="22" t="str">
        <f aca="false">IFERROR(DH112+DH113,"")</f>
        <v/>
      </c>
      <c r="DI111" s="21"/>
      <c r="DJ111" s="22" t="str">
        <f aca="false">IFERROR(DJ112+DJ113,"")</f>
        <v/>
      </c>
      <c r="DK111" s="21"/>
      <c r="DL111" s="22" t="str">
        <f aca="false">IFERROR(DL112+DL113,"")</f>
        <v/>
      </c>
      <c r="DM111" s="21"/>
      <c r="DN111" s="22" t="str">
        <f aca="false">IFERROR(DN112+DN113,"")</f>
        <v/>
      </c>
      <c r="DO111" s="21"/>
      <c r="DP111" s="22" t="str">
        <f aca="false">IFERROR(DP112+DP113,"")</f>
        <v/>
      </c>
      <c r="DQ111" s="21"/>
      <c r="DR111" s="22" t="str">
        <f aca="false">IFERROR(DR112+DR113,"")</f>
        <v/>
      </c>
      <c r="DS111" s="21"/>
      <c r="DT111" s="22" t="str">
        <f aca="false">IFERROR(DT112+DT113,"")</f>
        <v/>
      </c>
      <c r="DU111" s="21"/>
      <c r="DV111" s="22" t="str">
        <f aca="false">IFERROR(DV112+DV113,"")</f>
        <v/>
      </c>
      <c r="DW111" s="21"/>
      <c r="DX111" s="22" t="str">
        <f aca="false">IFERROR(DX112+DX113,"")</f>
        <v/>
      </c>
      <c r="DY111" s="21"/>
      <c r="DZ111" s="22" t="str">
        <f aca="false">IFERROR(DZ112+DZ113,"")</f>
        <v/>
      </c>
      <c r="EA111" s="21"/>
      <c r="EB111" s="22" t="str">
        <f aca="false">IFERROR(EB112+EB113,"")</f>
        <v/>
      </c>
      <c r="EC111" s="17" t="n">
        <f aca="false">IFERROR(LARGE($G111:$CN111,1),0)+IFERROR(LARGE($G111:$CN111,2),0)+IFERROR(LARGE($G111:$CN111,3),0)+IFERROR(LARGE($G111:$CN111,4),0)+IFERROR(LARGE($G111:$CN111,5),0)+IFERROR(LARGE($G111:$CN111,6),0)+IFERROR(LARGE($G111:$CN111,7),0)+IFERROR(LARGE($G111:$CN111,8),0)+IFERROR(LARGE($G111:$CN111,9),0)+IFERROR(LARGE($G111:$CN111,10),0)</f>
        <v>0</v>
      </c>
      <c r="ED111" s="23" t="n">
        <f aca="false">IFERROR(AVERAGE(CT111,CV111,CX111,CZ111,DB111,DD111,DF111,DH111,DJ111,DL111,DN111,DP111,DR111,DT111,DV111,DX111,DZ111,EB111),0)</f>
        <v>0</v>
      </c>
    </row>
    <row r="112" customFormat="false" ht="13.5" hidden="false" customHeight="false" outlineLevel="1" collapsed="false">
      <c r="B112" s="72" t="n">
        <f aca="false">B110+0.023</f>
        <v>2.2265</v>
      </c>
      <c r="C112" s="68"/>
      <c r="D112" s="68" t="s">
        <v>186</v>
      </c>
      <c r="E112" s="73" t="s">
        <v>43</v>
      </c>
      <c r="F112" s="74"/>
      <c r="G112" s="7"/>
      <c r="H112" s="7" t="str">
        <f aca="false">IF(CS112=0,"",CS112)</f>
        <v/>
      </c>
      <c r="I112" s="7"/>
      <c r="J112" s="49" t="str">
        <f aca="false">IFERROR(RANK(H112,H$6:H$116,0),"")</f>
        <v/>
      </c>
      <c r="K112" s="7"/>
      <c r="L112" s="7"/>
      <c r="M112" s="7" t="str">
        <f aca="false">IF(CU112=0,"",CU112)</f>
        <v/>
      </c>
      <c r="N112" s="7"/>
      <c r="O112" s="49" t="str">
        <f aca="false">IFERROR(RANK(M112,M$6:M$116,0),"")</f>
        <v/>
      </c>
      <c r="P112" s="7"/>
      <c r="Q112" s="7"/>
      <c r="R112" s="7" t="str">
        <f aca="false">IF(CW112=0,"",CW112)</f>
        <v/>
      </c>
      <c r="S112" s="7"/>
      <c r="T112" s="49" t="str">
        <f aca="false">IFERROR(RANK(R112,R$6:R$116,0),"")</f>
        <v/>
      </c>
      <c r="U112" s="7"/>
      <c r="V112" s="7"/>
      <c r="W112" s="7" t="str">
        <f aca="false">IF(CY112=0,"",CY112)</f>
        <v/>
      </c>
      <c r="X112" s="7"/>
      <c r="Y112" s="49" t="str">
        <f aca="false">IFERROR(RANK(W112,W$6:W$116,0),"")</f>
        <v/>
      </c>
      <c r="Z112" s="7"/>
      <c r="AA112" s="7"/>
      <c r="AB112" s="7" t="str">
        <f aca="false">IF(DA112=0,"",DA112)</f>
        <v/>
      </c>
      <c r="AC112" s="7"/>
      <c r="AD112" s="49" t="str">
        <f aca="false">IFERROR(RANK(AB112,AB$6:AB$116,0),"")</f>
        <v/>
      </c>
      <c r="AE112" s="7"/>
      <c r="AF112" s="7"/>
      <c r="AG112" s="7" t="str">
        <f aca="false">IF(DC112=0,"",DC112)</f>
        <v/>
      </c>
      <c r="AH112" s="7"/>
      <c r="AI112" s="49" t="str">
        <f aca="false">IFERROR(RANK(AG112,AG$6:AG$116,0),"")</f>
        <v/>
      </c>
      <c r="AJ112" s="7"/>
      <c r="AK112" s="7"/>
      <c r="AL112" s="7" t="str">
        <f aca="false">IF(DE112=0,"",DE112)</f>
        <v/>
      </c>
      <c r="AM112" s="7"/>
      <c r="AN112" s="49" t="str">
        <f aca="false">IFERROR(RANK(AL112,AL$6:AL$116,0),"")</f>
        <v/>
      </c>
      <c r="AO112" s="7"/>
      <c r="AP112" s="7"/>
      <c r="AQ112" s="7" t="str">
        <f aca="false">IF(DG112=0,"",DG112)</f>
        <v/>
      </c>
      <c r="AR112" s="7"/>
      <c r="AS112" s="49" t="str">
        <f aca="false">IFERROR(RANK(AQ112,AQ$6:AQ$116,0),"")</f>
        <v/>
      </c>
      <c r="AT112" s="7"/>
      <c r="AU112" s="7"/>
      <c r="AV112" s="7" t="str">
        <f aca="false">IF(DI112=0,"",DI112)</f>
        <v/>
      </c>
      <c r="AW112" s="7"/>
      <c r="AX112" s="49" t="str">
        <f aca="false">IFERROR(RANK(AV112,AV$6:AV$116,0),"")</f>
        <v/>
      </c>
      <c r="AY112" s="7"/>
      <c r="AZ112" s="7"/>
      <c r="BA112" s="7" t="str">
        <f aca="false">IF(DK112=0,"",DK112)</f>
        <v/>
      </c>
      <c r="BB112" s="7"/>
      <c r="BC112" s="49" t="str">
        <f aca="false">IFERROR(RANK(BA112,BA$6:BA$116,0),"")</f>
        <v/>
      </c>
      <c r="BD112" s="7"/>
      <c r="BE112" s="7"/>
      <c r="BF112" s="7" t="str">
        <f aca="false">IF(DM112=0,"",DM112)</f>
        <v/>
      </c>
      <c r="BG112" s="7"/>
      <c r="BH112" s="49" t="str">
        <f aca="false">IFERROR(RANK(BF112,BF$6:BF$116,0),"")</f>
        <v/>
      </c>
      <c r="BI112" s="7"/>
      <c r="BJ112" s="7"/>
      <c r="BK112" s="7" t="str">
        <f aca="false">IF(DO112=0,"",DO112)</f>
        <v/>
      </c>
      <c r="BL112" s="7"/>
      <c r="BM112" s="49" t="str">
        <f aca="false">IFERROR(RANK(BK112,BK$6:BK$116,0),"")</f>
        <v/>
      </c>
      <c r="BN112" s="7"/>
      <c r="BO112" s="7"/>
      <c r="BP112" s="7" t="str">
        <f aca="false">IF(DQ112=0,"",DQ112)</f>
        <v/>
      </c>
      <c r="BQ112" s="7"/>
      <c r="BR112" s="49" t="str">
        <f aca="false">IFERROR(RANK(BP112,BP$6:BP$116,0),"")</f>
        <v/>
      </c>
      <c r="BS112" s="7"/>
      <c r="BT112" s="7"/>
      <c r="BU112" s="7" t="str">
        <f aca="false">IF(DS112=0,"",DS112)</f>
        <v/>
      </c>
      <c r="BV112" s="7"/>
      <c r="BW112" s="49" t="str">
        <f aca="false">IFERROR(RANK(BU112,BU$6:BU$116,0),"")</f>
        <v/>
      </c>
      <c r="BX112" s="7"/>
      <c r="BY112" s="7"/>
      <c r="BZ112" s="7" t="str">
        <f aca="false">IF(DU112=0,"",DU112)</f>
        <v/>
      </c>
      <c r="CA112" s="7"/>
      <c r="CB112" s="49" t="str">
        <f aca="false">IFERROR(RANK(BZ112,BZ$6:BZ$116,0),"")</f>
        <v/>
      </c>
      <c r="CC112" s="7"/>
      <c r="CD112" s="7"/>
      <c r="CE112" s="7" t="str">
        <f aca="false">IF(DW112=0,"",DW112)</f>
        <v/>
      </c>
      <c r="CF112" s="7"/>
      <c r="CG112" s="49" t="str">
        <f aca="false">IFERROR(RANK(CE112,CE$6:CE$116,0),"")</f>
        <v/>
      </c>
      <c r="CH112" s="7"/>
      <c r="CI112" s="7"/>
      <c r="CJ112" s="7" t="str">
        <f aca="false">IF(DY112=0,"",DY112)</f>
        <v/>
      </c>
      <c r="CK112" s="7"/>
      <c r="CL112" s="49" t="str">
        <f aca="false">IFERROR(RANK(CJ112,CJ$6:CJ$116,0),"")</f>
        <v/>
      </c>
      <c r="CM112" s="7"/>
      <c r="CN112" s="7"/>
      <c r="CO112" s="7" t="str">
        <f aca="false">IF(EA112=0,"",EA112)</f>
        <v/>
      </c>
      <c r="CP112" s="7"/>
      <c r="CQ112" s="49" t="str">
        <f aca="false">IFERROR(RANK(CO112,CO$6:CO$116,0),"")</f>
        <v/>
      </c>
      <c r="CR112" s="7"/>
      <c r="CS112" s="21"/>
      <c r="CT112" s="25" t="str">
        <f aca="true">IFERROR(AVERAGE(OFFSET('Data - For Rank'!B$2,J112,0,COUNTIF($J$7:J$116,J112)))+IFERROR(VLOOKUP((COUNT($H$6:$H$116)/4),$ER$9:$ES$13,2,FALSE()),0),"")</f>
        <v/>
      </c>
      <c r="CU112" s="21"/>
      <c r="CV112" s="25" t="str">
        <f aca="true">IFERROR(AVERAGE(OFFSET('Data - For Rank'!$C$2,O112,0,COUNTIF(O$7:O$116,O112)))+IFERROR(VLOOKUP((COUNT(M$6:M$116)/4),$ER$9:$ES$13,2,FALSE()),0),"")</f>
        <v/>
      </c>
      <c r="CW112" s="21"/>
      <c r="CX112" s="25" t="str">
        <f aca="true">IFERROR(AVERAGE(OFFSET('Data - For Rank'!D$2,T112,0,COUNTIF(T$7:T$116,T112)))+IFERROR(VLOOKUP((COUNT(R$6:R$116)/4),$ER$9:$ES$13,2,FALSE()),0),"")</f>
        <v/>
      </c>
      <c r="CY112" s="21"/>
      <c r="CZ112" s="25" t="str">
        <f aca="true">IFERROR(AVERAGE(OFFSET('Data - For Rank'!E$2,Y112,0,COUNTIF(Y$7:Y$116,Y112)))+IFERROR(VLOOKUP((COUNT(W$6:W$116)/4),$ER$9:$ES$13,2,FALSE()),0),"")</f>
        <v/>
      </c>
      <c r="DA112" s="21"/>
      <c r="DB112" s="25" t="str">
        <f aca="true">IFERROR(AVERAGE(OFFSET('Data - For Rank'!F$2,AD112,0,COUNTIF(AD$7:AD$116,AD112)))+IFERROR(VLOOKUP((COUNT(AB$6:AB$116)/4),$ER$9:$ES$13,2,FALSE()),0),"")</f>
        <v/>
      </c>
      <c r="DC112" s="21"/>
      <c r="DD112" s="25" t="str">
        <f aca="true">IFERROR(AVERAGE(OFFSET('Data - For Rank'!G$2,AI112,0,COUNTIF(AI$7:AI$116,AI112)))+IFERROR(VLOOKUP((COUNT(AG$6:AG$116)/4),$ER$9:$ES$13,2,FALSE()),0),"")</f>
        <v/>
      </c>
      <c r="DE112" s="21"/>
      <c r="DF112" s="25" t="str">
        <f aca="true">IFERROR(AVERAGE(OFFSET('Data - For Rank'!$H$2,AN112,0,COUNTIF(AN$7:AN$116,AN112)))+IFERROR(VLOOKUP((COUNT(AL$6:AL$116)/4),$ER$9:$ES$13,2,FALSE()),0),"")</f>
        <v/>
      </c>
      <c r="DG112" s="21"/>
      <c r="DH112" s="25" t="str">
        <f aca="true">IFERROR(AVERAGE(OFFSET('Data - For Rank'!$I$2,AS112,0,COUNTIF(AS$7:AS$116,AS112)))+IFERROR(VLOOKUP((COUNT(AQ$6:AQ$116)/4),$ER$9:$ES$13,2,FALSE()),0),"")</f>
        <v/>
      </c>
      <c r="DI112" s="21"/>
      <c r="DJ112" s="25" t="str">
        <f aca="true">IFERROR(AVERAGE(OFFSET('Data - For Rank'!$J$2,AX112,0,COUNTIF(AX$7:AX$116,AX112)))+IFERROR(VLOOKUP((COUNT(AV$6:AV$116)/4),$ER$9:$ES$13,2,FALSE()),0),"")</f>
        <v/>
      </c>
      <c r="DK112" s="21"/>
      <c r="DL112" s="25" t="str">
        <f aca="true">IFERROR(AVERAGE(OFFSET('Data - For Rank'!$K$2,BC112,0,COUNTIF(BC$7:BC$116,BC112)))+IFERROR(VLOOKUP((COUNT(BA$6:BA$116)/4),$ER$9:$ES$13,2,FALSE()),0),"")</f>
        <v/>
      </c>
      <c r="DM112" s="21"/>
      <c r="DN112" s="25" t="str">
        <f aca="true">IFERROR(AVERAGE(OFFSET('Data - For Rank'!$L$2,BH112,0,COUNTIF(BH$7:BH$116,BH112)))+IFERROR(VLOOKUP((COUNT(BF$6:BF$116)/4),$ER$9:$ES$13,2,FALSE()),0),"")</f>
        <v/>
      </c>
      <c r="DO112" s="21"/>
      <c r="DP112" s="25" t="str">
        <f aca="true">IFERROR(AVERAGE(OFFSET('Data - For Rank'!$M$2,BM112,0,COUNTIF(BM$7:BM$116,BM112)))+IFERROR(VLOOKUP((COUNT(BK$6:BK$116)/4),$ER$9:$ES$13,2,FALSE()),0),"")</f>
        <v/>
      </c>
      <c r="DQ112" s="21"/>
      <c r="DR112" s="25" t="str">
        <f aca="true">IFERROR(AVERAGE(OFFSET('Data - For Rank'!$N$2,BR112,0,COUNTIF(BR$7:BR$116,BR112)))+IFERROR(VLOOKUP((COUNT(BP$6:BP$116)/4),$ER$9:$ES$13,2,FALSE()),0),"")</f>
        <v/>
      </c>
      <c r="DS112" s="21"/>
      <c r="DT112" s="25" t="str">
        <f aca="true">IFERROR(AVERAGE(OFFSET('Data - For Rank'!$O$2,BW112,0,COUNTIF(BW$7:BW$116,BW112)))+IFERROR(VLOOKUP((COUNT(BU$6:BU$116)/4),$ER$9:$ES$13,2,FALSE()),0),"")</f>
        <v/>
      </c>
      <c r="DU112" s="21"/>
      <c r="DV112" s="25" t="str">
        <f aca="true">IFERROR(AVERAGE(OFFSET('Data - For Rank'!$P$2,CB112,0,COUNTIF(CB$7:CB$116,CB112)))+IFERROR(VLOOKUP((COUNT(BZ$6:BZ$116)/4),$ER$9:$ES$13,2,FALSE()),0),"")</f>
        <v/>
      </c>
      <c r="DW112" s="21"/>
      <c r="DX112" s="25" t="str">
        <f aca="true">IFERROR(AVERAGE(OFFSET('Data - For Rank'!$Q$2,CG112,0,COUNTIF(CG$7:CG$116,CG112)))+IFERROR(VLOOKUP((COUNT(CE$6:CE$116)/4),$ER$9:$ES$13,2,FALSE()),0),"")</f>
        <v/>
      </c>
      <c r="DY112" s="21"/>
      <c r="DZ112" s="25" t="str">
        <f aca="true">IFERROR(AVERAGE(OFFSET('Data - For Rank'!$R$2,CL112,0,COUNTIF(CL$7:CL$116,CL112)))+IFERROR(VLOOKUP((COUNT(CJ$6:CJ$116)/4),$ER$9:$ES$13,2,FALSE()),0),"")</f>
        <v/>
      </c>
      <c r="EA112" s="21"/>
      <c r="EB112" s="25" t="str">
        <f aca="true">IFERROR(AVERAGE(OFFSET('Data - For Rank'!$S$2,CQ112,0,COUNTIF(CQ$7:CQ$116,CQ112)))+IFERROR(VLOOKUP((COUNT(CO$6:CO$116)/4),$ER$9:$ES$13,2,FALSE()),0),"")</f>
        <v/>
      </c>
      <c r="EC112" s="26" t="n">
        <f aca="false">IFERROR(AVERAGE(CS112,CU112,CW112,CY112,DA112,DC112,DE112,DG112,DI112,DK112,DM112,DO112,DQ112,DS112,DU112,DW112,DY112,EA112),0)</f>
        <v>0</v>
      </c>
      <c r="ED112" s="23" t="n">
        <f aca="false">IFERROR(AVERAGE(CT112,CV112,CX112,CZ112,DB112,DD112,DF112,DH112,DJ112,DL112,DN112,DP112,DR112,DT112,DV112,DX112,DZ112,EB112),0)</f>
        <v>0</v>
      </c>
    </row>
    <row r="113" customFormat="false" ht="13.5" hidden="false" customHeight="false" outlineLevel="1" collapsed="false">
      <c r="B113" s="75" t="n">
        <f aca="false">B112+0.13</f>
        <v>2.3565</v>
      </c>
      <c r="C113" s="68"/>
      <c r="D113" s="68" t="s">
        <v>187</v>
      </c>
      <c r="E113" s="76" t="s">
        <v>44</v>
      </c>
      <c r="F113" s="77"/>
      <c r="G113" s="29"/>
      <c r="H113" s="29"/>
      <c r="I113" s="53" t="str">
        <f aca="false">IF(CS113=0,"",CS113)</f>
        <v/>
      </c>
      <c r="J113" s="53"/>
      <c r="K113" s="54" t="str">
        <f aca="false">IFERROR(_xlfn.RANK.EQ(I113,I$6:I$116,0),"")</f>
        <v/>
      </c>
      <c r="L113" s="29"/>
      <c r="M113" s="29"/>
      <c r="N113" s="53" t="str">
        <f aca="false">IF(CU113=0,"",CU113)</f>
        <v/>
      </c>
      <c r="O113" s="53"/>
      <c r="P113" s="54" t="str">
        <f aca="false">IFERROR(_xlfn.RANK.EQ(N113,N$6:N$116,0),"")</f>
        <v/>
      </c>
      <c r="Q113" s="29"/>
      <c r="R113" s="29"/>
      <c r="S113" s="53" t="str">
        <f aca="false">IF(CW113=0,"",CW113)</f>
        <v/>
      </c>
      <c r="T113" s="53"/>
      <c r="U113" s="54" t="str">
        <f aca="false">IFERROR(_xlfn.RANK.EQ(S113,S$6:S$116,0),"")</f>
        <v/>
      </c>
      <c r="V113" s="29"/>
      <c r="W113" s="29"/>
      <c r="X113" s="53" t="str">
        <f aca="false">IF(CY113=0,"",CY113)</f>
        <v/>
      </c>
      <c r="Y113" s="53"/>
      <c r="Z113" s="54" t="str">
        <f aca="false">IFERROR(_xlfn.RANK.EQ(X113,X$6:X$116,0),"")</f>
        <v/>
      </c>
      <c r="AA113" s="29"/>
      <c r="AB113" s="29"/>
      <c r="AC113" s="53" t="str">
        <f aca="false">IF(DA113=0,"",DA113)</f>
        <v/>
      </c>
      <c r="AD113" s="53"/>
      <c r="AE113" s="54" t="str">
        <f aca="false">IFERROR(_xlfn.RANK.EQ(AC113,AC$6:AC$116,0),"")</f>
        <v/>
      </c>
      <c r="AF113" s="29"/>
      <c r="AG113" s="29"/>
      <c r="AH113" s="53" t="str">
        <f aca="false">IF(DC113=0,"",DC113)</f>
        <v/>
      </c>
      <c r="AI113" s="53"/>
      <c r="AJ113" s="54" t="str">
        <f aca="false">IFERROR(_xlfn.RANK.EQ(AH113,AH$6:AH$116,0),"")</f>
        <v/>
      </c>
      <c r="AK113" s="29"/>
      <c r="AL113" s="29"/>
      <c r="AM113" s="53" t="str">
        <f aca="false">IF(DE113=0,"",DE113)</f>
        <v/>
      </c>
      <c r="AN113" s="53"/>
      <c r="AO113" s="54" t="str">
        <f aca="false">IFERROR(_xlfn.RANK.EQ(AM113,AM$6:AM$116,0),"")</f>
        <v/>
      </c>
      <c r="AP113" s="29"/>
      <c r="AQ113" s="29"/>
      <c r="AR113" s="53" t="str">
        <f aca="false">IF(DG113=0,"",DG113)</f>
        <v/>
      </c>
      <c r="AS113" s="53"/>
      <c r="AT113" s="54" t="str">
        <f aca="false">IFERROR(_xlfn.RANK.EQ(AR113,AR$6:AR$116,0),"")</f>
        <v/>
      </c>
      <c r="AU113" s="29"/>
      <c r="AV113" s="29"/>
      <c r="AW113" s="53" t="str">
        <f aca="false">IF(DI113=0,"",DI113)</f>
        <v/>
      </c>
      <c r="AX113" s="53"/>
      <c r="AY113" s="54" t="str">
        <f aca="false">IFERROR(_xlfn.RANK.EQ(AW113,AW$6:AW$116,0),"")</f>
        <v/>
      </c>
      <c r="AZ113" s="29"/>
      <c r="BA113" s="29"/>
      <c r="BB113" s="53" t="str">
        <f aca="false">IF(DK113=0,"",DK113)</f>
        <v/>
      </c>
      <c r="BC113" s="53"/>
      <c r="BD113" s="54" t="str">
        <f aca="false">IFERROR(_xlfn.RANK.EQ(BB113,BB$6:BB$116,0),"")</f>
        <v/>
      </c>
      <c r="BE113" s="29"/>
      <c r="BF113" s="29"/>
      <c r="BG113" s="53" t="str">
        <f aca="false">IF(DM113=0,"",DM113)</f>
        <v/>
      </c>
      <c r="BH113" s="53"/>
      <c r="BI113" s="54" t="str">
        <f aca="false">IFERROR(_xlfn.RANK.EQ(BG113,BG$6:BG$116,0),"")</f>
        <v/>
      </c>
      <c r="BJ113" s="29"/>
      <c r="BK113" s="29"/>
      <c r="BL113" s="53" t="str">
        <f aca="false">IF(DO113=0,"",DO113)</f>
        <v/>
      </c>
      <c r="BM113" s="53"/>
      <c r="BN113" s="54" t="str">
        <f aca="false">IFERROR(_xlfn.RANK.EQ(BL113,BL$6:BL$116,0),"")</f>
        <v/>
      </c>
      <c r="BO113" s="29"/>
      <c r="BP113" s="29"/>
      <c r="BQ113" s="53" t="str">
        <f aca="false">IF(DQ113=0,"",DQ113)</f>
        <v/>
      </c>
      <c r="BR113" s="53"/>
      <c r="BS113" s="54" t="str">
        <f aca="false">IFERROR(_xlfn.RANK.EQ(BQ113,BQ$6:BQ$116,0),"")</f>
        <v/>
      </c>
      <c r="BT113" s="29"/>
      <c r="BU113" s="29"/>
      <c r="BV113" s="53" t="str">
        <f aca="false">IF(DS113=0,"",DS113)</f>
        <v/>
      </c>
      <c r="BW113" s="53"/>
      <c r="BX113" s="54" t="str">
        <f aca="false">IFERROR(_xlfn.RANK.EQ(BV113,BV$6:BV$116,0),"")</f>
        <v/>
      </c>
      <c r="BY113" s="29"/>
      <c r="BZ113" s="29"/>
      <c r="CA113" s="53" t="str">
        <f aca="false">IF(DU113=0,"",DU113)</f>
        <v/>
      </c>
      <c r="CB113" s="53"/>
      <c r="CC113" s="54" t="str">
        <f aca="false">IFERROR(_xlfn.RANK.EQ(CA113,CA$6:CA$116,0),"")</f>
        <v/>
      </c>
      <c r="CD113" s="29"/>
      <c r="CE113" s="29"/>
      <c r="CF113" s="53" t="str">
        <f aca="false">IF(DW113=0,"",DW113)</f>
        <v/>
      </c>
      <c r="CG113" s="53"/>
      <c r="CH113" s="54" t="str">
        <f aca="false">IFERROR(_xlfn.RANK.EQ(CF113,CF$6:CF$116,0),"")</f>
        <v/>
      </c>
      <c r="CI113" s="29"/>
      <c r="CJ113" s="29"/>
      <c r="CK113" s="53" t="str">
        <f aca="false">IF(DY113=0,"",DY113)</f>
        <v/>
      </c>
      <c r="CL113" s="53"/>
      <c r="CM113" s="54" t="str">
        <f aca="false">IFERROR(_xlfn.RANK.EQ(CK113,CK$6:CK$116,0),"")</f>
        <v/>
      </c>
      <c r="CN113" s="29"/>
      <c r="CO113" s="29"/>
      <c r="CP113" s="53" t="str">
        <f aca="false">IF(EA113=0,"",EA113)</f>
        <v/>
      </c>
      <c r="CQ113" s="53"/>
      <c r="CR113" s="54" t="str">
        <f aca="false">IFERROR(_xlfn.RANK.EQ(CP113,CP$6:CP$116,0),"")</f>
        <v/>
      </c>
      <c r="CS113" s="30"/>
      <c r="CT113" s="31" t="str">
        <f aca="true">IFERROR(AVERAGE(OFFSET('Data - For Rank'!B$2,K113,0,COUNTIF(K$6:K$116,K113)))+IFERROR(VLOOKUP((COUNT($I$6:$I$116)/4),$ER$9:$ES$13,2,FALSE()),0),"")</f>
        <v/>
      </c>
      <c r="CU113" s="30"/>
      <c r="CV113" s="31" t="str">
        <f aca="true">IFERROR(AVERAGE(OFFSET('Data - For Rank'!$C$2,P113,0,COUNTIF(P$6:P$116,P113)))+IFERROR(VLOOKUP((COUNT(N$6:N$116)/4),$ER$9:$ES$13,2,FALSE()),0),"")</f>
        <v/>
      </c>
      <c r="CW113" s="30"/>
      <c r="CX113" s="31" t="str">
        <f aca="true">IFERROR(AVERAGE(OFFSET('Data - For Rank'!D$2,U113,0,COUNTIF(U$6:$U220,U113)))+IFERROR(VLOOKUP((COUNT(S$6:S$116)/4),$ER$9:$ES$13,2,FALSE()),0),"")</f>
        <v/>
      </c>
      <c r="CY113" s="30"/>
      <c r="CZ113" s="31" t="str">
        <f aca="true">IFERROR(AVERAGE(OFFSET('Data - For Rank'!E$2,Z113,0,COUNTIF(Z$6:Z$116,Z113)))+IFERROR(VLOOKUP((COUNT(W$6:W$116)/4),$ER$9:$ES$13,2,FALSE()),0),"")</f>
        <v/>
      </c>
      <c r="DA113" s="30"/>
      <c r="DB113" s="31" t="str">
        <f aca="true">IFERROR(AVERAGE(OFFSET('Data - For Rank'!F$2,AE113,0,COUNTIF(AE$6:AE$116,AE113)))+IFERROR(VLOOKUP((COUNT(AC$6:AC$116)/4),$ER$9:$ES$13,2,FALSE()),0),"")</f>
        <v/>
      </c>
      <c r="DC113" s="30"/>
      <c r="DD113" s="31" t="str">
        <f aca="true">IFERROR(AVERAGE(OFFSET('Data - For Rank'!G$2,AJ113,0,COUNTIF(AJ$6:AJ$116,AJ113)))+IFERROR(VLOOKUP((COUNT(AH$6:AH$116)/4),$ER$9:$ES$13,2,FALSE()),0),"")</f>
        <v/>
      </c>
      <c r="DE113" s="30"/>
      <c r="DF113" s="31" t="str">
        <f aca="true">IFERROR(AVERAGE(OFFSET('Data - For Rank'!$H$2,AO113,0,COUNTIF(AO$6:AO$116,AO113)))+IFERROR(VLOOKUP((COUNT(AM$6:AM$116)/4),$ER$9:$ES$13,2,FALSE()),0),"")</f>
        <v/>
      </c>
      <c r="DG113" s="30"/>
      <c r="DH113" s="31" t="str">
        <f aca="true">IFERROR(AVERAGE(OFFSET('Data - For Rank'!$I$2,AT113,0,COUNTIF(AT$6:AT$116,AT113)))+IFERROR(VLOOKUP((COUNT(AR$6:AR$116)/4),$ER$9:$ES$13,2,FALSE()),0),"")</f>
        <v/>
      </c>
      <c r="DI113" s="30"/>
      <c r="DJ113" s="31" t="str">
        <f aca="true">IFERROR(AVERAGE(OFFSET('Data - For Rank'!$J$2,AY113,0,COUNTIF(AY$6:AY$116,AY113)))+IFERROR(VLOOKUP((COUNT(AW$6:AW$116)/4),$ER$9:$ES$13,2,FALSE()),0),"")</f>
        <v/>
      </c>
      <c r="DK113" s="30"/>
      <c r="DL113" s="31" t="str">
        <f aca="true">IFERROR(AVERAGE(OFFSET('Data - For Rank'!$K$2,BD113,0,COUNTIF(BD$6:BD$116,BD113)))+IFERROR(VLOOKUP((COUNT(BB$6:BB$116)/4),$ER$9:$ES$13,2,FALSE()),0),"")</f>
        <v/>
      </c>
      <c r="DM113" s="30"/>
      <c r="DN113" s="31" t="str">
        <f aca="true">IFERROR(AVERAGE(OFFSET('Data - For Rank'!$L$2,BI113,0,COUNTIF(BI$6:BI$116,BI113)))+IFERROR(VLOOKUP((COUNT(BG$6:BG$116)/4),$ER$9:$ES$13,2,FALSE()),0),"")</f>
        <v/>
      </c>
      <c r="DO113" s="30"/>
      <c r="DP113" s="31" t="str">
        <f aca="true">IFERROR(AVERAGE(OFFSET('Data - For Rank'!$M$2,BN113,0,COUNTIF(BN$6:BN$116,BN113)))+IFERROR(VLOOKUP((COUNT(BL$6:BL$116)/4),$ER$9:$ES$13,2,FALSE()),0),"")</f>
        <v/>
      </c>
      <c r="DQ113" s="30"/>
      <c r="DR113" s="31" t="str">
        <f aca="true">IFERROR(AVERAGE(OFFSET('Data - For Rank'!$N$2,BS113,0,COUNTIF(BS$6:BS$116,BS113)))+IFERROR(VLOOKUP((COUNT(BQ$6:BQ$116)/4),$ER$9:$ES$13,2,FALSE()),0),"")</f>
        <v/>
      </c>
      <c r="DS113" s="30"/>
      <c r="DT113" s="31" t="str">
        <f aca="true">IFERROR(AVERAGE(OFFSET('Data - For Rank'!$O$2,BX113,0,COUNTIF(BX$6:BX$116,BX113)))+IFERROR(VLOOKUP((COUNT(BV$6:BV$116)/4),$ER$9:$ES$13,2,FALSE()),0),"")</f>
        <v/>
      </c>
      <c r="DU113" s="30"/>
      <c r="DV113" s="31" t="str">
        <f aca="true">IFERROR(AVERAGE(OFFSET('Data - For Rank'!$P$2,CC113,0,COUNTIF(CC$6:CC$116,CC113)))+IFERROR(VLOOKUP((COUNT(CA$6:CA$116)/4),$ER$9:$ES$13,2,FALSE()),0),"")</f>
        <v/>
      </c>
      <c r="DW113" s="30"/>
      <c r="DX113" s="31" t="str">
        <f aca="true">IFERROR(AVERAGE(OFFSET('Data - For Rank'!$Q$2,CH113,0,COUNTIF(CH$6:CH$116,CH113)))+IFERROR(VLOOKUP((COUNT(CF$6:CF$116)/4),$ER$9:$ES$13,2,FALSE()),0),"")</f>
        <v/>
      </c>
      <c r="DY113" s="30"/>
      <c r="DZ113" s="31" t="str">
        <f aca="true">IFERROR(AVERAGE(OFFSET('Data - For Rank'!$R$2,CM113,0,COUNTIF(CM$6:CM$116,CM113)))+IFERROR(VLOOKUP((COUNT(CK$6:CK$116)/4),$ER$9:$ES$13,2,FALSE()),0),"")</f>
        <v/>
      </c>
      <c r="EA113" s="30"/>
      <c r="EB113" s="31" t="str">
        <f aca="true">IFERROR(AVERAGE(OFFSET('Data - For Rank'!$S$2,CR113,0,COUNTIF(CR$6:CR$116,CR113)))+IFERROR(VLOOKUP((COUNT(CP$6:CP$116)/4),$ER$9:$ES$13,2,FALSE()),0),"")</f>
        <v/>
      </c>
      <c r="EC113" s="32" t="n">
        <f aca="false">CS113+CU113+CW113+CY113+DA113+DC113+DE113+DG113+DI113+DK113+DM113+DO113+DQ113+DS113+DU113+DW113+DY113+EA113</f>
        <v>0</v>
      </c>
      <c r="ED113" s="33" t="n">
        <f aca="false">IFERROR(AVERAGE(CT113,CV113,CX113,CZ113,DB113,DD113,DF113,DH113,DJ113,DL113,DN113,DP113,DR113,DT113,DV113,DX113,DZ113,EB113),0)</f>
        <v>0</v>
      </c>
    </row>
    <row r="114" customFormat="false" ht="13.5" hidden="false" customHeight="false" outlineLevel="0" collapsed="false">
      <c r="B114" s="68" t="n">
        <f aca="false">_xlfn.RANK.EQ(C114,$C$73:$C$116,)</f>
        <v>5</v>
      </c>
      <c r="C114" s="69" t="n">
        <f aca="false">EC114</f>
        <v>0</v>
      </c>
      <c r="D114" s="69" t="s">
        <v>188</v>
      </c>
      <c r="E114" s="78" t="s">
        <v>188</v>
      </c>
      <c r="F114" s="71" t="n">
        <f aca="false">COUNT(CT114,CV114,CX114,CZ114,DB114,DD114,DF114,DH114,DJ114,DL114,DN114,DP114,DR114,DT114,DV114,DX114,DZ114,EB114)</f>
        <v>0</v>
      </c>
      <c r="G114" s="49" t="str">
        <f aca="false">IF(CT114=0,"",CT114)</f>
        <v/>
      </c>
      <c r="H114" s="49"/>
      <c r="I114" s="49"/>
      <c r="K114" s="49"/>
      <c r="L114" s="49" t="str">
        <f aca="false">IF(CV114=0,"",CV114)</f>
        <v/>
      </c>
      <c r="M114" s="49"/>
      <c r="N114" s="49"/>
      <c r="P114" s="49"/>
      <c r="Q114" s="49" t="str">
        <f aca="false">IF(CX114=0,"",CX114)</f>
        <v/>
      </c>
      <c r="R114" s="49"/>
      <c r="S114" s="49"/>
      <c r="U114" s="49"/>
      <c r="V114" s="49" t="str">
        <f aca="false">IF(CZ114=0,"",CZ114)</f>
        <v/>
      </c>
      <c r="W114" s="49"/>
      <c r="X114" s="49"/>
      <c r="Z114" s="49"/>
      <c r="AA114" s="49" t="str">
        <f aca="false">IF(DB114=0,"",DB114)</f>
        <v/>
      </c>
      <c r="AB114" s="49"/>
      <c r="AC114" s="49"/>
      <c r="AE114" s="49"/>
      <c r="AF114" s="49" t="str">
        <f aca="false">IF(DD114=0,"",DD114)</f>
        <v/>
      </c>
      <c r="AG114" s="49"/>
      <c r="AH114" s="49"/>
      <c r="AJ114" s="49"/>
      <c r="AK114" s="49" t="str">
        <f aca="false">IF(DF114=0,"",DF114)</f>
        <v/>
      </c>
      <c r="AL114" s="49"/>
      <c r="AM114" s="49"/>
      <c r="AO114" s="49"/>
      <c r="AP114" s="49" t="str">
        <f aca="false">IF(DH114=0,"",DH114)</f>
        <v/>
      </c>
      <c r="AQ114" s="49"/>
      <c r="AR114" s="49"/>
      <c r="AT114" s="49"/>
      <c r="AU114" s="49" t="str">
        <f aca="false">IF(DJ114=0,"",DJ114)</f>
        <v/>
      </c>
      <c r="AV114" s="49"/>
      <c r="AW114" s="49"/>
      <c r="AY114" s="49"/>
      <c r="AZ114" s="49" t="str">
        <f aca="false">IF(DL114=0,"",DL114)</f>
        <v/>
      </c>
      <c r="BA114" s="49"/>
      <c r="BB114" s="49"/>
      <c r="BD114" s="49"/>
      <c r="BE114" s="49" t="str">
        <f aca="false">IF(DN114=0,"",DN114)</f>
        <v/>
      </c>
      <c r="BF114" s="49"/>
      <c r="BG114" s="49"/>
      <c r="BI114" s="49"/>
      <c r="BJ114" s="49" t="str">
        <f aca="false">IF(DP114=0,"",DP114)</f>
        <v/>
      </c>
      <c r="BK114" s="49"/>
      <c r="BL114" s="49"/>
      <c r="BN114" s="49"/>
      <c r="BO114" s="49" t="str">
        <f aca="false">IF(DR114=0,"",DR114)</f>
        <v/>
      </c>
      <c r="BP114" s="49"/>
      <c r="BQ114" s="49"/>
      <c r="BS114" s="49"/>
      <c r="BT114" s="49" t="str">
        <f aca="false">IF(DT114=0,"",DT114)</f>
        <v/>
      </c>
      <c r="BU114" s="49"/>
      <c r="BV114" s="49"/>
      <c r="BX114" s="49"/>
      <c r="BY114" s="49" t="str">
        <f aca="false">IF(DV114=0,"",DV114)</f>
        <v/>
      </c>
      <c r="BZ114" s="49"/>
      <c r="CA114" s="49"/>
      <c r="CC114" s="49"/>
      <c r="CD114" s="49" t="str">
        <f aca="false">IF(DX114=0,"",DX114)</f>
        <v/>
      </c>
      <c r="CE114" s="49"/>
      <c r="CF114" s="49"/>
      <c r="CH114" s="49"/>
      <c r="CI114" s="49" t="str">
        <f aca="false">IF(DZ114=0,"",DZ114)</f>
        <v/>
      </c>
      <c r="CJ114" s="49"/>
      <c r="CK114" s="49"/>
      <c r="CM114" s="49"/>
      <c r="CN114" s="49" t="str">
        <f aca="false">IF(EB114=0,"",EB114)</f>
        <v/>
      </c>
      <c r="CO114" s="49"/>
      <c r="CP114" s="49"/>
      <c r="CR114" s="49"/>
      <c r="CS114" s="21"/>
      <c r="CT114" s="22" t="str">
        <f aca="false">IFERROR(CT115+CT116,"")</f>
        <v/>
      </c>
      <c r="CU114" s="21"/>
      <c r="CV114" s="22" t="str">
        <f aca="false">IFERROR(CV115+CV116,"")</f>
        <v/>
      </c>
      <c r="CW114" s="21"/>
      <c r="CX114" s="22" t="str">
        <f aca="false">IFERROR(CX115+CX116,"")</f>
        <v/>
      </c>
      <c r="CY114" s="21"/>
      <c r="CZ114" s="22" t="str">
        <f aca="false">IFERROR(CZ115+CZ116,"")</f>
        <v/>
      </c>
      <c r="DA114" s="21"/>
      <c r="DB114" s="22" t="str">
        <f aca="false">IFERROR(DB115+DB116,"")</f>
        <v/>
      </c>
      <c r="DC114" s="21"/>
      <c r="DD114" s="22" t="str">
        <f aca="false">IFERROR(DD115+DD116,"")</f>
        <v/>
      </c>
      <c r="DE114" s="21"/>
      <c r="DF114" s="22" t="str">
        <f aca="false">IFERROR(DF115+DF116,"")</f>
        <v/>
      </c>
      <c r="DG114" s="21"/>
      <c r="DH114" s="22" t="str">
        <f aca="false">IFERROR(DH115+DH116,"")</f>
        <v/>
      </c>
      <c r="DI114" s="21"/>
      <c r="DJ114" s="22" t="str">
        <f aca="false">IFERROR(DJ115+DJ116,"")</f>
        <v/>
      </c>
      <c r="DK114" s="21"/>
      <c r="DL114" s="22" t="str">
        <f aca="false">IFERROR(DL115+DL116,"")</f>
        <v/>
      </c>
      <c r="DM114" s="21"/>
      <c r="DN114" s="22" t="str">
        <f aca="false">IFERROR(DN115+DN116,"")</f>
        <v/>
      </c>
      <c r="DO114" s="21"/>
      <c r="DP114" s="22" t="str">
        <f aca="false">IFERROR(DP115+DP116,"")</f>
        <v/>
      </c>
      <c r="DQ114" s="21"/>
      <c r="DR114" s="22" t="str">
        <f aca="false">IFERROR(DR115+DR116,"")</f>
        <v/>
      </c>
      <c r="DS114" s="21"/>
      <c r="DT114" s="22" t="str">
        <f aca="false">IFERROR(DT115+DT116,"")</f>
        <v/>
      </c>
      <c r="DU114" s="21"/>
      <c r="DV114" s="22" t="str">
        <f aca="false">IFERROR(DV115+DV116,"")</f>
        <v/>
      </c>
      <c r="DW114" s="21"/>
      <c r="DX114" s="22" t="str">
        <f aca="false">IFERROR(DX115+DX116,"")</f>
        <v/>
      </c>
      <c r="DY114" s="21"/>
      <c r="DZ114" s="22" t="str">
        <f aca="false">IFERROR(DZ115+DZ116,"")</f>
        <v/>
      </c>
      <c r="EA114" s="21"/>
      <c r="EB114" s="22" t="str">
        <f aca="false">IFERROR(EB115+EB116,"")</f>
        <v/>
      </c>
      <c r="EC114" s="17" t="n">
        <f aca="false">IFERROR(LARGE($G114:$CN114,1),0)+IFERROR(LARGE($G114:$CN114,2),0)+IFERROR(LARGE($G114:$CN114,3),0)+IFERROR(LARGE($G114:$CN114,4),0)+IFERROR(LARGE($G114:$CN114,5),0)+IFERROR(LARGE($G114:$CN114,6),0)+IFERROR(LARGE($G114:$CN114,7),0)+IFERROR(LARGE($G114:$CN114,8),0)+IFERROR(LARGE($G114:$CN114,9),0)+IFERROR(LARGE($G114:$CN114,10),0)</f>
        <v>0</v>
      </c>
      <c r="ED114" s="23" t="n">
        <f aca="false">IFERROR(AVERAGE(CT114,CV114,CX114,CZ114,DB114,DD114,DF114,DH114,DJ114,DL114,DN114,DP114,DR114,DT114,DV114,DX114,DZ114,EB114),0)</f>
        <v>0</v>
      </c>
    </row>
    <row r="115" customFormat="false" ht="13.5" hidden="false" customHeight="false" outlineLevel="1" collapsed="false">
      <c r="B115" s="72" t="n">
        <f aca="false">B113+0.022</f>
        <v>2.3785</v>
      </c>
      <c r="C115" s="68"/>
      <c r="D115" s="68" t="s">
        <v>189</v>
      </c>
      <c r="E115" s="73" t="s">
        <v>43</v>
      </c>
      <c r="F115" s="74"/>
      <c r="G115" s="7"/>
      <c r="H115" s="7" t="str">
        <f aca="false">IF(CS115=0,"",CS115)</f>
        <v/>
      </c>
      <c r="I115" s="7"/>
      <c r="J115" s="49" t="str">
        <f aca="false">IFERROR(RANK(H115,H$6:H$116,0),"")</f>
        <v/>
      </c>
      <c r="K115" s="7"/>
      <c r="L115" s="7"/>
      <c r="M115" s="7" t="str">
        <f aca="false">IF(CU115=0,"",CU115)</f>
        <v/>
      </c>
      <c r="N115" s="7"/>
      <c r="O115" s="49" t="str">
        <f aca="false">IFERROR(RANK(M115,M$6:M$116,0),"")</f>
        <v/>
      </c>
      <c r="P115" s="7"/>
      <c r="Q115" s="7"/>
      <c r="R115" s="7" t="str">
        <f aca="false">IF(CW115=0,"",CW115)</f>
        <v/>
      </c>
      <c r="S115" s="7"/>
      <c r="T115" s="49" t="str">
        <f aca="false">IFERROR(RANK(R115,R$6:R$116,0),"")</f>
        <v/>
      </c>
      <c r="U115" s="7"/>
      <c r="V115" s="7"/>
      <c r="W115" s="7" t="str">
        <f aca="false">IF(CY115=0,"",CY115)</f>
        <v/>
      </c>
      <c r="X115" s="7"/>
      <c r="Y115" s="49" t="str">
        <f aca="false">IFERROR(RANK(W115,W$6:W$116,0),"")</f>
        <v/>
      </c>
      <c r="Z115" s="7"/>
      <c r="AA115" s="7"/>
      <c r="AB115" s="7" t="str">
        <f aca="false">IF(DA115=0,"",DA115)</f>
        <v/>
      </c>
      <c r="AC115" s="7"/>
      <c r="AD115" s="49" t="str">
        <f aca="false">IFERROR(RANK(AB115,AB$6:AB$116,0),"")</f>
        <v/>
      </c>
      <c r="AE115" s="7"/>
      <c r="AF115" s="7"/>
      <c r="AG115" s="7" t="str">
        <f aca="false">IF(DC115=0,"",DC115)</f>
        <v/>
      </c>
      <c r="AH115" s="7"/>
      <c r="AI115" s="49" t="str">
        <f aca="false">IFERROR(RANK(AG115,AG$6:AG$116,0),"")</f>
        <v/>
      </c>
      <c r="AJ115" s="7"/>
      <c r="AK115" s="7"/>
      <c r="AL115" s="7" t="str">
        <f aca="false">IF(DE115=0,"",DE115)</f>
        <v/>
      </c>
      <c r="AM115" s="7"/>
      <c r="AN115" s="49" t="str">
        <f aca="false">IFERROR(RANK(AL115,AL$6:AL$116,0),"")</f>
        <v/>
      </c>
      <c r="AO115" s="7"/>
      <c r="AP115" s="7"/>
      <c r="AQ115" s="7" t="str">
        <f aca="false">IF(DG115=0,"",DG115)</f>
        <v/>
      </c>
      <c r="AR115" s="7"/>
      <c r="AS115" s="49" t="str">
        <f aca="false">IFERROR(RANK(AQ115,AQ$6:AQ$116,0),"")</f>
        <v/>
      </c>
      <c r="AT115" s="7"/>
      <c r="AU115" s="7"/>
      <c r="AV115" s="7" t="str">
        <f aca="false">IF(DI115=0,"",DI115)</f>
        <v/>
      </c>
      <c r="AW115" s="7"/>
      <c r="AX115" s="49" t="str">
        <f aca="false">IFERROR(RANK(AV115,AV$6:AV$116,0),"")</f>
        <v/>
      </c>
      <c r="AY115" s="7"/>
      <c r="AZ115" s="7"/>
      <c r="BA115" s="7" t="str">
        <f aca="false">IF(DK115=0,"",DK115)</f>
        <v/>
      </c>
      <c r="BB115" s="7"/>
      <c r="BC115" s="49" t="str">
        <f aca="false">IFERROR(RANK(BA115,BA$6:BA$116,0),"")</f>
        <v/>
      </c>
      <c r="BD115" s="7"/>
      <c r="BE115" s="7"/>
      <c r="BF115" s="7" t="str">
        <f aca="false">IF(DM115=0,"",DM115)</f>
        <v/>
      </c>
      <c r="BG115" s="7"/>
      <c r="BH115" s="49" t="str">
        <f aca="false">IFERROR(RANK(BF115,BF$6:BF$116,0),"")</f>
        <v/>
      </c>
      <c r="BI115" s="7"/>
      <c r="BJ115" s="7"/>
      <c r="BK115" s="7" t="str">
        <f aca="false">IF(DO115=0,"",DO115)</f>
        <v/>
      </c>
      <c r="BL115" s="7"/>
      <c r="BM115" s="49" t="str">
        <f aca="false">IFERROR(RANK(BK115,BK$6:BK$116,0),"")</f>
        <v/>
      </c>
      <c r="BN115" s="7"/>
      <c r="BO115" s="7"/>
      <c r="BP115" s="7" t="str">
        <f aca="false">IF(DQ115=0,"",DQ115)</f>
        <v/>
      </c>
      <c r="BQ115" s="7"/>
      <c r="BR115" s="49" t="str">
        <f aca="false">IFERROR(RANK(BP115,BP$6:BP$116,0),"")</f>
        <v/>
      </c>
      <c r="BS115" s="7"/>
      <c r="BT115" s="7"/>
      <c r="BU115" s="7" t="str">
        <f aca="false">IF(DS115=0,"",DS115)</f>
        <v/>
      </c>
      <c r="BV115" s="7"/>
      <c r="BW115" s="49" t="str">
        <f aca="false">IFERROR(RANK(BU115,BU$6:BU$116,0),"")</f>
        <v/>
      </c>
      <c r="BX115" s="7"/>
      <c r="BY115" s="7"/>
      <c r="BZ115" s="7" t="str">
        <f aca="false">IF(DU115=0,"",DU115)</f>
        <v/>
      </c>
      <c r="CA115" s="7"/>
      <c r="CB115" s="49" t="str">
        <f aca="false">IFERROR(RANK(BZ115,BZ$6:BZ$116,0),"")</f>
        <v/>
      </c>
      <c r="CC115" s="7"/>
      <c r="CD115" s="7"/>
      <c r="CE115" s="7" t="str">
        <f aca="false">IF(DW115=0,"",DW115)</f>
        <v/>
      </c>
      <c r="CF115" s="7"/>
      <c r="CG115" s="49" t="str">
        <f aca="false">IFERROR(RANK(CE115,CE$6:CE$116,0),"")</f>
        <v/>
      </c>
      <c r="CH115" s="7"/>
      <c r="CI115" s="7"/>
      <c r="CJ115" s="7" t="str">
        <f aca="false">IF(DY115=0,"",DY115)</f>
        <v/>
      </c>
      <c r="CK115" s="7"/>
      <c r="CL115" s="49" t="str">
        <f aca="false">IFERROR(RANK(CJ115,CJ$6:CJ$116,0),"")</f>
        <v/>
      </c>
      <c r="CM115" s="7"/>
      <c r="CN115" s="7"/>
      <c r="CO115" s="7" t="str">
        <f aca="false">IF(EA115=0,"",EA115)</f>
        <v/>
      </c>
      <c r="CP115" s="7"/>
      <c r="CQ115" s="49" t="str">
        <f aca="false">IFERROR(RANK(CO115,CO$6:CO$116,0),"")</f>
        <v/>
      </c>
      <c r="CR115" s="7"/>
      <c r="CS115" s="21"/>
      <c r="CT115" s="25" t="str">
        <f aca="true">IFERROR(AVERAGE(OFFSET('Data - For Rank'!B$2,J115,0,COUNTIF($J$7:J$116,J115)))+IFERROR(VLOOKUP((COUNT($H$6:$H$116)/4),$ER$9:$ES$13,2,FALSE()),0),"")</f>
        <v/>
      </c>
      <c r="CU115" s="21"/>
      <c r="CV115" s="25" t="str">
        <f aca="true">IFERROR(AVERAGE(OFFSET('Data - For Rank'!$C$2,O115,0,COUNTIF(O$7:O$116,O115)))+IFERROR(VLOOKUP((COUNT(M$6:M$116)/4),$ER$9:$ES$13,2,FALSE()),0),"")</f>
        <v/>
      </c>
      <c r="CW115" s="21"/>
      <c r="CX115" s="25" t="str">
        <f aca="true">IFERROR(AVERAGE(OFFSET('Data - For Rank'!D$2,T115,0,COUNTIF(T$7:T$116,T115)))+IFERROR(VLOOKUP((COUNT(R$6:R$116)/4),$ER$9:$ES$13,2,FALSE()),0),"")</f>
        <v/>
      </c>
      <c r="CY115" s="21"/>
      <c r="CZ115" s="25" t="str">
        <f aca="true">IFERROR(AVERAGE(OFFSET('Data - For Rank'!E$2,Y115,0,COUNTIF(Y$7:Y$116,Y115)))+IFERROR(VLOOKUP((COUNT(W$6:W$116)/4),$ER$9:$ES$13,2,FALSE()),0),"")</f>
        <v/>
      </c>
      <c r="DA115" s="21"/>
      <c r="DB115" s="25" t="str">
        <f aca="true">IFERROR(AVERAGE(OFFSET('Data - For Rank'!F$2,AD115,0,COUNTIF(AD$7:AD$116,AD115)))+IFERROR(VLOOKUP((COUNT(AB$6:AB$116)/4),$ER$9:$ES$13,2,FALSE()),0),"")</f>
        <v/>
      </c>
      <c r="DC115" s="21"/>
      <c r="DD115" s="25" t="str">
        <f aca="true">IFERROR(AVERAGE(OFFSET('Data - For Rank'!G$2,AI115,0,COUNTIF(AI$7:AI$116,AI115)))+IFERROR(VLOOKUP((COUNT(AG$6:AG$116)/4),$ER$9:$ES$13,2,FALSE()),0),"")</f>
        <v/>
      </c>
      <c r="DE115" s="21"/>
      <c r="DF115" s="25" t="str">
        <f aca="true">IFERROR(AVERAGE(OFFSET('Data - For Rank'!$H$2,AN115,0,COUNTIF(AN$7:AN$116,AN115)))+IFERROR(VLOOKUP((COUNT(AL$6:AL$116)/4),$ER$9:$ES$13,2,FALSE()),0),"")</f>
        <v/>
      </c>
      <c r="DG115" s="21"/>
      <c r="DH115" s="25" t="str">
        <f aca="true">IFERROR(AVERAGE(OFFSET('Data - For Rank'!$I$2,AS115,0,COUNTIF(AS$7:AS$116,AS115)))+IFERROR(VLOOKUP((COUNT(AQ$6:AQ$116)/4),$ER$9:$ES$13,2,FALSE()),0),"")</f>
        <v/>
      </c>
      <c r="DI115" s="21"/>
      <c r="DJ115" s="25" t="str">
        <f aca="true">IFERROR(AVERAGE(OFFSET('Data - For Rank'!$J$2,AX115,0,COUNTIF(AX$7:AX$116,AX115)))+IFERROR(VLOOKUP((COUNT(AV$6:AV$116)/4),$ER$9:$ES$13,2,FALSE()),0),"")</f>
        <v/>
      </c>
      <c r="DK115" s="21"/>
      <c r="DL115" s="25" t="str">
        <f aca="true">IFERROR(AVERAGE(OFFSET('Data - For Rank'!$K$2,BC115,0,COUNTIF(BC$7:BC$116,BC115)))+IFERROR(VLOOKUP((COUNT(BA$6:BA$116)/4),$ER$9:$ES$13,2,FALSE()),0),"")</f>
        <v/>
      </c>
      <c r="DM115" s="21"/>
      <c r="DN115" s="25" t="str">
        <f aca="true">IFERROR(AVERAGE(OFFSET('Data - For Rank'!$L$2,BH115,0,COUNTIF(BH$7:BH$116,BH115)))+IFERROR(VLOOKUP((COUNT(BF$6:BF$116)/4),$ER$9:$ES$13,2,FALSE()),0),"")</f>
        <v/>
      </c>
      <c r="DO115" s="21"/>
      <c r="DP115" s="25" t="str">
        <f aca="true">IFERROR(AVERAGE(OFFSET('Data - For Rank'!$M$2,BM115,0,COUNTIF(BM$7:BM$116,BM115)))+IFERROR(VLOOKUP((COUNT(BK$6:BK$116)/4),$ER$9:$ES$13,2,FALSE()),0),"")</f>
        <v/>
      </c>
      <c r="DQ115" s="21"/>
      <c r="DR115" s="25" t="str">
        <f aca="true">IFERROR(AVERAGE(OFFSET('Data - For Rank'!$N$2,BR115,0,COUNTIF(BR$7:BR$116,BR115)))+IFERROR(VLOOKUP((COUNT(BP$6:BP$116)/4),$ER$9:$ES$13,2,FALSE()),0),"")</f>
        <v/>
      </c>
      <c r="DS115" s="21"/>
      <c r="DT115" s="25" t="str">
        <f aca="true">IFERROR(AVERAGE(OFFSET('Data - For Rank'!$O$2,BW115,0,COUNTIF(BW$7:BW$116,BW115)))+IFERROR(VLOOKUP((COUNT(BU$6:BU$116)/4),$ER$9:$ES$13,2,FALSE()),0),"")</f>
        <v/>
      </c>
      <c r="DU115" s="21"/>
      <c r="DV115" s="25" t="str">
        <f aca="true">IFERROR(AVERAGE(OFFSET('Data - For Rank'!$P$2,CB115,0,COUNTIF(CB$7:CB$116,CB115)))+IFERROR(VLOOKUP((COUNT(BZ$6:BZ$116)/4),$ER$9:$ES$13,2,FALSE()),0),"")</f>
        <v/>
      </c>
      <c r="DW115" s="21"/>
      <c r="DX115" s="25" t="str">
        <f aca="true">IFERROR(AVERAGE(OFFSET('Data - For Rank'!$Q$2,CG115,0,COUNTIF(CG$7:CG$116,CG115)))+IFERROR(VLOOKUP((COUNT(CE$6:CE$116)/4),$ER$9:$ES$13,2,FALSE()),0),"")</f>
        <v/>
      </c>
      <c r="DY115" s="21"/>
      <c r="DZ115" s="25" t="str">
        <f aca="true">IFERROR(AVERAGE(OFFSET('Data - For Rank'!$R$2,CL115,0,COUNTIF(CL$7:CL$116,CL115)))+IFERROR(VLOOKUP((COUNT(CJ$6:CJ$116)/4),$ER$9:$ES$13,2,FALSE()),0),"")</f>
        <v/>
      </c>
      <c r="EA115" s="21"/>
      <c r="EB115" s="25" t="str">
        <f aca="true">IFERROR(AVERAGE(OFFSET('Data - For Rank'!$S$2,CQ115,0,COUNTIF(CQ$7:CQ$116,CQ115)))+IFERROR(VLOOKUP((COUNT(CO$6:CO$116)/4),$ER$9:$ES$13,2,FALSE()),0),"")</f>
        <v/>
      </c>
      <c r="EC115" s="26" t="n">
        <f aca="false">IFERROR(AVERAGE(CS115,CU115,CW115,CY115,DA115,DC115,DE115,DG115,DI115,DK115,DM115,DO115,DQ115,DS115,DU115,DW115,DY115,EA115),0)</f>
        <v>0</v>
      </c>
      <c r="ED115" s="23" t="n">
        <f aca="false">IFERROR(AVERAGE(CT115,CV115,CX115,CZ115,DB115,DD115,DF115,DH115,DJ115,DL115,DN115,DP115,DR115,DT115,DV115,DX115,DZ115,EB115),0)</f>
        <v>0</v>
      </c>
    </row>
    <row r="116" customFormat="false" ht="13.5" hidden="false" customHeight="false" outlineLevel="1" collapsed="false">
      <c r="B116" s="75" t="n">
        <f aca="false">B115+0.12</f>
        <v>2.4985</v>
      </c>
      <c r="C116" s="68"/>
      <c r="D116" s="68" t="s">
        <v>190</v>
      </c>
      <c r="E116" s="76" t="s">
        <v>44</v>
      </c>
      <c r="F116" s="77"/>
      <c r="G116" s="29"/>
      <c r="H116" s="29"/>
      <c r="I116" s="53" t="str">
        <f aca="false">IF(CS116=0,"",CS116)</f>
        <v/>
      </c>
      <c r="J116" s="53"/>
      <c r="K116" s="54" t="str">
        <f aca="false">IFERROR(_xlfn.RANK.EQ(I116,I$6:I$116,0),"")</f>
        <v/>
      </c>
      <c r="L116" s="29"/>
      <c r="M116" s="29"/>
      <c r="N116" s="53" t="str">
        <f aca="false">IF(CU116=0,"",CU116)</f>
        <v/>
      </c>
      <c r="O116" s="53"/>
      <c r="P116" s="54" t="str">
        <f aca="false">IFERROR(_xlfn.RANK.EQ(N116,N$6:N$116,0),"")</f>
        <v/>
      </c>
      <c r="Q116" s="29"/>
      <c r="R116" s="29"/>
      <c r="S116" s="53" t="str">
        <f aca="false">IF(CW116=0,"",CW116)</f>
        <v/>
      </c>
      <c r="T116" s="53"/>
      <c r="U116" s="54" t="str">
        <f aca="false">IFERROR(_xlfn.RANK.EQ(S116,S$6:S$116,0),"")</f>
        <v/>
      </c>
      <c r="V116" s="29"/>
      <c r="W116" s="29"/>
      <c r="X116" s="53" t="str">
        <f aca="false">IF(CY116=0,"",CY116)</f>
        <v/>
      </c>
      <c r="Y116" s="53"/>
      <c r="Z116" s="54" t="str">
        <f aca="false">IFERROR(_xlfn.RANK.EQ(X116,X$6:X$116,0),"")</f>
        <v/>
      </c>
      <c r="AA116" s="29"/>
      <c r="AB116" s="29"/>
      <c r="AC116" s="53" t="str">
        <f aca="false">IF(DA116=0,"",DA116)</f>
        <v/>
      </c>
      <c r="AD116" s="53"/>
      <c r="AE116" s="54" t="str">
        <f aca="false">IFERROR(_xlfn.RANK.EQ(AC116,AC$6:AC$116,0),"")</f>
        <v/>
      </c>
      <c r="AF116" s="29"/>
      <c r="AG116" s="29"/>
      <c r="AH116" s="53" t="str">
        <f aca="false">IF(DC116=0,"",DC116)</f>
        <v/>
      </c>
      <c r="AI116" s="53"/>
      <c r="AJ116" s="54" t="str">
        <f aca="false">IFERROR(_xlfn.RANK.EQ(AH116,AH$6:AH$116,0),"")</f>
        <v/>
      </c>
      <c r="AK116" s="29"/>
      <c r="AL116" s="29"/>
      <c r="AM116" s="53" t="str">
        <f aca="false">IF(DE116=0,"",DE116)</f>
        <v/>
      </c>
      <c r="AN116" s="53"/>
      <c r="AO116" s="54" t="str">
        <f aca="false">IFERROR(_xlfn.RANK.EQ(AM116,AM$6:AM$116,0),"")</f>
        <v/>
      </c>
      <c r="AP116" s="29"/>
      <c r="AQ116" s="29"/>
      <c r="AR116" s="53" t="str">
        <f aca="false">IF(DG116=0,"",DG116)</f>
        <v/>
      </c>
      <c r="AS116" s="53"/>
      <c r="AT116" s="54" t="str">
        <f aca="false">IFERROR(_xlfn.RANK.EQ(AR116,AR$6:AR$116,0),"")</f>
        <v/>
      </c>
      <c r="AU116" s="29"/>
      <c r="AV116" s="29"/>
      <c r="AW116" s="53" t="str">
        <f aca="false">IF(DI116=0,"",DI116)</f>
        <v/>
      </c>
      <c r="AX116" s="53"/>
      <c r="AY116" s="54" t="str">
        <f aca="false">IFERROR(_xlfn.RANK.EQ(AW116,AW$6:AW$116,0),"")</f>
        <v/>
      </c>
      <c r="AZ116" s="29"/>
      <c r="BA116" s="29"/>
      <c r="BB116" s="53" t="str">
        <f aca="false">IF(DK116=0,"",DK116)</f>
        <v/>
      </c>
      <c r="BC116" s="53"/>
      <c r="BD116" s="54" t="str">
        <f aca="false">IFERROR(_xlfn.RANK.EQ(BB116,BB$6:BB$116,0),"")</f>
        <v/>
      </c>
      <c r="BE116" s="29"/>
      <c r="BF116" s="29"/>
      <c r="BG116" s="53" t="str">
        <f aca="false">IF(DM116=0,"",DM116)</f>
        <v/>
      </c>
      <c r="BH116" s="53"/>
      <c r="BI116" s="54" t="str">
        <f aca="false">IFERROR(_xlfn.RANK.EQ(BG116,BG$6:BG$116,0),"")</f>
        <v/>
      </c>
      <c r="BJ116" s="29"/>
      <c r="BK116" s="29"/>
      <c r="BL116" s="53" t="str">
        <f aca="false">IF(DO116=0,"",DO116)</f>
        <v/>
      </c>
      <c r="BM116" s="53"/>
      <c r="BN116" s="54" t="str">
        <f aca="false">IFERROR(_xlfn.RANK.EQ(BL116,BL$6:BL$116,0),"")</f>
        <v/>
      </c>
      <c r="BO116" s="29"/>
      <c r="BP116" s="29"/>
      <c r="BQ116" s="53" t="str">
        <f aca="false">IF(DQ116=0,"",DQ116)</f>
        <v/>
      </c>
      <c r="BR116" s="53"/>
      <c r="BS116" s="54" t="str">
        <f aca="false">IFERROR(_xlfn.RANK.EQ(BQ116,BQ$6:BQ$116,0),"")</f>
        <v/>
      </c>
      <c r="BT116" s="29"/>
      <c r="BU116" s="29"/>
      <c r="BV116" s="53" t="str">
        <f aca="false">IF(DS116=0,"",DS116)</f>
        <v/>
      </c>
      <c r="BW116" s="53"/>
      <c r="BX116" s="54" t="str">
        <f aca="false">IFERROR(_xlfn.RANK.EQ(BV116,BV$6:BV$116,0),"")</f>
        <v/>
      </c>
      <c r="BY116" s="29"/>
      <c r="BZ116" s="29"/>
      <c r="CA116" s="53" t="str">
        <f aca="false">IF(DU116=0,"",DU116)</f>
        <v/>
      </c>
      <c r="CB116" s="53"/>
      <c r="CC116" s="54" t="str">
        <f aca="false">IFERROR(_xlfn.RANK.EQ(CA116,CA$6:CA$116,0),"")</f>
        <v/>
      </c>
      <c r="CD116" s="29"/>
      <c r="CE116" s="29"/>
      <c r="CF116" s="53" t="str">
        <f aca="false">IF(DW116=0,"",DW116)</f>
        <v/>
      </c>
      <c r="CG116" s="53"/>
      <c r="CH116" s="54" t="str">
        <f aca="false">IFERROR(_xlfn.RANK.EQ(CF116,CF$6:CF$116,0),"")</f>
        <v/>
      </c>
      <c r="CI116" s="29"/>
      <c r="CJ116" s="29"/>
      <c r="CK116" s="53" t="str">
        <f aca="false">IF(DY116=0,"",DY116)</f>
        <v/>
      </c>
      <c r="CL116" s="53"/>
      <c r="CM116" s="54" t="str">
        <f aca="false">IFERROR(_xlfn.RANK.EQ(CK116,CK$6:CK$116,0),"")</f>
        <v/>
      </c>
      <c r="CN116" s="29"/>
      <c r="CO116" s="29"/>
      <c r="CP116" s="53" t="str">
        <f aca="false">IF(EA116=0,"",EA116)</f>
        <v/>
      </c>
      <c r="CQ116" s="53"/>
      <c r="CR116" s="54" t="str">
        <f aca="false">IFERROR(_xlfn.RANK.EQ(CP116,CP$6:CP$116,0),"")</f>
        <v/>
      </c>
      <c r="CS116" s="30"/>
      <c r="CT116" s="31" t="str">
        <f aca="true">IFERROR(AVERAGE(OFFSET('Data - For Rank'!B$2,K116,0,COUNTIF(K$6:K$116,K116)))+IFERROR(VLOOKUP((COUNT($I$6:$I$116)/4),$ER$9:$ES$13,2,FALSE()),0),"")</f>
        <v/>
      </c>
      <c r="CU116" s="30"/>
      <c r="CV116" s="31" t="str">
        <f aca="true">IFERROR(AVERAGE(OFFSET('Data - For Rank'!$C$2,P116,0,COUNTIF(P$6:P$116,P116)))+IFERROR(VLOOKUP((COUNT(N$6:N$116)/4),$ER$9:$ES$13,2,FALSE()),0),"")</f>
        <v/>
      </c>
      <c r="CW116" s="30"/>
      <c r="CX116" s="31" t="str">
        <f aca="true">IFERROR(AVERAGE(OFFSET('Data - For Rank'!D$2,U116,0,COUNTIF(U$6:$U223,U116)))+IFERROR(VLOOKUP((COUNT(S$6:S$116)/4),$ER$9:$ES$13,2,FALSE()),0),"")</f>
        <v/>
      </c>
      <c r="CY116" s="30"/>
      <c r="CZ116" s="31" t="str">
        <f aca="true">IFERROR(AVERAGE(OFFSET('Data - For Rank'!E$2,Z116,0,COUNTIF(Z$6:Z$116,Z116)))+IFERROR(VLOOKUP((COUNT(W$6:W$116)/4),$ER$9:$ES$13,2,FALSE()),0),"")</f>
        <v/>
      </c>
      <c r="DA116" s="30"/>
      <c r="DB116" s="31" t="str">
        <f aca="true">IFERROR(AVERAGE(OFFSET('Data - For Rank'!F$2,AE116,0,COUNTIF(AE$6:AE$116,AE116)))+IFERROR(VLOOKUP((COUNT(AC$6:AC$116)/4),$ER$9:$ES$13,2,FALSE()),0),"")</f>
        <v/>
      </c>
      <c r="DC116" s="30"/>
      <c r="DD116" s="31" t="str">
        <f aca="true">IFERROR(AVERAGE(OFFSET('Data - For Rank'!G$2,AJ116,0,COUNTIF(AJ$6:AJ$116,AJ116)))+IFERROR(VLOOKUP((COUNT(AH$6:AH$116)/4),$ER$9:$ES$13,2,FALSE()),0),"")</f>
        <v/>
      </c>
      <c r="DE116" s="30"/>
      <c r="DF116" s="31" t="str">
        <f aca="true">IFERROR(AVERAGE(OFFSET('Data - For Rank'!$H$2,AO116,0,COUNTIF(AO$6:AO$116,AO116)))+IFERROR(VLOOKUP((COUNT(AM$6:AM$116)/4),$ER$9:$ES$13,2,FALSE()),0),"")</f>
        <v/>
      </c>
      <c r="DG116" s="30"/>
      <c r="DH116" s="31" t="str">
        <f aca="true">IFERROR(AVERAGE(OFFSET('Data - For Rank'!$I$2,AT116,0,COUNTIF(AT$6:AT$116,AT116)))+IFERROR(VLOOKUP((COUNT(AR$6:AR$116)/4),$ER$9:$ES$13,2,FALSE()),0),"")</f>
        <v/>
      </c>
      <c r="DI116" s="30"/>
      <c r="DJ116" s="31" t="str">
        <f aca="true">IFERROR(AVERAGE(OFFSET('Data - For Rank'!$J$2,AY116,0,COUNTIF(AY$6:AY$116,AY116)))+IFERROR(VLOOKUP((COUNT(AW$6:AW$116)/4),$ER$9:$ES$13,2,FALSE()),0),"")</f>
        <v/>
      </c>
      <c r="DK116" s="30"/>
      <c r="DL116" s="31" t="str">
        <f aca="true">IFERROR(AVERAGE(OFFSET('Data - For Rank'!$K$2,BD116,0,COUNTIF(BD$6:BD$116,BD116)))+IFERROR(VLOOKUP((COUNT(BB$6:BB$116)/4),$ER$9:$ES$13,2,FALSE()),0),"")</f>
        <v/>
      </c>
      <c r="DM116" s="30"/>
      <c r="DN116" s="31" t="str">
        <f aca="true">IFERROR(AVERAGE(OFFSET('Data - For Rank'!$L$2,BI116,0,COUNTIF(BI$6:BI$116,BI116)))+IFERROR(VLOOKUP((COUNT(BG$6:BG$116)/4),$ER$9:$ES$13,2,FALSE()),0),"")</f>
        <v/>
      </c>
      <c r="DO116" s="30"/>
      <c r="DP116" s="31" t="str">
        <f aca="true">IFERROR(AVERAGE(OFFSET('Data - For Rank'!$M$2,BN116,0,COUNTIF(BN$6:BN$116,BN116)))+IFERROR(VLOOKUP((COUNT(BL$6:BL$116)/4),$ER$9:$ES$13,2,FALSE()),0),"")</f>
        <v/>
      </c>
      <c r="DQ116" s="30"/>
      <c r="DR116" s="31" t="str">
        <f aca="true">IFERROR(AVERAGE(OFFSET('Data - For Rank'!$N$2,BS116,0,COUNTIF(BS$6:BS$116,BS116)))+IFERROR(VLOOKUP((COUNT(BQ$6:BQ$116)/4),$ER$9:$ES$13,2,FALSE()),0),"")</f>
        <v/>
      </c>
      <c r="DS116" s="30"/>
      <c r="DT116" s="31" t="str">
        <f aca="true">IFERROR(AVERAGE(OFFSET('Data - For Rank'!$O$2,BX116,0,COUNTIF(BX$6:BX$116,BX116)))+IFERROR(VLOOKUP((COUNT(BV$6:BV$116)/4),$ER$9:$ES$13,2,FALSE()),0),"")</f>
        <v/>
      </c>
      <c r="DU116" s="30"/>
      <c r="DV116" s="31" t="str">
        <f aca="true">IFERROR(AVERAGE(OFFSET('Data - For Rank'!$P$2,CC116,0,COUNTIF(CC$6:CC$116,CC116)))+IFERROR(VLOOKUP((COUNT(CA$6:CA$116)/4),$ER$9:$ES$13,2,FALSE()),0),"")</f>
        <v/>
      </c>
      <c r="DW116" s="30"/>
      <c r="DX116" s="31" t="str">
        <f aca="true">IFERROR(AVERAGE(OFFSET('Data - For Rank'!$Q$2,CH116,0,COUNTIF(CH$6:CH$116,CH116)))+IFERROR(VLOOKUP((COUNT(CF$6:CF$116)/4),$ER$9:$ES$13,2,FALSE()),0),"")</f>
        <v/>
      </c>
      <c r="DY116" s="30"/>
      <c r="DZ116" s="31" t="str">
        <f aca="true">IFERROR(AVERAGE(OFFSET('Data - For Rank'!$R$2,CM116,0,COUNTIF(CM$6:CM$116,CM116)))+IFERROR(VLOOKUP((COUNT(CK$6:CK$116)/4),$ER$9:$ES$13,2,FALSE()),0),"")</f>
        <v/>
      </c>
      <c r="EA116" s="30"/>
      <c r="EB116" s="31" t="str">
        <f aca="true">IFERROR(AVERAGE(OFFSET('Data - For Rank'!$S$2,CR116,0,COUNTIF(CR$6:CR$116,CR116)))+IFERROR(VLOOKUP((COUNT(CP$6:CP$116)/4),$ER$9:$ES$13,2,FALSE()),0),"")</f>
        <v/>
      </c>
      <c r="EC116" s="32" t="n">
        <f aca="false">CS116+CU116+CW116+CY116+DA116+DC116+DE116+DG116+DI116+DK116+DM116+DO116+DQ116+DS116+DU116+DW116+DY116+EA116</f>
        <v>0</v>
      </c>
      <c r="ED116" s="33" t="n">
        <f aca="false">IFERROR(AVERAGE(CT116,CV116,CX116,CZ116,DB116,DD116,DF116,DH116,DJ116,DL116,DN116,DP116,DR116,DT116,DV116,DX116,DZ116,EB116),0)</f>
        <v>0</v>
      </c>
    </row>
    <row r="117" customFormat="false" ht="13.5" hidden="false" customHeight="false" outlineLevel="0" collapsed="false">
      <c r="CU117" s="79"/>
    </row>
    <row r="120" customFormat="false" ht="13.5" hidden="false" customHeight="false" outlineLevel="0" collapsed="false">
      <c r="E120" s="58"/>
    </row>
    <row r="121" customFormat="false" ht="13.5" hidden="false" customHeight="false" outlineLevel="0" collapsed="false">
      <c r="E121" s="7"/>
    </row>
  </sheetData>
  <mergeCells count="98">
    <mergeCell ref="F1:F4"/>
    <mergeCell ref="CS1:CT1"/>
    <mergeCell ref="CU1:CV1"/>
    <mergeCell ref="CW1:CX1"/>
    <mergeCell ref="CY1:CZ1"/>
    <mergeCell ref="DA1:DB1"/>
    <mergeCell ref="DC1:DD1"/>
    <mergeCell ref="DE1:DF1"/>
    <mergeCell ref="DG1:DH1"/>
    <mergeCell ref="DI1:DJ1"/>
    <mergeCell ref="DK1:DL1"/>
    <mergeCell ref="DM1:DN1"/>
    <mergeCell ref="DO1:DP1"/>
    <mergeCell ref="DQ1:DR1"/>
    <mergeCell ref="DS1:DT1"/>
    <mergeCell ref="DU1:DV1"/>
    <mergeCell ref="DW1:DX1"/>
    <mergeCell ref="DY1:DZ1"/>
    <mergeCell ref="EA1:EB1"/>
    <mergeCell ref="CS2:CT2"/>
    <mergeCell ref="CU2:CV2"/>
    <mergeCell ref="CW2:CX2"/>
    <mergeCell ref="CY2:CZ2"/>
    <mergeCell ref="DA2:DB2"/>
    <mergeCell ref="DC2:DD2"/>
    <mergeCell ref="DE2:DF2"/>
    <mergeCell ref="DG2:DH2"/>
    <mergeCell ref="DI2:DJ2"/>
    <mergeCell ref="DK2:DL2"/>
    <mergeCell ref="DM2:DN2"/>
    <mergeCell ref="DO2:DP2"/>
    <mergeCell ref="DQ2:DR2"/>
    <mergeCell ref="DS2:DT2"/>
    <mergeCell ref="DU2:DV2"/>
    <mergeCell ref="DW2:DX2"/>
    <mergeCell ref="DY2:DZ2"/>
    <mergeCell ref="EA2:EB2"/>
    <mergeCell ref="CS3:CT3"/>
    <mergeCell ref="CU3:CV3"/>
    <mergeCell ref="CW3:CX3"/>
    <mergeCell ref="CY3:CZ3"/>
    <mergeCell ref="DA3:DB3"/>
    <mergeCell ref="DC3:DD3"/>
    <mergeCell ref="DE3:DF3"/>
    <mergeCell ref="DG3:DH3"/>
    <mergeCell ref="DI3:DJ3"/>
    <mergeCell ref="DK3:DL3"/>
    <mergeCell ref="DM3:DN3"/>
    <mergeCell ref="DO3:DP3"/>
    <mergeCell ref="DQ3:DR3"/>
    <mergeCell ref="DS3:DT3"/>
    <mergeCell ref="DU3:DV3"/>
    <mergeCell ref="DW3:DX3"/>
    <mergeCell ref="DY3:DZ3"/>
    <mergeCell ref="EA3:EB3"/>
    <mergeCell ref="EC3:ED3"/>
    <mergeCell ref="EE3:EF3"/>
    <mergeCell ref="CS4:CT4"/>
    <mergeCell ref="CU4:CV4"/>
    <mergeCell ref="CW4:CX4"/>
    <mergeCell ref="CY4:CZ4"/>
    <mergeCell ref="DA4:DB4"/>
    <mergeCell ref="DC4:DD4"/>
    <mergeCell ref="DE4:DF4"/>
    <mergeCell ref="DG4:DH4"/>
    <mergeCell ref="DI4:DJ4"/>
    <mergeCell ref="DK4:DL4"/>
    <mergeCell ref="DM4:DN4"/>
    <mergeCell ref="DO4:DP4"/>
    <mergeCell ref="DQ4:DR4"/>
    <mergeCell ref="DS4:DT4"/>
    <mergeCell ref="DU4:DV4"/>
    <mergeCell ref="DW4:DX4"/>
    <mergeCell ref="DY4:DZ4"/>
    <mergeCell ref="EA4:EB4"/>
    <mergeCell ref="CS5:CT5"/>
    <mergeCell ref="CW5:CX5"/>
    <mergeCell ref="F70:F73"/>
    <mergeCell ref="CS73:CT73"/>
    <mergeCell ref="CU73:CV73"/>
    <mergeCell ref="CW73:CX73"/>
    <mergeCell ref="CY73:CZ73"/>
    <mergeCell ref="DA73:DB73"/>
    <mergeCell ref="DC73:DD73"/>
    <mergeCell ref="DE73:DF73"/>
    <mergeCell ref="DG73:DH73"/>
    <mergeCell ref="DI73:DJ73"/>
    <mergeCell ref="DK73:DL73"/>
    <mergeCell ref="DM73:DN73"/>
    <mergeCell ref="DO73:DP73"/>
    <mergeCell ref="DQ73:DR73"/>
    <mergeCell ref="DS73:DT73"/>
    <mergeCell ref="DU73:DV73"/>
    <mergeCell ref="DW73:DX73"/>
    <mergeCell ref="DY73:DZ73"/>
    <mergeCell ref="EA73:EB73"/>
    <mergeCell ref="CS74:CT74"/>
    <mergeCell ref="CW74:CX74"/>
  </mergeCells>
  <conditionalFormatting sqref="F65:ED65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55" right="0.55" top="0.25" bottom="0.25" header="0.511811023622047" footer="0.511811023622047"/>
  <pageSetup paperSize="1" scale="75" fitToWidth="1" fitToHeight="1" pageOrder="overThenDown" orientation="portrait" blackAndWhite="false" draft="false" cellComments="none" horizontalDpi="300" verticalDpi="300" copies="1"/>
  <headerFooter differentFirst="false" differentOddEven="false">
    <oddHeader/>
    <oddFooter/>
  </headerFooter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1" r:id="rId3" name="Button 6">
              <controlPr defaultSize="0" print="false" autoFill="0" autoPict="0">
                <anchor moveWithCells="true" sizeWithCells="false">
                  <from>
                    <xdr:col>0</xdr:col>
                    <xdr:colOff>0</xdr:colOff>
                    <xdr:row>3</xdr:row>
                    <xdr:rowOff>28440</xdr:rowOff>
                  </from>
                  <to>
                    <xdr:col>4</xdr:col>
                    <xdr:colOff>1038240</xdr:colOff>
                    <xdr:row>5</xdr:row>
                    <xdr:rowOff>66240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2" r:id="rId4" name="Button 5">
              <controlPr defaultSize="0" print="false" autoFill="0" autoPict="0">
                <anchor moveWithCells="true" sizeWithCells="false">
                  <from>
                    <xdr:col>1</xdr:col>
                    <xdr:colOff>38160</xdr:colOff>
                    <xdr:row>70</xdr:row>
                    <xdr:rowOff>9360</xdr:rowOff>
                  </from>
                  <to>
                    <xdr:col>4</xdr:col>
                    <xdr:colOff>523800</xdr:colOff>
                    <xdr:row>72</xdr:row>
                    <xdr:rowOff>47520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3" r:id="rId5" name="Button 8">
              <controlPr defaultSize="0" print="false" autoFill="0" autoPict="0">
                <anchor moveWithCells="true" sizeWithCells="false">
                  <from>
                    <xdr:col>0</xdr:col>
                    <xdr:colOff>0</xdr:colOff>
                    <xdr:row>3</xdr:row>
                    <xdr:rowOff>47520</xdr:rowOff>
                  </from>
                  <to>
                    <xdr:col>5</xdr:col>
                    <xdr:colOff>95400</xdr:colOff>
                    <xdr:row>6</xdr:row>
                    <xdr:rowOff>37800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4" r:id="rId6" name="Button 7">
              <controlPr defaultSize="0" print="false" autoFill="0" autoPict="0">
                <anchor moveWithCells="true" sizeWithCells="false">
                  <from>
                    <xdr:col>1</xdr:col>
                    <xdr:colOff>57240</xdr:colOff>
                    <xdr:row>70</xdr:row>
                    <xdr:rowOff>9360</xdr:rowOff>
                  </from>
                  <to>
                    <xdr:col>4</xdr:col>
                    <xdr:colOff>762120</xdr:colOff>
                    <xdr:row>72</xdr:row>
                    <xdr:rowOff>75960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5" r:id="rId7" name="Button 10">
              <controlPr defaultSize="0" print="false" autoFill="0" autoPict="0">
                <anchor moveWithCells="true" sizeWithCells="false">
                  <from>
                    <xdr:col>0</xdr:col>
                    <xdr:colOff>0</xdr:colOff>
                    <xdr:row>3</xdr:row>
                    <xdr:rowOff>38160</xdr:rowOff>
                  </from>
                  <to>
                    <xdr:col>5</xdr:col>
                    <xdr:colOff>63000</xdr:colOff>
                    <xdr:row>5</xdr:row>
                    <xdr:rowOff>133200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6" r:id="rId8" name="Button 9">
              <controlPr defaultSize="0" print="false" autoFill="0" autoPict="0">
                <anchor moveWithCells="true" sizeWithCells="false">
                  <from>
                    <xdr:col>1</xdr:col>
                    <xdr:colOff>47520</xdr:colOff>
                    <xdr:row>70</xdr:row>
                    <xdr:rowOff>9360</xdr:rowOff>
                  </from>
                  <to>
                    <xdr:col>4</xdr:col>
                    <xdr:colOff>628560</xdr:colOff>
                    <xdr:row>72</xdr:row>
                    <xdr:rowOff>56880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7" r:id="rId9" name="Button 2">
              <controlPr defaultSize="0" print="false" autoFill="0" autoPict="0">
                <anchor moveWithCells="true" sizeWithCells="false">
                  <from>
                    <xdr:col>0</xdr:col>
                    <xdr:colOff>0</xdr:colOff>
                    <xdr:row>3</xdr:row>
                    <xdr:rowOff>38160</xdr:rowOff>
                  </from>
                  <to>
                    <xdr:col>5</xdr:col>
                    <xdr:colOff>63000</xdr:colOff>
                    <xdr:row>5</xdr:row>
                    <xdr:rowOff>133200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8" r:id="rId10" name="Button 3">
              <controlPr defaultSize="0" print="false" autoFill="0" autoPict="0">
                <anchor moveWithCells="true" sizeWithCells="false">
                  <from>
                    <xdr:col>1</xdr:col>
                    <xdr:colOff>47520</xdr:colOff>
                    <xdr:row>70</xdr:row>
                    <xdr:rowOff>9360</xdr:rowOff>
                  </from>
                  <to>
                    <xdr:col>4</xdr:col>
                    <xdr:colOff>628560</xdr:colOff>
                    <xdr:row>72</xdr:row>
                    <xdr:rowOff>56880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09" r:id="rId11" name="Button 11">
              <controlPr defaultSize="0" print="false" autoFill="0" autoPict="0" macro="Module7.Subsort2">
                <anchor moveWithCells="true" sizeWithCells="false">
                  <from>
                    <xdr:col>0</xdr:col>
                    <xdr:colOff>181080</xdr:colOff>
                    <xdr:row>72</xdr:row>
                    <xdr:rowOff>247680</xdr:rowOff>
                  </from>
                  <to>
                    <xdr:col>4</xdr:col>
                    <xdr:colOff>790560</xdr:colOff>
                    <xdr:row>73</xdr:row>
                    <xdr:rowOff>38160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0" r:id="rId12" name="Button 12">
              <controlPr defaultSize="0" print="false" autoFill="0" autoPict="0" macro="Module3.Button1_Click">
                <anchor moveWithCells="true" sizeWithCells="false">
                  <from>
                    <xdr:col>1</xdr:col>
                    <xdr:colOff>10800</xdr:colOff>
                    <xdr:row>3</xdr:row>
                    <xdr:rowOff>123840</xdr:rowOff>
                  </from>
                  <to>
                    <xdr:col>4</xdr:col>
                    <xdr:colOff>571680</xdr:colOff>
                    <xdr:row>4</xdr:row>
                    <xdr:rowOff>-76320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1" r:id="rId13" name="Button 16">
              <controlPr defaultSize="0" print="false" autoFill="0" autoPict="0">
                <anchor moveWithCells="true" sizeWithCells="false">
                  <from>
                    <xdr:col>0</xdr:col>
                    <xdr:colOff>0</xdr:colOff>
                    <xdr:row>3</xdr:row>
                    <xdr:rowOff>38160</xdr:rowOff>
                  </from>
                  <to>
                    <xdr:col>5</xdr:col>
                    <xdr:colOff>63000</xdr:colOff>
                    <xdr:row>5</xdr:row>
                    <xdr:rowOff>133200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2" r:id="rId14" name="Button 15">
              <controlPr defaultSize="0" print="false" autoFill="0" autoPict="0">
                <anchor moveWithCells="true" sizeWithCells="false">
                  <from>
                    <xdr:col>1</xdr:col>
                    <xdr:colOff>47520</xdr:colOff>
                    <xdr:row>70</xdr:row>
                    <xdr:rowOff>9360</xdr:rowOff>
                  </from>
                  <to>
                    <xdr:col>4</xdr:col>
                    <xdr:colOff>628560</xdr:colOff>
                    <xdr:row>72</xdr:row>
                    <xdr:rowOff>56880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3" r:id="rId15" name="Button 18">
              <controlPr defaultSize="0" print="false" autoFill="0" autoPict="0">
                <anchor moveWithCells="true" sizeWithCells="false">
                  <from>
                    <xdr:col>0</xdr:col>
                    <xdr:colOff>0</xdr:colOff>
                    <xdr:row>3</xdr:row>
                    <xdr:rowOff>38160</xdr:rowOff>
                  </from>
                  <to>
                    <xdr:col>5</xdr:col>
                    <xdr:colOff>63000</xdr:colOff>
                    <xdr:row>5</xdr:row>
                    <xdr:rowOff>133200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4" r:id="rId16" name="Button 17">
              <controlPr defaultSize="0" print="false" autoFill="0" autoPict="0">
                <anchor moveWithCells="true" sizeWithCells="false">
                  <from>
                    <xdr:col>1</xdr:col>
                    <xdr:colOff>47520</xdr:colOff>
                    <xdr:row>70</xdr:row>
                    <xdr:rowOff>9360</xdr:rowOff>
                  </from>
                  <to>
                    <xdr:col>4</xdr:col>
                    <xdr:colOff>628560</xdr:colOff>
                    <xdr:row>72</xdr:row>
                    <xdr:rowOff>56880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5" r:id="rId17" name="Button 20">
              <controlPr defaultSize="0" print="false" autoFill="0" autoPict="0">
                <anchor moveWithCells="true" sizeWithCells="false">
                  <from>
                    <xdr:col>0</xdr:col>
                    <xdr:colOff>0</xdr:colOff>
                    <xdr:row>3</xdr:row>
                    <xdr:rowOff>38160</xdr:rowOff>
                  </from>
                  <to>
                    <xdr:col>5</xdr:col>
                    <xdr:colOff>63000</xdr:colOff>
                    <xdr:row>5</xdr:row>
                    <xdr:rowOff>133200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6" r:id="rId18" name="Button 19">
              <controlPr defaultSize="0" print="false" autoFill="0" autoPict="0">
                <anchor moveWithCells="true" sizeWithCells="false">
                  <from>
                    <xdr:col>1</xdr:col>
                    <xdr:colOff>47520</xdr:colOff>
                    <xdr:row>70</xdr:row>
                    <xdr:rowOff>9360</xdr:rowOff>
                  </from>
                  <to>
                    <xdr:col>4</xdr:col>
                    <xdr:colOff>628560</xdr:colOff>
                    <xdr:row>72</xdr:row>
                    <xdr:rowOff>56880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7" r:id="rId19" name="Button 22">
              <controlPr defaultSize="0" print="false" autoFill="0" autoPict="0">
                <anchor moveWithCells="true" sizeWithCells="false">
                  <from>
                    <xdr:col>0</xdr:col>
                    <xdr:colOff>0</xdr:colOff>
                    <xdr:row>3</xdr:row>
                    <xdr:rowOff>28440</xdr:rowOff>
                  </from>
                  <to>
                    <xdr:col>4</xdr:col>
                    <xdr:colOff>1009440</xdr:colOff>
                    <xdr:row>5</xdr:row>
                    <xdr:rowOff>66240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8" r:id="rId20" name="Button 21">
              <controlPr defaultSize="0" print="false" autoFill="0" autoPict="0">
                <anchor moveWithCells="true" sizeWithCells="false">
                  <from>
                    <xdr:col>1</xdr:col>
                    <xdr:colOff>38160</xdr:colOff>
                    <xdr:row>70</xdr:row>
                    <xdr:rowOff>9360</xdr:rowOff>
                  </from>
                  <to>
                    <xdr:col>4</xdr:col>
                    <xdr:colOff>504720</xdr:colOff>
                    <xdr:row>72</xdr:row>
                    <xdr:rowOff>47520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19" r:id="rId21" name="Button 24">
              <controlPr defaultSize="0" print="false" autoFill="0" autoPict="0">
                <anchor moveWithCells="true" sizeWithCells="false">
                  <from>
                    <xdr:col>0</xdr:col>
                    <xdr:colOff>0</xdr:colOff>
                    <xdr:row>3</xdr:row>
                    <xdr:rowOff>47520</xdr:rowOff>
                  </from>
                  <to>
                    <xdr:col>5</xdr:col>
                    <xdr:colOff>377280</xdr:colOff>
                    <xdr:row>6</xdr:row>
                    <xdr:rowOff>37800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0" r:id="rId22" name="Button 23">
              <controlPr defaultSize="0" print="false" autoFill="0" autoPict="0">
                <anchor moveWithCells="true" sizeWithCells="false">
                  <from>
                    <xdr:col>1</xdr:col>
                    <xdr:colOff>57240</xdr:colOff>
                    <xdr:row>70</xdr:row>
                    <xdr:rowOff>9360</xdr:rowOff>
                  </from>
                  <to>
                    <xdr:col>4</xdr:col>
                    <xdr:colOff>790560</xdr:colOff>
                    <xdr:row>72</xdr:row>
                    <xdr:rowOff>75960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1" r:id="rId23" name="Button 26">
              <controlPr defaultSize="0" print="false" autoFill="0" autoPict="0">
                <anchor moveWithCells="true" sizeWithCells="false">
                  <from>
                    <xdr:col>0</xdr:col>
                    <xdr:colOff>0</xdr:colOff>
                    <xdr:row>3</xdr:row>
                    <xdr:rowOff>38160</xdr:rowOff>
                  </from>
                  <to>
                    <xdr:col>5</xdr:col>
                    <xdr:colOff>63000</xdr:colOff>
                    <xdr:row>5</xdr:row>
                    <xdr:rowOff>133200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2" r:id="rId24" name="Button 25">
              <controlPr defaultSize="0" print="false" autoFill="0" autoPict="0">
                <anchor moveWithCells="true" sizeWithCells="false">
                  <from>
                    <xdr:col>1</xdr:col>
                    <xdr:colOff>47520</xdr:colOff>
                    <xdr:row>70</xdr:row>
                    <xdr:rowOff>9360</xdr:rowOff>
                  </from>
                  <to>
                    <xdr:col>4</xdr:col>
                    <xdr:colOff>628560</xdr:colOff>
                    <xdr:row>72</xdr:row>
                    <xdr:rowOff>56880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3" r:id="rId25" name="Button 28">
              <controlPr defaultSize="0" print="false" autoFill="0" autoPict="0">
                <anchor moveWithCells="true" sizeWithCells="false">
                  <from>
                    <xdr:col>0</xdr:col>
                    <xdr:colOff>0</xdr:colOff>
                    <xdr:row>3</xdr:row>
                    <xdr:rowOff>38160</xdr:rowOff>
                  </from>
                  <to>
                    <xdr:col>5</xdr:col>
                    <xdr:colOff>63000</xdr:colOff>
                    <xdr:row>5</xdr:row>
                    <xdr:rowOff>133200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" r:id="rId26" name="Button 27">
              <controlPr defaultSize="0" print="false" autoFill="0" autoPict="0">
                <anchor moveWithCells="true" sizeWithCells="false">
                  <from>
                    <xdr:col>1</xdr:col>
                    <xdr:colOff>47520</xdr:colOff>
                    <xdr:row>70</xdr:row>
                    <xdr:rowOff>9360</xdr:rowOff>
                  </from>
                  <to>
                    <xdr:col>4</xdr:col>
                    <xdr:colOff>628560</xdr:colOff>
                    <xdr:row>72</xdr:row>
                    <xdr:rowOff>56880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5" r:id="rId27" name="Button 30">
              <controlPr defaultSize="0" print="false" autoFill="0" autoPict="0">
                <anchor moveWithCells="true" sizeWithCells="false">
                  <from>
                    <xdr:col>0</xdr:col>
                    <xdr:colOff>0</xdr:colOff>
                    <xdr:row>3</xdr:row>
                    <xdr:rowOff>38160</xdr:rowOff>
                  </from>
                  <to>
                    <xdr:col>5</xdr:col>
                    <xdr:colOff>63000</xdr:colOff>
                    <xdr:row>5</xdr:row>
                    <xdr:rowOff>133200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28" name="Button 29">
              <controlPr defaultSize="0" print="false" autoFill="0" autoPict="0">
                <anchor moveWithCells="true" sizeWithCells="false">
                  <from>
                    <xdr:col>1</xdr:col>
                    <xdr:colOff>47520</xdr:colOff>
                    <xdr:row>70</xdr:row>
                    <xdr:rowOff>9360</xdr:rowOff>
                  </from>
                  <to>
                    <xdr:col>4</xdr:col>
                    <xdr:colOff>628560</xdr:colOff>
                    <xdr:row>72</xdr:row>
                    <xdr:rowOff>56880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29" name="Button 32">
              <controlPr defaultSize="0" print="false" autoFill="0" autoPict="0">
                <anchor moveWithCells="true" sizeWithCells="false">
                  <from>
                    <xdr:col>0</xdr:col>
                    <xdr:colOff>0</xdr:colOff>
                    <xdr:row>3</xdr:row>
                    <xdr:rowOff>38160</xdr:rowOff>
                  </from>
                  <to>
                    <xdr:col>5</xdr:col>
                    <xdr:colOff>63000</xdr:colOff>
                    <xdr:row>5</xdr:row>
                    <xdr:rowOff>133200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30" name="Button 31">
              <controlPr defaultSize="0" print="false" autoFill="0" autoPict="0">
                <anchor moveWithCells="true" sizeWithCells="false">
                  <from>
                    <xdr:col>1</xdr:col>
                    <xdr:colOff>47520</xdr:colOff>
                    <xdr:row>70</xdr:row>
                    <xdr:rowOff>9360</xdr:rowOff>
                  </from>
                  <to>
                    <xdr:col>4</xdr:col>
                    <xdr:colOff>628560</xdr:colOff>
                    <xdr:row>72</xdr:row>
                    <xdr:rowOff>56880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31" name="Button 34">
              <controlPr defaultSize="0" print="false" autoFill="0" autoPict="0">
                <anchor moveWithCells="true" sizeWithCells="false">
                  <from>
                    <xdr:col>0</xdr:col>
                    <xdr:colOff>0</xdr:colOff>
                    <xdr:row>3</xdr:row>
                    <xdr:rowOff>38160</xdr:rowOff>
                  </from>
                  <to>
                    <xdr:col>5</xdr:col>
                    <xdr:colOff>63000</xdr:colOff>
                    <xdr:row>5</xdr:row>
                    <xdr:rowOff>133200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32" name="Button 33">
              <controlPr defaultSize="0" print="false" autoFill="0" autoPict="0">
                <anchor moveWithCells="true" sizeWithCells="false">
                  <from>
                    <xdr:col>1</xdr:col>
                    <xdr:colOff>47520</xdr:colOff>
                    <xdr:row>70</xdr:row>
                    <xdr:rowOff>9360</xdr:rowOff>
                  </from>
                  <to>
                    <xdr:col>4</xdr:col>
                    <xdr:colOff>628560</xdr:colOff>
                    <xdr:row>72</xdr:row>
                    <xdr:rowOff>56880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33" name="Button 36">
              <controlPr defaultSize="0" print="false" autoFill="0" autoPict="0">
                <anchor moveWithCells="true" sizeWithCells="false">
                  <from>
                    <xdr:col>0</xdr:col>
                    <xdr:colOff>0</xdr:colOff>
                    <xdr:row>3</xdr:row>
                    <xdr:rowOff>28440</xdr:rowOff>
                  </from>
                  <to>
                    <xdr:col>4</xdr:col>
                    <xdr:colOff>1009440</xdr:colOff>
                    <xdr:row>5</xdr:row>
                    <xdr:rowOff>66240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34" name="Button 35">
              <controlPr defaultSize="0" print="false" autoFill="0" autoPict="0">
                <anchor moveWithCells="true" sizeWithCells="false">
                  <from>
                    <xdr:col>1</xdr:col>
                    <xdr:colOff>38160</xdr:colOff>
                    <xdr:row>70</xdr:row>
                    <xdr:rowOff>9360</xdr:rowOff>
                  </from>
                  <to>
                    <xdr:col>4</xdr:col>
                    <xdr:colOff>504720</xdr:colOff>
                    <xdr:row>72</xdr:row>
                    <xdr:rowOff>47520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35" name="Button 1001">
              <controlPr defaultSize="0" print="false" autoFill="0" autoPict="0">
                <anchor moveWithCells="true" sizeWithCells="false">
                  <from>
                    <xdr:col>0</xdr:col>
                    <xdr:colOff>0</xdr:colOff>
                    <xdr:row>3</xdr:row>
                    <xdr:rowOff>38160</xdr:rowOff>
                  </from>
                  <to>
                    <xdr:col>5</xdr:col>
                    <xdr:colOff>63000</xdr:colOff>
                    <xdr:row>4</xdr:row>
                    <xdr:rowOff>-314280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36" name="Button 1002">
              <controlPr defaultSize="0" print="false" autoFill="0" autoPict="0">
                <anchor moveWithCells="true" sizeWithCells="false">
                  <from>
                    <xdr:col>1</xdr:col>
                    <xdr:colOff>47520</xdr:colOff>
                    <xdr:row>70</xdr:row>
                    <xdr:rowOff>9360</xdr:rowOff>
                  </from>
                  <to>
                    <xdr:col>4</xdr:col>
                    <xdr:colOff>628560</xdr:colOff>
                    <xdr:row>72</xdr:row>
                    <xdr:rowOff>56880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3.5" zeroHeight="false" outlineLevelRow="0" outlineLevelCol="0"/>
  <sheetData>
    <row r="1" customFormat="false" ht="13.5" hidden="false" customHeight="false" outlineLevel="0" collapsed="false">
      <c r="A1" s="0" t="s">
        <v>191</v>
      </c>
      <c r="B1" s="80" t="n">
        <v>44680</v>
      </c>
      <c r="C1" s="80" t="n">
        <v>44687</v>
      </c>
      <c r="D1" s="80" t="n">
        <v>44694</v>
      </c>
      <c r="E1" s="80" t="n">
        <v>44701</v>
      </c>
      <c r="F1" s="80" t="n">
        <v>44708</v>
      </c>
      <c r="G1" s="80" t="n">
        <v>44715</v>
      </c>
      <c r="H1" s="80" t="n">
        <v>44729</v>
      </c>
      <c r="I1" s="80" t="n">
        <v>44736</v>
      </c>
      <c r="J1" s="80" t="n">
        <v>44743</v>
      </c>
      <c r="K1" s="80" t="n">
        <v>44750</v>
      </c>
      <c r="L1" s="80" t="n">
        <v>44757</v>
      </c>
      <c r="M1" s="80" t="n">
        <v>44764</v>
      </c>
      <c r="N1" s="80" t="n">
        <v>44771</v>
      </c>
      <c r="O1" s="80" t="n">
        <v>44778</v>
      </c>
      <c r="P1" s="80" t="n">
        <v>44785</v>
      </c>
      <c r="Q1" s="80" t="n">
        <v>44792</v>
      </c>
      <c r="R1" s="80" t="n">
        <v>44799</v>
      </c>
      <c r="S1" s="80" t="n">
        <v>44806</v>
      </c>
      <c r="T1" s="80"/>
    </row>
    <row r="2" customFormat="false" ht="13.5" hidden="false" customHeight="false" outlineLevel="0" collapsed="false">
      <c r="B2" s="0" t="n">
        <f aca="false">COUNT(Standings!H$6:H$116)</f>
        <v>16</v>
      </c>
      <c r="C2" s="0" t="n">
        <f aca="false">COUNT(Standings!M$6:M$116)</f>
        <v>0</v>
      </c>
      <c r="D2" s="0" t="n">
        <f aca="false">COUNT(Standings!R$6:R$116)</f>
        <v>12</v>
      </c>
      <c r="E2" s="0" t="n">
        <f aca="false">COUNT(Standings!W$6:W$116)</f>
        <v>8</v>
      </c>
      <c r="F2" s="0" t="n">
        <f aca="false">COUNT(Standings!$AB$6:$AB$116)</f>
        <v>16</v>
      </c>
      <c r="G2" s="0" t="n">
        <f aca="false">COUNT(Standings!$AG$6:$AG$116)</f>
        <v>16</v>
      </c>
      <c r="H2" s="0" t="n">
        <f aca="false">COUNT(Standings!$AL$6:$AL$116)</f>
        <v>12</v>
      </c>
      <c r="I2" s="0" t="n">
        <f aca="false">COUNT(Standings!$AQ$6:$AQ$116)</f>
        <v>16</v>
      </c>
      <c r="J2" s="0" t="n">
        <f aca="false">COUNT(Standings!$AV$6:$AV$116)</f>
        <v>16</v>
      </c>
      <c r="K2" s="0" t="n">
        <f aca="false">COUNT(Standings!$BA$6:$BA$116)</f>
        <v>12</v>
      </c>
      <c r="L2" s="0" t="n">
        <f aca="false">COUNT(Standings!$BF$6:$BF$116)</f>
        <v>0</v>
      </c>
      <c r="M2" s="0" t="n">
        <f aca="false">COUNT(Standings!$BK$6:$BK$116)</f>
        <v>0</v>
      </c>
      <c r="N2" s="0" t="n">
        <f aca="false">COUNT(Standings!$BP$6:$BP$116)</f>
        <v>0</v>
      </c>
      <c r="O2" s="0" t="n">
        <f aca="false">COUNT(Standings!$BU$6:$BU$116)</f>
        <v>0</v>
      </c>
      <c r="P2" s="0" t="n">
        <f aca="false">COUNT(Standings!$BZ$6:$BZ$116)</f>
        <v>0</v>
      </c>
      <c r="Q2" s="0" t="n">
        <f aca="false">COUNT(Standings!$CE$6:$CE$116)</f>
        <v>0</v>
      </c>
      <c r="R2" s="0" t="n">
        <f aca="false">COUNT(Standings!$CJ$6:$CJ$116)</f>
        <v>0</v>
      </c>
      <c r="S2" s="0" t="n">
        <f aca="false">COUNT(Standings!$CO$6:$CO$116)</f>
        <v>0</v>
      </c>
    </row>
    <row r="3" customFormat="false" ht="13.5" hidden="false" customHeight="false" outlineLevel="0" collapsed="false">
      <c r="A3" s="0" t="n">
        <v>1</v>
      </c>
      <c r="B3" s="81" t="n">
        <f aca="true">OFFSET(B$2,0,0)</f>
        <v>16</v>
      </c>
      <c r="C3" s="81" t="n">
        <f aca="true">OFFSET(C$2,0,0)</f>
        <v>0</v>
      </c>
      <c r="D3" s="81" t="n">
        <f aca="true">OFFSET(D$2,0,0)</f>
        <v>12</v>
      </c>
      <c r="E3" s="81" t="n">
        <f aca="true">OFFSET(E$2,0,0)</f>
        <v>8</v>
      </c>
      <c r="F3" s="81" t="n">
        <f aca="true">OFFSET(F$2,0,0)</f>
        <v>16</v>
      </c>
      <c r="G3" s="81" t="n">
        <f aca="true">OFFSET(G$2,0,0)</f>
        <v>16</v>
      </c>
      <c r="H3" s="81" t="n">
        <f aca="true">OFFSET(H$2,0,0)</f>
        <v>12</v>
      </c>
      <c r="I3" s="81" t="n">
        <f aca="true">OFFSET(I$2,0,0)</f>
        <v>16</v>
      </c>
      <c r="J3" s="81" t="n">
        <f aca="true">OFFSET(J$2,0,0)</f>
        <v>16</v>
      </c>
      <c r="K3" s="81" t="n">
        <f aca="true">OFFSET(K$2,0,0)</f>
        <v>12</v>
      </c>
      <c r="L3" s="81" t="n">
        <f aca="true">OFFSET(L$2,0,0)</f>
        <v>0</v>
      </c>
      <c r="M3" s="81" t="n">
        <f aca="true">OFFSET(M$2,0,0)</f>
        <v>0</v>
      </c>
      <c r="N3" s="81" t="n">
        <f aca="true">OFFSET(N$2,0,0)</f>
        <v>0</v>
      </c>
      <c r="O3" s="81" t="n">
        <f aca="true">OFFSET(O$2,0,0)</f>
        <v>0</v>
      </c>
      <c r="P3" s="81" t="n">
        <f aca="true">OFFSET(P$2,0,0)</f>
        <v>0</v>
      </c>
      <c r="Q3" s="81" t="n">
        <f aca="true">OFFSET(Q$2,0,0)</f>
        <v>0</v>
      </c>
      <c r="R3" s="81" t="n">
        <f aca="true">OFFSET(R$2,0,0)</f>
        <v>0</v>
      </c>
      <c r="S3" s="81" t="n">
        <f aca="true">OFFSET(S$2,0,0)</f>
        <v>0</v>
      </c>
      <c r="T3" s="81"/>
    </row>
    <row r="4" customFormat="false" ht="13.5" hidden="false" customHeight="false" outlineLevel="0" collapsed="false">
      <c r="A4" s="0" t="n">
        <v>2</v>
      </c>
      <c r="B4" s="81" t="n">
        <f aca="true">OFFSET(B$2,0,0)-1</f>
        <v>15</v>
      </c>
      <c r="C4" s="81" t="n">
        <f aca="true">OFFSET(C$2,0,0)-1</f>
        <v>-1</v>
      </c>
      <c r="D4" s="81" t="n">
        <f aca="true">OFFSET(D$2,0,0)-1</f>
        <v>11</v>
      </c>
      <c r="E4" s="81" t="n">
        <f aca="true">OFFSET(E$2,0,0)-1</f>
        <v>7</v>
      </c>
      <c r="F4" s="81" t="n">
        <f aca="true">OFFSET(F$2,0,0)-1</f>
        <v>15</v>
      </c>
      <c r="G4" s="81" t="n">
        <f aca="true">OFFSET(G$2,0,0)-1</f>
        <v>15</v>
      </c>
      <c r="H4" s="81" t="n">
        <f aca="true">OFFSET(H$2,0,0)-1</f>
        <v>11</v>
      </c>
      <c r="I4" s="81" t="n">
        <f aca="true">OFFSET(I$2,0,0)-1</f>
        <v>15</v>
      </c>
      <c r="J4" s="81" t="n">
        <f aca="true">OFFSET(J$2,0,0)-1</f>
        <v>15</v>
      </c>
      <c r="K4" s="81" t="n">
        <f aca="true">OFFSET(K$2,0,0)-1</f>
        <v>11</v>
      </c>
      <c r="L4" s="81" t="n">
        <f aca="true">OFFSET(L$2,0,0)-1</f>
        <v>-1</v>
      </c>
      <c r="M4" s="81" t="n">
        <f aca="true">OFFSET(M$2,0,0)-1</f>
        <v>-1</v>
      </c>
      <c r="N4" s="81" t="n">
        <f aca="true">OFFSET(N$2,0,0)-1</f>
        <v>-1</v>
      </c>
      <c r="O4" s="81" t="n">
        <f aca="true">OFFSET(O$2,0,0)-1</f>
        <v>-1</v>
      </c>
      <c r="P4" s="81" t="n">
        <f aca="true">OFFSET(P$2,0,0)-1</f>
        <v>-1</v>
      </c>
      <c r="Q4" s="81" t="n">
        <f aca="true">OFFSET(Q$2,0,0)-1</f>
        <v>-1</v>
      </c>
      <c r="R4" s="81" t="n">
        <f aca="true">OFFSET(R$2,0,0)-1</f>
        <v>-1</v>
      </c>
      <c r="S4" s="81" t="n">
        <f aca="true">OFFSET(S$2,0,0)-1</f>
        <v>-1</v>
      </c>
      <c r="T4" s="81"/>
    </row>
    <row r="5" customFormat="false" ht="13.5" hidden="false" customHeight="false" outlineLevel="0" collapsed="false">
      <c r="A5" s="0" t="n">
        <v>3</v>
      </c>
      <c r="B5" s="81" t="n">
        <f aca="true">OFFSET(B$2,0,0)-2</f>
        <v>14</v>
      </c>
      <c r="C5" s="81" t="n">
        <f aca="true">OFFSET(C$2,0,0)-2</f>
        <v>-2</v>
      </c>
      <c r="D5" s="81" t="n">
        <f aca="true">OFFSET(D$2,0,0)-2</f>
        <v>10</v>
      </c>
      <c r="E5" s="81" t="n">
        <f aca="true">OFFSET(E$2,0,0)-2</f>
        <v>6</v>
      </c>
      <c r="F5" s="81" t="n">
        <f aca="true">OFFSET(F$2,0,0)-2</f>
        <v>14</v>
      </c>
      <c r="G5" s="81" t="n">
        <f aca="true">OFFSET(G$2,0,0)-2</f>
        <v>14</v>
      </c>
      <c r="H5" s="81" t="n">
        <f aca="true">OFFSET(H$2,0,0)-2</f>
        <v>10</v>
      </c>
      <c r="I5" s="81" t="n">
        <f aca="true">OFFSET(I$2,0,0)-2</f>
        <v>14</v>
      </c>
      <c r="J5" s="81" t="n">
        <f aca="true">OFFSET(J$2,0,0)-2</f>
        <v>14</v>
      </c>
      <c r="K5" s="81" t="n">
        <f aca="true">OFFSET(K$2,0,0)-2</f>
        <v>10</v>
      </c>
      <c r="L5" s="81" t="n">
        <f aca="true">OFFSET(L$2,0,0)-2</f>
        <v>-2</v>
      </c>
      <c r="M5" s="81" t="n">
        <f aca="true">OFFSET(M$2,0,0)-2</f>
        <v>-2</v>
      </c>
      <c r="N5" s="81" t="n">
        <f aca="true">OFFSET(N$2,0,0)-2</f>
        <v>-2</v>
      </c>
      <c r="O5" s="81" t="n">
        <f aca="true">OFFSET(O$2,0,0)-2</f>
        <v>-2</v>
      </c>
      <c r="P5" s="81" t="n">
        <f aca="true">OFFSET(P$2,0,0)-2</f>
        <v>-2</v>
      </c>
      <c r="Q5" s="81" t="n">
        <f aca="true">OFFSET(Q$2,0,0)-2</f>
        <v>-2</v>
      </c>
      <c r="R5" s="81" t="n">
        <f aca="true">OFFSET(R$2,0,0)-2</f>
        <v>-2</v>
      </c>
      <c r="S5" s="81" t="n">
        <f aca="true">OFFSET(S$2,0,0)-2</f>
        <v>-2</v>
      </c>
      <c r="T5" s="81"/>
    </row>
    <row r="6" customFormat="false" ht="13.5" hidden="false" customHeight="false" outlineLevel="0" collapsed="false">
      <c r="A6" s="0" t="n">
        <v>4</v>
      </c>
      <c r="B6" s="81" t="n">
        <f aca="true">OFFSET(B$2,0,0)-3</f>
        <v>13</v>
      </c>
      <c r="C6" s="81" t="n">
        <f aca="true">OFFSET(C$2,0,0)-3</f>
        <v>-3</v>
      </c>
      <c r="D6" s="81" t="n">
        <f aca="true">OFFSET(D$2,0,0)-3</f>
        <v>9</v>
      </c>
      <c r="E6" s="81" t="n">
        <f aca="true">OFFSET(E$2,0,0)-3</f>
        <v>5</v>
      </c>
      <c r="F6" s="81" t="n">
        <f aca="true">OFFSET(F$2,0,0)-3</f>
        <v>13</v>
      </c>
      <c r="G6" s="81" t="n">
        <f aca="true">OFFSET(G$2,0,0)-3</f>
        <v>13</v>
      </c>
      <c r="H6" s="81" t="n">
        <f aca="true">OFFSET(H$2,0,0)-3</f>
        <v>9</v>
      </c>
      <c r="I6" s="81" t="n">
        <f aca="true">OFFSET(I$2,0,0)-3</f>
        <v>13</v>
      </c>
      <c r="J6" s="81" t="n">
        <f aca="true">OFFSET(J$2,0,0)-3</f>
        <v>13</v>
      </c>
      <c r="K6" s="81" t="n">
        <f aca="true">OFFSET(K$2,0,0)-3</f>
        <v>9</v>
      </c>
      <c r="L6" s="81" t="n">
        <f aca="true">OFFSET(L$2,0,0)-3</f>
        <v>-3</v>
      </c>
      <c r="M6" s="81" t="n">
        <f aca="true">OFFSET(M$2,0,0)-3</f>
        <v>-3</v>
      </c>
      <c r="N6" s="81" t="n">
        <f aca="true">OFFSET(N$2,0,0)-3</f>
        <v>-3</v>
      </c>
      <c r="O6" s="81" t="n">
        <f aca="true">OFFSET(O$2,0,0)-3</f>
        <v>-3</v>
      </c>
      <c r="P6" s="81" t="n">
        <f aca="true">OFFSET(P$2,0,0)-3</f>
        <v>-3</v>
      </c>
      <c r="Q6" s="81" t="n">
        <f aca="true">OFFSET(Q$2,0,0)-3</f>
        <v>-3</v>
      </c>
      <c r="R6" s="81" t="n">
        <f aca="true">OFFSET(R$2,0,0)-3</f>
        <v>-3</v>
      </c>
      <c r="S6" s="81" t="n">
        <f aca="true">OFFSET(S$2,0,0)-3</f>
        <v>-3</v>
      </c>
      <c r="T6" s="81"/>
    </row>
    <row r="7" customFormat="false" ht="13.5" hidden="false" customHeight="false" outlineLevel="0" collapsed="false">
      <c r="A7" s="0" t="n">
        <v>5</v>
      </c>
      <c r="B7" s="81" t="n">
        <f aca="true">OFFSET(B$2,0,0)-4</f>
        <v>12</v>
      </c>
      <c r="C7" s="81" t="n">
        <f aca="true">OFFSET(C$2,0,0)-4</f>
        <v>-4</v>
      </c>
      <c r="D7" s="81" t="n">
        <f aca="true">OFFSET(D$2,0,0)-4</f>
        <v>8</v>
      </c>
      <c r="E7" s="81" t="n">
        <f aca="true">OFFSET(E$2,0,0)-4</f>
        <v>4</v>
      </c>
      <c r="F7" s="81" t="n">
        <f aca="true">OFFSET(F$2,0,0)-4</f>
        <v>12</v>
      </c>
      <c r="G7" s="81" t="n">
        <f aca="true">OFFSET(G$2,0,0)-4</f>
        <v>12</v>
      </c>
      <c r="H7" s="81" t="n">
        <f aca="true">OFFSET(H$2,0,0)-4</f>
        <v>8</v>
      </c>
      <c r="I7" s="81" t="n">
        <f aca="true">OFFSET(I$2,0,0)-4</f>
        <v>12</v>
      </c>
      <c r="J7" s="81" t="n">
        <f aca="true">OFFSET(J$2,0,0)-4</f>
        <v>12</v>
      </c>
      <c r="K7" s="81" t="n">
        <f aca="true">OFFSET(K$2,0,0)-4</f>
        <v>8</v>
      </c>
      <c r="L7" s="81" t="n">
        <f aca="true">OFFSET(L$2,0,0)-4</f>
        <v>-4</v>
      </c>
      <c r="M7" s="81" t="n">
        <f aca="true">OFFSET(M$2,0,0)-4</f>
        <v>-4</v>
      </c>
      <c r="N7" s="81" t="n">
        <f aca="true">OFFSET(N$2,0,0)-4</f>
        <v>-4</v>
      </c>
      <c r="O7" s="81" t="n">
        <f aca="true">OFFSET(O$2,0,0)-4</f>
        <v>-4</v>
      </c>
      <c r="P7" s="81" t="n">
        <f aca="true">OFFSET(P$2,0,0)-4</f>
        <v>-4</v>
      </c>
      <c r="Q7" s="81" t="n">
        <f aca="true">OFFSET(Q$2,0,0)-4</f>
        <v>-4</v>
      </c>
      <c r="R7" s="81" t="n">
        <f aca="true">OFFSET(R$2,0,0)-4</f>
        <v>-4</v>
      </c>
      <c r="S7" s="81" t="n">
        <f aca="true">OFFSET(S$2,0,0)-4</f>
        <v>-4</v>
      </c>
      <c r="T7" s="81"/>
    </row>
    <row r="8" customFormat="false" ht="13.5" hidden="false" customHeight="false" outlineLevel="0" collapsed="false">
      <c r="A8" s="0" t="n">
        <v>6</v>
      </c>
      <c r="B8" s="81" t="n">
        <f aca="true">OFFSET(B$2,0,0)-5</f>
        <v>11</v>
      </c>
      <c r="C8" s="81" t="n">
        <f aca="true">OFFSET(C$2,0,0)-5</f>
        <v>-5</v>
      </c>
      <c r="D8" s="81" t="n">
        <f aca="true">OFFSET(D$2,0,0)-5</f>
        <v>7</v>
      </c>
      <c r="E8" s="81" t="n">
        <f aca="true">OFFSET(E$2,0,0)-5</f>
        <v>3</v>
      </c>
      <c r="F8" s="81" t="n">
        <f aca="true">OFFSET(F$2,0,0)-5</f>
        <v>11</v>
      </c>
      <c r="G8" s="81" t="n">
        <f aca="true">OFFSET(G$2,0,0)-5</f>
        <v>11</v>
      </c>
      <c r="H8" s="81" t="n">
        <f aca="true">OFFSET(H$2,0,0)-5</f>
        <v>7</v>
      </c>
      <c r="I8" s="81" t="n">
        <f aca="true">OFFSET(I$2,0,0)-5</f>
        <v>11</v>
      </c>
      <c r="J8" s="81" t="n">
        <f aca="true">OFFSET(J$2,0,0)-5</f>
        <v>11</v>
      </c>
      <c r="K8" s="81" t="n">
        <f aca="true">OFFSET(K$2,0,0)-5</f>
        <v>7</v>
      </c>
      <c r="L8" s="81" t="n">
        <f aca="true">OFFSET(L$2,0,0)-5</f>
        <v>-5</v>
      </c>
      <c r="M8" s="81" t="n">
        <f aca="true">OFFSET(M$2,0,0)-5</f>
        <v>-5</v>
      </c>
      <c r="N8" s="81" t="n">
        <f aca="true">OFFSET(N$2,0,0)-5</f>
        <v>-5</v>
      </c>
      <c r="O8" s="81" t="n">
        <f aca="true">OFFSET(O$2,0,0)-5</f>
        <v>-5</v>
      </c>
      <c r="P8" s="81" t="n">
        <f aca="true">OFFSET(P$2,0,0)-5</f>
        <v>-5</v>
      </c>
      <c r="Q8" s="81" t="n">
        <f aca="true">OFFSET(Q$2,0,0)-5</f>
        <v>-5</v>
      </c>
      <c r="R8" s="81" t="n">
        <f aca="true">OFFSET(R$2,0,0)-5</f>
        <v>-5</v>
      </c>
      <c r="S8" s="81" t="n">
        <f aca="true">OFFSET(S$2,0,0)-5</f>
        <v>-5</v>
      </c>
      <c r="T8" s="81"/>
    </row>
    <row r="9" customFormat="false" ht="13.5" hidden="false" customHeight="false" outlineLevel="0" collapsed="false">
      <c r="A9" s="0" t="n">
        <v>7</v>
      </c>
      <c r="B9" s="81" t="n">
        <f aca="true">OFFSET(B$2,0,0)-6</f>
        <v>10</v>
      </c>
      <c r="C9" s="81" t="n">
        <f aca="true">OFFSET(C$2,0,0)-6</f>
        <v>-6</v>
      </c>
      <c r="D9" s="81" t="n">
        <f aca="true">OFFSET(D$2,0,0)-6</f>
        <v>6</v>
      </c>
      <c r="E9" s="81" t="n">
        <f aca="true">OFFSET(E$2,0,0)-6</f>
        <v>2</v>
      </c>
      <c r="F9" s="81" t="n">
        <f aca="true">OFFSET(F$2,0,0)-6</f>
        <v>10</v>
      </c>
      <c r="G9" s="81" t="n">
        <f aca="true">OFFSET(G$2,0,0)-6</f>
        <v>10</v>
      </c>
      <c r="H9" s="81" t="n">
        <f aca="true">OFFSET(H$2,0,0)-6</f>
        <v>6</v>
      </c>
      <c r="I9" s="81" t="n">
        <f aca="true">OFFSET(I$2,0,0)-6</f>
        <v>10</v>
      </c>
      <c r="J9" s="81" t="n">
        <f aca="true">OFFSET(J$2,0,0)-6</f>
        <v>10</v>
      </c>
      <c r="K9" s="81" t="n">
        <f aca="true">OFFSET(K$2,0,0)-6</f>
        <v>6</v>
      </c>
      <c r="L9" s="81" t="n">
        <f aca="true">OFFSET(L$2,0,0)-6</f>
        <v>-6</v>
      </c>
      <c r="M9" s="81" t="n">
        <f aca="true">OFFSET(M$2,0,0)-6</f>
        <v>-6</v>
      </c>
      <c r="N9" s="81" t="n">
        <f aca="true">OFFSET(N$2,0,0)-6</f>
        <v>-6</v>
      </c>
      <c r="O9" s="81" t="n">
        <f aca="true">OFFSET(O$2,0,0)-6</f>
        <v>-6</v>
      </c>
      <c r="P9" s="81" t="n">
        <f aca="true">OFFSET(P$2,0,0)-6</f>
        <v>-6</v>
      </c>
      <c r="Q9" s="81" t="n">
        <f aca="true">OFFSET(Q$2,0,0)-6</f>
        <v>-6</v>
      </c>
      <c r="R9" s="81" t="n">
        <f aca="true">OFFSET(R$2,0,0)-6</f>
        <v>-6</v>
      </c>
      <c r="S9" s="81" t="n">
        <f aca="true">OFFSET(S$2,0,0)-6</f>
        <v>-6</v>
      </c>
      <c r="T9" s="81"/>
    </row>
    <row r="10" customFormat="false" ht="13.5" hidden="false" customHeight="false" outlineLevel="0" collapsed="false">
      <c r="A10" s="0" t="n">
        <v>8</v>
      </c>
      <c r="B10" s="81" t="n">
        <f aca="true">OFFSET(B$2,0,0)-7</f>
        <v>9</v>
      </c>
      <c r="C10" s="81" t="n">
        <f aca="true">OFFSET(C$2,0,0)-7</f>
        <v>-7</v>
      </c>
      <c r="D10" s="81" t="n">
        <f aca="true">OFFSET(D$2,0,0)-7</f>
        <v>5</v>
      </c>
      <c r="E10" s="81" t="n">
        <f aca="true">OFFSET(E$2,0,0)-7</f>
        <v>1</v>
      </c>
      <c r="F10" s="81" t="n">
        <f aca="true">OFFSET(F$2,0,0)-7</f>
        <v>9</v>
      </c>
      <c r="G10" s="81" t="n">
        <f aca="true">OFFSET(G$2,0,0)-7</f>
        <v>9</v>
      </c>
      <c r="H10" s="81" t="n">
        <f aca="true">OFFSET(H$2,0,0)-7</f>
        <v>5</v>
      </c>
      <c r="I10" s="81" t="n">
        <f aca="true">OFFSET(I$2,0,0)-7</f>
        <v>9</v>
      </c>
      <c r="J10" s="81" t="n">
        <f aca="true">OFFSET(J$2,0,0)-7</f>
        <v>9</v>
      </c>
      <c r="K10" s="81" t="n">
        <f aca="true">OFFSET(K$2,0,0)-7</f>
        <v>5</v>
      </c>
      <c r="L10" s="81" t="n">
        <f aca="true">OFFSET(L$2,0,0)-7</f>
        <v>-7</v>
      </c>
      <c r="M10" s="81" t="n">
        <f aca="true">OFFSET(M$2,0,0)-7</f>
        <v>-7</v>
      </c>
      <c r="N10" s="81" t="n">
        <f aca="true">OFFSET(N$2,0,0)-7</f>
        <v>-7</v>
      </c>
      <c r="O10" s="81" t="n">
        <f aca="true">OFFSET(O$2,0,0)-7</f>
        <v>-7</v>
      </c>
      <c r="P10" s="81" t="n">
        <f aca="true">OFFSET(P$2,0,0)-7</f>
        <v>-7</v>
      </c>
      <c r="Q10" s="81" t="n">
        <f aca="true">OFFSET(Q$2,0,0)-7</f>
        <v>-7</v>
      </c>
      <c r="R10" s="81" t="n">
        <f aca="true">OFFSET(R$2,0,0)-7</f>
        <v>-7</v>
      </c>
      <c r="S10" s="81" t="n">
        <f aca="true">OFFSET(S$2,0,0)-7</f>
        <v>-7</v>
      </c>
      <c r="T10" s="81"/>
    </row>
    <row r="11" customFormat="false" ht="13.5" hidden="false" customHeight="false" outlineLevel="0" collapsed="false">
      <c r="A11" s="0" t="n">
        <v>9</v>
      </c>
      <c r="B11" s="81" t="n">
        <f aca="true">OFFSET(B$2,0,0)-8</f>
        <v>8</v>
      </c>
      <c r="C11" s="81" t="n">
        <f aca="true">OFFSET(C$2,0,0)-8</f>
        <v>-8</v>
      </c>
      <c r="D11" s="81" t="n">
        <f aca="true">OFFSET(D$2,0,0)-8</f>
        <v>4</v>
      </c>
      <c r="E11" s="81" t="n">
        <f aca="true">OFFSET(E$2,0,0)-8</f>
        <v>0</v>
      </c>
      <c r="F11" s="81" t="n">
        <f aca="true">OFFSET(F$2,0,0)-8</f>
        <v>8</v>
      </c>
      <c r="G11" s="81" t="n">
        <f aca="true">OFFSET(G$2,0,0)-8</f>
        <v>8</v>
      </c>
      <c r="H11" s="81" t="n">
        <f aca="true">OFFSET(H$2,0,0)-8</f>
        <v>4</v>
      </c>
      <c r="I11" s="81" t="n">
        <f aca="true">OFFSET(I$2,0,0)-8</f>
        <v>8</v>
      </c>
      <c r="J11" s="81" t="n">
        <f aca="true">OFFSET(J$2,0,0)-8</f>
        <v>8</v>
      </c>
      <c r="K11" s="81" t="n">
        <f aca="true">OFFSET(K$2,0,0)-8</f>
        <v>4</v>
      </c>
      <c r="L11" s="81" t="n">
        <f aca="true">OFFSET(L$2,0,0)-8</f>
        <v>-8</v>
      </c>
      <c r="M11" s="81" t="n">
        <f aca="true">OFFSET(M$2,0,0)-8</f>
        <v>-8</v>
      </c>
      <c r="N11" s="81" t="n">
        <f aca="true">OFFSET(N$2,0,0)-8</f>
        <v>-8</v>
      </c>
      <c r="O11" s="81" t="n">
        <f aca="true">OFFSET(O$2,0,0)-8</f>
        <v>-8</v>
      </c>
      <c r="P11" s="81" t="n">
        <f aca="true">OFFSET(P$2,0,0)-8</f>
        <v>-8</v>
      </c>
      <c r="Q11" s="81" t="n">
        <f aca="true">OFFSET(Q$2,0,0)-8</f>
        <v>-8</v>
      </c>
      <c r="R11" s="81" t="n">
        <f aca="true">OFFSET(R$2,0,0)-8</f>
        <v>-8</v>
      </c>
      <c r="S11" s="81" t="n">
        <f aca="true">OFFSET(S$2,0,0)-8</f>
        <v>-8</v>
      </c>
      <c r="T11" s="81"/>
    </row>
    <row r="12" customFormat="false" ht="13.5" hidden="false" customHeight="false" outlineLevel="0" collapsed="false">
      <c r="A12" s="0" t="n">
        <v>10</v>
      </c>
      <c r="B12" s="81" t="n">
        <f aca="true">OFFSET(B$2,0,0)-9</f>
        <v>7</v>
      </c>
      <c r="C12" s="81" t="n">
        <f aca="true">OFFSET(C$2,0,0)-9</f>
        <v>-9</v>
      </c>
      <c r="D12" s="81" t="n">
        <f aca="true">OFFSET(D$2,0,0)-9</f>
        <v>3</v>
      </c>
      <c r="E12" s="81" t="n">
        <f aca="true">OFFSET(E$2,0,0)-9</f>
        <v>-1</v>
      </c>
      <c r="F12" s="81" t="n">
        <f aca="true">OFFSET(F$2,0,0)-9</f>
        <v>7</v>
      </c>
      <c r="G12" s="81" t="n">
        <f aca="true">OFFSET(G$2,0,0)-9</f>
        <v>7</v>
      </c>
      <c r="H12" s="81" t="n">
        <f aca="true">OFFSET(H$2,0,0)-9</f>
        <v>3</v>
      </c>
      <c r="I12" s="81" t="n">
        <f aca="true">OFFSET(I$2,0,0)-9</f>
        <v>7</v>
      </c>
      <c r="J12" s="81" t="n">
        <f aca="true">OFFSET(J$2,0,0)-9</f>
        <v>7</v>
      </c>
      <c r="K12" s="81" t="n">
        <f aca="true">OFFSET(K$2,0,0)-9</f>
        <v>3</v>
      </c>
      <c r="L12" s="81" t="n">
        <f aca="true">OFFSET(L$2,0,0)-9</f>
        <v>-9</v>
      </c>
      <c r="M12" s="81" t="n">
        <f aca="true">OFFSET(M$2,0,0)-9</f>
        <v>-9</v>
      </c>
      <c r="N12" s="81" t="n">
        <f aca="true">OFFSET(N$2,0,0)-9</f>
        <v>-9</v>
      </c>
      <c r="O12" s="81" t="n">
        <f aca="true">OFFSET(O$2,0,0)-9</f>
        <v>-9</v>
      </c>
      <c r="P12" s="81" t="n">
        <f aca="true">OFFSET(P$2,0,0)-9</f>
        <v>-9</v>
      </c>
      <c r="Q12" s="81" t="n">
        <f aca="true">OFFSET(Q$2,0,0)-9</f>
        <v>-9</v>
      </c>
      <c r="R12" s="81" t="n">
        <f aca="true">OFFSET(R$2,0,0)-9</f>
        <v>-9</v>
      </c>
      <c r="S12" s="81" t="n">
        <f aca="true">OFFSET(S$2,0,0)-9</f>
        <v>-9</v>
      </c>
      <c r="T12" s="81"/>
    </row>
    <row r="13" customFormat="false" ht="13.5" hidden="false" customHeight="false" outlineLevel="0" collapsed="false">
      <c r="A13" s="0" t="n">
        <v>11</v>
      </c>
      <c r="B13" s="81" t="n">
        <f aca="true">OFFSET(B$2,0,0)-10</f>
        <v>6</v>
      </c>
      <c r="C13" s="81" t="n">
        <f aca="true">OFFSET(C$2,0,0)-10</f>
        <v>-10</v>
      </c>
      <c r="D13" s="81" t="n">
        <f aca="true">OFFSET(D$2,0,0)-10</f>
        <v>2</v>
      </c>
      <c r="E13" s="81" t="n">
        <f aca="true">OFFSET(E$2,0,0)-10</f>
        <v>-2</v>
      </c>
      <c r="F13" s="81" t="n">
        <f aca="true">OFFSET(F$2,0,0)-10</f>
        <v>6</v>
      </c>
      <c r="G13" s="81" t="n">
        <f aca="true">OFFSET(G$2,0,0)-10</f>
        <v>6</v>
      </c>
      <c r="H13" s="81" t="n">
        <f aca="true">OFFSET(H$2,0,0)-10</f>
        <v>2</v>
      </c>
      <c r="I13" s="81" t="n">
        <f aca="true">OFFSET(I$2,0,0)-10</f>
        <v>6</v>
      </c>
      <c r="J13" s="81" t="n">
        <f aca="true">OFFSET(J$2,0,0)-10</f>
        <v>6</v>
      </c>
      <c r="K13" s="81" t="n">
        <f aca="true">OFFSET(K$2,0,0)-10</f>
        <v>2</v>
      </c>
      <c r="L13" s="81" t="n">
        <f aca="true">OFFSET(L$2,0,0)-10</f>
        <v>-10</v>
      </c>
      <c r="M13" s="81" t="n">
        <f aca="true">OFFSET(M$2,0,0)-10</f>
        <v>-10</v>
      </c>
      <c r="N13" s="81" t="n">
        <f aca="true">OFFSET(N$2,0,0)-10</f>
        <v>-10</v>
      </c>
      <c r="O13" s="81" t="n">
        <f aca="true">OFFSET(O$2,0,0)-10</f>
        <v>-10</v>
      </c>
      <c r="P13" s="81" t="n">
        <f aca="true">OFFSET(P$2,0,0)-10</f>
        <v>-10</v>
      </c>
      <c r="Q13" s="81" t="n">
        <f aca="true">OFFSET(Q$2,0,0)-10</f>
        <v>-10</v>
      </c>
      <c r="R13" s="81" t="n">
        <f aca="true">OFFSET(R$2,0,0)-10</f>
        <v>-10</v>
      </c>
      <c r="S13" s="81" t="n">
        <f aca="true">OFFSET(S$2,0,0)-10</f>
        <v>-10</v>
      </c>
      <c r="T13" s="81"/>
    </row>
    <row r="14" customFormat="false" ht="13.5" hidden="false" customHeight="false" outlineLevel="0" collapsed="false">
      <c r="A14" s="0" t="n">
        <v>12</v>
      </c>
      <c r="B14" s="81" t="n">
        <f aca="true">OFFSET(B$2,0,0)-11</f>
        <v>5</v>
      </c>
      <c r="C14" s="81" t="n">
        <f aca="true">OFFSET(C$2,0,0)-11</f>
        <v>-11</v>
      </c>
      <c r="D14" s="81" t="n">
        <f aca="true">OFFSET(D$2,0,0)-11</f>
        <v>1</v>
      </c>
      <c r="E14" s="81" t="n">
        <f aca="true">OFFSET(E$2,0,0)-11</f>
        <v>-3</v>
      </c>
      <c r="F14" s="81" t="n">
        <f aca="true">OFFSET(F$2,0,0)-11</f>
        <v>5</v>
      </c>
      <c r="G14" s="81" t="n">
        <f aca="true">OFFSET(G$2,0,0)-11</f>
        <v>5</v>
      </c>
      <c r="H14" s="81" t="n">
        <f aca="true">OFFSET(H$2,0,0)-11</f>
        <v>1</v>
      </c>
      <c r="I14" s="81" t="n">
        <f aca="true">OFFSET(I$2,0,0)-11</f>
        <v>5</v>
      </c>
      <c r="J14" s="81" t="n">
        <f aca="true">OFFSET(J$2,0,0)-11</f>
        <v>5</v>
      </c>
      <c r="K14" s="81" t="n">
        <f aca="true">OFFSET(K$2,0,0)-11</f>
        <v>1</v>
      </c>
      <c r="L14" s="81" t="n">
        <f aca="true">OFFSET(L$2,0,0)-11</f>
        <v>-11</v>
      </c>
      <c r="M14" s="81" t="n">
        <f aca="true">OFFSET(M$2,0,0)-11</f>
        <v>-11</v>
      </c>
      <c r="N14" s="81" t="n">
        <f aca="true">OFFSET(N$2,0,0)-11</f>
        <v>-11</v>
      </c>
      <c r="O14" s="81" t="n">
        <f aca="true">OFFSET(O$2,0,0)-11</f>
        <v>-11</v>
      </c>
      <c r="P14" s="81" t="n">
        <f aca="true">OFFSET(P$2,0,0)-11</f>
        <v>-11</v>
      </c>
      <c r="Q14" s="81" t="n">
        <f aca="true">OFFSET(Q$2,0,0)-11</f>
        <v>-11</v>
      </c>
      <c r="R14" s="81" t="n">
        <f aca="true">OFFSET(R$2,0,0)-11</f>
        <v>-11</v>
      </c>
      <c r="S14" s="81" t="n">
        <f aca="true">OFFSET(S$2,0,0)-11</f>
        <v>-11</v>
      </c>
      <c r="T14" s="81"/>
    </row>
    <row r="15" customFormat="false" ht="13.5" hidden="false" customHeight="false" outlineLevel="0" collapsed="false">
      <c r="A15" s="0" t="n">
        <v>13</v>
      </c>
      <c r="B15" s="81" t="n">
        <f aca="true">OFFSET(B$2,0,0)-12</f>
        <v>4</v>
      </c>
      <c r="C15" s="81" t="n">
        <f aca="true">OFFSET(C$2,0,0)-12</f>
        <v>-12</v>
      </c>
      <c r="D15" s="81" t="n">
        <f aca="true">OFFSET(D$2,0,0)-12</f>
        <v>0</v>
      </c>
      <c r="E15" s="81" t="n">
        <f aca="true">OFFSET(E$2,0,0)-12</f>
        <v>-4</v>
      </c>
      <c r="F15" s="81" t="n">
        <f aca="true">OFFSET(F$2,0,0)-12</f>
        <v>4</v>
      </c>
      <c r="G15" s="81" t="n">
        <f aca="true">OFFSET(G$2,0,0)-12</f>
        <v>4</v>
      </c>
      <c r="H15" s="81" t="n">
        <f aca="true">OFFSET(H$2,0,0)-12</f>
        <v>0</v>
      </c>
      <c r="I15" s="81" t="n">
        <f aca="true">OFFSET(I$2,0,0)-12</f>
        <v>4</v>
      </c>
      <c r="J15" s="81" t="n">
        <f aca="true">OFFSET(J$2,0,0)-12</f>
        <v>4</v>
      </c>
      <c r="K15" s="81" t="n">
        <f aca="true">OFFSET(K$2,0,0)-12</f>
        <v>0</v>
      </c>
      <c r="L15" s="81" t="n">
        <f aca="true">OFFSET(L$2,0,0)-12</f>
        <v>-12</v>
      </c>
      <c r="M15" s="81" t="n">
        <f aca="true">OFFSET(M$2,0,0)-12</f>
        <v>-12</v>
      </c>
      <c r="N15" s="81" t="n">
        <f aca="true">OFFSET(N$2,0,0)-12</f>
        <v>-12</v>
      </c>
      <c r="O15" s="81" t="n">
        <f aca="true">OFFSET(O$2,0,0)-12</f>
        <v>-12</v>
      </c>
      <c r="P15" s="81" t="n">
        <f aca="true">OFFSET(P$2,0,0)-12</f>
        <v>-12</v>
      </c>
      <c r="Q15" s="81" t="n">
        <f aca="true">OFFSET(Q$2,0,0)-12</f>
        <v>-12</v>
      </c>
      <c r="R15" s="81" t="n">
        <f aca="true">OFFSET(R$2,0,0)-12</f>
        <v>-12</v>
      </c>
      <c r="S15" s="81" t="n">
        <f aca="true">OFFSET(S$2,0,0)-12</f>
        <v>-12</v>
      </c>
      <c r="T15" s="81"/>
    </row>
    <row r="16" customFormat="false" ht="13.5" hidden="false" customHeight="false" outlineLevel="0" collapsed="false">
      <c r="A16" s="0" t="n">
        <v>14</v>
      </c>
      <c r="B16" s="81" t="n">
        <f aca="true">OFFSET(B$2,0,0)-13</f>
        <v>3</v>
      </c>
      <c r="C16" s="81" t="n">
        <f aca="true">OFFSET(C$2,0,0)-13</f>
        <v>-13</v>
      </c>
      <c r="D16" s="81" t="n">
        <f aca="true">OFFSET(D$2,0,0)-13</f>
        <v>-1</v>
      </c>
      <c r="E16" s="81" t="n">
        <f aca="true">OFFSET(E$2,0,0)-13</f>
        <v>-5</v>
      </c>
      <c r="F16" s="81" t="n">
        <f aca="true">OFFSET(F$2,0,0)-13</f>
        <v>3</v>
      </c>
      <c r="G16" s="81" t="n">
        <f aca="true">OFFSET(G$2,0,0)-13</f>
        <v>3</v>
      </c>
      <c r="H16" s="81" t="n">
        <f aca="true">OFFSET(H$2,0,0)-13</f>
        <v>-1</v>
      </c>
      <c r="I16" s="81" t="n">
        <f aca="true">OFFSET(I$2,0,0)-13</f>
        <v>3</v>
      </c>
      <c r="J16" s="81" t="n">
        <f aca="true">OFFSET(J$2,0,0)-13</f>
        <v>3</v>
      </c>
      <c r="K16" s="81" t="n">
        <f aca="true">OFFSET(K$2,0,0)-13</f>
        <v>-1</v>
      </c>
      <c r="L16" s="81" t="n">
        <f aca="true">OFFSET(L$2,0,0)-13</f>
        <v>-13</v>
      </c>
      <c r="M16" s="81" t="n">
        <f aca="true">OFFSET(M$2,0,0)-13</f>
        <v>-13</v>
      </c>
      <c r="N16" s="81" t="n">
        <f aca="true">OFFSET(N$2,0,0)-13</f>
        <v>-13</v>
      </c>
      <c r="O16" s="81" t="n">
        <f aca="true">OFFSET(O$2,0,0)-13</f>
        <v>-13</v>
      </c>
      <c r="P16" s="81" t="n">
        <f aca="true">OFFSET(P$2,0,0)-13</f>
        <v>-13</v>
      </c>
      <c r="Q16" s="81" t="n">
        <f aca="true">OFFSET(Q$2,0,0)-13</f>
        <v>-13</v>
      </c>
      <c r="R16" s="81" t="n">
        <f aca="true">OFFSET(R$2,0,0)-13</f>
        <v>-13</v>
      </c>
      <c r="S16" s="81" t="n">
        <f aca="true">OFFSET(S$2,0,0)-13</f>
        <v>-13</v>
      </c>
      <c r="T16" s="81"/>
    </row>
    <row r="17" customFormat="false" ht="13.5" hidden="false" customHeight="false" outlineLevel="0" collapsed="false">
      <c r="A17" s="0" t="n">
        <v>15</v>
      </c>
      <c r="B17" s="81" t="n">
        <f aca="true">OFFSET(B$2,0,0)-14</f>
        <v>2</v>
      </c>
      <c r="C17" s="81" t="n">
        <f aca="true">OFFSET(C$2,0,0)-14</f>
        <v>-14</v>
      </c>
      <c r="D17" s="81" t="n">
        <f aca="true">OFFSET(D$2,0,0)-14</f>
        <v>-2</v>
      </c>
      <c r="E17" s="81" t="n">
        <f aca="true">OFFSET(E$2,0,0)-14</f>
        <v>-6</v>
      </c>
      <c r="F17" s="81" t="n">
        <f aca="true">OFFSET(F$2,0,0)-14</f>
        <v>2</v>
      </c>
      <c r="G17" s="81" t="n">
        <f aca="true">OFFSET(G$2,0,0)-14</f>
        <v>2</v>
      </c>
      <c r="H17" s="81" t="n">
        <f aca="true">OFFSET(H$2,0,0)-14</f>
        <v>-2</v>
      </c>
      <c r="I17" s="81" t="n">
        <f aca="true">OFFSET(I$2,0,0)-14</f>
        <v>2</v>
      </c>
      <c r="J17" s="81" t="n">
        <f aca="true">OFFSET(J$2,0,0)-14</f>
        <v>2</v>
      </c>
      <c r="K17" s="81" t="n">
        <f aca="true">OFFSET(K$2,0,0)-14</f>
        <v>-2</v>
      </c>
      <c r="L17" s="81" t="n">
        <f aca="true">OFFSET(L$2,0,0)-14</f>
        <v>-14</v>
      </c>
      <c r="M17" s="81" t="n">
        <f aca="true">OFFSET(M$2,0,0)-14</f>
        <v>-14</v>
      </c>
      <c r="N17" s="81" t="n">
        <f aca="true">OFFSET(N$2,0,0)-14</f>
        <v>-14</v>
      </c>
      <c r="O17" s="81" t="n">
        <f aca="true">OFFSET(O$2,0,0)-14</f>
        <v>-14</v>
      </c>
      <c r="P17" s="81" t="n">
        <f aca="true">OFFSET(P$2,0,0)-14</f>
        <v>-14</v>
      </c>
      <c r="Q17" s="81" t="n">
        <f aca="true">OFFSET(Q$2,0,0)-14</f>
        <v>-14</v>
      </c>
      <c r="R17" s="81" t="n">
        <f aca="true">OFFSET(R$2,0,0)-14</f>
        <v>-14</v>
      </c>
      <c r="S17" s="81" t="n">
        <f aca="true">OFFSET(S$2,0,0)-14</f>
        <v>-14</v>
      </c>
      <c r="T17" s="81"/>
    </row>
    <row r="18" customFormat="false" ht="13.5" hidden="false" customHeight="false" outlineLevel="0" collapsed="false">
      <c r="A18" s="0" t="n">
        <v>16</v>
      </c>
      <c r="B18" s="81" t="n">
        <f aca="true">OFFSET(B$2,0,0)-15</f>
        <v>1</v>
      </c>
      <c r="C18" s="81" t="n">
        <f aca="true">OFFSET(C$2,0,0)-15</f>
        <v>-15</v>
      </c>
      <c r="D18" s="81" t="n">
        <f aca="true">OFFSET(D$2,0,0)-15</f>
        <v>-3</v>
      </c>
      <c r="E18" s="81" t="n">
        <f aca="true">OFFSET(E$2,0,0)-15</f>
        <v>-7</v>
      </c>
      <c r="F18" s="81" t="n">
        <f aca="true">OFFSET(F$2,0,0)-15</f>
        <v>1</v>
      </c>
      <c r="G18" s="81" t="n">
        <f aca="true">OFFSET(G$2,0,0)-15</f>
        <v>1</v>
      </c>
      <c r="H18" s="81" t="n">
        <f aca="true">OFFSET(H$2,0,0)-15</f>
        <v>-3</v>
      </c>
      <c r="I18" s="81" t="n">
        <f aca="true">OFFSET(I$2,0,0)-15</f>
        <v>1</v>
      </c>
      <c r="J18" s="81" t="n">
        <f aca="true">OFFSET(J$2,0,0)-15</f>
        <v>1</v>
      </c>
      <c r="K18" s="81" t="n">
        <f aca="true">OFFSET(K$2,0,0)-15</f>
        <v>-3</v>
      </c>
      <c r="L18" s="81" t="n">
        <f aca="true">OFFSET(L$2,0,0)-15</f>
        <v>-15</v>
      </c>
      <c r="M18" s="81" t="n">
        <f aca="true">OFFSET(M$2,0,0)-15</f>
        <v>-15</v>
      </c>
      <c r="N18" s="81" t="n">
        <f aca="true">OFFSET(N$2,0,0)-15</f>
        <v>-15</v>
      </c>
      <c r="O18" s="81" t="n">
        <f aca="true">OFFSET(O$2,0,0)-15</f>
        <v>-15</v>
      </c>
      <c r="P18" s="81" t="n">
        <f aca="true">OFFSET(P$2,0,0)-15</f>
        <v>-15</v>
      </c>
      <c r="Q18" s="81" t="n">
        <f aca="true">OFFSET(Q$2,0,0)-15</f>
        <v>-15</v>
      </c>
      <c r="R18" s="81" t="n">
        <f aca="true">OFFSET(R$2,0,0)-15</f>
        <v>-15</v>
      </c>
      <c r="S18" s="81" t="n">
        <f aca="true">OFFSET(S$2,0,0)-15</f>
        <v>-15</v>
      </c>
      <c r="T18" s="81"/>
    </row>
    <row r="19" customFormat="false" ht="13.5" hidden="false" customHeight="false" outlineLevel="0" collapsed="false">
      <c r="A19" s="0" t="n">
        <v>17</v>
      </c>
      <c r="B19" s="81" t="n">
        <f aca="true">OFFSET(B$2,0,0)-16</f>
        <v>0</v>
      </c>
      <c r="C19" s="81" t="n">
        <f aca="true">OFFSET(C$2,0,0)-16</f>
        <v>-16</v>
      </c>
      <c r="D19" s="81" t="n">
        <f aca="true">OFFSET(D$2,0,0)-16</f>
        <v>-4</v>
      </c>
      <c r="E19" s="81" t="n">
        <f aca="true">OFFSET(E$2,0,0)-16</f>
        <v>-8</v>
      </c>
      <c r="F19" s="81" t="n">
        <f aca="true">OFFSET(F$2,0,0)-16</f>
        <v>0</v>
      </c>
      <c r="G19" s="81" t="n">
        <f aca="true">OFFSET(G$2,0,0)-16</f>
        <v>0</v>
      </c>
      <c r="H19" s="81" t="n">
        <f aca="true">OFFSET(H$2,0,0)-16</f>
        <v>-4</v>
      </c>
      <c r="I19" s="81" t="n">
        <f aca="true">OFFSET(I$2,0,0)-16</f>
        <v>0</v>
      </c>
      <c r="J19" s="81" t="n">
        <f aca="true">OFFSET(J$2,0,0)-16</f>
        <v>0</v>
      </c>
      <c r="K19" s="81" t="n">
        <f aca="true">OFFSET(K$2,0,0)-16</f>
        <v>-4</v>
      </c>
      <c r="L19" s="81" t="n">
        <f aca="true">OFFSET(L$2,0,0)-16</f>
        <v>-16</v>
      </c>
      <c r="M19" s="81" t="n">
        <f aca="true">OFFSET(M$2,0,0)-16</f>
        <v>-16</v>
      </c>
      <c r="N19" s="81" t="n">
        <f aca="true">OFFSET(N$2,0,0)-16</f>
        <v>-16</v>
      </c>
      <c r="O19" s="81" t="n">
        <f aca="true">OFFSET(O$2,0,0)-16</f>
        <v>-16</v>
      </c>
      <c r="P19" s="81" t="n">
        <f aca="true">OFFSET(P$2,0,0)-16</f>
        <v>-16</v>
      </c>
      <c r="Q19" s="81" t="n">
        <f aca="true">OFFSET(Q$2,0,0)-16</f>
        <v>-16</v>
      </c>
      <c r="R19" s="81" t="n">
        <f aca="true">OFFSET(R$2,0,0)-16</f>
        <v>-16</v>
      </c>
      <c r="S19" s="81" t="n">
        <f aca="true">OFFSET(S$2,0,0)-16</f>
        <v>-16</v>
      </c>
      <c r="T19" s="81"/>
    </row>
    <row r="20" customFormat="false" ht="13.5" hidden="false" customHeight="false" outlineLevel="0" collapsed="false">
      <c r="A20" s="0" t="n">
        <v>18</v>
      </c>
      <c r="B20" s="81" t="n">
        <f aca="true">OFFSET(B$2,0,0)-17</f>
        <v>-1</v>
      </c>
      <c r="C20" s="81" t="n">
        <f aca="true">OFFSET(C$2,0,0)-17</f>
        <v>-17</v>
      </c>
      <c r="D20" s="81" t="n">
        <f aca="true">OFFSET(D$2,0,0)-17</f>
        <v>-5</v>
      </c>
      <c r="E20" s="81" t="n">
        <f aca="true">OFFSET(E$2,0,0)-17</f>
        <v>-9</v>
      </c>
      <c r="F20" s="81" t="n">
        <f aca="true">OFFSET(F$2,0,0)-17</f>
        <v>-1</v>
      </c>
      <c r="G20" s="81" t="n">
        <f aca="true">OFFSET(G$2,0,0)-17</f>
        <v>-1</v>
      </c>
      <c r="H20" s="81" t="n">
        <f aca="true">OFFSET(H$2,0,0)-17</f>
        <v>-5</v>
      </c>
      <c r="I20" s="81" t="n">
        <f aca="true">OFFSET(I$2,0,0)-17</f>
        <v>-1</v>
      </c>
      <c r="J20" s="81" t="n">
        <f aca="true">OFFSET(J$2,0,0)-17</f>
        <v>-1</v>
      </c>
      <c r="K20" s="81" t="n">
        <f aca="true">OFFSET(K$2,0,0)-17</f>
        <v>-5</v>
      </c>
      <c r="L20" s="81" t="n">
        <f aca="true">OFFSET(L$2,0,0)-17</f>
        <v>-17</v>
      </c>
      <c r="M20" s="81" t="n">
        <f aca="true">OFFSET(M$2,0,0)-17</f>
        <v>-17</v>
      </c>
      <c r="N20" s="81" t="n">
        <f aca="true">OFFSET(N$2,0,0)-17</f>
        <v>-17</v>
      </c>
      <c r="O20" s="81" t="n">
        <f aca="true">OFFSET(O$2,0,0)-17</f>
        <v>-17</v>
      </c>
      <c r="P20" s="81" t="n">
        <f aca="true">OFFSET(P$2,0,0)-17</f>
        <v>-17</v>
      </c>
      <c r="Q20" s="81" t="n">
        <f aca="true">OFFSET(Q$2,0,0)-17</f>
        <v>-17</v>
      </c>
      <c r="R20" s="81" t="n">
        <f aca="true">OFFSET(R$2,0,0)-17</f>
        <v>-17</v>
      </c>
      <c r="S20" s="81" t="n">
        <f aca="true">OFFSET(S$2,0,0)-17</f>
        <v>-17</v>
      </c>
      <c r="T20" s="81"/>
    </row>
    <row r="21" customFormat="false" ht="13.5" hidden="false" customHeight="false" outlineLevel="0" collapsed="false">
      <c r="A21" s="0" t="n">
        <v>19</v>
      </c>
      <c r="B21" s="81" t="n">
        <f aca="true">OFFSET(B$2,0,0)-18</f>
        <v>-2</v>
      </c>
      <c r="C21" s="81" t="n">
        <f aca="true">OFFSET(C$2,0,0)-18</f>
        <v>-18</v>
      </c>
      <c r="D21" s="81" t="n">
        <f aca="true">OFFSET(D$2,0,0)-18</f>
        <v>-6</v>
      </c>
      <c r="E21" s="81" t="n">
        <f aca="true">OFFSET(E$2,0,0)-18</f>
        <v>-10</v>
      </c>
      <c r="F21" s="81" t="n">
        <f aca="true">OFFSET(F$2,0,0)-18</f>
        <v>-2</v>
      </c>
      <c r="G21" s="81" t="n">
        <f aca="true">OFFSET(G$2,0,0)-18</f>
        <v>-2</v>
      </c>
      <c r="H21" s="81" t="n">
        <f aca="true">OFFSET(H$2,0,0)-18</f>
        <v>-6</v>
      </c>
      <c r="I21" s="81" t="n">
        <f aca="true">OFFSET(I$2,0,0)-18</f>
        <v>-2</v>
      </c>
      <c r="J21" s="81" t="n">
        <f aca="true">OFFSET(J$2,0,0)-18</f>
        <v>-2</v>
      </c>
      <c r="K21" s="81" t="n">
        <f aca="true">OFFSET(K$2,0,0)-18</f>
        <v>-6</v>
      </c>
      <c r="L21" s="81" t="n">
        <f aca="true">OFFSET(L$2,0,0)-18</f>
        <v>-18</v>
      </c>
      <c r="M21" s="81" t="n">
        <f aca="true">OFFSET(M$2,0,0)-18</f>
        <v>-18</v>
      </c>
      <c r="N21" s="81" t="n">
        <f aca="true">OFFSET(N$2,0,0)-18</f>
        <v>-18</v>
      </c>
      <c r="O21" s="81" t="n">
        <f aca="true">OFFSET(O$2,0,0)-18</f>
        <v>-18</v>
      </c>
      <c r="P21" s="81" t="n">
        <f aca="true">OFFSET(P$2,0,0)-18</f>
        <v>-18</v>
      </c>
      <c r="Q21" s="81" t="n">
        <f aca="true">OFFSET(Q$2,0,0)-18</f>
        <v>-18</v>
      </c>
      <c r="R21" s="81" t="n">
        <f aca="true">OFFSET(R$2,0,0)-18</f>
        <v>-18</v>
      </c>
      <c r="S21" s="81" t="n">
        <f aca="true">OFFSET(S$2,0,0)-18</f>
        <v>-18</v>
      </c>
      <c r="T21" s="81"/>
    </row>
    <row r="22" customFormat="false" ht="13.5" hidden="false" customHeight="false" outlineLevel="0" collapsed="false">
      <c r="A22" s="0" t="n">
        <v>20</v>
      </c>
      <c r="B22" s="81" t="n">
        <f aca="true">OFFSET(B$2,0,0)-19</f>
        <v>-3</v>
      </c>
      <c r="C22" s="81" t="n">
        <f aca="true">OFFSET(C$2,0,0)-19</f>
        <v>-19</v>
      </c>
      <c r="D22" s="81" t="n">
        <f aca="true">OFFSET(D$2,0,0)-19</f>
        <v>-7</v>
      </c>
      <c r="E22" s="81" t="n">
        <f aca="true">OFFSET(E$2,0,0)-19</f>
        <v>-11</v>
      </c>
      <c r="F22" s="81" t="n">
        <f aca="true">OFFSET(F$2,0,0)-19</f>
        <v>-3</v>
      </c>
      <c r="G22" s="81" t="n">
        <f aca="true">OFFSET(G$2,0,0)-19</f>
        <v>-3</v>
      </c>
      <c r="H22" s="81" t="n">
        <f aca="true">OFFSET(H$2,0,0)-19</f>
        <v>-7</v>
      </c>
      <c r="I22" s="81" t="n">
        <f aca="true">OFFSET(I$2,0,0)-19</f>
        <v>-3</v>
      </c>
      <c r="J22" s="81" t="n">
        <f aca="true">OFFSET(J$2,0,0)-19</f>
        <v>-3</v>
      </c>
      <c r="K22" s="81" t="n">
        <f aca="true">OFFSET(K$2,0,0)-19</f>
        <v>-7</v>
      </c>
      <c r="L22" s="81" t="n">
        <f aca="true">OFFSET(L$2,0,0)-19</f>
        <v>-19</v>
      </c>
      <c r="M22" s="81" t="n">
        <f aca="true">OFFSET(M$2,0,0)-19</f>
        <v>-19</v>
      </c>
      <c r="N22" s="81" t="n">
        <f aca="true">OFFSET(N$2,0,0)-19</f>
        <v>-19</v>
      </c>
      <c r="O22" s="81" t="n">
        <f aca="true">OFFSET(O$2,0,0)-19</f>
        <v>-19</v>
      </c>
      <c r="P22" s="81" t="n">
        <f aca="true">OFFSET(P$2,0,0)-19</f>
        <v>-19</v>
      </c>
      <c r="Q22" s="81" t="n">
        <f aca="true">OFFSET(Q$2,0,0)-19</f>
        <v>-19</v>
      </c>
      <c r="R22" s="81" t="n">
        <f aca="true">OFFSET(R$2,0,0)-19</f>
        <v>-19</v>
      </c>
      <c r="S22" s="81" t="n">
        <f aca="true">OFFSET(S$2,0,0)-19</f>
        <v>-19</v>
      </c>
      <c r="T22" s="81"/>
    </row>
    <row r="23" customFormat="false" ht="13.5" hidden="false" customHeight="false" outlineLevel="0" collapsed="false">
      <c r="A23" s="0" t="n">
        <v>21</v>
      </c>
      <c r="B23" s="81" t="n">
        <f aca="true">OFFSET(B$2,0,0)-20</f>
        <v>-4</v>
      </c>
      <c r="C23" s="81" t="n">
        <f aca="true">OFFSET(C$2,0,0)-20</f>
        <v>-20</v>
      </c>
      <c r="D23" s="81" t="n">
        <f aca="true">OFFSET(D$2,0,0)-20</f>
        <v>-8</v>
      </c>
      <c r="E23" s="81" t="n">
        <f aca="true">OFFSET(E$2,0,0)-20</f>
        <v>-12</v>
      </c>
      <c r="F23" s="81" t="n">
        <f aca="true">OFFSET(F$2,0,0)-20</f>
        <v>-4</v>
      </c>
      <c r="G23" s="81" t="n">
        <f aca="true">OFFSET(G$2,0,0)-20</f>
        <v>-4</v>
      </c>
      <c r="H23" s="81" t="n">
        <f aca="true">OFFSET(H$2,0,0)-20</f>
        <v>-8</v>
      </c>
      <c r="I23" s="81" t="n">
        <f aca="true">OFFSET(I$2,0,0)-20</f>
        <v>-4</v>
      </c>
      <c r="J23" s="81" t="n">
        <f aca="true">OFFSET(J$2,0,0)-20</f>
        <v>-4</v>
      </c>
      <c r="K23" s="81" t="n">
        <f aca="true">OFFSET(K$2,0,0)-20</f>
        <v>-8</v>
      </c>
      <c r="L23" s="81" t="n">
        <f aca="true">OFFSET(L$2,0,0)-20</f>
        <v>-20</v>
      </c>
      <c r="M23" s="81" t="n">
        <f aca="true">OFFSET(M$2,0,0)-20</f>
        <v>-20</v>
      </c>
      <c r="N23" s="81" t="n">
        <f aca="true">OFFSET(N$2,0,0)-20</f>
        <v>-20</v>
      </c>
      <c r="O23" s="81" t="n">
        <f aca="true">OFFSET(O$2,0,0)-20</f>
        <v>-20</v>
      </c>
      <c r="P23" s="81" t="n">
        <f aca="true">OFFSET(P$2,0,0)-20</f>
        <v>-20</v>
      </c>
      <c r="Q23" s="81" t="n">
        <f aca="true">OFFSET(Q$2,0,0)-20</f>
        <v>-20</v>
      </c>
      <c r="R23" s="81" t="n">
        <f aca="true">OFFSET(R$2,0,0)-20</f>
        <v>-20</v>
      </c>
      <c r="S23" s="81" t="n">
        <f aca="true">OFFSET(S$2,0,0)-20</f>
        <v>-20</v>
      </c>
      <c r="T23" s="81"/>
    </row>
    <row r="24" customFormat="false" ht="13.5" hidden="false" customHeight="false" outlineLevel="0" collapsed="false">
      <c r="A24" s="0" t="n">
        <v>22</v>
      </c>
      <c r="B24" s="81" t="n">
        <f aca="true">OFFSET(B$2,0,0)-21</f>
        <v>-5</v>
      </c>
      <c r="C24" s="81" t="n">
        <f aca="true">OFFSET(C$2,0,0)-21</f>
        <v>-21</v>
      </c>
      <c r="D24" s="81" t="n">
        <f aca="true">OFFSET(D$2,0,0)-21</f>
        <v>-9</v>
      </c>
      <c r="E24" s="81" t="n">
        <f aca="true">OFFSET(E$2,0,0)-21</f>
        <v>-13</v>
      </c>
      <c r="F24" s="81" t="n">
        <f aca="true">OFFSET(F$2,0,0)-21</f>
        <v>-5</v>
      </c>
      <c r="G24" s="81" t="n">
        <f aca="true">OFFSET(G$2,0,0)-21</f>
        <v>-5</v>
      </c>
      <c r="H24" s="81" t="n">
        <f aca="true">OFFSET(H$2,0,0)-21</f>
        <v>-9</v>
      </c>
      <c r="I24" s="81" t="n">
        <f aca="true">OFFSET(I$2,0,0)-21</f>
        <v>-5</v>
      </c>
      <c r="J24" s="81" t="n">
        <f aca="true">OFFSET(J$2,0,0)-21</f>
        <v>-5</v>
      </c>
      <c r="K24" s="81" t="n">
        <f aca="true">OFFSET(K$2,0,0)-21</f>
        <v>-9</v>
      </c>
      <c r="L24" s="81" t="n">
        <f aca="true">OFFSET(L$2,0,0)-21</f>
        <v>-21</v>
      </c>
      <c r="M24" s="81" t="n">
        <f aca="true">OFFSET(M$2,0,0)-21</f>
        <v>-21</v>
      </c>
      <c r="N24" s="81" t="n">
        <f aca="true">OFFSET(N$2,0,0)-21</f>
        <v>-21</v>
      </c>
      <c r="O24" s="81" t="n">
        <f aca="true">OFFSET(O$2,0,0)-21</f>
        <v>-21</v>
      </c>
      <c r="P24" s="81" t="n">
        <f aca="true">OFFSET(P$2,0,0)-21</f>
        <v>-21</v>
      </c>
      <c r="Q24" s="81" t="n">
        <f aca="true">OFFSET(Q$2,0,0)-21</f>
        <v>-21</v>
      </c>
      <c r="R24" s="81" t="n">
        <f aca="true">OFFSET(R$2,0,0)-21</f>
        <v>-21</v>
      </c>
      <c r="S24" s="81" t="n">
        <f aca="true">OFFSET(S$2,0,0)-21</f>
        <v>-21</v>
      </c>
      <c r="T24" s="81"/>
    </row>
    <row r="25" customFormat="false" ht="13.5" hidden="false" customHeight="false" outlineLevel="0" collapsed="false">
      <c r="A25" s="0" t="n">
        <v>23</v>
      </c>
      <c r="B25" s="81" t="n">
        <f aca="true">OFFSET(B$2,0,0)-22</f>
        <v>-6</v>
      </c>
      <c r="C25" s="81" t="n">
        <f aca="true">OFFSET(C$2,0,0)-22</f>
        <v>-22</v>
      </c>
      <c r="D25" s="81" t="n">
        <f aca="true">OFFSET(D$2,0,0)-22</f>
        <v>-10</v>
      </c>
      <c r="E25" s="81" t="n">
        <f aca="true">OFFSET(E$2,0,0)-22</f>
        <v>-14</v>
      </c>
      <c r="F25" s="81" t="n">
        <f aca="true">OFFSET(F$2,0,0)-22</f>
        <v>-6</v>
      </c>
      <c r="G25" s="81" t="n">
        <f aca="true">OFFSET(G$2,0,0)-22</f>
        <v>-6</v>
      </c>
      <c r="H25" s="81" t="n">
        <f aca="true">OFFSET(H$2,0,0)-22</f>
        <v>-10</v>
      </c>
      <c r="I25" s="81" t="n">
        <f aca="true">OFFSET(I$2,0,0)-22</f>
        <v>-6</v>
      </c>
      <c r="J25" s="81" t="n">
        <f aca="true">OFFSET(J$2,0,0)-22</f>
        <v>-6</v>
      </c>
      <c r="K25" s="81" t="n">
        <f aca="true">OFFSET(K$2,0,0)-22</f>
        <v>-10</v>
      </c>
      <c r="L25" s="81" t="n">
        <f aca="true">OFFSET(L$2,0,0)-22</f>
        <v>-22</v>
      </c>
      <c r="M25" s="81" t="n">
        <f aca="true">OFFSET(M$2,0,0)-22</f>
        <v>-22</v>
      </c>
      <c r="N25" s="81" t="n">
        <f aca="true">OFFSET(N$2,0,0)-22</f>
        <v>-22</v>
      </c>
      <c r="O25" s="81" t="n">
        <f aca="true">OFFSET(O$2,0,0)-22</f>
        <v>-22</v>
      </c>
      <c r="P25" s="81" t="n">
        <f aca="true">OFFSET(P$2,0,0)-22</f>
        <v>-22</v>
      </c>
      <c r="Q25" s="81" t="n">
        <f aca="true">OFFSET(Q$2,0,0)-22</f>
        <v>-22</v>
      </c>
      <c r="R25" s="81" t="n">
        <f aca="true">OFFSET(R$2,0,0)-22</f>
        <v>-22</v>
      </c>
      <c r="S25" s="81" t="n">
        <f aca="true">OFFSET(S$2,0,0)-22</f>
        <v>-22</v>
      </c>
      <c r="T25" s="81"/>
    </row>
    <row r="26" customFormat="false" ht="13.5" hidden="false" customHeight="false" outlineLevel="0" collapsed="false">
      <c r="A26" s="0" t="n">
        <v>24</v>
      </c>
      <c r="B26" s="81" t="n">
        <f aca="true">OFFSET(B$2,0,0)-23</f>
        <v>-7</v>
      </c>
      <c r="C26" s="81" t="n">
        <f aca="true">OFFSET(C$2,0,0)-23</f>
        <v>-23</v>
      </c>
      <c r="D26" s="81" t="n">
        <f aca="true">OFFSET(D$2,0,0)-23</f>
        <v>-11</v>
      </c>
      <c r="E26" s="81" t="n">
        <f aca="true">OFFSET(E$2,0,0)-23</f>
        <v>-15</v>
      </c>
      <c r="F26" s="81" t="n">
        <f aca="true">OFFSET(F$2,0,0)-23</f>
        <v>-7</v>
      </c>
      <c r="G26" s="81" t="n">
        <f aca="true">OFFSET(G$2,0,0)-23</f>
        <v>-7</v>
      </c>
      <c r="H26" s="81" t="n">
        <f aca="true">OFFSET(H$2,0,0)-23</f>
        <v>-11</v>
      </c>
      <c r="I26" s="81" t="n">
        <f aca="true">OFFSET(I$2,0,0)-23</f>
        <v>-7</v>
      </c>
      <c r="J26" s="81" t="n">
        <f aca="true">OFFSET(J$2,0,0)-23</f>
        <v>-7</v>
      </c>
      <c r="K26" s="81" t="n">
        <f aca="true">OFFSET(K$2,0,0)-23</f>
        <v>-11</v>
      </c>
      <c r="L26" s="81" t="n">
        <f aca="true">OFFSET(L$2,0,0)-23</f>
        <v>-23</v>
      </c>
      <c r="M26" s="81" t="n">
        <f aca="true">OFFSET(M$2,0,0)-23</f>
        <v>-23</v>
      </c>
      <c r="N26" s="81" t="n">
        <f aca="true">OFFSET(N$2,0,0)-23</f>
        <v>-23</v>
      </c>
      <c r="O26" s="81" t="n">
        <f aca="true">OFFSET(O$2,0,0)-23</f>
        <v>-23</v>
      </c>
      <c r="P26" s="81" t="n">
        <f aca="true">OFFSET(P$2,0,0)-23</f>
        <v>-23</v>
      </c>
      <c r="Q26" s="81" t="n">
        <f aca="true">OFFSET(Q$2,0,0)-23</f>
        <v>-23</v>
      </c>
      <c r="R26" s="81" t="n">
        <f aca="true">OFFSET(R$2,0,0)-23</f>
        <v>-23</v>
      </c>
      <c r="S26" s="81" t="n">
        <f aca="true">OFFSET(S$2,0,0)-23</f>
        <v>-23</v>
      </c>
      <c r="T26" s="81"/>
    </row>
    <row r="27" customFormat="false" ht="13.5" hidden="false" customHeight="false" outlineLevel="0" collapsed="false">
      <c r="A27" s="0" t="n">
        <v>25</v>
      </c>
      <c r="B27" s="81" t="n">
        <f aca="true">OFFSET(B$2,0,0)-24</f>
        <v>-8</v>
      </c>
      <c r="C27" s="81" t="n">
        <f aca="true">OFFSET(C$2,0,0)-24</f>
        <v>-24</v>
      </c>
      <c r="D27" s="81" t="n">
        <f aca="true">OFFSET(D$2,0,0)-24</f>
        <v>-12</v>
      </c>
      <c r="E27" s="81" t="n">
        <f aca="true">OFFSET(E$2,0,0)-24</f>
        <v>-16</v>
      </c>
      <c r="F27" s="81" t="n">
        <f aca="true">OFFSET(F$2,0,0)-24</f>
        <v>-8</v>
      </c>
      <c r="G27" s="81" t="n">
        <f aca="true">OFFSET(G$2,0,0)-24</f>
        <v>-8</v>
      </c>
      <c r="H27" s="81" t="n">
        <f aca="true">OFFSET(H$2,0,0)-24</f>
        <v>-12</v>
      </c>
      <c r="I27" s="81" t="n">
        <f aca="true">OFFSET(I$2,0,0)-24</f>
        <v>-8</v>
      </c>
      <c r="J27" s="81" t="n">
        <f aca="true">OFFSET(J$2,0,0)-24</f>
        <v>-8</v>
      </c>
      <c r="K27" s="81" t="n">
        <f aca="true">OFFSET(K$2,0,0)-24</f>
        <v>-12</v>
      </c>
      <c r="L27" s="81" t="n">
        <f aca="true">OFFSET(L$2,0,0)-24</f>
        <v>-24</v>
      </c>
      <c r="M27" s="81" t="n">
        <f aca="true">OFFSET(M$2,0,0)-24</f>
        <v>-24</v>
      </c>
      <c r="N27" s="81" t="n">
        <f aca="true">OFFSET(N$2,0,0)-24</f>
        <v>-24</v>
      </c>
      <c r="O27" s="81" t="n">
        <f aca="true">OFFSET(O$2,0,0)-24</f>
        <v>-24</v>
      </c>
      <c r="P27" s="81" t="n">
        <f aca="true">OFFSET(P$2,0,0)-24</f>
        <v>-24</v>
      </c>
      <c r="Q27" s="81" t="n">
        <f aca="true">OFFSET(Q$2,0,0)-24</f>
        <v>-24</v>
      </c>
      <c r="R27" s="81" t="n">
        <f aca="true">OFFSET(R$2,0,0)-24</f>
        <v>-24</v>
      </c>
      <c r="S27" s="81" t="n">
        <f aca="true">OFFSET(S$2,0,0)-24</f>
        <v>-24</v>
      </c>
      <c r="T27" s="81"/>
    </row>
    <row r="28" customFormat="false" ht="13.5" hidden="false" customHeight="false" outlineLevel="0" collapsed="false">
      <c r="A28" s="0" t="n">
        <v>26</v>
      </c>
      <c r="B28" s="81" t="n">
        <f aca="true">OFFSET(B$2,0,0)-25</f>
        <v>-9</v>
      </c>
      <c r="C28" s="81" t="n">
        <f aca="true">OFFSET(C$2,0,0)-25</f>
        <v>-25</v>
      </c>
      <c r="D28" s="81" t="n">
        <f aca="true">OFFSET(D$2,0,0)-25</f>
        <v>-13</v>
      </c>
      <c r="E28" s="81" t="n">
        <f aca="true">OFFSET(E$2,0,0)-25</f>
        <v>-17</v>
      </c>
      <c r="F28" s="81" t="n">
        <f aca="true">OFFSET(F$2,0,0)-25</f>
        <v>-9</v>
      </c>
      <c r="G28" s="81" t="n">
        <f aca="true">OFFSET(G$2,0,0)-25</f>
        <v>-9</v>
      </c>
      <c r="H28" s="81" t="n">
        <f aca="true">OFFSET(H$2,0,0)-25</f>
        <v>-13</v>
      </c>
      <c r="I28" s="81" t="n">
        <f aca="true">OFFSET(I$2,0,0)-25</f>
        <v>-9</v>
      </c>
      <c r="J28" s="81" t="n">
        <f aca="true">OFFSET(J$2,0,0)-25</f>
        <v>-9</v>
      </c>
      <c r="K28" s="81" t="n">
        <f aca="true">OFFSET(K$2,0,0)-25</f>
        <v>-13</v>
      </c>
      <c r="L28" s="81" t="n">
        <f aca="true">OFFSET(L$2,0,0)-25</f>
        <v>-25</v>
      </c>
      <c r="M28" s="81" t="n">
        <f aca="true">OFFSET(M$2,0,0)-25</f>
        <v>-25</v>
      </c>
      <c r="N28" s="81" t="n">
        <f aca="true">OFFSET(N$2,0,0)-25</f>
        <v>-25</v>
      </c>
      <c r="O28" s="81" t="n">
        <f aca="true">OFFSET(O$2,0,0)-25</f>
        <v>-25</v>
      </c>
      <c r="P28" s="81" t="n">
        <f aca="true">OFFSET(P$2,0,0)-25</f>
        <v>-25</v>
      </c>
      <c r="Q28" s="81" t="n">
        <f aca="true">OFFSET(Q$2,0,0)-25</f>
        <v>-25</v>
      </c>
      <c r="R28" s="81" t="n">
        <f aca="true">OFFSET(R$2,0,0)-25</f>
        <v>-25</v>
      </c>
      <c r="S28" s="81" t="n">
        <f aca="true">OFFSET(S$2,0,0)-25</f>
        <v>-25</v>
      </c>
      <c r="T28" s="81"/>
    </row>
    <row r="29" customFormat="false" ht="13.5" hidden="false" customHeight="false" outlineLevel="0" collapsed="false">
      <c r="A29" s="0" t="n">
        <v>27</v>
      </c>
      <c r="B29" s="81" t="n">
        <f aca="true">OFFSET(B$2,0,0)-26</f>
        <v>-10</v>
      </c>
      <c r="C29" s="81" t="n">
        <f aca="true">OFFSET(C$2,0,0)-26</f>
        <v>-26</v>
      </c>
      <c r="D29" s="81" t="n">
        <f aca="true">OFFSET(D$2,0,0)-26</f>
        <v>-14</v>
      </c>
      <c r="E29" s="81" t="n">
        <f aca="true">OFFSET(E$2,0,0)-26</f>
        <v>-18</v>
      </c>
      <c r="F29" s="81" t="n">
        <f aca="true">OFFSET(F$2,0,0)-26</f>
        <v>-10</v>
      </c>
      <c r="G29" s="81" t="n">
        <f aca="true">OFFSET(G$2,0,0)-26</f>
        <v>-10</v>
      </c>
      <c r="H29" s="81" t="n">
        <f aca="true">OFFSET(H$2,0,0)-26</f>
        <v>-14</v>
      </c>
      <c r="I29" s="81" t="n">
        <f aca="true">OFFSET(I$2,0,0)-26</f>
        <v>-10</v>
      </c>
      <c r="J29" s="81" t="n">
        <f aca="true">OFFSET(J$2,0,0)-26</f>
        <v>-10</v>
      </c>
      <c r="K29" s="81" t="n">
        <f aca="true">OFFSET(K$2,0,0)-26</f>
        <v>-14</v>
      </c>
      <c r="L29" s="81" t="n">
        <f aca="true">OFFSET(L$2,0,0)-26</f>
        <v>-26</v>
      </c>
      <c r="M29" s="81" t="n">
        <f aca="true">OFFSET(M$2,0,0)-26</f>
        <v>-26</v>
      </c>
      <c r="N29" s="81" t="n">
        <f aca="true">OFFSET(N$2,0,0)-26</f>
        <v>-26</v>
      </c>
      <c r="O29" s="81" t="n">
        <f aca="true">OFFSET(O$2,0,0)-26</f>
        <v>-26</v>
      </c>
      <c r="P29" s="81" t="n">
        <f aca="true">OFFSET(P$2,0,0)-26</f>
        <v>-26</v>
      </c>
      <c r="Q29" s="81" t="n">
        <f aca="true">OFFSET(Q$2,0,0)-26</f>
        <v>-26</v>
      </c>
      <c r="R29" s="81" t="n">
        <f aca="true">OFFSET(R$2,0,0)-26</f>
        <v>-26</v>
      </c>
      <c r="S29" s="81" t="n">
        <f aca="true">OFFSET(S$2,0,0)-26</f>
        <v>-26</v>
      </c>
      <c r="T29" s="81"/>
    </row>
    <row r="30" customFormat="false" ht="13.5" hidden="false" customHeight="false" outlineLevel="0" collapsed="false">
      <c r="A30" s="0" t="n">
        <v>28</v>
      </c>
      <c r="B30" s="81" t="n">
        <f aca="true">OFFSET(B$2,0,0)-27</f>
        <v>-11</v>
      </c>
      <c r="C30" s="81" t="n">
        <f aca="true">OFFSET(C$2,0,0)-27</f>
        <v>-27</v>
      </c>
      <c r="D30" s="81" t="n">
        <f aca="true">OFFSET(D$2,0,0)-27</f>
        <v>-15</v>
      </c>
      <c r="E30" s="81" t="n">
        <f aca="true">OFFSET(E$2,0,0)-27</f>
        <v>-19</v>
      </c>
      <c r="F30" s="81" t="n">
        <f aca="true">OFFSET(F$2,0,0)-27</f>
        <v>-11</v>
      </c>
      <c r="G30" s="81" t="n">
        <f aca="true">OFFSET(G$2,0,0)-27</f>
        <v>-11</v>
      </c>
      <c r="H30" s="81" t="n">
        <f aca="true">OFFSET(H$2,0,0)-27</f>
        <v>-15</v>
      </c>
      <c r="I30" s="81" t="n">
        <f aca="true">OFFSET(I$2,0,0)-27</f>
        <v>-11</v>
      </c>
      <c r="J30" s="81" t="n">
        <f aca="true">OFFSET(J$2,0,0)-27</f>
        <v>-11</v>
      </c>
      <c r="K30" s="81" t="n">
        <f aca="true">OFFSET(K$2,0,0)-27</f>
        <v>-15</v>
      </c>
      <c r="L30" s="81" t="n">
        <f aca="true">OFFSET(L$2,0,0)-27</f>
        <v>-27</v>
      </c>
      <c r="M30" s="81" t="n">
        <f aca="true">OFFSET(M$2,0,0)-27</f>
        <v>-27</v>
      </c>
      <c r="N30" s="81" t="n">
        <f aca="true">OFFSET(N$2,0,0)-27</f>
        <v>-27</v>
      </c>
      <c r="O30" s="81" t="n">
        <f aca="true">OFFSET(O$2,0,0)-27</f>
        <v>-27</v>
      </c>
      <c r="P30" s="81" t="n">
        <f aca="true">OFFSET(P$2,0,0)-27</f>
        <v>-27</v>
      </c>
      <c r="Q30" s="81" t="n">
        <f aca="true">OFFSET(Q$2,0,0)-27</f>
        <v>-27</v>
      </c>
      <c r="R30" s="81" t="n">
        <f aca="true">OFFSET(R$2,0,0)-27</f>
        <v>-27</v>
      </c>
      <c r="S30" s="81" t="n">
        <f aca="true">OFFSET(S$2,0,0)-27</f>
        <v>-27</v>
      </c>
      <c r="T30" s="8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Z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3.5" zeroHeight="false" outlineLevelRow="0" outlineLevelCol="0"/>
  <cols>
    <col collapsed="false" customWidth="true" hidden="false" outlineLevel="0" max="1" min="1" style="0" width="13.09"/>
    <col collapsed="false" customWidth="true" hidden="false" outlineLevel="0" max="2" min="2" style="0" width="15.54"/>
    <col collapsed="false" customWidth="true" hidden="false" outlineLevel="0" max="3" min="3" style="0" width="17.09"/>
    <col collapsed="false" customWidth="true" hidden="false" outlineLevel="0" max="6" min="4" style="0" width="17.55"/>
    <col collapsed="false" customWidth="true" hidden="false" outlineLevel="0" max="7" min="7" style="0" width="20.82"/>
    <col collapsed="false" customWidth="true" hidden="false" outlineLevel="0" max="12" min="8" style="0" width="17.55"/>
    <col collapsed="false" customWidth="true" hidden="false" outlineLevel="0" max="14" min="14" style="0" width="9.82"/>
    <col collapsed="false" customWidth="true" hidden="false" outlineLevel="0" max="19" min="15" style="0" width="9.54"/>
    <col collapsed="false" customWidth="true" hidden="false" outlineLevel="0" max="26" min="26" style="0" width="9.09"/>
  </cols>
  <sheetData>
    <row r="1" customFormat="false" ht="18" hidden="false" customHeight="false" outlineLevel="0" collapsed="false">
      <c r="A1" s="82" t="s">
        <v>192</v>
      </c>
      <c r="B1" s="83" t="n">
        <v>2022</v>
      </c>
    </row>
    <row r="3" customFormat="false" ht="13.5" hidden="false" customHeight="false" outlineLevel="0" collapsed="false">
      <c r="A3" s="84" t="s">
        <v>193</v>
      </c>
      <c r="B3" s="85" t="s">
        <v>194</v>
      </c>
      <c r="T3" s="0" t="s">
        <v>195</v>
      </c>
    </row>
    <row r="5" customFormat="false" ht="13.5" hidden="false" customHeight="false" outlineLevel="0" collapsed="false">
      <c r="B5" s="86" t="s">
        <v>196</v>
      </c>
      <c r="C5" s="86" t="s">
        <v>197</v>
      </c>
      <c r="D5" s="86" t="s">
        <v>197</v>
      </c>
      <c r="E5" s="86" t="s">
        <v>198</v>
      </c>
      <c r="F5" s="87" t="n">
        <v>44676</v>
      </c>
      <c r="G5" s="87"/>
      <c r="H5" s="86"/>
      <c r="I5" s="86"/>
      <c r="J5" s="86"/>
      <c r="K5" s="86"/>
      <c r="L5" s="86" t="s">
        <v>199</v>
      </c>
      <c r="T5" s="0" t="s">
        <v>200</v>
      </c>
      <c r="W5" s="0" t="n">
        <v>2021</v>
      </c>
      <c r="X5" s="0" t="n">
        <v>2020</v>
      </c>
      <c r="Y5" s="0" t="n">
        <v>2019</v>
      </c>
      <c r="Z5" s="0" t="s">
        <v>201</v>
      </c>
    </row>
    <row r="6" customFormat="false" ht="13.5" hidden="false" customHeight="false" outlineLevel="0" collapsed="false">
      <c r="A6" s="85" t="s">
        <v>202</v>
      </c>
      <c r="B6" s="88" t="s">
        <v>203</v>
      </c>
      <c r="C6" s="88" t="s">
        <v>204</v>
      </c>
      <c r="D6" s="88" t="s">
        <v>205</v>
      </c>
      <c r="E6" s="88" t="s">
        <v>206</v>
      </c>
      <c r="F6" s="88" t="s">
        <v>207</v>
      </c>
      <c r="G6" s="88" t="s">
        <v>208</v>
      </c>
      <c r="H6" s="88" t="s">
        <v>209</v>
      </c>
      <c r="I6" s="88" t="s">
        <v>210</v>
      </c>
      <c r="J6" s="88"/>
      <c r="K6" s="88" t="s">
        <v>202</v>
      </c>
      <c r="L6" s="89" t="n">
        <v>44676</v>
      </c>
      <c r="M6" s="0" t="s">
        <v>211</v>
      </c>
      <c r="N6" s="0" t="s">
        <v>212</v>
      </c>
      <c r="O6" s="0" t="s">
        <v>213</v>
      </c>
      <c r="P6" s="0" t="s">
        <v>214</v>
      </c>
      <c r="Q6" s="0" t="s">
        <v>215</v>
      </c>
      <c r="R6" s="0" t="s">
        <v>216</v>
      </c>
      <c r="S6" s="0" t="s">
        <v>217</v>
      </c>
      <c r="T6" s="0" t="n">
        <v>2021</v>
      </c>
      <c r="U6" s="0" t="n">
        <v>2020</v>
      </c>
      <c r="V6" s="0" t="n">
        <v>2019</v>
      </c>
      <c r="W6" s="0" t="s">
        <v>205</v>
      </c>
      <c r="X6" s="0" t="s">
        <v>205</v>
      </c>
      <c r="Y6" s="0" t="s">
        <v>205</v>
      </c>
    </row>
    <row r="7" customFormat="false" ht="13.5" hidden="false" customHeight="false" outlineLevel="0" collapsed="false">
      <c r="A7" s="0" t="s">
        <v>42</v>
      </c>
      <c r="B7" s="42" t="n">
        <f aca="false">MIN(M7:S7)</f>
        <v>1</v>
      </c>
      <c r="C7" s="90" t="n">
        <f aca="false">AVERAGE(T7:V7)</f>
        <v>13.3333333333333</v>
      </c>
      <c r="D7" s="91" t="n">
        <f aca="false">AVERAGE(W7:Y7)</f>
        <v>16.1666666666667</v>
      </c>
      <c r="E7" s="91" t="n">
        <v>8.2</v>
      </c>
      <c r="F7" s="91" t="n">
        <v>9.6</v>
      </c>
      <c r="G7" s="91" t="n">
        <f aca="false">Table1[[#This Row],[Current Hdcp]]-Table1[[#This Row],[Lowest Hdcp]]</f>
        <v>1.4</v>
      </c>
      <c r="H7" s="92" t="s">
        <v>218</v>
      </c>
      <c r="I7" s="91"/>
      <c r="J7" s="91"/>
      <c r="K7" s="93" t="s">
        <v>42</v>
      </c>
      <c r="L7" s="94" t="n">
        <v>9.6</v>
      </c>
      <c r="M7" s="0" t="n">
        <v>1</v>
      </c>
      <c r="N7" s="0" t="n">
        <v>7</v>
      </c>
      <c r="O7" s="0" t="n">
        <v>6</v>
      </c>
      <c r="P7" s="0" t="n">
        <v>2</v>
      </c>
      <c r="Q7" s="0" t="n">
        <v>8</v>
      </c>
      <c r="R7" s="0" t="n">
        <v>5</v>
      </c>
      <c r="T7" s="0" t="n">
        <v>15</v>
      </c>
      <c r="U7" s="0" t="n">
        <v>14</v>
      </c>
      <c r="V7" s="0" t="n">
        <v>11</v>
      </c>
      <c r="W7" s="0" t="n">
        <v>19</v>
      </c>
      <c r="X7" s="0" t="n">
        <v>14.3</v>
      </c>
      <c r="Y7" s="0" t="n">
        <v>15.2</v>
      </c>
      <c r="Z7" s="95" t="n">
        <f aca="false">AVERAGE(W7:Y7)</f>
        <v>16.1666666666667</v>
      </c>
    </row>
    <row r="8" customFormat="false" ht="13.5" hidden="false" customHeight="false" outlineLevel="0" collapsed="false">
      <c r="A8" s="0" t="s">
        <v>219</v>
      </c>
      <c r="B8" s="42" t="n">
        <f aca="false">MIN(M8:S8)</f>
        <v>1</v>
      </c>
      <c r="C8" s="90" t="n">
        <f aca="false">AVERAGE(T8:V8)</f>
        <v>13.6666666666667</v>
      </c>
      <c r="D8" s="91" t="n">
        <f aca="false">AVERAGE(W8:Y8)</f>
        <v>15.9666666666667</v>
      </c>
      <c r="E8" s="91" t="n">
        <v>4.1</v>
      </c>
      <c r="F8" s="91" t="n">
        <v>4.1</v>
      </c>
      <c r="G8" s="91" t="n">
        <f aca="false">Table1[[#This Row],[Current Hdcp]]-Table1[[#This Row],[Lowest Hdcp]]</f>
        <v>0</v>
      </c>
      <c r="H8" s="96" t="s">
        <v>220</v>
      </c>
      <c r="I8" s="91"/>
      <c r="J8" s="91"/>
      <c r="K8" s="97" t="s">
        <v>219</v>
      </c>
      <c r="L8" s="98" t="n">
        <v>4.1</v>
      </c>
      <c r="M8" s="0" t="n">
        <v>2</v>
      </c>
      <c r="O8" s="0" t="n">
        <v>3</v>
      </c>
      <c r="P8" s="0" t="n">
        <v>7</v>
      </c>
      <c r="Q8" s="0" t="n">
        <v>7</v>
      </c>
      <c r="R8" s="0" t="n">
        <v>1</v>
      </c>
      <c r="S8" s="0" t="n">
        <v>2</v>
      </c>
      <c r="T8" s="0" t="n">
        <v>16</v>
      </c>
      <c r="U8" s="0" t="n">
        <v>13</v>
      </c>
      <c r="V8" s="0" t="n">
        <v>12</v>
      </c>
      <c r="W8" s="0" t="n">
        <v>20.7</v>
      </c>
      <c r="X8" s="0" t="n">
        <v>11.5</v>
      </c>
      <c r="Y8" s="0" t="n">
        <v>15.7</v>
      </c>
      <c r="Z8" s="95" t="n">
        <f aca="false">AVERAGE(W8:Y8)</f>
        <v>15.9666666666667</v>
      </c>
    </row>
    <row r="9" customFormat="false" ht="13.5" hidden="false" customHeight="false" outlineLevel="0" collapsed="false">
      <c r="A9" s="0" t="s">
        <v>55</v>
      </c>
      <c r="B9" s="42" t="n">
        <f aca="false">MIN(M9:S9)</f>
        <v>2</v>
      </c>
      <c r="C9" s="90" t="n">
        <f aca="false">AVERAGE(T9:V9)</f>
        <v>16</v>
      </c>
      <c r="D9" s="91" t="n">
        <f aca="false">AVERAGE(W9:Y9)</f>
        <v>13.7666666666667</v>
      </c>
      <c r="E9" s="91" t="n">
        <v>8.2</v>
      </c>
      <c r="F9" s="91" t="n">
        <v>8.5</v>
      </c>
      <c r="G9" s="91" t="n">
        <f aca="false">Table1[[#This Row],[Current Hdcp]]-Table1[[#This Row],[Lowest Hdcp]]</f>
        <v>0.300000000000001</v>
      </c>
      <c r="H9" s="92" t="s">
        <v>221</v>
      </c>
      <c r="I9" s="91"/>
      <c r="J9" s="91"/>
      <c r="K9" s="93" t="s">
        <v>55</v>
      </c>
      <c r="L9" s="94" t="n">
        <v>8.5</v>
      </c>
      <c r="M9" s="0" t="n">
        <v>3</v>
      </c>
      <c r="N9" s="0" t="n">
        <v>4</v>
      </c>
      <c r="O9" s="0" t="n">
        <v>2</v>
      </c>
      <c r="P9" s="0" t="n">
        <v>5</v>
      </c>
      <c r="Q9" s="0" t="n">
        <v>6</v>
      </c>
      <c r="T9" s="0" t="n">
        <v>17</v>
      </c>
      <c r="U9" s="0" t="n">
        <v>18</v>
      </c>
      <c r="V9" s="0" t="n">
        <v>13</v>
      </c>
      <c r="W9" s="0" t="n">
        <v>16.5</v>
      </c>
      <c r="X9" s="0" t="n">
        <v>11.7</v>
      </c>
      <c r="Y9" s="0" t="n">
        <v>13.1</v>
      </c>
      <c r="Z9" s="95" t="n">
        <f aca="false">AVERAGE(W9:Y9)</f>
        <v>13.7666666666667</v>
      </c>
    </row>
    <row r="10" customFormat="false" ht="13.5" hidden="false" customHeight="false" outlineLevel="0" collapsed="false">
      <c r="A10" s="0" t="s">
        <v>47</v>
      </c>
      <c r="B10" s="42" t="n">
        <f aca="false">MIN(M10:S10)</f>
        <v>1</v>
      </c>
      <c r="C10" s="90" t="n">
        <f aca="false">AVERAGE(T10:V10)</f>
        <v>13.6666666666667</v>
      </c>
      <c r="D10" s="91" t="n">
        <f aca="false">AVERAGE(W10:Y10)</f>
        <v>16.4333333333333</v>
      </c>
      <c r="E10" s="91" t="n">
        <v>2.6</v>
      </c>
      <c r="F10" s="91" t="n">
        <v>5</v>
      </c>
      <c r="G10" s="91" t="n">
        <f aca="false">Table1[[#This Row],[Current Hdcp]]-Table1[[#This Row],[Lowest Hdcp]]</f>
        <v>2.4</v>
      </c>
      <c r="H10" s="92" t="s">
        <v>218</v>
      </c>
      <c r="I10" s="91"/>
      <c r="J10" s="91"/>
      <c r="K10" s="97" t="s">
        <v>47</v>
      </c>
      <c r="L10" s="98" t="n">
        <v>5</v>
      </c>
      <c r="M10" s="0" t="n">
        <v>4</v>
      </c>
      <c r="N10" s="0" t="n">
        <v>1</v>
      </c>
      <c r="O10" s="0" t="n">
        <v>5</v>
      </c>
      <c r="P10" s="0" t="n">
        <v>1</v>
      </c>
      <c r="Q10" s="0" t="n">
        <v>1</v>
      </c>
      <c r="R10" s="0" t="n">
        <v>4</v>
      </c>
      <c r="S10" s="0" t="n">
        <v>5</v>
      </c>
      <c r="T10" s="0" t="n">
        <v>14</v>
      </c>
      <c r="U10" s="0" t="n">
        <v>15</v>
      </c>
      <c r="V10" s="0" t="n">
        <v>12</v>
      </c>
      <c r="W10" s="0" t="n">
        <v>20.7</v>
      </c>
      <c r="X10" s="0" t="n">
        <v>14.6</v>
      </c>
      <c r="Y10" s="0" t="n">
        <v>14</v>
      </c>
      <c r="Z10" s="95" t="n">
        <f aca="false">AVERAGE(W10:Y10)</f>
        <v>16.4333333333333</v>
      </c>
    </row>
    <row r="11" customFormat="false" ht="13.5" hidden="false" customHeight="false" outlineLevel="0" collapsed="false">
      <c r="A11" s="0" t="s">
        <v>222</v>
      </c>
      <c r="B11" s="42" t="n">
        <f aca="false">MIN(M11:S11)</f>
        <v>5</v>
      </c>
      <c r="C11" s="90" t="n">
        <f aca="false">AVERAGE(T11:V11)</f>
        <v>9.66666666666667</v>
      </c>
      <c r="D11" s="91" t="n">
        <f aca="false">AVERAGE(W11:Y11)</f>
        <v>15.8666666666667</v>
      </c>
      <c r="E11" s="91" t="n">
        <v>5.7</v>
      </c>
      <c r="F11" s="91" t="n">
        <v>9.8</v>
      </c>
      <c r="G11" s="91" t="n">
        <f aca="false">Table1[[#This Row],[Current Hdcp]]-Table1[[#This Row],[Lowest Hdcp]]</f>
        <v>4.1</v>
      </c>
      <c r="H11" s="92" t="s">
        <v>223</v>
      </c>
      <c r="I11" s="91"/>
      <c r="J11" s="91"/>
      <c r="K11" s="93" t="s">
        <v>222</v>
      </c>
      <c r="L11" s="94" t="n">
        <v>9.8</v>
      </c>
      <c r="M11" s="0" t="n">
        <v>5</v>
      </c>
      <c r="N11" s="0" t="n">
        <v>5</v>
      </c>
      <c r="P11" s="0" t="n">
        <v>6</v>
      </c>
      <c r="T11" s="0" t="n">
        <v>14</v>
      </c>
      <c r="U11" s="0" t="n">
        <v>12</v>
      </c>
      <c r="V11" s="0" t="n">
        <v>3</v>
      </c>
      <c r="W11" s="0" t="n">
        <v>16.8</v>
      </c>
      <c r="X11" s="0" t="n">
        <v>17</v>
      </c>
      <c r="Y11" s="0" t="n">
        <v>13.8</v>
      </c>
      <c r="Z11" s="95" t="n">
        <f aca="false">AVERAGE(W11:Y11)</f>
        <v>15.8666666666667</v>
      </c>
    </row>
    <row r="12" customFormat="false" ht="13.5" hidden="false" customHeight="false" outlineLevel="0" collapsed="false">
      <c r="A12" s="0" t="s">
        <v>52</v>
      </c>
      <c r="B12" s="42" t="n">
        <f aca="false">MIN(M12:S12)</f>
        <v>1</v>
      </c>
      <c r="C12" s="90" t="n">
        <f aca="false">AVERAGE(T12:V12)</f>
        <v>12.3333333333333</v>
      </c>
      <c r="D12" s="91" t="n">
        <f aca="false">AVERAGE(W12:Y12)</f>
        <v>16.7</v>
      </c>
      <c r="E12" s="91" t="n">
        <v>13.5</v>
      </c>
      <c r="F12" s="91" t="n">
        <v>17.6</v>
      </c>
      <c r="G12" s="91" t="n">
        <f aca="false">Table1[[#This Row],[Current Hdcp]]-Table1[[#This Row],[Lowest Hdcp]]</f>
        <v>4.1</v>
      </c>
      <c r="H12" s="96" t="s">
        <v>224</v>
      </c>
      <c r="I12" s="91"/>
      <c r="J12" s="91"/>
      <c r="K12" s="97" t="s">
        <v>52</v>
      </c>
      <c r="L12" s="98" t="n">
        <v>17.6</v>
      </c>
      <c r="M12" s="0" t="n">
        <v>6</v>
      </c>
      <c r="O12" s="0" t="n">
        <v>1</v>
      </c>
      <c r="R12" s="0" t="n">
        <v>8</v>
      </c>
      <c r="S12" s="0" t="n">
        <v>7</v>
      </c>
      <c r="T12" s="0" t="n">
        <v>14</v>
      </c>
      <c r="U12" s="0" t="n">
        <v>13</v>
      </c>
      <c r="V12" s="0" t="n">
        <v>10</v>
      </c>
      <c r="W12" s="0" t="n">
        <v>19.7</v>
      </c>
      <c r="X12" s="0" t="n">
        <v>13</v>
      </c>
      <c r="Y12" s="0" t="n">
        <v>17.4</v>
      </c>
      <c r="Z12" s="95" t="n">
        <f aca="false">AVERAGE(W12:Y12)</f>
        <v>16.7</v>
      </c>
    </row>
    <row r="13" customFormat="false" ht="13.5" hidden="false" customHeight="false" outlineLevel="0" collapsed="false">
      <c r="A13" s="0" t="s">
        <v>61</v>
      </c>
      <c r="B13" s="42" t="n">
        <f aca="false">MIN(M13:S13)</f>
        <v>2</v>
      </c>
      <c r="C13" s="90" t="n">
        <f aca="false">AVERAGE(T13:V13)</f>
        <v>11.6666666666667</v>
      </c>
      <c r="D13" s="91" t="n">
        <f aca="false">AVERAGE(W13:Y13)</f>
        <v>15.5666666666667</v>
      </c>
      <c r="E13" s="91" t="n">
        <v>15.9</v>
      </c>
      <c r="F13" s="91" t="n">
        <v>15.9</v>
      </c>
      <c r="G13" s="91" t="n">
        <f aca="false">Table1[[#This Row],[Current Hdcp]]-Table1[[#This Row],[Lowest Hdcp]]</f>
        <v>0</v>
      </c>
      <c r="H13" s="96" t="s">
        <v>218</v>
      </c>
      <c r="I13" s="91"/>
      <c r="J13" s="91"/>
      <c r="K13" s="93" t="s">
        <v>61</v>
      </c>
      <c r="L13" s="94" t="n">
        <v>15.9</v>
      </c>
      <c r="M13" s="0" t="n">
        <v>7</v>
      </c>
      <c r="N13" s="0" t="n">
        <v>2</v>
      </c>
      <c r="O13" s="0" t="n">
        <v>7</v>
      </c>
      <c r="T13" s="0" t="n">
        <v>10</v>
      </c>
      <c r="U13" s="0" t="n">
        <v>14</v>
      </c>
      <c r="V13" s="0" t="n">
        <v>11</v>
      </c>
      <c r="W13" s="0" t="n">
        <v>21.4</v>
      </c>
      <c r="X13" s="0" t="n">
        <v>12.9</v>
      </c>
      <c r="Y13" s="0" t="n">
        <v>12.4</v>
      </c>
      <c r="Z13" s="95" t="n">
        <f aca="false">AVERAGE(W13:Y13)</f>
        <v>15.5666666666667</v>
      </c>
    </row>
    <row r="14" customFormat="false" ht="13.5" hidden="false" customHeight="false" outlineLevel="0" collapsed="false">
      <c r="A14" s="0" t="s">
        <v>49</v>
      </c>
      <c r="B14" s="42" t="n">
        <f aca="false">MIN(M14:S14)</f>
        <v>8</v>
      </c>
      <c r="C14" s="90" t="n">
        <f aca="false">AVERAGE(T14:V14)</f>
        <v>14.5</v>
      </c>
      <c r="D14" s="91" t="n">
        <f aca="false">AVERAGE(W14:Y14)</f>
        <v>15.5</v>
      </c>
      <c r="E14" s="91" t="n">
        <v>7.1</v>
      </c>
      <c r="F14" s="91" t="n">
        <v>9.2</v>
      </c>
      <c r="G14" s="91" t="n">
        <f aca="false">Table1[[#This Row],[Current Hdcp]]-Table1[[#This Row],[Lowest Hdcp]]</f>
        <v>2.1</v>
      </c>
      <c r="H14" s="92" t="s">
        <v>225</v>
      </c>
      <c r="I14" s="91"/>
      <c r="J14" s="91"/>
      <c r="K14" s="97" t="s">
        <v>49</v>
      </c>
      <c r="L14" s="98" t="n">
        <v>9.2</v>
      </c>
      <c r="M14" s="0" t="n">
        <v>8</v>
      </c>
      <c r="N14" s="0" t="n">
        <v>8</v>
      </c>
      <c r="T14" s="0" t="n">
        <v>15</v>
      </c>
      <c r="U14" s="0" t="n">
        <v>14</v>
      </c>
      <c r="W14" s="0" t="n">
        <v>17.8</v>
      </c>
      <c r="X14" s="0" t="n">
        <v>13.2</v>
      </c>
      <c r="Z14" s="95" t="n">
        <f aca="false">AVERAGE(W14:Y14)</f>
        <v>15.5</v>
      </c>
    </row>
    <row r="15" customFormat="false" ht="13.5" hidden="false" customHeight="false" outlineLevel="0" collapsed="false">
      <c r="A15" s="0" t="s">
        <v>54</v>
      </c>
      <c r="B15" s="42" t="n">
        <f aca="false">MIN(M15:S15)</f>
        <v>9</v>
      </c>
      <c r="C15" s="90" t="n">
        <f aca="false">AVERAGE(T15:V15)</f>
        <v>12</v>
      </c>
      <c r="D15" s="91" t="n">
        <f aca="false">AVERAGE(W15:Y15)</f>
        <v>18</v>
      </c>
      <c r="E15" s="91" t="n">
        <v>11.7</v>
      </c>
      <c r="F15" s="91" t="n">
        <v>14.9</v>
      </c>
      <c r="G15" s="91" t="n">
        <f aca="false">Table1[[#This Row],[Current Hdcp]]-Table1[[#This Row],[Lowest Hdcp]]</f>
        <v>3.2</v>
      </c>
      <c r="H15" s="96" t="s">
        <v>224</v>
      </c>
      <c r="I15" s="91"/>
      <c r="J15" s="91"/>
      <c r="K15" s="93" t="s">
        <v>54</v>
      </c>
      <c r="L15" s="94" t="n">
        <v>14.9</v>
      </c>
      <c r="M15" s="0" t="n">
        <v>9</v>
      </c>
      <c r="T15" s="0" t="n">
        <v>12</v>
      </c>
      <c r="W15" s="0" t="n">
        <v>18</v>
      </c>
      <c r="Z15" s="95" t="n">
        <f aca="false">AVERAGE(W15:Y15)</f>
        <v>18</v>
      </c>
    </row>
    <row r="16" customFormat="false" ht="13.5" hidden="false" customHeight="false" outlineLevel="0" collapsed="false">
      <c r="A16" s="0" t="s">
        <v>53</v>
      </c>
      <c r="B16" s="42" t="n">
        <f aca="false">MIN(M16:S16)</f>
        <v>4</v>
      </c>
      <c r="C16" s="90" t="n">
        <f aca="false">AVERAGE(T16:V16)</f>
        <v>14.5</v>
      </c>
      <c r="D16" s="91" t="n">
        <f aca="false">AVERAGE(W16:Y16)</f>
        <v>14.9</v>
      </c>
      <c r="E16" s="91" t="n">
        <v>11.2</v>
      </c>
      <c r="F16" s="91" t="n">
        <v>16.1</v>
      </c>
      <c r="G16" s="91" t="n">
        <f aca="false">Table1[[#This Row],[Current Hdcp]]-Table1[[#This Row],[Lowest Hdcp]]</f>
        <v>4.9</v>
      </c>
      <c r="H16" s="96" t="s">
        <v>226</v>
      </c>
      <c r="I16" s="91"/>
      <c r="J16" s="91"/>
      <c r="K16" s="97" t="s">
        <v>53</v>
      </c>
      <c r="L16" s="98" t="n">
        <v>16.1</v>
      </c>
      <c r="M16" s="0" t="n">
        <v>10</v>
      </c>
      <c r="N16" s="0" t="n">
        <v>6</v>
      </c>
      <c r="O16" s="0" t="n">
        <v>4</v>
      </c>
      <c r="P16" s="0" t="n">
        <v>4</v>
      </c>
      <c r="S16" s="0" t="n">
        <v>8</v>
      </c>
      <c r="T16" s="0" t="n">
        <v>13</v>
      </c>
      <c r="U16" s="0" t="n">
        <v>16</v>
      </c>
      <c r="W16" s="0" t="n">
        <v>16.5</v>
      </c>
      <c r="X16" s="0" t="n">
        <v>12.6</v>
      </c>
      <c r="Y16" s="0" t="n">
        <v>15.6</v>
      </c>
      <c r="Z16" s="95" t="n">
        <f aca="false">AVERAGE(W16:Y16)</f>
        <v>14.9</v>
      </c>
    </row>
    <row r="17" customFormat="false" ht="13.5" hidden="false" customHeight="false" outlineLevel="0" collapsed="false">
      <c r="A17" s="0" t="s">
        <v>58</v>
      </c>
      <c r="B17" s="42" t="n">
        <f aca="false">MIN(M17:S17)</f>
        <v>3</v>
      </c>
      <c r="C17" s="90" t="n">
        <f aca="false">AVERAGE(T17:V17)</f>
        <v>10</v>
      </c>
      <c r="D17" s="91" t="n">
        <f aca="false">AVERAGE(W17:Y17)</f>
        <v>14.7333333333333</v>
      </c>
      <c r="E17" s="91" t="n">
        <v>18.2</v>
      </c>
      <c r="F17" s="91" t="n">
        <v>18.2</v>
      </c>
      <c r="G17" s="91" t="n">
        <f aca="false">Table1[[#This Row],[Current Hdcp]]-Table1[[#This Row],[Lowest Hdcp]]</f>
        <v>0</v>
      </c>
      <c r="H17" s="96" t="s">
        <v>227</v>
      </c>
      <c r="I17" s="91"/>
      <c r="J17" s="91"/>
      <c r="K17" s="93" t="s">
        <v>58</v>
      </c>
      <c r="L17" s="94" t="n">
        <v>18.2</v>
      </c>
      <c r="M17" s="0" t="n">
        <v>11</v>
      </c>
      <c r="N17" s="0" t="n">
        <v>3</v>
      </c>
      <c r="Q17" s="0" t="n">
        <v>3</v>
      </c>
      <c r="T17" s="0" t="n">
        <v>12</v>
      </c>
      <c r="U17" s="0" t="n">
        <v>13</v>
      </c>
      <c r="V17" s="0" t="n">
        <v>5</v>
      </c>
      <c r="W17" s="0" t="n">
        <v>15.2</v>
      </c>
      <c r="X17" s="0" t="n">
        <v>16</v>
      </c>
      <c r="Y17" s="0" t="n">
        <v>13</v>
      </c>
      <c r="Z17" s="95" t="n">
        <f aca="false">AVERAGE(W17:Y17)</f>
        <v>14.7333333333333</v>
      </c>
    </row>
    <row r="18" customFormat="false" ht="13.5" hidden="false" customHeight="false" outlineLevel="0" collapsed="false">
      <c r="A18" s="0" t="s">
        <v>48</v>
      </c>
      <c r="B18" s="42" t="n">
        <f aca="false">MIN(M18:S18)</f>
        <v>12</v>
      </c>
      <c r="C18" s="90" t="n">
        <f aca="false">AVERAGE(T18:V18)</f>
        <v>11</v>
      </c>
      <c r="D18" s="91" t="n">
        <f aca="false">AVERAGE(W18:Y18)</f>
        <v>14.9</v>
      </c>
      <c r="E18" s="91" t="n">
        <v>7.1</v>
      </c>
      <c r="F18" s="91" t="n">
        <v>10.1</v>
      </c>
      <c r="G18" s="91" t="n">
        <f aca="false">Table1[[#This Row],[Current Hdcp]]-Table1[[#This Row],[Lowest Hdcp]]</f>
        <v>3</v>
      </c>
      <c r="H18" s="96" t="s">
        <v>226</v>
      </c>
      <c r="I18" s="91"/>
      <c r="J18" s="91"/>
      <c r="K18" s="97" t="s">
        <v>48</v>
      </c>
      <c r="L18" s="98" t="n">
        <v>10.1</v>
      </c>
      <c r="M18" s="0" t="n">
        <v>12</v>
      </c>
      <c r="T18" s="0" t="n">
        <v>11</v>
      </c>
      <c r="W18" s="0" t="n">
        <v>14.9</v>
      </c>
      <c r="Z18" s="95" t="n">
        <f aca="false">AVERAGE(W18:Y18)</f>
        <v>14.9</v>
      </c>
    </row>
    <row r="19" customFormat="false" ht="13.5" hidden="false" customHeight="false" outlineLevel="0" collapsed="false">
      <c r="A19" s="0" t="s">
        <v>56</v>
      </c>
      <c r="B19" s="42" t="n">
        <f aca="false">MIN(M19:S19)</f>
        <v>13</v>
      </c>
      <c r="C19" s="90" t="n">
        <f aca="false">AVERAGE(T19:V19)</f>
        <v>10</v>
      </c>
      <c r="D19" s="91" t="n">
        <f aca="false">AVERAGE(W19:Y19)</f>
        <v>15.4</v>
      </c>
      <c r="E19" s="91" t="n">
        <v>14.7</v>
      </c>
      <c r="F19" s="91" t="n">
        <v>14.7</v>
      </c>
      <c r="G19" s="91" t="n">
        <f aca="false">Table1[[#This Row],[Current Hdcp]]-Table1[[#This Row],[Lowest Hdcp]]</f>
        <v>0</v>
      </c>
      <c r="H19" s="96" t="s">
        <v>228</v>
      </c>
      <c r="I19" s="91"/>
      <c r="J19" s="91"/>
      <c r="K19" s="93" t="s">
        <v>229</v>
      </c>
      <c r="L19" s="94" t="n">
        <v>14.7</v>
      </c>
      <c r="M19" s="0" t="n">
        <v>13</v>
      </c>
      <c r="T19" s="0" t="n">
        <v>10</v>
      </c>
      <c r="W19" s="0" t="n">
        <v>15.4</v>
      </c>
      <c r="Z19" s="95" t="n">
        <f aca="false">AVERAGE(W19:Y19)</f>
        <v>15.4</v>
      </c>
    </row>
    <row r="20" customFormat="false" ht="13.5" hidden="false" customHeight="false" outlineLevel="0" collapsed="false">
      <c r="A20" s="0" t="s">
        <v>57</v>
      </c>
      <c r="B20" s="42" t="n">
        <f aca="false">MIN(M20:S20)</f>
        <v>14</v>
      </c>
      <c r="C20" s="90" t="n">
        <f aca="false">AVERAGE(T20:V20)</f>
        <v>9</v>
      </c>
      <c r="D20" s="91" t="n">
        <f aca="false">AVERAGE(W20:Y20)</f>
        <v>12.9</v>
      </c>
      <c r="E20" s="91" t="n">
        <v>15.9</v>
      </c>
      <c r="F20" s="91" t="n">
        <v>15.9</v>
      </c>
      <c r="G20" s="91" t="n">
        <f aca="false">Table1[[#This Row],[Current Hdcp]]-Table1[[#This Row],[Lowest Hdcp]]</f>
        <v>0</v>
      </c>
      <c r="H20" s="96" t="s">
        <v>228</v>
      </c>
      <c r="I20" s="91"/>
      <c r="J20" s="91"/>
      <c r="K20" s="97" t="s">
        <v>57</v>
      </c>
      <c r="L20" s="98" t="n">
        <v>15.9</v>
      </c>
      <c r="M20" s="0" t="n">
        <v>14</v>
      </c>
      <c r="T20" s="0" t="n">
        <v>9</v>
      </c>
      <c r="W20" s="0" t="n">
        <v>12.9</v>
      </c>
      <c r="Z20" s="95" t="n">
        <f aca="false">AVERAGE(W20:Y20)</f>
        <v>12.9</v>
      </c>
    </row>
    <row r="21" customFormat="false" ht="13.5" hidden="false" customHeight="false" outlineLevel="0" collapsed="false">
      <c r="A21" s="0" t="s">
        <v>46</v>
      </c>
      <c r="B21" s="42" t="n">
        <f aca="false">MIN(M21:S21)</f>
        <v>3</v>
      </c>
      <c r="C21" s="90" t="n">
        <f aca="false">AVERAGE(T21:V21)</f>
        <v>7.33333333333333</v>
      </c>
      <c r="D21" s="91" t="n">
        <f aca="false">AVERAGE(W21:Y21)</f>
        <v>11.9666666666667</v>
      </c>
      <c r="E21" s="91" t="n">
        <v>9</v>
      </c>
      <c r="F21" s="91" t="n">
        <v>10</v>
      </c>
      <c r="G21" s="91" t="n">
        <f aca="false">Table1[[#This Row],[Current Hdcp]]-Table1[[#This Row],[Lowest Hdcp]]</f>
        <v>1</v>
      </c>
      <c r="H21" s="96" t="s">
        <v>228</v>
      </c>
      <c r="I21" s="91"/>
      <c r="J21" s="91"/>
      <c r="K21" s="93" t="s">
        <v>46</v>
      </c>
      <c r="L21" s="94" t="n">
        <v>10</v>
      </c>
      <c r="M21" s="0" t="n">
        <v>15</v>
      </c>
      <c r="Q21" s="0" t="n">
        <v>4</v>
      </c>
      <c r="R21" s="0" t="n">
        <v>3</v>
      </c>
      <c r="S21" s="0" t="n">
        <v>3</v>
      </c>
      <c r="T21" s="0" t="n">
        <v>6</v>
      </c>
      <c r="U21" s="0" t="n">
        <v>9</v>
      </c>
      <c r="V21" s="0" t="n">
        <v>7</v>
      </c>
      <c r="W21" s="0" t="n">
        <v>13</v>
      </c>
      <c r="X21" s="0" t="n">
        <v>9.8</v>
      </c>
      <c r="Y21" s="0" t="n">
        <v>13.1</v>
      </c>
      <c r="Z21" s="95" t="n">
        <f aca="false">AVERAGE(W21:Y21)</f>
        <v>11.9666666666667</v>
      </c>
    </row>
    <row r="22" customFormat="false" ht="13.5" hidden="false" customHeight="false" outlineLevel="0" collapsed="false">
      <c r="A22" s="0" t="s">
        <v>59</v>
      </c>
      <c r="B22" s="42" t="n">
        <f aca="false">MIN(M22:S22)</f>
        <v>3</v>
      </c>
      <c r="C22" s="90" t="n">
        <f aca="false">AVERAGE(T22:V22)</f>
        <v>12.3333333333333</v>
      </c>
      <c r="D22" s="91" t="n">
        <f aca="false">AVERAGE(W22:Y22)</f>
        <v>8.73333333333333</v>
      </c>
      <c r="E22" s="91" t="n">
        <v>20.2</v>
      </c>
      <c r="F22" s="91" t="n">
        <v>20.3</v>
      </c>
      <c r="G22" s="91" t="n">
        <f aca="false">Table1[[#This Row],[Current Hdcp]]-Table1[[#This Row],[Lowest Hdcp]]</f>
        <v>0.100000000000001</v>
      </c>
      <c r="H22" s="96" t="s">
        <v>230</v>
      </c>
      <c r="I22" s="91"/>
      <c r="J22" s="91"/>
      <c r="K22" s="97" t="s">
        <v>59</v>
      </c>
      <c r="L22" s="98" t="n">
        <v>20.3</v>
      </c>
      <c r="M22" s="0" t="n">
        <v>16</v>
      </c>
      <c r="P22" s="0" t="n">
        <v>3</v>
      </c>
      <c r="S22" s="0" t="n">
        <v>6</v>
      </c>
      <c r="T22" s="0" t="n">
        <v>10</v>
      </c>
      <c r="U22" s="0" t="n">
        <v>15</v>
      </c>
      <c r="V22" s="0" t="n">
        <v>12</v>
      </c>
      <c r="W22" s="0" t="n">
        <v>7.5</v>
      </c>
      <c r="X22" s="0" t="n">
        <v>9.8</v>
      </c>
      <c r="Y22" s="0" t="n">
        <v>8.9</v>
      </c>
      <c r="Z22" s="95" t="n">
        <f aca="false">AVERAGE(W22:Y22)</f>
        <v>8.73333333333333</v>
      </c>
    </row>
    <row r="23" customFormat="false" ht="13.5" hidden="false" customHeight="false" outlineLevel="0" collapsed="false">
      <c r="A23" s="0" t="s">
        <v>60</v>
      </c>
      <c r="B23" s="42" t="n">
        <f aca="false">MIN(M23:S23)</f>
        <v>1</v>
      </c>
      <c r="C23" s="90" t="s">
        <v>231</v>
      </c>
      <c r="D23" s="91" t="s">
        <v>231</v>
      </c>
      <c r="E23" s="91"/>
      <c r="F23" s="91" t="n">
        <v>9.5</v>
      </c>
      <c r="G23" s="91" t="n">
        <f aca="false">Table1[[#This Row],[Current Hdcp]]-Table1[[#This Row],[Lowest Hdcp]]</f>
        <v>9.5</v>
      </c>
      <c r="H23" s="96" t="s">
        <v>230</v>
      </c>
      <c r="I23" s="91"/>
      <c r="J23" s="91"/>
      <c r="K23" s="93" t="s">
        <v>60</v>
      </c>
      <c r="L23" s="94" t="n">
        <v>9.5</v>
      </c>
      <c r="P23" s="0" t="n">
        <v>8</v>
      </c>
      <c r="Q23" s="0" t="n">
        <v>2</v>
      </c>
      <c r="R23" s="0" t="n">
        <v>2</v>
      </c>
      <c r="S23" s="0" t="n">
        <v>1</v>
      </c>
    </row>
    <row r="24" customFormat="false" ht="13.5" hidden="false" customHeight="false" outlineLevel="0" collapsed="false">
      <c r="A24" s="0" t="s">
        <v>232</v>
      </c>
      <c r="B24" s="42" t="n">
        <f aca="false">MIN(M24:S24)</f>
        <v>0</v>
      </c>
      <c r="C24" s="90" t="s">
        <v>231</v>
      </c>
      <c r="D24" s="91" t="s">
        <v>231</v>
      </c>
      <c r="E24" s="91" t="n">
        <v>14.9</v>
      </c>
      <c r="F24" s="91" t="n">
        <v>19.9</v>
      </c>
      <c r="G24" s="91" t="n">
        <f aca="false">Table1[[#This Row],[Current Hdcp]]-Table1[[#This Row],[Lowest Hdcp]]</f>
        <v>5</v>
      </c>
      <c r="H24" s="96" t="s">
        <v>226</v>
      </c>
      <c r="K24" s="99" t="s">
        <v>233</v>
      </c>
      <c r="L24" s="98" t="n">
        <v>19.9</v>
      </c>
    </row>
    <row r="25" customFormat="false" ht="13.5" hidden="false" customHeight="false" outlineLevel="0" collapsed="false">
      <c r="A25" s="0" t="s">
        <v>45</v>
      </c>
      <c r="B25" s="42" t="n">
        <f aca="false">MIN(M25:S25)</f>
        <v>0</v>
      </c>
      <c r="C25" s="90" t="s">
        <v>231</v>
      </c>
      <c r="D25" s="91" t="s">
        <v>231</v>
      </c>
      <c r="E25" s="91" t="n">
        <v>5.5</v>
      </c>
      <c r="F25" s="91" t="n">
        <v>7.3</v>
      </c>
      <c r="G25" s="91" t="n">
        <f aca="false">Table1[[#This Row],[Current Hdcp]]-Table1[[#This Row],[Lowest Hdcp]]</f>
        <v>1.8</v>
      </c>
      <c r="H25" s="96" t="s">
        <v>228</v>
      </c>
      <c r="K25" s="100" t="s">
        <v>45</v>
      </c>
      <c r="L25" s="94" t="n">
        <v>7.3</v>
      </c>
    </row>
    <row r="26" customFormat="false" ht="13.5" hidden="false" customHeight="false" outlineLevel="0" collapsed="false">
      <c r="H26" s="81"/>
    </row>
    <row r="27" customFormat="false" ht="13.5" hidden="false" customHeight="false" outlineLevel="0" collapsed="false">
      <c r="H27" s="81"/>
    </row>
    <row r="28" customFormat="false" ht="13.5" hidden="false" customHeight="false" outlineLevel="0" collapsed="false">
      <c r="H28" s="81"/>
    </row>
    <row r="29" customFormat="false" ht="13.5" hidden="false" customHeight="false" outlineLevel="0" collapsed="false">
      <c r="H29" s="8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BV42"/>
  <sheetViews>
    <sheetView showFormulas="false" showGridLines="true" showRowColHeaders="true" showZeros="true" rightToLeft="false" tabSelected="true" showOutlineSymbols="true" defaultGridColor="true" view="normal" topLeftCell="A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3.5" zeroHeight="false" outlineLevelRow="0" outlineLevelCol="0"/>
  <cols>
    <col collapsed="false" customWidth="true" hidden="false" outlineLevel="0" max="1" min="1" style="0" width="11.9"/>
    <col collapsed="false" customWidth="true" hidden="false" outlineLevel="0" max="2" min="2" style="0" width="5.18"/>
    <col collapsed="false" customWidth="true" hidden="false" outlineLevel="0" max="3" min="3" style="101" width="3.82"/>
    <col collapsed="false" customWidth="true" hidden="false" outlineLevel="0" max="4" min="4" style="101" width="4.36"/>
    <col collapsed="false" customWidth="true" hidden="false" outlineLevel="0" max="5" min="5" style="101" width="2.82"/>
    <col collapsed="false" customWidth="true" hidden="false" outlineLevel="0" max="6" min="6" style="101" width="3.82"/>
    <col collapsed="false" customWidth="true" hidden="false" outlineLevel="0" max="7" min="7" style="101" width="4.46"/>
    <col collapsed="false" customWidth="true" hidden="false" outlineLevel="0" max="9" min="8" style="101" width="3.82"/>
    <col collapsed="false" customWidth="true" hidden="false" outlineLevel="0" max="10" min="10" style="101" width="4.36"/>
    <col collapsed="false" customWidth="true" hidden="false" outlineLevel="0" max="12" min="11" style="101" width="3.82"/>
    <col collapsed="false" customWidth="true" hidden="false" outlineLevel="0" max="13" min="13" style="101" width="4.46"/>
    <col collapsed="false" customWidth="true" hidden="false" outlineLevel="0" max="16" min="14" style="101" width="3.82"/>
    <col collapsed="false" customWidth="true" hidden="false" outlineLevel="0" max="17" min="17" style="101" width="4.36"/>
    <col collapsed="false" customWidth="true" hidden="false" outlineLevel="0" max="19" min="18" style="101" width="3.82"/>
    <col collapsed="false" customWidth="true" hidden="false" outlineLevel="0" max="20" min="20" style="101" width="4.46"/>
    <col collapsed="false" customWidth="true" hidden="false" outlineLevel="0" max="21" min="21" style="101" width="4.36"/>
    <col collapsed="false" customWidth="true" hidden="false" outlineLevel="0" max="22" min="22" style="101" width="3.82"/>
    <col collapsed="false" customWidth="true" hidden="false" outlineLevel="0" max="23" min="23" style="101" width="4.46"/>
    <col collapsed="false" customWidth="true" hidden="false" outlineLevel="0" max="24" min="24" style="101" width="4.36"/>
    <col collapsed="false" customWidth="true" hidden="false" outlineLevel="0" max="25" min="25" style="101" width="3.82"/>
    <col collapsed="false" customWidth="true" hidden="false" outlineLevel="0" max="26" min="26" style="101" width="5"/>
    <col collapsed="false" customWidth="true" hidden="false" outlineLevel="0" max="27" min="27" style="101" width="4.36"/>
    <col collapsed="false" customWidth="true" hidden="false" outlineLevel="0" max="28" min="28" style="0" width="2.54"/>
    <col collapsed="false" customWidth="true" hidden="false" outlineLevel="0" max="29" min="29" style="101" width="3.82"/>
    <col collapsed="false" customWidth="true" hidden="false" outlineLevel="0" max="30" min="30" style="101" width="5"/>
    <col collapsed="false" customWidth="true" hidden="false" outlineLevel="0" max="32" min="31" style="101" width="3.82"/>
    <col collapsed="false" customWidth="true" hidden="false" outlineLevel="0" max="33" min="33" style="101" width="4.91"/>
    <col collapsed="false" customWidth="true" hidden="false" outlineLevel="0" max="34" min="34" style="101" width="4.36"/>
    <col collapsed="false" customWidth="true" hidden="false" outlineLevel="0" max="35" min="35" style="101" width="3.82"/>
    <col collapsed="false" customWidth="true" hidden="false" outlineLevel="0" max="37" min="36" style="101" width="4.36"/>
    <col collapsed="false" customWidth="true" hidden="false" outlineLevel="0" max="38" min="38" style="101" width="3.82"/>
    <col collapsed="false" customWidth="true" hidden="false" outlineLevel="0" max="41" min="39" style="101" width="4.36"/>
    <col collapsed="false" customWidth="true" hidden="false" outlineLevel="0" max="42" min="42" style="101" width="3.82"/>
    <col collapsed="false" customWidth="true" hidden="false" outlineLevel="0" max="43" min="43" style="101" width="4.46"/>
    <col collapsed="false" customWidth="true" hidden="false" outlineLevel="0" max="45" min="44" style="101" width="3.82"/>
    <col collapsed="false" customWidth="true" hidden="false" outlineLevel="0" max="47" min="46" style="101" width="4.36"/>
    <col collapsed="false" customWidth="true" hidden="false" outlineLevel="0" max="48" min="48" style="101" width="3.82"/>
    <col collapsed="false" customWidth="true" hidden="false" outlineLevel="0" max="50" min="49" style="101" width="4.36"/>
    <col collapsed="false" customWidth="true" hidden="false" outlineLevel="0" max="51" min="51" style="101" width="3.82"/>
    <col collapsed="false" customWidth="true" hidden="false" outlineLevel="0" max="54" min="52" style="101" width="4.36"/>
    <col collapsed="false" customWidth="true" hidden="false" outlineLevel="0" max="55" min="55" style="0" width="6.46"/>
    <col collapsed="false" customWidth="true" hidden="false" outlineLevel="0" max="56" min="56" style="0" width="3.36"/>
    <col collapsed="false" customWidth="true" hidden="false" outlineLevel="0" max="57" min="57" style="0" width="4.18"/>
    <col collapsed="false" customWidth="true" hidden="false" outlineLevel="0" max="58" min="58" style="0" width="5"/>
    <col collapsed="false" customWidth="true" hidden="false" outlineLevel="0" max="59" min="59" style="0" width="4.91"/>
    <col collapsed="false" customWidth="true" hidden="false" outlineLevel="0" max="60" min="60" style="0" width="3.09"/>
    <col collapsed="false" customWidth="true" hidden="false" outlineLevel="0" max="61" min="61" style="0" width="6.18"/>
    <col collapsed="false" customWidth="true" hidden="false" outlineLevel="0" max="62" min="62" style="0" width="3.36"/>
    <col collapsed="false" customWidth="true" hidden="false" outlineLevel="0" max="63" min="63" style="0" width="2.82"/>
    <col collapsed="false" customWidth="true" hidden="false" outlineLevel="0" max="64" min="64" style="0" width="3.18"/>
    <col collapsed="false" customWidth="true" hidden="false" outlineLevel="0" max="65" min="65" style="0" width="4.18"/>
    <col collapsed="false" customWidth="true" hidden="false" outlineLevel="0" max="66" min="66" style="42" width="3.54"/>
    <col collapsed="false" customWidth="true" hidden="false" outlineLevel="0" max="67" min="67" style="0" width="5.18"/>
    <col collapsed="false" customWidth="true" hidden="false" outlineLevel="0" max="68" min="68" style="0" width="3.82"/>
    <col collapsed="false" customWidth="true" hidden="false" outlineLevel="0" max="69" min="69" style="42" width="3"/>
    <col collapsed="false" customWidth="true" hidden="false" outlineLevel="0" max="70" min="70" style="0" width="5.18"/>
    <col collapsed="false" customWidth="true" hidden="false" outlineLevel="0" max="71" min="71" style="0" width="6.64"/>
    <col collapsed="false" customWidth="true" hidden="false" outlineLevel="0" max="72" min="72" style="0" width="6.91"/>
    <col collapsed="false" customWidth="true" hidden="false" outlineLevel="0" max="73" min="73" style="0" width="6"/>
    <col collapsed="false" customWidth="true" hidden="false" outlineLevel="0" max="74" min="74" style="0" width="3.91"/>
  </cols>
  <sheetData>
    <row r="1" customFormat="false" ht="13.5" hidden="false" customHeight="false" outlineLevel="0" collapsed="false">
      <c r="B1" s="0" t="s">
        <v>141</v>
      </c>
      <c r="C1" s="102" t="s">
        <v>234</v>
      </c>
      <c r="D1" s="102"/>
      <c r="E1" s="102"/>
      <c r="F1" s="102"/>
      <c r="G1" s="102"/>
      <c r="H1" s="102"/>
      <c r="I1" s="102"/>
      <c r="J1" s="102"/>
      <c r="K1" s="102"/>
      <c r="L1" s="102"/>
      <c r="M1" s="103"/>
      <c r="N1" s="103"/>
      <c r="P1" s="102" t="s">
        <v>235</v>
      </c>
      <c r="Q1" s="102"/>
      <c r="R1" s="102"/>
      <c r="S1" s="102"/>
      <c r="T1" s="102"/>
      <c r="U1" s="102"/>
      <c r="V1" s="102"/>
      <c r="W1" s="102"/>
      <c r="X1" s="102"/>
      <c r="Y1" s="102"/>
      <c r="AB1" s="38"/>
      <c r="AC1" s="102" t="s">
        <v>236</v>
      </c>
      <c r="AD1" s="102"/>
      <c r="AE1" s="102"/>
      <c r="AF1" s="102"/>
      <c r="AG1" s="102"/>
      <c r="AH1" s="102"/>
      <c r="AI1" s="102"/>
      <c r="AJ1" s="102"/>
      <c r="AK1" s="102"/>
      <c r="AL1" s="102"/>
      <c r="AP1" s="102" t="s">
        <v>237</v>
      </c>
      <c r="AQ1" s="102"/>
      <c r="AR1" s="102"/>
      <c r="AS1" s="102"/>
      <c r="AT1" s="102"/>
      <c r="AU1" s="102"/>
      <c r="AV1" s="102"/>
      <c r="AW1" s="102"/>
      <c r="AX1" s="102"/>
      <c r="AY1" s="102"/>
    </row>
    <row r="2" customFormat="false" ht="12" hidden="false" customHeight="true" outlineLevel="0" collapsed="false">
      <c r="A2" s="104"/>
      <c r="B2" s="2" t="n">
        <v>1</v>
      </c>
      <c r="C2" s="105" t="s">
        <v>238</v>
      </c>
      <c r="D2" s="105"/>
      <c r="E2" s="105"/>
      <c r="F2" s="105" t="s">
        <v>46</v>
      </c>
      <c r="G2" s="105"/>
      <c r="H2" s="105"/>
      <c r="I2" s="105" t="s">
        <v>57</v>
      </c>
      <c r="J2" s="105"/>
      <c r="K2" s="105"/>
      <c r="L2" s="105" t="s">
        <v>54</v>
      </c>
      <c r="M2" s="105"/>
      <c r="N2" s="105"/>
      <c r="P2" s="105" t="s">
        <v>35</v>
      </c>
      <c r="Q2" s="105"/>
      <c r="R2" s="105"/>
      <c r="S2" s="105" t="s">
        <v>239</v>
      </c>
      <c r="T2" s="105"/>
      <c r="U2" s="105"/>
      <c r="V2" s="105" t="s">
        <v>240</v>
      </c>
      <c r="W2" s="105"/>
      <c r="X2" s="105"/>
      <c r="Y2" s="105" t="s">
        <v>241</v>
      </c>
      <c r="Z2" s="105"/>
      <c r="AA2" s="105"/>
      <c r="AB2" s="38"/>
      <c r="AC2" s="105" t="s">
        <v>242</v>
      </c>
      <c r="AD2" s="105"/>
      <c r="AE2" s="105"/>
      <c r="AF2" s="105" t="s">
        <v>243</v>
      </c>
      <c r="AG2" s="105"/>
      <c r="AH2" s="105"/>
      <c r="AI2" s="105" t="s">
        <v>244</v>
      </c>
      <c r="AJ2" s="105"/>
      <c r="AK2" s="105"/>
      <c r="AL2" s="105" t="s">
        <v>245</v>
      </c>
      <c r="AM2" s="105"/>
      <c r="AN2" s="105"/>
      <c r="AO2" s="102"/>
      <c r="AP2" s="105" t="s">
        <v>246</v>
      </c>
      <c r="AQ2" s="105"/>
      <c r="AR2" s="105"/>
      <c r="AS2" s="105" t="s">
        <v>247</v>
      </c>
      <c r="AT2" s="105"/>
      <c r="AU2" s="105"/>
      <c r="AV2" s="105" t="s">
        <v>248</v>
      </c>
      <c r="AW2" s="105"/>
      <c r="AX2" s="105"/>
      <c r="AY2" s="105" t="s">
        <v>249</v>
      </c>
      <c r="AZ2" s="105"/>
      <c r="BA2" s="105"/>
      <c r="BB2" s="102"/>
    </row>
    <row r="3" customFormat="false" ht="12" hidden="false" customHeight="true" outlineLevel="0" collapsed="false">
      <c r="A3" s="106" t="s">
        <v>250</v>
      </c>
      <c r="B3" s="106"/>
      <c r="C3" s="107" t="n">
        <v>77</v>
      </c>
      <c r="D3" s="108" t="n">
        <v>35</v>
      </c>
      <c r="E3" s="107" t="n">
        <v>40</v>
      </c>
      <c r="F3" s="107" t="n">
        <v>84</v>
      </c>
      <c r="G3" s="108" t="n">
        <v>-9</v>
      </c>
      <c r="H3" s="107" t="n">
        <v>32</v>
      </c>
      <c r="I3" s="107" t="n">
        <v>97</v>
      </c>
      <c r="J3" s="108" t="n">
        <v>-11</v>
      </c>
      <c r="K3" s="107" t="n">
        <v>26</v>
      </c>
      <c r="L3" s="107" t="n">
        <v>89</v>
      </c>
      <c r="M3" s="108" t="n">
        <v>-15</v>
      </c>
      <c r="N3" s="107" t="n">
        <v>33</v>
      </c>
      <c r="P3" s="107" t="n">
        <v>96</v>
      </c>
      <c r="Q3" s="108" t="n">
        <v>10</v>
      </c>
      <c r="R3" s="107" t="n">
        <v>31</v>
      </c>
      <c r="S3" s="107" t="n">
        <v>99</v>
      </c>
      <c r="T3" s="108" t="n">
        <v>-8</v>
      </c>
      <c r="U3" s="107" t="n">
        <v>30</v>
      </c>
      <c r="V3" s="107" t="n">
        <v>77</v>
      </c>
      <c r="W3" s="108" t="n">
        <v>10</v>
      </c>
      <c r="X3" s="107" t="n">
        <v>39</v>
      </c>
      <c r="Y3" s="107" t="n">
        <v>87</v>
      </c>
      <c r="Z3" s="108" t="n">
        <v>-12</v>
      </c>
      <c r="AA3" s="107" t="n">
        <v>28</v>
      </c>
      <c r="AB3" s="38"/>
      <c r="AC3" s="107" t="n">
        <v>99</v>
      </c>
      <c r="AD3" s="108" t="n">
        <v>-5</v>
      </c>
      <c r="AE3" s="107" t="n">
        <v>28</v>
      </c>
      <c r="AF3" s="107" t="n">
        <v>93</v>
      </c>
      <c r="AG3" s="108" t="n">
        <v>-27</v>
      </c>
      <c r="AH3" s="107" t="n">
        <v>30</v>
      </c>
      <c r="AI3" s="107" t="n">
        <v>83</v>
      </c>
      <c r="AJ3" s="108" t="n">
        <v>5</v>
      </c>
      <c r="AK3" s="107" t="n">
        <v>33</v>
      </c>
      <c r="AL3" s="107" t="n">
        <v>96</v>
      </c>
      <c r="AM3" s="108" t="n">
        <v>27</v>
      </c>
      <c r="AN3" s="107" t="n">
        <v>31</v>
      </c>
      <c r="AO3" s="40"/>
      <c r="AP3" s="107" t="n">
        <v>85</v>
      </c>
      <c r="AQ3" s="108" t="n">
        <v>-8</v>
      </c>
      <c r="AR3" s="107" t="n">
        <v>32</v>
      </c>
      <c r="AS3" s="107" t="n">
        <v>90</v>
      </c>
      <c r="AT3" s="108" t="n">
        <v>6</v>
      </c>
      <c r="AU3" s="107" t="n">
        <v>31</v>
      </c>
      <c r="AV3" s="107" t="n">
        <v>82</v>
      </c>
      <c r="AW3" s="108" t="n">
        <v>12</v>
      </c>
      <c r="AX3" s="107" t="n">
        <v>29</v>
      </c>
      <c r="AY3" s="107" t="n">
        <v>80</v>
      </c>
      <c r="AZ3" s="108" t="n">
        <v>-10</v>
      </c>
      <c r="BA3" s="107" t="n">
        <v>34</v>
      </c>
      <c r="BB3" s="40"/>
      <c r="BD3" s="0" t="s">
        <v>103</v>
      </c>
      <c r="BE3" s="0" t="s">
        <v>83</v>
      </c>
      <c r="BF3" s="0" t="s">
        <v>251</v>
      </c>
      <c r="BG3" s="0" t="s">
        <v>252</v>
      </c>
      <c r="BH3" s="0" t="s">
        <v>31</v>
      </c>
      <c r="BI3" s="0" t="s">
        <v>35</v>
      </c>
      <c r="BJ3" s="0" t="s">
        <v>124</v>
      </c>
      <c r="BK3" s="0" t="s">
        <v>109</v>
      </c>
      <c r="BL3" s="0" t="s">
        <v>127</v>
      </c>
      <c r="BM3" s="0" t="s">
        <v>253</v>
      </c>
      <c r="BN3" s="42" t="s">
        <v>133</v>
      </c>
      <c r="BO3" s="0" t="s">
        <v>254</v>
      </c>
      <c r="BP3" s="0" t="s">
        <v>121</v>
      </c>
      <c r="BQ3" s="42" t="s">
        <v>118</v>
      </c>
      <c r="BR3" s="0" t="s">
        <v>246</v>
      </c>
      <c r="BS3" s="0" t="s">
        <v>255</v>
      </c>
      <c r="BT3" s="0" t="s">
        <v>256</v>
      </c>
      <c r="BU3" s="0" t="s">
        <v>257</v>
      </c>
      <c r="BV3" s="0" t="s">
        <v>249</v>
      </c>
    </row>
    <row r="4" customFormat="false" ht="12" hidden="false" customHeight="true" outlineLevel="0" collapsed="false">
      <c r="A4" s="104"/>
      <c r="B4" s="2" t="n">
        <v>2</v>
      </c>
      <c r="C4" s="105" t="s">
        <v>258</v>
      </c>
      <c r="D4" s="105"/>
      <c r="E4" s="105"/>
      <c r="F4" s="105" t="s">
        <v>242</v>
      </c>
      <c r="G4" s="105"/>
      <c r="H4" s="105"/>
      <c r="I4" s="105" t="s">
        <v>248</v>
      </c>
      <c r="J4" s="105"/>
      <c r="K4" s="105"/>
      <c r="L4" s="105" t="s">
        <v>46</v>
      </c>
      <c r="M4" s="105"/>
      <c r="N4" s="105"/>
      <c r="P4" s="105" t="s">
        <v>238</v>
      </c>
      <c r="Q4" s="105"/>
      <c r="R4" s="105"/>
      <c r="S4" s="105" t="s">
        <v>255</v>
      </c>
      <c r="T4" s="105"/>
      <c r="U4" s="105"/>
      <c r="V4" s="105" t="s">
        <v>35</v>
      </c>
      <c r="W4" s="105"/>
      <c r="X4" s="105"/>
      <c r="Y4" s="105" t="s">
        <v>259</v>
      </c>
      <c r="Z4" s="105"/>
      <c r="AA4" s="105"/>
      <c r="AB4" s="38"/>
      <c r="AC4" s="105" t="s">
        <v>260</v>
      </c>
      <c r="AD4" s="105"/>
      <c r="AE4" s="105"/>
      <c r="AF4" s="105" t="s">
        <v>261</v>
      </c>
      <c r="AG4" s="105"/>
      <c r="AH4" s="105"/>
      <c r="AI4" s="105" t="s">
        <v>256</v>
      </c>
      <c r="AJ4" s="105"/>
      <c r="AK4" s="105"/>
      <c r="AL4" s="105" t="s">
        <v>239</v>
      </c>
      <c r="AM4" s="105"/>
      <c r="AN4" s="105"/>
      <c r="AO4" s="102"/>
      <c r="AP4" s="105"/>
      <c r="AQ4" s="105"/>
      <c r="AR4" s="105"/>
      <c r="AS4" s="105"/>
      <c r="AT4" s="105"/>
      <c r="AU4" s="105"/>
      <c r="AV4" s="105"/>
      <c r="AW4" s="105"/>
      <c r="AX4" s="105"/>
      <c r="AY4" s="105"/>
      <c r="AZ4" s="105"/>
      <c r="BA4" s="105"/>
      <c r="BB4" s="102"/>
      <c r="BC4" s="109" t="s">
        <v>103</v>
      </c>
      <c r="BD4" s="110" t="s">
        <v>262</v>
      </c>
      <c r="BE4" s="110" t="n">
        <f aca="false">BD5</f>
        <v>2</v>
      </c>
      <c r="BF4" s="110" t="n">
        <f aca="false">BD6</f>
        <v>1</v>
      </c>
      <c r="BG4" s="110" t="n">
        <f aca="false">BD7</f>
        <v>0</v>
      </c>
      <c r="BH4" s="110" t="n">
        <f aca="false">BD8</f>
        <v>1</v>
      </c>
      <c r="BI4" s="110" t="n">
        <f aca="false">BD9</f>
        <v>1</v>
      </c>
      <c r="BJ4" s="110" t="n">
        <f aca="false">BD10</f>
        <v>1</v>
      </c>
      <c r="BK4" s="110" t="n">
        <f aca="false">BD11</f>
        <v>2</v>
      </c>
      <c r="BL4" s="110" t="n">
        <f aca="false">BD12</f>
        <v>1</v>
      </c>
      <c r="BM4" s="110" t="n">
        <f aca="false">BD13</f>
        <v>2</v>
      </c>
      <c r="BN4" s="110" t="n">
        <f aca="false">BD14</f>
        <v>1</v>
      </c>
      <c r="BO4" s="110" t="n">
        <f aca="false">BD15</f>
        <v>1</v>
      </c>
      <c r="BP4" s="110" t="n">
        <f aca="false">BD16</f>
        <v>1</v>
      </c>
      <c r="BQ4" s="110" t="n">
        <f aca="false">BD17</f>
        <v>1</v>
      </c>
      <c r="BR4" s="110" t="n">
        <f aca="false">BD18</f>
        <v>1</v>
      </c>
      <c r="BS4" s="110" t="n">
        <f aca="false">BD19</f>
        <v>1</v>
      </c>
      <c r="BT4" s="110" t="n">
        <f aca="false">BD20</f>
        <v>0</v>
      </c>
      <c r="BU4" s="110" t="n">
        <f aca="false">BD21</f>
        <v>1</v>
      </c>
      <c r="BV4" s="110" t="n">
        <f aca="false">BD22</f>
        <v>2</v>
      </c>
    </row>
    <row r="5" customFormat="false" ht="12" hidden="false" customHeight="true" outlineLevel="0" collapsed="false">
      <c r="A5" s="106" t="s">
        <v>250</v>
      </c>
      <c r="B5" s="106"/>
      <c r="C5" s="107" t="n">
        <v>86</v>
      </c>
      <c r="D5" s="108" t="n">
        <v>-32</v>
      </c>
      <c r="E5" s="107" t="n">
        <v>31</v>
      </c>
      <c r="F5" s="107" t="n">
        <v>103</v>
      </c>
      <c r="G5" s="108" t="n">
        <v>-2</v>
      </c>
      <c r="H5" s="107" t="n">
        <v>26</v>
      </c>
      <c r="I5" s="107" t="n">
        <v>81</v>
      </c>
      <c r="J5" s="108" t="n">
        <v>4</v>
      </c>
      <c r="K5" s="107" t="n">
        <v>32</v>
      </c>
      <c r="L5" s="107" t="n">
        <v>79</v>
      </c>
      <c r="M5" s="108" t="n">
        <v>30</v>
      </c>
      <c r="N5" s="107" t="n">
        <v>39</v>
      </c>
      <c r="P5" s="107" t="n">
        <v>83</v>
      </c>
      <c r="Q5" s="108" t="n">
        <v>4</v>
      </c>
      <c r="R5" s="107" t="n">
        <v>37</v>
      </c>
      <c r="S5" s="107" t="n">
        <v>91</v>
      </c>
      <c r="T5" s="108" t="n">
        <v>-12</v>
      </c>
      <c r="U5" s="107" t="n">
        <v>33</v>
      </c>
      <c r="V5" s="107" t="n">
        <v>93</v>
      </c>
      <c r="W5" s="108" t="n">
        <v>17</v>
      </c>
      <c r="X5" s="107" t="n">
        <v>35</v>
      </c>
      <c r="Y5" s="107" t="n">
        <v>101</v>
      </c>
      <c r="Z5" s="108" t="n">
        <v>-9</v>
      </c>
      <c r="AA5" s="107" t="n">
        <v>24</v>
      </c>
      <c r="AB5" s="38"/>
      <c r="AC5" s="107" t="n">
        <v>125</v>
      </c>
      <c r="AD5" s="108" t="n">
        <v>-15</v>
      </c>
      <c r="AE5" s="107" t="n">
        <v>8</v>
      </c>
      <c r="AF5" s="107" t="n">
        <v>89</v>
      </c>
      <c r="AG5" s="108" t="n">
        <v>21</v>
      </c>
      <c r="AH5" s="107" t="n">
        <v>40</v>
      </c>
      <c r="AI5" s="107" t="n">
        <v>101</v>
      </c>
      <c r="AJ5" s="108" t="n">
        <v>3</v>
      </c>
      <c r="AK5" s="107" t="n">
        <v>25</v>
      </c>
      <c r="AL5" s="107" t="n">
        <v>103</v>
      </c>
      <c r="AM5" s="108" t="n">
        <v>-9</v>
      </c>
      <c r="AN5" s="107" t="n">
        <v>27</v>
      </c>
      <c r="AO5" s="40"/>
      <c r="AP5" s="107"/>
      <c r="AQ5" s="108"/>
      <c r="AR5" s="107"/>
      <c r="AS5" s="107"/>
      <c r="AT5" s="108"/>
      <c r="AU5" s="107"/>
      <c r="AV5" s="107"/>
      <c r="AW5" s="108"/>
      <c r="AX5" s="107"/>
      <c r="AY5" s="107"/>
      <c r="AZ5" s="108"/>
      <c r="BA5" s="107"/>
      <c r="BB5" s="40"/>
      <c r="BC5" s="0" t="s">
        <v>83</v>
      </c>
      <c r="BD5" s="42" t="n">
        <v>2</v>
      </c>
      <c r="BE5" s="42" t="s">
        <v>262</v>
      </c>
      <c r="BF5" s="42" t="n">
        <f aca="false">BE6</f>
        <v>1</v>
      </c>
      <c r="BG5" s="42" t="n">
        <f aca="false">BE7</f>
        <v>0</v>
      </c>
      <c r="BH5" s="42" t="n">
        <f aca="false">BE8</f>
        <v>1</v>
      </c>
      <c r="BI5" s="42" t="n">
        <f aca="false">BE9</f>
        <v>1</v>
      </c>
      <c r="BJ5" s="42" t="n">
        <f aca="false">BE10</f>
        <v>1</v>
      </c>
      <c r="BK5" s="42" t="n">
        <f aca="false">BE11</f>
        <v>2</v>
      </c>
      <c r="BL5" s="42" t="n">
        <f aca="false">BE12</f>
        <v>1</v>
      </c>
      <c r="BM5" s="42" t="n">
        <f aca="false">BE13</f>
        <v>1</v>
      </c>
      <c r="BN5" s="42" t="n">
        <f aca="false">BE14</f>
        <v>0</v>
      </c>
      <c r="BO5" s="42" t="n">
        <f aca="false">BE15</f>
        <v>2</v>
      </c>
      <c r="BP5" s="42" t="n">
        <f aca="false">BE16</f>
        <v>2</v>
      </c>
      <c r="BQ5" s="42" t="n">
        <f aca="false">BE17</f>
        <v>2</v>
      </c>
      <c r="BR5" s="42" t="n">
        <f aca="false">BE18</f>
        <v>3</v>
      </c>
      <c r="BS5" s="42" t="n">
        <f aca="false">BE19</f>
        <v>2</v>
      </c>
      <c r="BT5" s="42" t="n">
        <f aca="false">BE20</f>
        <v>1</v>
      </c>
      <c r="BU5" s="42" t="n">
        <f aca="false">BE21</f>
        <v>1</v>
      </c>
      <c r="BV5" s="42" t="n">
        <f aca="false">BE22</f>
        <v>1</v>
      </c>
    </row>
    <row r="6" customFormat="false" ht="12" hidden="false" customHeight="true" outlineLevel="0" collapsed="false">
      <c r="A6" s="104"/>
      <c r="B6" s="2" t="n">
        <v>3</v>
      </c>
      <c r="C6" s="105" t="s">
        <v>46</v>
      </c>
      <c r="D6" s="105"/>
      <c r="E6" s="105"/>
      <c r="F6" s="105" t="s">
        <v>55</v>
      </c>
      <c r="G6" s="105"/>
      <c r="H6" s="105"/>
      <c r="I6" s="105" t="s">
        <v>56</v>
      </c>
      <c r="J6" s="105"/>
      <c r="K6" s="105"/>
      <c r="L6" s="105" t="s">
        <v>45</v>
      </c>
      <c r="M6" s="105"/>
      <c r="N6" s="105"/>
      <c r="P6" s="105" t="s">
        <v>49</v>
      </c>
      <c r="Q6" s="105"/>
      <c r="R6" s="105"/>
      <c r="S6" s="105" t="s">
        <v>61</v>
      </c>
      <c r="T6" s="105"/>
      <c r="U6" s="105"/>
      <c r="V6" s="105" t="s">
        <v>54</v>
      </c>
      <c r="W6" s="105"/>
      <c r="X6" s="105"/>
      <c r="Y6" s="105" t="s">
        <v>47</v>
      </c>
      <c r="Z6" s="105"/>
      <c r="AA6" s="105"/>
      <c r="AB6" s="38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2"/>
      <c r="AP6" s="105"/>
      <c r="AQ6" s="105"/>
      <c r="AR6" s="105"/>
      <c r="AS6" s="105"/>
      <c r="AT6" s="105"/>
      <c r="AU6" s="105"/>
      <c r="AV6" s="105"/>
      <c r="AW6" s="105"/>
      <c r="AX6" s="105"/>
      <c r="AY6" s="105"/>
      <c r="AZ6" s="105"/>
      <c r="BA6" s="105"/>
      <c r="BB6" s="102"/>
      <c r="BC6" s="109" t="s">
        <v>251</v>
      </c>
      <c r="BD6" s="110" t="n">
        <v>1</v>
      </c>
      <c r="BE6" s="110" t="n">
        <v>1</v>
      </c>
      <c r="BF6" s="110" t="s">
        <v>262</v>
      </c>
      <c r="BG6" s="110" t="n">
        <f aca="false">BF7</f>
        <v>0</v>
      </c>
      <c r="BH6" s="110" t="n">
        <f aca="false">BF8</f>
        <v>2</v>
      </c>
      <c r="BI6" s="110" t="n">
        <f aca="false">BF9</f>
        <v>1</v>
      </c>
      <c r="BJ6" s="110" t="n">
        <f aca="false">BF10</f>
        <v>0</v>
      </c>
      <c r="BK6" s="110" t="n">
        <f aca="false">BF11</f>
        <v>1</v>
      </c>
      <c r="BL6" s="110" t="n">
        <f aca="false">BF12</f>
        <v>1</v>
      </c>
      <c r="BM6" s="110" t="n">
        <f aca="false">BF13</f>
        <v>1</v>
      </c>
      <c r="BN6" s="110" t="n">
        <f aca="false">BF14</f>
        <v>1</v>
      </c>
      <c r="BO6" s="110" t="n">
        <f aca="false">BF15</f>
        <v>2</v>
      </c>
      <c r="BP6" s="110" t="n">
        <f aca="false">BF16</f>
        <v>2</v>
      </c>
      <c r="BQ6" s="110" t="n">
        <f aca="false">BF17</f>
        <v>1</v>
      </c>
      <c r="BR6" s="110" t="n">
        <f aca="false">BF18</f>
        <v>2</v>
      </c>
      <c r="BS6" s="110" t="n">
        <f aca="false">BF19</f>
        <v>2</v>
      </c>
      <c r="BT6" s="110" t="n">
        <f aca="false">BF20</f>
        <v>1</v>
      </c>
      <c r="BU6" s="110" t="n">
        <f aca="false">BF21</f>
        <v>1</v>
      </c>
      <c r="BV6" s="110" t="n">
        <f aca="false">BF22</f>
        <v>2</v>
      </c>
    </row>
    <row r="7" customFormat="false" ht="12" hidden="false" customHeight="true" outlineLevel="0" collapsed="false">
      <c r="A7" s="106" t="s">
        <v>250</v>
      </c>
      <c r="B7" s="106"/>
      <c r="C7" s="107" t="n">
        <v>82</v>
      </c>
      <c r="D7" s="108" t="n">
        <v>43</v>
      </c>
      <c r="E7" s="107" t="n">
        <v>32</v>
      </c>
      <c r="F7" s="107" t="n">
        <v>84</v>
      </c>
      <c r="G7" s="108" t="n">
        <v>-17</v>
      </c>
      <c r="H7" s="107" t="n">
        <v>28</v>
      </c>
      <c r="I7" s="107" t="n">
        <v>91</v>
      </c>
      <c r="J7" s="108" t="n">
        <v>-11</v>
      </c>
      <c r="K7" s="107" t="n">
        <v>28</v>
      </c>
      <c r="L7" s="107" t="n">
        <v>81</v>
      </c>
      <c r="M7" s="108" t="n">
        <v>-15</v>
      </c>
      <c r="N7" s="107" t="n">
        <v>32</v>
      </c>
      <c r="P7" s="107" t="n">
        <v>84</v>
      </c>
      <c r="Q7" s="108" t="n">
        <v>41</v>
      </c>
      <c r="R7" s="107" t="n">
        <v>30</v>
      </c>
      <c r="S7" s="107" t="n">
        <v>91</v>
      </c>
      <c r="T7" s="108" t="n">
        <v>-41</v>
      </c>
      <c r="U7" s="107" t="n">
        <v>29</v>
      </c>
      <c r="V7" s="107" t="n">
        <v>93</v>
      </c>
      <c r="W7" s="108" t="n">
        <v>-13</v>
      </c>
      <c r="X7" s="107" t="n">
        <v>26</v>
      </c>
      <c r="Y7" s="107" t="n">
        <v>76</v>
      </c>
      <c r="Z7" s="108" t="n">
        <v>13</v>
      </c>
      <c r="AA7" s="107" t="n">
        <v>33</v>
      </c>
      <c r="AB7" s="38"/>
      <c r="AC7" s="107"/>
      <c r="AD7" s="108"/>
      <c r="AE7" s="107"/>
      <c r="AF7" s="107"/>
      <c r="AG7" s="108"/>
      <c r="AH7" s="107"/>
      <c r="AI7" s="107"/>
      <c r="AJ7" s="108"/>
      <c r="AK7" s="107"/>
      <c r="AL7" s="107"/>
      <c r="AM7" s="108"/>
      <c r="AN7" s="107"/>
      <c r="AO7" s="40"/>
      <c r="AP7" s="107"/>
      <c r="AQ7" s="108"/>
      <c r="AR7" s="107"/>
      <c r="AS7" s="107"/>
      <c r="AT7" s="108"/>
      <c r="AU7" s="107"/>
      <c r="AV7" s="107"/>
      <c r="AW7" s="108"/>
      <c r="AX7" s="107"/>
      <c r="AY7" s="107"/>
      <c r="AZ7" s="108"/>
      <c r="BA7" s="107"/>
      <c r="BB7" s="40"/>
      <c r="BC7" s="0" t="s">
        <v>252</v>
      </c>
      <c r="BD7" s="42"/>
      <c r="BE7" s="42"/>
      <c r="BF7" s="42"/>
      <c r="BG7" s="42" t="s">
        <v>262</v>
      </c>
      <c r="BH7" s="42" t="n">
        <f aca="false">BG8</f>
        <v>0</v>
      </c>
      <c r="BI7" s="42" t="n">
        <f aca="false">BG9</f>
        <v>0</v>
      </c>
      <c r="BJ7" s="42" t="n">
        <f aca="false">BG10</f>
        <v>0</v>
      </c>
      <c r="BK7" s="42" t="n">
        <f aca="false">BG11</f>
        <v>0</v>
      </c>
      <c r="BL7" s="42" t="n">
        <f aca="false">BG12</f>
        <v>0</v>
      </c>
      <c r="BM7" s="42" t="n">
        <f aca="false">BG13</f>
        <v>0</v>
      </c>
      <c r="BN7" s="42" t="n">
        <f aca="false">BG14</f>
        <v>0</v>
      </c>
      <c r="BO7" s="42" t="n">
        <f aca="false">BG15</f>
        <v>0</v>
      </c>
      <c r="BP7" s="42" t="n">
        <f aca="false">BG16</f>
        <v>0</v>
      </c>
      <c r="BQ7" s="42" t="n">
        <f aca="false">BG17</f>
        <v>0</v>
      </c>
      <c r="BR7" s="42" t="n">
        <f aca="false">BG18</f>
        <v>0</v>
      </c>
      <c r="BS7" s="42" t="n">
        <f aca="false">BG19</f>
        <v>0</v>
      </c>
      <c r="BT7" s="42" t="n">
        <f aca="false">BG20</f>
        <v>0</v>
      </c>
      <c r="BU7" s="42" t="n">
        <f aca="false">BG21</f>
        <v>0</v>
      </c>
      <c r="BV7" s="42" t="n">
        <f aca="false">BG22</f>
        <v>0</v>
      </c>
    </row>
    <row r="8" customFormat="false" ht="12" hidden="false" customHeight="true" outlineLevel="0" collapsed="false">
      <c r="A8" s="104"/>
      <c r="B8" s="2" t="n">
        <v>4</v>
      </c>
      <c r="C8" s="105" t="s">
        <v>246</v>
      </c>
      <c r="D8" s="105"/>
      <c r="E8" s="105"/>
      <c r="F8" s="105" t="s">
        <v>260</v>
      </c>
      <c r="G8" s="105"/>
      <c r="H8" s="105"/>
      <c r="I8" s="105" t="s">
        <v>46</v>
      </c>
      <c r="J8" s="105"/>
      <c r="K8" s="105"/>
      <c r="L8" s="105" t="s">
        <v>35</v>
      </c>
      <c r="M8" s="105"/>
      <c r="N8" s="105"/>
      <c r="P8" s="105" t="s">
        <v>240</v>
      </c>
      <c r="Q8" s="105"/>
      <c r="R8" s="105"/>
      <c r="S8" s="105" t="s">
        <v>263</v>
      </c>
      <c r="T8" s="105"/>
      <c r="U8" s="105"/>
      <c r="V8" s="105" t="s">
        <v>261</v>
      </c>
      <c r="W8" s="105"/>
      <c r="X8" s="105"/>
      <c r="Y8" s="105" t="s">
        <v>264</v>
      </c>
      <c r="Z8" s="105"/>
      <c r="AA8" s="105"/>
      <c r="AB8" s="38"/>
      <c r="AC8" s="105" t="s">
        <v>265</v>
      </c>
      <c r="AD8" s="105"/>
      <c r="AE8" s="105"/>
      <c r="AF8" s="105" t="s">
        <v>248</v>
      </c>
      <c r="AG8" s="105"/>
      <c r="AH8" s="105"/>
      <c r="AI8" s="105" t="s">
        <v>256</v>
      </c>
      <c r="AJ8" s="105"/>
      <c r="AK8" s="105"/>
      <c r="AL8" s="105" t="s">
        <v>259</v>
      </c>
      <c r="AM8" s="105"/>
      <c r="AN8" s="105"/>
      <c r="AO8" s="102"/>
      <c r="AP8" s="105" t="s">
        <v>239</v>
      </c>
      <c r="AQ8" s="105"/>
      <c r="AR8" s="105"/>
      <c r="AS8" s="105" t="s">
        <v>266</v>
      </c>
      <c r="AT8" s="105"/>
      <c r="AU8" s="105"/>
      <c r="AV8" s="105" t="s">
        <v>247</v>
      </c>
      <c r="AW8" s="105"/>
      <c r="AX8" s="105"/>
      <c r="AY8" s="105" t="s">
        <v>238</v>
      </c>
      <c r="AZ8" s="105"/>
      <c r="BA8" s="105"/>
      <c r="BB8" s="102"/>
      <c r="BC8" s="109" t="s">
        <v>31</v>
      </c>
      <c r="BD8" s="110" t="n">
        <v>1</v>
      </c>
      <c r="BE8" s="110" t="n">
        <v>1</v>
      </c>
      <c r="BF8" s="110" t="n">
        <v>2</v>
      </c>
      <c r="BG8" s="110"/>
      <c r="BH8" s="110" t="s">
        <v>262</v>
      </c>
      <c r="BI8" s="110" t="n">
        <f aca="false">BH9</f>
        <v>1</v>
      </c>
      <c r="BJ8" s="110" t="n">
        <f aca="false">BH10</f>
        <v>2</v>
      </c>
      <c r="BK8" s="110" t="n">
        <f aca="false">BH11</f>
        <v>1</v>
      </c>
      <c r="BL8" s="110" t="n">
        <f aca="false">BH12</f>
        <v>2</v>
      </c>
      <c r="BM8" s="110" t="n">
        <f aca="false">BH13</f>
        <v>2</v>
      </c>
      <c r="BN8" s="110" t="n">
        <f aca="false">BH14</f>
        <v>1</v>
      </c>
      <c r="BO8" s="110" t="n">
        <f aca="false">BH15</f>
        <v>1</v>
      </c>
      <c r="BP8" s="110" t="n">
        <f aca="false">BH16</f>
        <v>2</v>
      </c>
      <c r="BQ8" s="110" t="n">
        <f aca="false">BH17</f>
        <v>1</v>
      </c>
      <c r="BR8" s="110" t="n">
        <f aca="false">BH18</f>
        <v>2</v>
      </c>
      <c r="BS8" s="110" t="n">
        <f aca="false">BH19</f>
        <v>2</v>
      </c>
      <c r="BT8" s="110" t="n">
        <f aca="false">BH20</f>
        <v>1</v>
      </c>
      <c r="BU8" s="110" t="n">
        <f aca="false">BH21</f>
        <v>2</v>
      </c>
      <c r="BV8" s="110" t="n">
        <f aca="false">BH22</f>
        <v>1</v>
      </c>
    </row>
    <row r="9" customFormat="false" ht="12" hidden="false" customHeight="true" outlineLevel="0" collapsed="false">
      <c r="A9" s="106" t="s">
        <v>250</v>
      </c>
      <c r="B9" s="106"/>
      <c r="C9" s="107" t="n">
        <v>80</v>
      </c>
      <c r="D9" s="108" t="n">
        <v>28</v>
      </c>
      <c r="E9" s="107" t="n">
        <v>37</v>
      </c>
      <c r="F9" s="107" t="n">
        <v>107</v>
      </c>
      <c r="G9" s="108" t="n">
        <v>6</v>
      </c>
      <c r="H9" s="107" t="n">
        <v>19</v>
      </c>
      <c r="I9" s="107" t="n">
        <v>86</v>
      </c>
      <c r="J9" s="108" t="n">
        <v>40</v>
      </c>
      <c r="K9" s="107" t="n">
        <v>30</v>
      </c>
      <c r="L9" s="107" t="n">
        <v>102</v>
      </c>
      <c r="M9" s="108" t="n">
        <v>-74</v>
      </c>
      <c r="N9" s="107" t="n">
        <v>23</v>
      </c>
      <c r="P9" s="107" t="n">
        <v>81</v>
      </c>
      <c r="Q9" s="108" t="n">
        <v>-8</v>
      </c>
      <c r="R9" s="107" t="n">
        <v>34</v>
      </c>
      <c r="S9" s="107" t="n">
        <v>83</v>
      </c>
      <c r="T9" s="108" t="n">
        <v>20</v>
      </c>
      <c r="U9" s="107" t="n">
        <v>33</v>
      </c>
      <c r="V9" s="107" t="n">
        <v>100</v>
      </c>
      <c r="W9" s="108" t="n">
        <v>-20</v>
      </c>
      <c r="X9" s="107" t="n">
        <v>27</v>
      </c>
      <c r="Y9" s="107" t="n">
        <v>91</v>
      </c>
      <c r="Z9" s="108" t="n">
        <v>8</v>
      </c>
      <c r="AA9" s="107" t="n">
        <v>34</v>
      </c>
      <c r="AB9" s="38"/>
      <c r="AC9" s="107" t="n">
        <v>85</v>
      </c>
      <c r="AD9" s="108" t="n">
        <v>4</v>
      </c>
      <c r="AE9" s="107" t="n">
        <v>30</v>
      </c>
      <c r="AF9" s="107" t="n">
        <v>80</v>
      </c>
      <c r="AG9" s="108" t="n">
        <v>-6</v>
      </c>
      <c r="AH9" s="107" t="n">
        <v>33</v>
      </c>
      <c r="AI9" s="107" t="n">
        <v>107</v>
      </c>
      <c r="AJ9" s="108" t="n">
        <v>-16</v>
      </c>
      <c r="AK9" s="107" t="n">
        <v>17</v>
      </c>
      <c r="AL9" s="107" t="n">
        <v>92</v>
      </c>
      <c r="AM9" s="108" t="n">
        <v>18</v>
      </c>
      <c r="AN9" s="107" t="n">
        <v>31</v>
      </c>
      <c r="AO9" s="40"/>
      <c r="AP9" s="107" t="n">
        <v>107</v>
      </c>
      <c r="AQ9" s="108" t="n">
        <v>-54</v>
      </c>
      <c r="AR9" s="107" t="n">
        <v>21</v>
      </c>
      <c r="AS9" s="107" t="n">
        <v>87</v>
      </c>
      <c r="AT9" s="108" t="n">
        <v>8</v>
      </c>
      <c r="AU9" s="107" t="n">
        <v>31</v>
      </c>
      <c r="AV9" s="107" t="n">
        <v>94</v>
      </c>
      <c r="AW9" s="108" t="n">
        <v>8</v>
      </c>
      <c r="AX9" s="107" t="n">
        <v>31</v>
      </c>
      <c r="AY9" s="107" t="n">
        <v>85</v>
      </c>
      <c r="AZ9" s="108" t="n">
        <v>38</v>
      </c>
      <c r="BA9" s="107" t="n">
        <v>33</v>
      </c>
      <c r="BB9" s="40"/>
      <c r="BC9" s="0" t="s">
        <v>35</v>
      </c>
      <c r="BD9" s="42" t="n">
        <v>1</v>
      </c>
      <c r="BE9" s="42" t="n">
        <v>1</v>
      </c>
      <c r="BF9" s="42" t="n">
        <v>1</v>
      </c>
      <c r="BG9" s="42"/>
      <c r="BH9" s="42" t="n">
        <v>1</v>
      </c>
      <c r="BI9" s="42" t="s">
        <v>262</v>
      </c>
      <c r="BJ9" s="42" t="n">
        <f aca="false">BI10</f>
        <v>1</v>
      </c>
      <c r="BK9" s="42" t="n">
        <f aca="false">BI11</f>
        <v>2</v>
      </c>
      <c r="BL9" s="42" t="n">
        <f aca="false">BI12</f>
        <v>2</v>
      </c>
      <c r="BM9" s="42" t="n">
        <f aca="false">BI13</f>
        <v>2</v>
      </c>
      <c r="BN9" s="42" t="n">
        <f aca="false">BI14</f>
        <v>0</v>
      </c>
      <c r="BO9" s="42" t="n">
        <f aca="false">BI15</f>
        <v>1</v>
      </c>
      <c r="BP9" s="42" t="n">
        <f aca="false">BI16</f>
        <v>1</v>
      </c>
      <c r="BQ9" s="42" t="n">
        <f aca="false">BI17</f>
        <v>0</v>
      </c>
      <c r="BR9" s="42" t="n">
        <f aca="false">BI18</f>
        <v>2</v>
      </c>
      <c r="BS9" s="42" t="n">
        <f aca="false">BI19</f>
        <v>1</v>
      </c>
      <c r="BT9" s="42" t="n">
        <f aca="false">BI20</f>
        <v>1</v>
      </c>
      <c r="BU9" s="42" t="n">
        <f aca="false">BI21</f>
        <v>1</v>
      </c>
      <c r="BV9" s="42" t="n">
        <f aca="false">BI22</f>
        <v>2</v>
      </c>
    </row>
    <row r="10" customFormat="false" ht="12" hidden="false" customHeight="true" outlineLevel="0" collapsed="false">
      <c r="A10" s="104"/>
      <c r="B10" s="2" t="n">
        <v>5</v>
      </c>
      <c r="C10" s="105" t="s">
        <v>238</v>
      </c>
      <c r="D10" s="105"/>
      <c r="E10" s="105"/>
      <c r="F10" s="105" t="s">
        <v>152</v>
      </c>
      <c r="G10" s="105"/>
      <c r="H10" s="105"/>
      <c r="I10" s="105" t="s">
        <v>261</v>
      </c>
      <c r="J10" s="105"/>
      <c r="K10" s="105"/>
      <c r="L10" s="105" t="s">
        <v>248</v>
      </c>
      <c r="M10" s="105"/>
      <c r="N10" s="105"/>
      <c r="P10" s="105" t="s">
        <v>263</v>
      </c>
      <c r="Q10" s="105"/>
      <c r="R10" s="105"/>
      <c r="S10" s="105" t="s">
        <v>242</v>
      </c>
      <c r="T10" s="105"/>
      <c r="U10" s="105"/>
      <c r="V10" s="105" t="s">
        <v>35</v>
      </c>
      <c r="W10" s="105"/>
      <c r="X10" s="105"/>
      <c r="Y10" s="105" t="s">
        <v>256</v>
      </c>
      <c r="Z10" s="105"/>
      <c r="AA10" s="105"/>
      <c r="AB10" s="38"/>
      <c r="AC10" s="105" t="s">
        <v>265</v>
      </c>
      <c r="AD10" s="105"/>
      <c r="AE10" s="105"/>
      <c r="AF10" s="105" t="s">
        <v>240</v>
      </c>
      <c r="AG10" s="105"/>
      <c r="AH10" s="105"/>
      <c r="AI10" s="105" t="s">
        <v>260</v>
      </c>
      <c r="AJ10" s="105"/>
      <c r="AK10" s="105"/>
      <c r="AL10" s="105" t="s">
        <v>244</v>
      </c>
      <c r="AM10" s="105"/>
      <c r="AN10" s="105"/>
      <c r="AO10" s="102"/>
      <c r="AP10" s="105" t="s">
        <v>239</v>
      </c>
      <c r="AQ10" s="105"/>
      <c r="AR10" s="105"/>
      <c r="AS10" s="105" t="s">
        <v>246</v>
      </c>
      <c r="AT10" s="105"/>
      <c r="AU10" s="105"/>
      <c r="AV10" s="105" t="s">
        <v>46</v>
      </c>
      <c r="AW10" s="105"/>
      <c r="AX10" s="105"/>
      <c r="AY10" s="105" t="s">
        <v>53</v>
      </c>
      <c r="AZ10" s="105"/>
      <c r="BA10" s="105"/>
      <c r="BB10" s="102"/>
      <c r="BC10" s="109" t="s">
        <v>124</v>
      </c>
      <c r="BD10" s="110" t="n">
        <v>1</v>
      </c>
      <c r="BE10" s="110" t="n">
        <v>1</v>
      </c>
      <c r="BF10" s="110"/>
      <c r="BG10" s="110"/>
      <c r="BH10" s="110" t="n">
        <v>2</v>
      </c>
      <c r="BI10" s="110" t="n">
        <v>1</v>
      </c>
      <c r="BJ10" s="110" t="s">
        <v>262</v>
      </c>
      <c r="BK10" s="110" t="n">
        <f aca="false">BJ11</f>
        <v>1</v>
      </c>
      <c r="BL10" s="110" t="n">
        <f aca="false">BJ12</f>
        <v>1</v>
      </c>
      <c r="BM10" s="110" t="n">
        <f aca="false">BJ13</f>
        <v>0</v>
      </c>
      <c r="BN10" s="110" t="n">
        <f aca="false">BJ14</f>
        <v>0</v>
      </c>
      <c r="BO10" s="110" t="n">
        <f aca="false">BJ15</f>
        <v>1</v>
      </c>
      <c r="BP10" s="110" t="n">
        <f aca="false">BJ16</f>
        <v>1</v>
      </c>
      <c r="BQ10" s="110" t="n">
        <f aca="false">BJ17</f>
        <v>0</v>
      </c>
      <c r="BR10" s="110" t="n">
        <f aca="false">BJ18</f>
        <v>0</v>
      </c>
      <c r="BS10" s="110" t="n">
        <f aca="false">BJ19</f>
        <v>0</v>
      </c>
      <c r="BT10" s="110" t="n">
        <f aca="false">BJ20</f>
        <v>1</v>
      </c>
      <c r="BU10" s="110" t="n">
        <f aca="false">BJ21</f>
        <v>1</v>
      </c>
      <c r="BV10" s="110" t="n">
        <f aca="false">BJ22</f>
        <v>1</v>
      </c>
    </row>
    <row r="11" customFormat="false" ht="12" hidden="false" customHeight="true" outlineLevel="0" collapsed="false">
      <c r="A11" s="106" t="s">
        <v>250</v>
      </c>
      <c r="B11" s="106"/>
      <c r="C11" s="107" t="n">
        <v>85</v>
      </c>
      <c r="D11" s="108" t="n">
        <v>0</v>
      </c>
      <c r="E11" s="107" t="n">
        <v>35</v>
      </c>
      <c r="F11" s="107" t="n">
        <v>92</v>
      </c>
      <c r="G11" s="108" t="n">
        <v>0</v>
      </c>
      <c r="H11" s="107" t="n">
        <v>35</v>
      </c>
      <c r="I11" s="107" t="n">
        <v>92</v>
      </c>
      <c r="J11" s="108" t="n">
        <v>28</v>
      </c>
      <c r="K11" s="107" t="n">
        <v>37</v>
      </c>
      <c r="L11" s="107" t="n">
        <v>85</v>
      </c>
      <c r="M11" s="108" t="n">
        <v>-28</v>
      </c>
      <c r="N11" s="107" t="n">
        <v>29</v>
      </c>
      <c r="P11" s="107" t="n">
        <v>84</v>
      </c>
      <c r="Q11" s="108" t="n">
        <v>-16</v>
      </c>
      <c r="R11" s="107" t="n">
        <v>34</v>
      </c>
      <c r="S11" s="107" t="n">
        <v>85</v>
      </c>
      <c r="T11" s="108" t="n">
        <v>0</v>
      </c>
      <c r="U11" s="107" t="n">
        <v>43</v>
      </c>
      <c r="V11" s="107" t="n">
        <v>98</v>
      </c>
      <c r="W11" s="111" t="n">
        <v>0</v>
      </c>
      <c r="X11" s="107" t="n">
        <v>30</v>
      </c>
      <c r="Y11" s="107" t="n">
        <v>100</v>
      </c>
      <c r="Z11" s="108" t="n">
        <v>16</v>
      </c>
      <c r="AA11" s="107" t="n">
        <v>27</v>
      </c>
      <c r="AB11" s="38"/>
      <c r="AC11" s="107" t="n">
        <v>91</v>
      </c>
      <c r="AD11" s="108" t="n">
        <v>-4</v>
      </c>
      <c r="AE11" s="107" t="n">
        <v>26</v>
      </c>
      <c r="AF11" s="107" t="n">
        <v>84</v>
      </c>
      <c r="AG11" s="108" t="n">
        <v>10</v>
      </c>
      <c r="AH11" s="107" t="n">
        <v>33</v>
      </c>
      <c r="AI11" s="107" t="n">
        <v>112</v>
      </c>
      <c r="AJ11" s="108" t="n">
        <v>-18</v>
      </c>
      <c r="AK11" s="107" t="n">
        <v>18</v>
      </c>
      <c r="AL11" s="107" t="n">
        <v>83</v>
      </c>
      <c r="AM11" s="108" t="n">
        <v>12</v>
      </c>
      <c r="AN11" s="107" t="n">
        <v>36</v>
      </c>
      <c r="AO11" s="40"/>
      <c r="AP11" s="107" t="n">
        <v>108</v>
      </c>
      <c r="AQ11" s="108" t="n">
        <v>-39</v>
      </c>
      <c r="AR11" s="107" t="n">
        <v>22</v>
      </c>
      <c r="AS11" s="107" t="n">
        <v>80</v>
      </c>
      <c r="AT11" s="108" t="n">
        <v>17</v>
      </c>
      <c r="AU11" s="107" t="n">
        <v>37</v>
      </c>
      <c r="AV11" s="107" t="n">
        <v>84</v>
      </c>
      <c r="AW11" s="108" t="n">
        <v>1</v>
      </c>
      <c r="AX11" s="107" t="n">
        <v>34</v>
      </c>
      <c r="AY11" s="107" t="n">
        <v>96</v>
      </c>
      <c r="AZ11" s="108" t="n">
        <v>21</v>
      </c>
      <c r="BA11" s="107" t="n">
        <v>29</v>
      </c>
      <c r="BB11" s="40"/>
      <c r="BC11" s="0" t="s">
        <v>109</v>
      </c>
      <c r="BD11" s="42" t="n">
        <v>2</v>
      </c>
      <c r="BE11" s="42" t="n">
        <v>2</v>
      </c>
      <c r="BF11" s="42" t="n">
        <v>1</v>
      </c>
      <c r="BG11" s="42"/>
      <c r="BH11" s="42" t="n">
        <v>1</v>
      </c>
      <c r="BI11" s="42" t="n">
        <v>2</v>
      </c>
      <c r="BJ11" s="42" t="n">
        <v>1</v>
      </c>
      <c r="BK11" s="42" t="s">
        <v>262</v>
      </c>
      <c r="BL11" s="42" t="n">
        <f aca="false">BK12</f>
        <v>1</v>
      </c>
      <c r="BM11" s="42" t="n">
        <f aca="false">BK13</f>
        <v>2</v>
      </c>
      <c r="BN11" s="42" t="n">
        <f aca="false">BK14</f>
        <v>0</v>
      </c>
      <c r="BO11" s="42" t="n">
        <f aca="false">BK15</f>
        <v>1</v>
      </c>
      <c r="BP11" s="42" t="n">
        <f aca="false">BK16</f>
        <v>1</v>
      </c>
      <c r="BQ11" s="42" t="n">
        <f aca="false">BK17</f>
        <v>1</v>
      </c>
      <c r="BR11" s="42" t="n">
        <f aca="false">BK18</f>
        <v>3</v>
      </c>
      <c r="BS11" s="42" t="n">
        <f aca="false">BK19</f>
        <v>2</v>
      </c>
      <c r="BT11" s="42" t="n">
        <f aca="false">BK20</f>
        <v>1</v>
      </c>
      <c r="BU11" s="42" t="n">
        <f aca="false">BK21</f>
        <v>1</v>
      </c>
      <c r="BV11" s="42" t="n">
        <f aca="false">BK22</f>
        <v>1</v>
      </c>
    </row>
    <row r="12" customFormat="false" ht="12" hidden="false" customHeight="true" outlineLevel="0" collapsed="false">
      <c r="A12" s="104"/>
      <c r="B12" s="2" t="n">
        <v>6</v>
      </c>
      <c r="C12" s="105" t="s">
        <v>258</v>
      </c>
      <c r="D12" s="105"/>
      <c r="E12" s="105"/>
      <c r="F12" s="105" t="s">
        <v>246</v>
      </c>
      <c r="G12" s="105"/>
      <c r="H12" s="105"/>
      <c r="I12" s="105" t="s">
        <v>46</v>
      </c>
      <c r="J12" s="105"/>
      <c r="K12" s="105"/>
      <c r="L12" s="105" t="s">
        <v>259</v>
      </c>
      <c r="M12" s="105"/>
      <c r="N12" s="105"/>
      <c r="P12" s="105" t="s">
        <v>265</v>
      </c>
      <c r="Q12" s="105"/>
      <c r="R12" s="105"/>
      <c r="S12" s="105" t="s">
        <v>261</v>
      </c>
      <c r="T12" s="105"/>
      <c r="U12" s="105"/>
      <c r="V12" s="105" t="s">
        <v>248</v>
      </c>
      <c r="W12" s="105"/>
      <c r="X12" s="105"/>
      <c r="Y12" s="105" t="s">
        <v>255</v>
      </c>
      <c r="Z12" s="105"/>
      <c r="AA12" s="105"/>
      <c r="AC12" s="105" t="s">
        <v>238</v>
      </c>
      <c r="AD12" s="105"/>
      <c r="AE12" s="105"/>
      <c r="AF12" s="105" t="s">
        <v>256</v>
      </c>
      <c r="AG12" s="105"/>
      <c r="AH12" s="105"/>
      <c r="AI12" s="105" t="s">
        <v>144</v>
      </c>
      <c r="AJ12" s="105"/>
      <c r="AK12" s="105"/>
      <c r="AL12" s="105" t="s">
        <v>263</v>
      </c>
      <c r="AM12" s="105"/>
      <c r="AN12" s="105"/>
      <c r="AO12" s="102"/>
      <c r="AP12" s="105"/>
      <c r="AQ12" s="105"/>
      <c r="AR12" s="105"/>
      <c r="AS12" s="105"/>
      <c r="AT12" s="105"/>
      <c r="AU12" s="105"/>
      <c r="AV12" s="105"/>
      <c r="AW12" s="105"/>
      <c r="AX12" s="105"/>
      <c r="AY12" s="105"/>
      <c r="AZ12" s="105"/>
      <c r="BA12" s="105"/>
      <c r="BB12" s="102"/>
      <c r="BC12" s="109" t="s">
        <v>127</v>
      </c>
      <c r="BD12" s="110" t="n">
        <v>1</v>
      </c>
      <c r="BE12" s="110" t="n">
        <v>1</v>
      </c>
      <c r="BF12" s="110" t="n">
        <v>1</v>
      </c>
      <c r="BG12" s="110"/>
      <c r="BH12" s="110" t="n">
        <v>2</v>
      </c>
      <c r="BI12" s="110" t="n">
        <v>2</v>
      </c>
      <c r="BJ12" s="110" t="n">
        <v>1</v>
      </c>
      <c r="BK12" s="110" t="n">
        <v>1</v>
      </c>
      <c r="BL12" s="110" t="s">
        <v>262</v>
      </c>
      <c r="BM12" s="110" t="n">
        <f aca="false">BL13</f>
        <v>1</v>
      </c>
      <c r="BN12" s="110" t="n">
        <f aca="false">BL14</f>
        <v>0</v>
      </c>
      <c r="BO12" s="110" t="n">
        <f aca="false">BL15</f>
        <v>1</v>
      </c>
      <c r="BP12" s="110" t="n">
        <f aca="false">BL16</f>
        <v>2</v>
      </c>
      <c r="BQ12" s="110" t="n">
        <f aca="false">BL17</f>
        <v>1</v>
      </c>
      <c r="BR12" s="110" t="n">
        <f aca="false">BL18</f>
        <v>1</v>
      </c>
      <c r="BS12" s="110" t="n">
        <f aca="false">BL19</f>
        <v>0</v>
      </c>
      <c r="BT12" s="110" t="n">
        <f aca="false">BL20</f>
        <v>1</v>
      </c>
      <c r="BU12" s="110" t="n">
        <f aca="false">BL21</f>
        <v>1</v>
      </c>
      <c r="BV12" s="110" t="n">
        <f aca="false">BL22</f>
        <v>0</v>
      </c>
    </row>
    <row r="13" customFormat="false" ht="12" hidden="false" customHeight="true" outlineLevel="0" collapsed="false">
      <c r="A13" s="106" t="s">
        <v>250</v>
      </c>
      <c r="B13" s="106"/>
      <c r="C13" s="107" t="n">
        <v>82</v>
      </c>
      <c r="D13" s="108" t="n">
        <v>2</v>
      </c>
      <c r="E13" s="107" t="n">
        <v>30</v>
      </c>
      <c r="F13" s="107" t="n">
        <v>74</v>
      </c>
      <c r="G13" s="108" t="n">
        <v>-8</v>
      </c>
      <c r="H13" s="107" t="n">
        <v>39</v>
      </c>
      <c r="I13" s="107" t="n">
        <v>80</v>
      </c>
      <c r="J13" s="108" t="n">
        <v>8</v>
      </c>
      <c r="K13" s="107" t="n">
        <v>34</v>
      </c>
      <c r="L13" s="107" t="n">
        <v>87</v>
      </c>
      <c r="M13" s="108" t="n">
        <v>-2</v>
      </c>
      <c r="N13" s="107" t="n">
        <v>31</v>
      </c>
      <c r="P13" s="107" t="n">
        <v>77</v>
      </c>
      <c r="Q13" s="108" t="n">
        <v>2</v>
      </c>
      <c r="R13" s="107" t="n">
        <v>36</v>
      </c>
      <c r="S13" s="107" t="n">
        <v>89</v>
      </c>
      <c r="T13" s="108" t="n">
        <v>2</v>
      </c>
      <c r="U13" s="107" t="n">
        <v>34</v>
      </c>
      <c r="V13" s="107" t="n">
        <v>76</v>
      </c>
      <c r="W13" s="108" t="n">
        <v>4</v>
      </c>
      <c r="X13" s="107" t="n">
        <v>34</v>
      </c>
      <c r="Y13" s="107" t="n">
        <v>80</v>
      </c>
      <c r="Z13" s="108" t="n">
        <v>-8</v>
      </c>
      <c r="AA13" s="107" t="n">
        <v>39</v>
      </c>
      <c r="AC13" s="107" t="n">
        <v>80</v>
      </c>
      <c r="AD13" s="108" t="n">
        <v>16</v>
      </c>
      <c r="AE13" s="107" t="n">
        <v>34</v>
      </c>
      <c r="AF13" s="107" t="n">
        <v>91</v>
      </c>
      <c r="AG13" s="108" t="n">
        <v>6</v>
      </c>
      <c r="AH13" s="107" t="n">
        <v>31</v>
      </c>
      <c r="AI13" s="107" t="n">
        <v>92</v>
      </c>
      <c r="AJ13" s="108" t="n">
        <v>-18</v>
      </c>
      <c r="AK13" s="107" t="n">
        <v>32</v>
      </c>
      <c r="AL13" s="107" t="n">
        <v>78</v>
      </c>
      <c r="AM13" s="108" t="n">
        <v>-4</v>
      </c>
      <c r="AN13" s="107" t="n">
        <v>35</v>
      </c>
      <c r="AO13" s="40"/>
      <c r="AP13" s="107"/>
      <c r="AQ13" s="108"/>
      <c r="AR13" s="107"/>
      <c r="AS13" s="107"/>
      <c r="AT13" s="108"/>
      <c r="AU13" s="107"/>
      <c r="AV13" s="107"/>
      <c r="AW13" s="108"/>
      <c r="AX13" s="107"/>
      <c r="AY13" s="107"/>
      <c r="AZ13" s="108"/>
      <c r="BA13" s="107"/>
      <c r="BB13" s="40"/>
      <c r="BC13" s="0" t="s">
        <v>253</v>
      </c>
      <c r="BD13" s="42" t="n">
        <v>2</v>
      </c>
      <c r="BE13" s="42" t="n">
        <v>1</v>
      </c>
      <c r="BF13" s="42" t="n">
        <v>1</v>
      </c>
      <c r="BG13" s="42"/>
      <c r="BH13" s="42" t="n">
        <v>2</v>
      </c>
      <c r="BI13" s="42" t="n">
        <v>2</v>
      </c>
      <c r="BJ13" s="42"/>
      <c r="BK13" s="42" t="n">
        <v>2</v>
      </c>
      <c r="BL13" s="42" t="n">
        <v>1</v>
      </c>
      <c r="BM13" s="42" t="s">
        <v>262</v>
      </c>
      <c r="BN13" s="42" t="n">
        <f aca="false">BM14</f>
        <v>0</v>
      </c>
      <c r="BO13" s="42" t="n">
        <f aca="false">BM15</f>
        <v>1</v>
      </c>
      <c r="BP13" s="42" t="n">
        <f aca="false">BM16</f>
        <v>1</v>
      </c>
      <c r="BQ13" s="42" t="n">
        <f aca="false">BM17</f>
        <v>1</v>
      </c>
      <c r="BR13" s="42" t="n">
        <f aca="false">BM18</f>
        <v>2</v>
      </c>
      <c r="BS13" s="42" t="n">
        <f aca="false">BM19</f>
        <v>1</v>
      </c>
      <c r="BT13" s="42" t="n">
        <f aca="false">BM20</f>
        <v>1</v>
      </c>
      <c r="BU13" s="42" t="n">
        <f aca="false">BM21</f>
        <v>1</v>
      </c>
      <c r="BV13" s="42" t="n">
        <f aca="false">BM22</f>
        <v>1</v>
      </c>
    </row>
    <row r="14" customFormat="false" ht="12" hidden="false" customHeight="true" outlineLevel="0" collapsed="false">
      <c r="A14" s="104"/>
      <c r="B14" s="2" t="n">
        <v>7</v>
      </c>
      <c r="C14" s="105" t="s">
        <v>265</v>
      </c>
      <c r="D14" s="105"/>
      <c r="E14" s="105"/>
      <c r="F14" s="105" t="s">
        <v>246</v>
      </c>
      <c r="G14" s="105"/>
      <c r="H14" s="105"/>
      <c r="I14" s="105" t="s">
        <v>267</v>
      </c>
      <c r="J14" s="105"/>
      <c r="K14" s="105"/>
      <c r="L14" s="105" t="s">
        <v>238</v>
      </c>
      <c r="M14" s="105"/>
      <c r="N14" s="105"/>
      <c r="P14" s="105" t="s">
        <v>49</v>
      </c>
      <c r="Q14" s="105"/>
      <c r="R14" s="105"/>
      <c r="S14" s="105" t="s">
        <v>50</v>
      </c>
      <c r="T14" s="105"/>
      <c r="U14" s="105"/>
      <c r="V14" s="105" t="s">
        <v>46</v>
      </c>
      <c r="W14" s="105"/>
      <c r="X14" s="105"/>
      <c r="Y14" s="105" t="s">
        <v>247</v>
      </c>
      <c r="Z14" s="105"/>
      <c r="AA14" s="105"/>
      <c r="AB14" s="38"/>
      <c r="AC14" s="105" t="s">
        <v>156</v>
      </c>
      <c r="AD14" s="105"/>
      <c r="AE14" s="105"/>
      <c r="AF14" s="105" t="s">
        <v>239</v>
      </c>
      <c r="AG14" s="105"/>
      <c r="AH14" s="105"/>
      <c r="AI14" s="105" t="s">
        <v>248</v>
      </c>
      <c r="AJ14" s="105"/>
      <c r="AK14" s="105"/>
      <c r="AL14" s="105" t="s">
        <v>35</v>
      </c>
      <c r="AM14" s="105"/>
      <c r="AN14" s="105"/>
      <c r="AO14" s="102"/>
      <c r="AP14" s="105" t="s">
        <v>263</v>
      </c>
      <c r="AQ14" s="105"/>
      <c r="AR14" s="105"/>
      <c r="AS14" s="105" t="s">
        <v>259</v>
      </c>
      <c r="AT14" s="105"/>
      <c r="AU14" s="105"/>
      <c r="AV14" s="105" t="s">
        <v>264</v>
      </c>
      <c r="AW14" s="105"/>
      <c r="AX14" s="105"/>
      <c r="AY14" s="105" t="s">
        <v>260</v>
      </c>
      <c r="AZ14" s="105"/>
      <c r="BA14" s="105"/>
      <c r="BB14" s="102"/>
      <c r="BC14" s="109" t="s">
        <v>133</v>
      </c>
      <c r="BD14" s="110" t="n">
        <v>1</v>
      </c>
      <c r="BE14" s="110"/>
      <c r="BF14" s="110" t="n">
        <v>1</v>
      </c>
      <c r="BG14" s="110"/>
      <c r="BH14" s="110" t="n">
        <v>1</v>
      </c>
      <c r="BI14" s="110"/>
      <c r="BJ14" s="110"/>
      <c r="BK14" s="110"/>
      <c r="BL14" s="110"/>
      <c r="BM14" s="110"/>
      <c r="BN14" s="110" t="s">
        <v>262</v>
      </c>
      <c r="BO14" s="110" t="n">
        <f aca="false">BN15</f>
        <v>1</v>
      </c>
      <c r="BP14" s="110" t="n">
        <f aca="false">BN16</f>
        <v>0</v>
      </c>
      <c r="BQ14" s="110" t="n">
        <f aca="false">BN17</f>
        <v>0</v>
      </c>
      <c r="BR14" s="110" t="n">
        <f aca="false">BN18</f>
        <v>0</v>
      </c>
      <c r="BS14" s="110" t="n">
        <f aca="false">BN19</f>
        <v>1</v>
      </c>
      <c r="BT14" s="110" t="n">
        <f aca="false">BN20</f>
        <v>0</v>
      </c>
      <c r="BU14" s="110" t="n">
        <f aca="false">BN21</f>
        <v>0</v>
      </c>
      <c r="BV14" s="110" t="n">
        <f aca="false">BN22</f>
        <v>1</v>
      </c>
    </row>
    <row r="15" customFormat="false" ht="12" hidden="false" customHeight="true" outlineLevel="0" collapsed="false">
      <c r="A15" s="106" t="s">
        <v>250</v>
      </c>
      <c r="B15" s="106"/>
      <c r="C15" s="107" t="n">
        <v>85</v>
      </c>
      <c r="D15" s="108" t="n">
        <v>-10</v>
      </c>
      <c r="E15" s="107" t="n">
        <v>31</v>
      </c>
      <c r="F15" s="107" t="n">
        <v>81</v>
      </c>
      <c r="G15" s="108" t="n">
        <v>-2</v>
      </c>
      <c r="H15" s="107" t="n">
        <v>34</v>
      </c>
      <c r="I15" s="107" t="n">
        <v>78</v>
      </c>
      <c r="J15" s="108" t="n">
        <v>14</v>
      </c>
      <c r="K15" s="107" t="n">
        <v>35</v>
      </c>
      <c r="L15" s="107" t="n">
        <v>79</v>
      </c>
      <c r="M15" s="108" t="n">
        <v>-2</v>
      </c>
      <c r="N15" s="107" t="n">
        <v>37</v>
      </c>
      <c r="P15" s="107" t="n">
        <v>88</v>
      </c>
      <c r="Q15" s="108" t="n">
        <v>-32</v>
      </c>
      <c r="R15" s="107" t="n">
        <v>29</v>
      </c>
      <c r="S15" s="107" t="n">
        <v>93</v>
      </c>
      <c r="T15" s="108" t="n">
        <v>8</v>
      </c>
      <c r="U15" s="107" t="n">
        <v>32</v>
      </c>
      <c r="V15" s="107" t="n">
        <v>83</v>
      </c>
      <c r="W15" s="108" t="n">
        <v>12</v>
      </c>
      <c r="X15" s="107" t="n">
        <v>33</v>
      </c>
      <c r="Y15" s="107" t="n">
        <v>87</v>
      </c>
      <c r="Z15" s="108" t="n">
        <v>12</v>
      </c>
      <c r="AA15" s="107" t="n">
        <v>36</v>
      </c>
      <c r="AB15" s="38"/>
      <c r="AC15" s="107" t="n">
        <v>95</v>
      </c>
      <c r="AD15" s="108" t="n">
        <v>-18</v>
      </c>
      <c r="AE15" s="107" t="n">
        <v>33</v>
      </c>
      <c r="AF15" s="107" t="n">
        <v>100</v>
      </c>
      <c r="AG15" s="108" t="n">
        <v>28</v>
      </c>
      <c r="AH15" s="107" t="n">
        <v>27</v>
      </c>
      <c r="AI15" s="107" t="n">
        <v>74</v>
      </c>
      <c r="AJ15" s="108" t="n">
        <v>0.1</v>
      </c>
      <c r="AK15" s="107" t="n">
        <v>38</v>
      </c>
      <c r="AL15" s="107" t="n">
        <v>99</v>
      </c>
      <c r="AM15" s="108" t="n">
        <v>-10</v>
      </c>
      <c r="AN15" s="107" t="n">
        <v>25</v>
      </c>
      <c r="AO15" s="40"/>
      <c r="AP15" s="107" t="n">
        <v>79</v>
      </c>
      <c r="AQ15" s="108" t="n">
        <v>12</v>
      </c>
      <c r="AR15" s="107" t="n">
        <v>36</v>
      </c>
      <c r="AS15" s="107" t="n">
        <v>90</v>
      </c>
      <c r="AT15" s="108" t="n">
        <v>0</v>
      </c>
      <c r="AU15" s="107" t="n">
        <v>30</v>
      </c>
      <c r="AV15" s="107" t="n">
        <v>98</v>
      </c>
      <c r="AW15" s="108" t="n">
        <v>-36</v>
      </c>
      <c r="AX15" s="107" t="n">
        <v>28</v>
      </c>
      <c r="AY15" s="107" t="n">
        <v>98</v>
      </c>
      <c r="AZ15" s="108" t="n">
        <v>24</v>
      </c>
      <c r="BA15" s="107" t="n">
        <v>29</v>
      </c>
      <c r="BB15" s="40"/>
      <c r="BC15" s="0" t="s">
        <v>254</v>
      </c>
      <c r="BD15" s="42" t="n">
        <v>1</v>
      </c>
      <c r="BE15" s="42" t="n">
        <v>2</v>
      </c>
      <c r="BF15" s="42" t="n">
        <v>2</v>
      </c>
      <c r="BG15" s="42"/>
      <c r="BH15" s="42" t="n">
        <v>1</v>
      </c>
      <c r="BI15" s="42" t="n">
        <v>1</v>
      </c>
      <c r="BJ15" s="42" t="n">
        <v>1</v>
      </c>
      <c r="BK15" s="42" t="n">
        <v>1</v>
      </c>
      <c r="BL15" s="42" t="n">
        <v>1</v>
      </c>
      <c r="BM15" s="42" t="n">
        <v>1</v>
      </c>
      <c r="BN15" s="42" t="n">
        <v>1</v>
      </c>
      <c r="BO15" s="42" t="s">
        <v>262</v>
      </c>
      <c r="BP15" s="42" t="n">
        <f aca="false">BO16</f>
        <v>1</v>
      </c>
      <c r="BQ15" s="42" t="n">
        <f aca="false">BO17</f>
        <v>2</v>
      </c>
      <c r="BR15" s="42" t="n">
        <f aca="false">BO18</f>
        <v>0</v>
      </c>
      <c r="BS15" s="42" t="n">
        <f aca="false">BO19</f>
        <v>2</v>
      </c>
      <c r="BT15" s="42" t="n">
        <f aca="false">BO20</f>
        <v>1</v>
      </c>
      <c r="BU15" s="42" t="n">
        <f aca="false">BO21</f>
        <v>3</v>
      </c>
      <c r="BV15" s="42" t="n">
        <f aca="false">BO22</f>
        <v>1</v>
      </c>
    </row>
    <row r="16" customFormat="false" ht="12" hidden="false" customHeight="true" outlineLevel="0" collapsed="false">
      <c r="A16" s="104"/>
      <c r="B16" s="2" t="n">
        <v>8</v>
      </c>
      <c r="C16" s="105" t="s">
        <v>258</v>
      </c>
      <c r="D16" s="105"/>
      <c r="E16" s="105"/>
      <c r="F16" s="105" t="s">
        <v>263</v>
      </c>
      <c r="G16" s="105"/>
      <c r="H16" s="105"/>
      <c r="I16" s="105" t="s">
        <v>238</v>
      </c>
      <c r="J16" s="105"/>
      <c r="K16" s="105"/>
      <c r="L16" s="105" t="s">
        <v>268</v>
      </c>
      <c r="M16" s="105"/>
      <c r="N16" s="105"/>
      <c r="P16" s="105" t="s">
        <v>256</v>
      </c>
      <c r="Q16" s="105"/>
      <c r="R16" s="105"/>
      <c r="S16" s="105" t="s">
        <v>255</v>
      </c>
      <c r="T16" s="105"/>
      <c r="U16" s="105"/>
      <c r="V16" s="105" t="s">
        <v>244</v>
      </c>
      <c r="W16" s="105"/>
      <c r="X16" s="105"/>
      <c r="Y16" s="105" t="s">
        <v>46</v>
      </c>
      <c r="Z16" s="105"/>
      <c r="AA16" s="105"/>
      <c r="AB16" s="38"/>
      <c r="AC16" s="105" t="s">
        <v>246</v>
      </c>
      <c r="AD16" s="105"/>
      <c r="AE16" s="105"/>
      <c r="AF16" s="105" t="s">
        <v>35</v>
      </c>
      <c r="AG16" s="105"/>
      <c r="AH16" s="105"/>
      <c r="AI16" s="105" t="s">
        <v>259</v>
      </c>
      <c r="AJ16" s="105"/>
      <c r="AK16" s="105"/>
      <c r="AL16" s="105" t="s">
        <v>265</v>
      </c>
      <c r="AM16" s="105"/>
      <c r="AN16" s="105"/>
      <c r="AO16" s="102"/>
      <c r="AP16" s="105" t="s">
        <v>248</v>
      </c>
      <c r="AQ16" s="105"/>
      <c r="AR16" s="105"/>
      <c r="AS16" s="105" t="s">
        <v>260</v>
      </c>
      <c r="AT16" s="105"/>
      <c r="AU16" s="105"/>
      <c r="AV16" s="105" t="s">
        <v>242</v>
      </c>
      <c r="AW16" s="105"/>
      <c r="AX16" s="105"/>
      <c r="AY16" s="105" t="s">
        <v>239</v>
      </c>
      <c r="AZ16" s="105"/>
      <c r="BA16" s="105"/>
      <c r="BB16" s="102"/>
      <c r="BC16" s="109" t="s">
        <v>121</v>
      </c>
      <c r="BD16" s="110" t="n">
        <v>1</v>
      </c>
      <c r="BE16" s="110" t="n">
        <v>2</v>
      </c>
      <c r="BF16" s="110" t="n">
        <v>2</v>
      </c>
      <c r="BG16" s="110"/>
      <c r="BH16" s="110" t="n">
        <v>2</v>
      </c>
      <c r="BI16" s="110" t="n">
        <v>1</v>
      </c>
      <c r="BJ16" s="110" t="n">
        <v>1</v>
      </c>
      <c r="BK16" s="110" t="n">
        <v>1</v>
      </c>
      <c r="BL16" s="110" t="n">
        <v>2</v>
      </c>
      <c r="BM16" s="110" t="n">
        <v>1</v>
      </c>
      <c r="BN16" s="110"/>
      <c r="BO16" s="110" t="n">
        <v>1</v>
      </c>
      <c r="BP16" s="110" t="s">
        <v>262</v>
      </c>
      <c r="BQ16" s="110" t="n">
        <f aca="false">BP17</f>
        <v>0</v>
      </c>
      <c r="BR16" s="110" t="n">
        <f aca="false">BP18</f>
        <v>2</v>
      </c>
      <c r="BS16" s="110" t="n">
        <f aca="false">BP19</f>
        <v>1</v>
      </c>
      <c r="BT16" s="110" t="n">
        <f aca="false">BP20</f>
        <v>1</v>
      </c>
      <c r="BU16" s="110" t="n">
        <f aca="false">BP21</f>
        <v>1</v>
      </c>
      <c r="BV16" s="110" t="n">
        <f aca="false">BP22</f>
        <v>1</v>
      </c>
    </row>
    <row r="17" customFormat="false" ht="12" hidden="false" customHeight="true" outlineLevel="0" collapsed="false">
      <c r="A17" s="106" t="s">
        <v>250</v>
      </c>
      <c r="B17" s="106"/>
      <c r="C17" s="107" t="n">
        <v>87</v>
      </c>
      <c r="D17" s="108" t="n">
        <v>-33</v>
      </c>
      <c r="E17" s="107" t="n">
        <v>30</v>
      </c>
      <c r="F17" s="107" t="n">
        <v>76</v>
      </c>
      <c r="G17" s="108" t="n">
        <v>25</v>
      </c>
      <c r="H17" s="107" t="n">
        <v>41</v>
      </c>
      <c r="I17" s="107" t="n">
        <v>80</v>
      </c>
      <c r="J17" s="108" t="n">
        <v>5</v>
      </c>
      <c r="K17" s="107" t="n">
        <v>38</v>
      </c>
      <c r="L17" s="107" t="n">
        <v>88</v>
      </c>
      <c r="M17" s="108" t="n">
        <v>3</v>
      </c>
      <c r="N17" s="107" t="n">
        <v>38</v>
      </c>
      <c r="P17" s="107" t="n">
        <v>99</v>
      </c>
      <c r="Q17" s="108" t="n">
        <v>-11</v>
      </c>
      <c r="R17" s="107" t="n">
        <v>28</v>
      </c>
      <c r="S17" s="107" t="n">
        <v>89</v>
      </c>
      <c r="T17" s="108" t="n">
        <v>-21</v>
      </c>
      <c r="U17" s="107" t="n">
        <v>34</v>
      </c>
      <c r="V17" s="107" t="n">
        <v>81</v>
      </c>
      <c r="W17" s="108" t="n">
        <v>29</v>
      </c>
      <c r="X17" s="107" t="n">
        <v>38</v>
      </c>
      <c r="Y17" s="107" t="n">
        <v>98</v>
      </c>
      <c r="Z17" s="108" t="n">
        <v>3</v>
      </c>
      <c r="AA17" s="107" t="n">
        <v>21</v>
      </c>
      <c r="AB17" s="38"/>
      <c r="AC17" s="107" t="n">
        <v>83</v>
      </c>
      <c r="AD17" s="108" t="n">
        <v>13</v>
      </c>
      <c r="AE17" s="107" t="n">
        <v>33</v>
      </c>
      <c r="AF17" s="107" t="n">
        <v>87</v>
      </c>
      <c r="AG17" s="108" t="n">
        <v>5</v>
      </c>
      <c r="AH17" s="107" t="n">
        <v>40</v>
      </c>
      <c r="AI17" s="107" t="n">
        <v>89</v>
      </c>
      <c r="AJ17" s="108" t="n">
        <v>-13</v>
      </c>
      <c r="AK17" s="107" t="n">
        <v>34</v>
      </c>
      <c r="AL17" s="107" t="n">
        <v>84</v>
      </c>
      <c r="AM17" s="108" t="n">
        <v>-5</v>
      </c>
      <c r="AN17" s="107" t="n">
        <v>34</v>
      </c>
      <c r="AO17" s="40"/>
      <c r="AP17" s="107" t="n">
        <v>80</v>
      </c>
      <c r="AQ17" s="108" t="n">
        <v>-9</v>
      </c>
      <c r="AR17" s="107" t="n">
        <v>33</v>
      </c>
      <c r="AS17" s="107" t="n">
        <v>105</v>
      </c>
      <c r="AT17" s="108" t="n">
        <v>3</v>
      </c>
      <c r="AU17" s="107" t="n">
        <v>26</v>
      </c>
      <c r="AV17" s="107" t="n">
        <v>93</v>
      </c>
      <c r="AW17" s="108" t="n">
        <v>21</v>
      </c>
      <c r="AX17" s="107" t="n">
        <v>35</v>
      </c>
      <c r="AY17" s="107" t="n">
        <v>103</v>
      </c>
      <c r="AZ17" s="108" t="n">
        <v>-15</v>
      </c>
      <c r="BA17" s="107" t="n">
        <v>27</v>
      </c>
      <c r="BB17" s="40"/>
      <c r="BC17" s="0" t="s">
        <v>118</v>
      </c>
      <c r="BD17" s="42" t="n">
        <v>1</v>
      </c>
      <c r="BE17" s="42" t="n">
        <v>2</v>
      </c>
      <c r="BF17" s="42" t="n">
        <v>1</v>
      </c>
      <c r="BG17" s="42"/>
      <c r="BH17" s="42" t="n">
        <v>1</v>
      </c>
      <c r="BI17" s="42"/>
      <c r="BJ17" s="42"/>
      <c r="BK17" s="42" t="n">
        <v>1</v>
      </c>
      <c r="BL17" s="42" t="n">
        <v>1</v>
      </c>
      <c r="BM17" s="42" t="n">
        <v>1</v>
      </c>
      <c r="BO17" s="42" t="n">
        <v>2</v>
      </c>
      <c r="BP17" s="42"/>
      <c r="BQ17" s="42" t="s">
        <v>262</v>
      </c>
      <c r="BR17" s="42" t="n">
        <f aca="false">BQ18</f>
        <v>1</v>
      </c>
      <c r="BS17" s="42" t="n">
        <f aca="false">BQ19</f>
        <v>1</v>
      </c>
      <c r="BT17" s="42" t="n">
        <f aca="false">BQ20</f>
        <v>0</v>
      </c>
      <c r="BU17" s="42" t="n">
        <f aca="false">BQ21</f>
        <v>1</v>
      </c>
      <c r="BV17" s="42" t="n">
        <f aca="false">BQ22</f>
        <v>2</v>
      </c>
    </row>
    <row r="18" customFormat="false" ht="12" hidden="false" customHeight="true" outlineLevel="0" collapsed="false">
      <c r="A18" s="104"/>
      <c r="B18" s="2" t="n">
        <v>9</v>
      </c>
      <c r="C18" s="105" t="s">
        <v>248</v>
      </c>
      <c r="D18" s="105"/>
      <c r="E18" s="105"/>
      <c r="F18" s="105" t="s">
        <v>246</v>
      </c>
      <c r="G18" s="105"/>
      <c r="H18" s="105"/>
      <c r="I18" s="105" t="s">
        <v>260</v>
      </c>
      <c r="J18" s="105"/>
      <c r="K18" s="105"/>
      <c r="L18" s="105" t="s">
        <v>238</v>
      </c>
      <c r="M18" s="105"/>
      <c r="N18" s="105"/>
      <c r="P18" s="105" t="s">
        <v>259</v>
      </c>
      <c r="Q18" s="105"/>
      <c r="R18" s="105"/>
      <c r="S18" s="105" t="s">
        <v>240</v>
      </c>
      <c r="T18" s="105"/>
      <c r="U18" s="105"/>
      <c r="V18" s="105" t="s">
        <v>247</v>
      </c>
      <c r="W18" s="105"/>
      <c r="X18" s="105"/>
      <c r="Y18" s="105" t="s">
        <v>255</v>
      </c>
      <c r="Z18" s="105"/>
      <c r="AA18" s="105"/>
      <c r="AB18" s="38"/>
      <c r="AC18" s="105" t="s">
        <v>261</v>
      </c>
      <c r="AD18" s="105"/>
      <c r="AE18" s="105"/>
      <c r="AF18" s="105" t="s">
        <v>263</v>
      </c>
      <c r="AG18" s="105"/>
      <c r="AH18" s="105"/>
      <c r="AI18" s="105" t="s">
        <v>35</v>
      </c>
      <c r="AJ18" s="105"/>
      <c r="AK18" s="105"/>
      <c r="AL18" s="105" t="s">
        <v>266</v>
      </c>
      <c r="AM18" s="105"/>
      <c r="AN18" s="105"/>
      <c r="AO18" s="102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2"/>
      <c r="BC18" s="109" t="s">
        <v>246</v>
      </c>
      <c r="BD18" s="110" t="n">
        <v>1</v>
      </c>
      <c r="BE18" s="110" t="n">
        <v>3</v>
      </c>
      <c r="BF18" s="110" t="n">
        <v>2</v>
      </c>
      <c r="BG18" s="110"/>
      <c r="BH18" s="110" t="n">
        <v>2</v>
      </c>
      <c r="BI18" s="110" t="n">
        <v>2</v>
      </c>
      <c r="BJ18" s="110"/>
      <c r="BK18" s="110" t="n">
        <v>3</v>
      </c>
      <c r="BL18" s="110" t="n">
        <v>1</v>
      </c>
      <c r="BM18" s="110" t="n">
        <v>2</v>
      </c>
      <c r="BN18" s="110"/>
      <c r="BO18" s="110"/>
      <c r="BP18" s="110" t="n">
        <v>2</v>
      </c>
      <c r="BQ18" s="110" t="n">
        <v>1</v>
      </c>
      <c r="BR18" s="110" t="s">
        <v>262</v>
      </c>
      <c r="BS18" s="110" t="n">
        <f aca="false">BR19</f>
        <v>0</v>
      </c>
      <c r="BT18" s="110" t="n">
        <f aca="false">BR20</f>
        <v>0</v>
      </c>
      <c r="BU18" s="110" t="n">
        <f aca="false">BR21</f>
        <v>0</v>
      </c>
      <c r="BV18" s="110" t="n">
        <f aca="false">BR22</f>
        <v>1</v>
      </c>
    </row>
    <row r="19" customFormat="false" ht="12" hidden="false" customHeight="true" outlineLevel="0" collapsed="false">
      <c r="A19" s="106" t="s">
        <v>250</v>
      </c>
      <c r="B19" s="106"/>
      <c r="C19" s="107" t="n">
        <v>74</v>
      </c>
      <c r="D19" s="108" t="n">
        <v>-18</v>
      </c>
      <c r="E19" s="107" t="n">
        <v>34</v>
      </c>
      <c r="F19" s="107" t="n">
        <v>77</v>
      </c>
      <c r="G19" s="108" t="n">
        <v>-8</v>
      </c>
      <c r="H19" s="107" t="n">
        <v>33</v>
      </c>
      <c r="I19" s="107" t="n">
        <v>98</v>
      </c>
      <c r="J19" s="108" t="n">
        <v>10</v>
      </c>
      <c r="K19" s="107" t="n">
        <v>27</v>
      </c>
      <c r="L19" s="107" t="n">
        <v>75</v>
      </c>
      <c r="M19" s="108" t="n">
        <v>16</v>
      </c>
      <c r="N19" s="107" t="n">
        <v>37</v>
      </c>
      <c r="P19" s="107" t="n">
        <v>92</v>
      </c>
      <c r="Q19" s="108" t="n">
        <v>-50</v>
      </c>
      <c r="R19" s="107" t="n">
        <v>25</v>
      </c>
      <c r="S19" s="107" t="n">
        <v>76</v>
      </c>
      <c r="T19" s="108" t="n">
        <v>28</v>
      </c>
      <c r="U19" s="107" t="n">
        <v>36</v>
      </c>
      <c r="V19" s="107" t="n">
        <v>93</v>
      </c>
      <c r="W19" s="108" t="n">
        <v>6</v>
      </c>
      <c r="X19" s="107" t="n">
        <v>28</v>
      </c>
      <c r="Y19" s="107" t="n">
        <v>81</v>
      </c>
      <c r="Z19" s="108" t="n">
        <v>16</v>
      </c>
      <c r="AA19" s="107" t="n">
        <v>37</v>
      </c>
      <c r="AB19" s="38"/>
      <c r="AC19" s="107" t="n">
        <v>86</v>
      </c>
      <c r="AD19" s="108" t="n">
        <v>-20</v>
      </c>
      <c r="AE19" s="107" t="n">
        <v>36</v>
      </c>
      <c r="AF19" s="107" t="n">
        <v>81</v>
      </c>
      <c r="AG19" s="108" t="n">
        <v>-8</v>
      </c>
      <c r="AH19" s="107" t="n">
        <v>33</v>
      </c>
      <c r="AI19" s="107" t="n">
        <v>89</v>
      </c>
      <c r="AJ19" s="108" t="n">
        <v>12</v>
      </c>
      <c r="AK19" s="107" t="n">
        <v>34</v>
      </c>
      <c r="AL19" s="107" t="n">
        <v>84</v>
      </c>
      <c r="AM19" s="108" t="n">
        <v>16</v>
      </c>
      <c r="AN19" s="107" t="n">
        <v>30</v>
      </c>
      <c r="AO19" s="40"/>
      <c r="AP19" s="107"/>
      <c r="AQ19" s="108"/>
      <c r="AR19" s="107"/>
      <c r="AS19" s="107"/>
      <c r="AT19" s="108"/>
      <c r="AU19" s="107"/>
      <c r="AV19" s="107"/>
      <c r="AW19" s="108"/>
      <c r="AX19" s="107"/>
      <c r="AY19" s="107"/>
      <c r="AZ19" s="108"/>
      <c r="BA19" s="107"/>
      <c r="BB19" s="40"/>
      <c r="BC19" s="0" t="s">
        <v>255</v>
      </c>
      <c r="BD19" s="42" t="n">
        <v>1</v>
      </c>
      <c r="BE19" s="42" t="n">
        <v>2</v>
      </c>
      <c r="BF19" s="42" t="n">
        <v>2</v>
      </c>
      <c r="BG19" s="42"/>
      <c r="BH19" s="42" t="n">
        <v>2</v>
      </c>
      <c r="BI19" s="42" t="n">
        <v>1</v>
      </c>
      <c r="BJ19" s="42"/>
      <c r="BK19" s="42" t="n">
        <v>2</v>
      </c>
      <c r="BL19" s="42"/>
      <c r="BM19" s="42" t="n">
        <v>1</v>
      </c>
      <c r="BN19" s="42" t="n">
        <v>1</v>
      </c>
      <c r="BO19" s="42" t="n">
        <v>2</v>
      </c>
      <c r="BP19" s="42" t="n">
        <v>1</v>
      </c>
      <c r="BQ19" s="42" t="n">
        <v>1</v>
      </c>
      <c r="BR19" s="42"/>
      <c r="BS19" s="42" t="s">
        <v>262</v>
      </c>
      <c r="BT19" s="42" t="n">
        <f aca="false">BS20</f>
        <v>1</v>
      </c>
      <c r="BU19" s="42" t="n">
        <f aca="false">BS21</f>
        <v>1</v>
      </c>
      <c r="BV19" s="42" t="n">
        <f aca="false">BS22</f>
        <v>0</v>
      </c>
    </row>
    <row r="20" customFormat="false" ht="12" hidden="false" customHeight="true" outlineLevel="0" collapsed="false">
      <c r="A20" s="104"/>
      <c r="B20" s="2" t="n">
        <v>10</v>
      </c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P20" s="105"/>
      <c r="Q20" s="105"/>
      <c r="R20" s="105"/>
      <c r="S20" s="105"/>
      <c r="T20" s="105"/>
      <c r="U20" s="105"/>
      <c r="V20" s="105"/>
      <c r="W20" s="105"/>
      <c r="X20" s="105"/>
      <c r="Y20" s="105"/>
      <c r="Z20" s="105"/>
      <c r="AA20" s="105"/>
      <c r="AB20" s="38"/>
      <c r="AC20" s="105"/>
      <c r="AD20" s="105"/>
      <c r="AE20" s="105"/>
      <c r="AF20" s="105"/>
      <c r="AG20" s="105"/>
      <c r="AH20" s="105"/>
      <c r="AI20" s="105"/>
      <c r="AJ20" s="105"/>
      <c r="AK20" s="105"/>
      <c r="AL20" s="105"/>
      <c r="AM20" s="105"/>
      <c r="AN20" s="105"/>
      <c r="AO20" s="102"/>
      <c r="AP20" s="105"/>
      <c r="AQ20" s="105"/>
      <c r="AR20" s="105"/>
      <c r="AS20" s="105"/>
      <c r="AT20" s="105"/>
      <c r="AU20" s="105"/>
      <c r="AV20" s="105"/>
      <c r="AW20" s="105"/>
      <c r="AX20" s="105"/>
      <c r="AY20" s="105"/>
      <c r="AZ20" s="105"/>
      <c r="BA20" s="105"/>
      <c r="BB20" s="102"/>
      <c r="BC20" s="109" t="s">
        <v>256</v>
      </c>
      <c r="BD20" s="110"/>
      <c r="BE20" s="110" t="n">
        <v>1</v>
      </c>
      <c r="BF20" s="110" t="n">
        <v>1</v>
      </c>
      <c r="BG20" s="110"/>
      <c r="BH20" s="110" t="n">
        <v>1</v>
      </c>
      <c r="BI20" s="110" t="n">
        <v>1</v>
      </c>
      <c r="BJ20" s="110" t="n">
        <v>1</v>
      </c>
      <c r="BK20" s="110" t="n">
        <v>1</v>
      </c>
      <c r="BL20" s="110" t="n">
        <v>1</v>
      </c>
      <c r="BM20" s="110" t="n">
        <v>1</v>
      </c>
      <c r="BN20" s="110"/>
      <c r="BO20" s="110" t="n">
        <v>1</v>
      </c>
      <c r="BP20" s="110" t="n">
        <v>1</v>
      </c>
      <c r="BQ20" s="110"/>
      <c r="BR20" s="110"/>
      <c r="BS20" s="110" t="n">
        <v>1</v>
      </c>
      <c r="BT20" s="110" t="s">
        <v>262</v>
      </c>
      <c r="BU20" s="110" t="n">
        <f aca="false">BT21</f>
        <v>1</v>
      </c>
      <c r="BV20" s="110" t="n">
        <f aca="false">BT22</f>
        <v>2</v>
      </c>
    </row>
    <row r="21" customFormat="false" ht="12" hidden="false" customHeight="true" outlineLevel="0" collapsed="false">
      <c r="A21" s="106" t="s">
        <v>250</v>
      </c>
      <c r="B21" s="106"/>
      <c r="C21" s="107"/>
      <c r="D21" s="108"/>
      <c r="E21" s="107"/>
      <c r="F21" s="107"/>
      <c r="G21" s="108"/>
      <c r="H21" s="107"/>
      <c r="I21" s="107"/>
      <c r="J21" s="108"/>
      <c r="K21" s="107"/>
      <c r="L21" s="107"/>
      <c r="M21" s="108"/>
      <c r="N21" s="107"/>
      <c r="P21" s="107"/>
      <c r="Q21" s="108"/>
      <c r="R21" s="107"/>
      <c r="S21" s="107"/>
      <c r="T21" s="108"/>
      <c r="U21" s="107"/>
      <c r="V21" s="107"/>
      <c r="W21" s="108"/>
      <c r="X21" s="107"/>
      <c r="Y21" s="107"/>
      <c r="Z21" s="108"/>
      <c r="AA21" s="107"/>
      <c r="AB21" s="38"/>
      <c r="AC21" s="107"/>
      <c r="AD21" s="108"/>
      <c r="AE21" s="107"/>
      <c r="AF21" s="107"/>
      <c r="AG21" s="108"/>
      <c r="AH21" s="107"/>
      <c r="AI21" s="107"/>
      <c r="AJ21" s="108"/>
      <c r="AK21" s="107"/>
      <c r="AL21" s="107"/>
      <c r="AM21" s="108"/>
      <c r="AN21" s="107"/>
      <c r="AO21" s="40"/>
      <c r="AP21" s="107"/>
      <c r="AQ21" s="108"/>
      <c r="AR21" s="107"/>
      <c r="AS21" s="107"/>
      <c r="AT21" s="108"/>
      <c r="AU21" s="107"/>
      <c r="AV21" s="107"/>
      <c r="AW21" s="108"/>
      <c r="AX21" s="107"/>
      <c r="AY21" s="107"/>
      <c r="AZ21" s="108"/>
      <c r="BA21" s="107"/>
      <c r="BB21" s="40"/>
      <c r="BC21" s="0" t="s">
        <v>257</v>
      </c>
      <c r="BD21" s="42" t="n">
        <v>1</v>
      </c>
      <c r="BE21" s="42" t="n">
        <v>1</v>
      </c>
      <c r="BF21" s="42" t="n">
        <v>1</v>
      </c>
      <c r="BG21" s="42"/>
      <c r="BH21" s="42" t="n">
        <v>2</v>
      </c>
      <c r="BI21" s="42" t="n">
        <v>1</v>
      </c>
      <c r="BJ21" s="42" t="n">
        <v>1</v>
      </c>
      <c r="BK21" s="42" t="n">
        <v>1</v>
      </c>
      <c r="BL21" s="42" t="n">
        <v>1</v>
      </c>
      <c r="BM21" s="42" t="n">
        <v>1</v>
      </c>
      <c r="BO21" s="42" t="n">
        <v>3</v>
      </c>
      <c r="BP21" s="42" t="n">
        <v>1</v>
      </c>
      <c r="BQ21" s="42" t="n">
        <v>1</v>
      </c>
      <c r="BR21" s="42"/>
      <c r="BS21" s="42" t="n">
        <v>1</v>
      </c>
      <c r="BT21" s="42" t="n">
        <v>1</v>
      </c>
      <c r="BU21" s="42" t="s">
        <v>262</v>
      </c>
      <c r="BV21" s="42" t="n">
        <f aca="false">BU22</f>
        <v>1</v>
      </c>
    </row>
    <row r="22" customFormat="false" ht="12" hidden="false" customHeight="true" outlineLevel="0" collapsed="false">
      <c r="A22" s="104"/>
      <c r="B22" s="2" t="n">
        <v>11</v>
      </c>
      <c r="C22" s="105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P22" s="105"/>
      <c r="Q22" s="105"/>
      <c r="R22" s="105"/>
      <c r="S22" s="105"/>
      <c r="T22" s="105"/>
      <c r="U22" s="105"/>
      <c r="V22" s="105"/>
      <c r="W22" s="105"/>
      <c r="X22" s="105"/>
      <c r="Y22" s="105"/>
      <c r="Z22" s="105"/>
      <c r="AA22" s="105"/>
      <c r="AB22" s="38"/>
      <c r="AC22" s="105"/>
      <c r="AD22" s="105"/>
      <c r="AE22" s="105"/>
      <c r="AF22" s="105"/>
      <c r="AG22" s="105"/>
      <c r="AH22" s="105"/>
      <c r="AI22" s="105"/>
      <c r="AJ22" s="105"/>
      <c r="AK22" s="105"/>
      <c r="AL22" s="105"/>
      <c r="AM22" s="105"/>
      <c r="AN22" s="105"/>
      <c r="AO22" s="102"/>
      <c r="AP22" s="105"/>
      <c r="AQ22" s="105"/>
      <c r="AR22" s="105"/>
      <c r="AS22" s="105"/>
      <c r="AT22" s="105"/>
      <c r="AU22" s="105"/>
      <c r="AV22" s="105"/>
      <c r="AW22" s="105"/>
      <c r="AX22" s="105"/>
      <c r="AY22" s="105"/>
      <c r="AZ22" s="105"/>
      <c r="BA22" s="105"/>
      <c r="BB22" s="102"/>
      <c r="BC22" s="109" t="s">
        <v>249</v>
      </c>
      <c r="BD22" s="110" t="n">
        <v>2</v>
      </c>
      <c r="BE22" s="110" t="n">
        <v>1</v>
      </c>
      <c r="BF22" s="110" t="n">
        <v>2</v>
      </c>
      <c r="BG22" s="110"/>
      <c r="BH22" s="110" t="n">
        <v>1</v>
      </c>
      <c r="BI22" s="110" t="n">
        <v>2</v>
      </c>
      <c r="BJ22" s="110" t="n">
        <v>1</v>
      </c>
      <c r="BK22" s="110" t="n">
        <v>1</v>
      </c>
      <c r="BL22" s="110"/>
      <c r="BM22" s="110" t="n">
        <v>1</v>
      </c>
      <c r="BN22" s="110" t="n">
        <v>1</v>
      </c>
      <c r="BO22" s="110" t="n">
        <v>1</v>
      </c>
      <c r="BP22" s="110" t="n">
        <v>1</v>
      </c>
      <c r="BQ22" s="110" t="n">
        <v>2</v>
      </c>
      <c r="BR22" s="110" t="n">
        <v>1</v>
      </c>
      <c r="BS22" s="110"/>
      <c r="BT22" s="110" t="n">
        <v>2</v>
      </c>
      <c r="BU22" s="110" t="n">
        <v>1</v>
      </c>
      <c r="BV22" s="110" t="s">
        <v>262</v>
      </c>
    </row>
    <row r="23" customFormat="false" ht="12" hidden="false" customHeight="true" outlineLevel="0" collapsed="false">
      <c r="A23" s="106" t="s">
        <v>250</v>
      </c>
      <c r="B23" s="106"/>
      <c r="C23" s="107"/>
      <c r="D23" s="108"/>
      <c r="E23" s="107"/>
      <c r="F23" s="107"/>
      <c r="G23" s="108"/>
      <c r="H23" s="107"/>
      <c r="I23" s="107"/>
      <c r="J23" s="108"/>
      <c r="K23" s="107"/>
      <c r="L23" s="107"/>
      <c r="M23" s="108"/>
      <c r="N23" s="107"/>
      <c r="P23" s="107"/>
      <c r="Q23" s="108"/>
      <c r="R23" s="107"/>
      <c r="S23" s="107"/>
      <c r="T23" s="108"/>
      <c r="U23" s="107"/>
      <c r="V23" s="107"/>
      <c r="W23" s="108"/>
      <c r="X23" s="107"/>
      <c r="Y23" s="107"/>
      <c r="Z23" s="108"/>
      <c r="AA23" s="107"/>
      <c r="AB23" s="38"/>
      <c r="AC23" s="107"/>
      <c r="AD23" s="108"/>
      <c r="AE23" s="107"/>
      <c r="AF23" s="107"/>
      <c r="AG23" s="108"/>
      <c r="AH23" s="107"/>
      <c r="AI23" s="107"/>
      <c r="AJ23" s="108"/>
      <c r="AK23" s="107"/>
      <c r="AL23" s="107"/>
      <c r="AM23" s="108"/>
      <c r="AN23" s="107"/>
      <c r="AO23" s="40"/>
      <c r="AP23" s="107"/>
      <c r="AQ23" s="108"/>
      <c r="AR23" s="107"/>
      <c r="AS23" s="107"/>
      <c r="AT23" s="108"/>
      <c r="AU23" s="107"/>
      <c r="AV23" s="107"/>
      <c r="AW23" s="108"/>
      <c r="AX23" s="107"/>
      <c r="AY23" s="107"/>
      <c r="AZ23" s="108"/>
      <c r="BA23" s="107"/>
      <c r="BB23" s="40"/>
      <c r="BC23" s="0" t="s">
        <v>20</v>
      </c>
      <c r="BD23" s="42" t="n">
        <f aca="false">SUM(BD4:BD22)</f>
        <v>20</v>
      </c>
      <c r="BE23" s="42" t="n">
        <f aca="false">SUM(BE4:BE22)</f>
        <v>24</v>
      </c>
      <c r="BF23" s="42" t="n">
        <f aca="false">SUM(BF4:BF22)</f>
        <v>22</v>
      </c>
      <c r="BG23" s="42" t="n">
        <f aca="false">SUM(BG4:BG22)</f>
        <v>0</v>
      </c>
      <c r="BH23" s="42" t="n">
        <f aca="false">SUM(BH4:BH22)</f>
        <v>25</v>
      </c>
      <c r="BI23" s="42" t="n">
        <f aca="false">SUM(BI4:BI22)</f>
        <v>20</v>
      </c>
      <c r="BJ23" s="42" t="n">
        <f aca="false">SUM(BJ4:BJ22)</f>
        <v>12</v>
      </c>
      <c r="BK23" s="42" t="n">
        <f aca="false">SUM(BK4:BK22)</f>
        <v>23</v>
      </c>
      <c r="BL23" s="42" t="n">
        <f aca="false">SUM(BL4:BL22)</f>
        <v>17</v>
      </c>
      <c r="BM23" s="42" t="n">
        <f aca="false">SUM(BM4:BM22)</f>
        <v>20</v>
      </c>
      <c r="BN23" s="42" t="n">
        <f aca="false">SUM(BN4:BN22)</f>
        <v>6</v>
      </c>
      <c r="BO23" s="42" t="n">
        <f aca="false">SUM(BO4:BO22)</f>
        <v>22</v>
      </c>
      <c r="BP23" s="42" t="n">
        <f aca="false">SUM(BP4:BP22)</f>
        <v>20</v>
      </c>
      <c r="BQ23" s="42" t="n">
        <f aca="false">SUM(BQ4:BQ22)</f>
        <v>15</v>
      </c>
      <c r="BR23" s="42" t="n">
        <f aca="false">SUM(BR4:BR22)</f>
        <v>20</v>
      </c>
      <c r="BS23" s="42" t="n">
        <f aca="false">SUM(BS4:BS22)</f>
        <v>18</v>
      </c>
      <c r="BT23" s="42" t="n">
        <f aca="false">SUM(BT4:BT22)</f>
        <v>14</v>
      </c>
      <c r="BU23" s="42" t="n">
        <f aca="false">SUM(BU4:BU22)</f>
        <v>18</v>
      </c>
      <c r="BV23" s="42" t="n">
        <f aca="false">SUM(BV4:BV22)</f>
        <v>20</v>
      </c>
    </row>
    <row r="24" customFormat="false" ht="12" hidden="false" customHeight="true" outlineLevel="0" collapsed="false">
      <c r="A24" s="104"/>
      <c r="B24" s="2" t="n">
        <v>12</v>
      </c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P24" s="105"/>
      <c r="Q24" s="105"/>
      <c r="R24" s="105"/>
      <c r="S24" s="105"/>
      <c r="T24" s="105"/>
      <c r="U24" s="105"/>
      <c r="V24" s="105"/>
      <c r="W24" s="105"/>
      <c r="X24" s="105"/>
      <c r="Y24" s="105"/>
      <c r="Z24" s="105"/>
      <c r="AA24" s="105"/>
      <c r="AB24" s="38"/>
      <c r="AC24" s="105"/>
      <c r="AD24" s="105"/>
      <c r="AE24" s="105"/>
      <c r="AF24" s="105"/>
      <c r="AG24" s="105"/>
      <c r="AH24" s="105"/>
      <c r="AI24" s="105"/>
      <c r="AJ24" s="105"/>
      <c r="AK24" s="105"/>
      <c r="AL24" s="105"/>
      <c r="AM24" s="105"/>
      <c r="AN24" s="105"/>
      <c r="AO24" s="102"/>
      <c r="AP24" s="105"/>
      <c r="AQ24" s="105"/>
      <c r="AR24" s="105"/>
      <c r="AS24" s="105"/>
      <c r="AT24" s="105"/>
      <c r="AU24" s="105"/>
      <c r="AV24" s="105"/>
      <c r="AW24" s="105"/>
      <c r="AX24" s="105"/>
      <c r="AY24" s="105"/>
      <c r="AZ24" s="105"/>
      <c r="BA24" s="105"/>
      <c r="BB24" s="102"/>
    </row>
    <row r="25" customFormat="false" ht="12" hidden="false" customHeight="true" outlineLevel="0" collapsed="false">
      <c r="A25" s="106" t="s">
        <v>250</v>
      </c>
      <c r="B25" s="106"/>
      <c r="C25" s="107"/>
      <c r="D25" s="108"/>
      <c r="E25" s="107"/>
      <c r="F25" s="107"/>
      <c r="G25" s="108"/>
      <c r="H25" s="107"/>
      <c r="I25" s="107"/>
      <c r="J25" s="108"/>
      <c r="K25" s="107"/>
      <c r="L25" s="107"/>
      <c r="M25" s="108"/>
      <c r="N25" s="107"/>
      <c r="P25" s="107"/>
      <c r="Q25" s="108"/>
      <c r="R25" s="107"/>
      <c r="S25" s="107"/>
      <c r="T25" s="108"/>
      <c r="U25" s="107"/>
      <c r="V25" s="107"/>
      <c r="W25" s="108"/>
      <c r="X25" s="107"/>
      <c r="Y25" s="107"/>
      <c r="Z25" s="108"/>
      <c r="AA25" s="107"/>
      <c r="AB25" s="38"/>
      <c r="AC25" s="107"/>
      <c r="AD25" s="108"/>
      <c r="AE25" s="107"/>
      <c r="AF25" s="107"/>
      <c r="AG25" s="108"/>
      <c r="AH25" s="107"/>
      <c r="AI25" s="107"/>
      <c r="AJ25" s="108"/>
      <c r="AK25" s="107"/>
      <c r="AL25" s="107"/>
      <c r="AM25" s="108"/>
      <c r="AN25" s="107"/>
      <c r="AO25" s="40"/>
      <c r="AP25" s="107"/>
      <c r="AQ25" s="108"/>
      <c r="AR25" s="107"/>
      <c r="AS25" s="107"/>
      <c r="AT25" s="108"/>
      <c r="AU25" s="107"/>
      <c r="AV25" s="107"/>
      <c r="AW25" s="108"/>
      <c r="AX25" s="107"/>
      <c r="AY25" s="107"/>
      <c r="AZ25" s="108"/>
      <c r="BA25" s="107"/>
      <c r="BB25" s="40"/>
    </row>
    <row r="26" customFormat="false" ht="12" hidden="false" customHeight="true" outlineLevel="0" collapsed="false">
      <c r="A26" s="104"/>
      <c r="B26" s="2" t="n">
        <v>13</v>
      </c>
      <c r="C26" s="105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P26" s="105"/>
      <c r="Q26" s="105"/>
      <c r="R26" s="105"/>
      <c r="S26" s="105"/>
      <c r="T26" s="105"/>
      <c r="U26" s="105"/>
      <c r="V26" s="105"/>
      <c r="W26" s="105"/>
      <c r="X26" s="105"/>
      <c r="Y26" s="105"/>
      <c r="Z26" s="105"/>
      <c r="AA26" s="105"/>
      <c r="AB26" s="38"/>
      <c r="AC26" s="105"/>
      <c r="AD26" s="105"/>
      <c r="AE26" s="105"/>
      <c r="AF26" s="105"/>
      <c r="AG26" s="105"/>
      <c r="AH26" s="105"/>
      <c r="AI26" s="105"/>
      <c r="AJ26" s="105"/>
      <c r="AK26" s="105"/>
      <c r="AL26" s="105"/>
      <c r="AM26" s="105"/>
      <c r="AN26" s="105"/>
      <c r="AO26" s="102"/>
      <c r="AP26" s="105"/>
      <c r="AQ26" s="105"/>
      <c r="AR26" s="105"/>
      <c r="AS26" s="105"/>
      <c r="AT26" s="105"/>
      <c r="AU26" s="105"/>
      <c r="AV26" s="105"/>
      <c r="AW26" s="105"/>
      <c r="AX26" s="105"/>
      <c r="AY26" s="105"/>
      <c r="AZ26" s="105"/>
      <c r="BA26" s="105"/>
      <c r="BB26" s="102"/>
    </row>
    <row r="27" customFormat="false" ht="12" hidden="false" customHeight="true" outlineLevel="0" collapsed="false">
      <c r="A27" s="106" t="s">
        <v>250</v>
      </c>
      <c r="B27" s="106"/>
      <c r="C27" s="107"/>
      <c r="D27" s="108"/>
      <c r="E27" s="107"/>
      <c r="F27" s="107"/>
      <c r="G27" s="108"/>
      <c r="H27" s="107"/>
      <c r="I27" s="107"/>
      <c r="J27" s="108"/>
      <c r="K27" s="107"/>
      <c r="L27" s="107"/>
      <c r="M27" s="108"/>
      <c r="N27" s="107"/>
      <c r="P27" s="107"/>
      <c r="Q27" s="108"/>
      <c r="R27" s="107"/>
      <c r="S27" s="107"/>
      <c r="T27" s="108"/>
      <c r="U27" s="107"/>
      <c r="V27" s="107"/>
      <c r="W27" s="108"/>
      <c r="X27" s="107"/>
      <c r="Y27" s="107"/>
      <c r="Z27" s="108"/>
      <c r="AA27" s="107"/>
      <c r="AB27" s="38"/>
      <c r="AC27" s="107"/>
      <c r="AD27" s="108"/>
      <c r="AE27" s="107"/>
      <c r="AF27" s="107"/>
      <c r="AG27" s="108"/>
      <c r="AH27" s="107"/>
      <c r="AI27" s="107"/>
      <c r="AJ27" s="108"/>
      <c r="AK27" s="107"/>
      <c r="AL27" s="107"/>
      <c r="AM27" s="108"/>
      <c r="AN27" s="107"/>
      <c r="AO27" s="40"/>
      <c r="AP27" s="107"/>
      <c r="AQ27" s="108"/>
      <c r="AR27" s="107"/>
      <c r="AS27" s="107"/>
      <c r="AT27" s="108"/>
      <c r="AU27" s="107"/>
      <c r="AV27" s="107"/>
      <c r="AW27" s="108"/>
      <c r="AX27" s="107"/>
      <c r="AY27" s="107"/>
      <c r="AZ27" s="108"/>
      <c r="BA27" s="107"/>
      <c r="BB27" s="40"/>
    </row>
    <row r="28" customFormat="false" ht="12" hidden="false" customHeight="true" outlineLevel="0" collapsed="false">
      <c r="A28" s="104"/>
      <c r="B28" s="2" t="n">
        <v>14</v>
      </c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P28" s="105"/>
      <c r="Q28" s="105"/>
      <c r="R28" s="105"/>
      <c r="S28" s="105"/>
      <c r="T28" s="105"/>
      <c r="U28" s="105"/>
      <c r="V28" s="105"/>
      <c r="W28" s="105"/>
      <c r="X28" s="105"/>
      <c r="Y28" s="105"/>
      <c r="Z28" s="105"/>
      <c r="AA28" s="105"/>
      <c r="AB28" s="38"/>
      <c r="AC28" s="105"/>
      <c r="AD28" s="105"/>
      <c r="AE28" s="105"/>
      <c r="AF28" s="105"/>
      <c r="AG28" s="105"/>
      <c r="AH28" s="105"/>
      <c r="AI28" s="105"/>
      <c r="AJ28" s="105"/>
      <c r="AK28" s="105"/>
      <c r="AL28" s="105"/>
      <c r="AM28" s="105"/>
      <c r="AN28" s="105"/>
      <c r="AO28" s="102"/>
      <c r="AP28" s="105"/>
      <c r="AQ28" s="105"/>
      <c r="AR28" s="105"/>
      <c r="AS28" s="105"/>
      <c r="AT28" s="105"/>
      <c r="AU28" s="105"/>
      <c r="AV28" s="105"/>
      <c r="AW28" s="105"/>
      <c r="AX28" s="105"/>
      <c r="AY28" s="105"/>
      <c r="AZ28" s="105"/>
      <c r="BA28" s="105"/>
      <c r="BB28" s="102"/>
    </row>
    <row r="29" customFormat="false" ht="12" hidden="false" customHeight="true" outlineLevel="0" collapsed="false">
      <c r="A29" s="106" t="s">
        <v>250</v>
      </c>
      <c r="B29" s="106"/>
      <c r="C29" s="107"/>
      <c r="D29" s="108"/>
      <c r="E29" s="107"/>
      <c r="F29" s="107"/>
      <c r="G29" s="108"/>
      <c r="H29" s="107"/>
      <c r="I29" s="107"/>
      <c r="J29" s="108"/>
      <c r="K29" s="107"/>
      <c r="L29" s="107"/>
      <c r="M29" s="108"/>
      <c r="N29" s="107"/>
      <c r="P29" s="107"/>
      <c r="Q29" s="108"/>
      <c r="R29" s="107"/>
      <c r="S29" s="107"/>
      <c r="T29" s="108"/>
      <c r="U29" s="107"/>
      <c r="V29" s="107"/>
      <c r="W29" s="108"/>
      <c r="X29" s="107"/>
      <c r="Y29" s="107"/>
      <c r="Z29" s="108"/>
      <c r="AA29" s="107"/>
      <c r="AB29" s="38"/>
      <c r="AC29" s="107"/>
      <c r="AD29" s="108"/>
      <c r="AE29" s="107"/>
      <c r="AF29" s="107"/>
      <c r="AG29" s="108"/>
      <c r="AH29" s="107"/>
      <c r="AI29" s="107"/>
      <c r="AJ29" s="108"/>
      <c r="AK29" s="107"/>
      <c r="AL29" s="107"/>
      <c r="AM29" s="108"/>
      <c r="AN29" s="107"/>
      <c r="AO29" s="40"/>
      <c r="AP29" s="107"/>
      <c r="AQ29" s="108"/>
      <c r="AR29" s="107"/>
      <c r="AS29" s="107"/>
      <c r="AT29" s="108"/>
      <c r="AU29" s="107"/>
      <c r="AV29" s="107"/>
      <c r="AW29" s="108"/>
      <c r="AX29" s="107"/>
      <c r="AY29" s="107"/>
      <c r="AZ29" s="108"/>
      <c r="BA29" s="107"/>
      <c r="BB29" s="40"/>
    </row>
    <row r="30" customFormat="false" ht="12" hidden="false" customHeight="true" outlineLevel="0" collapsed="false">
      <c r="A30" s="104"/>
      <c r="B30" s="2" t="n">
        <v>15</v>
      </c>
      <c r="C30" s="105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P30" s="105"/>
      <c r="Q30" s="105"/>
      <c r="R30" s="105"/>
      <c r="S30" s="105"/>
      <c r="T30" s="105"/>
      <c r="U30" s="105"/>
      <c r="V30" s="105"/>
      <c r="W30" s="105"/>
      <c r="X30" s="105"/>
      <c r="Y30" s="105"/>
      <c r="Z30" s="105"/>
      <c r="AA30" s="105"/>
      <c r="AB30" s="38"/>
      <c r="AC30" s="105"/>
      <c r="AD30" s="105"/>
      <c r="AE30" s="105"/>
      <c r="AF30" s="105"/>
      <c r="AG30" s="105"/>
      <c r="AH30" s="105"/>
      <c r="AI30" s="105"/>
      <c r="AJ30" s="105"/>
      <c r="AK30" s="105"/>
      <c r="AL30" s="105"/>
      <c r="AM30" s="105"/>
      <c r="AN30" s="105"/>
      <c r="AO30" s="102"/>
      <c r="AP30" s="105"/>
      <c r="AQ30" s="105"/>
      <c r="AR30" s="105"/>
      <c r="AS30" s="105"/>
      <c r="AT30" s="105"/>
      <c r="AU30" s="105"/>
      <c r="AV30" s="105"/>
      <c r="AW30" s="105"/>
      <c r="AX30" s="105"/>
      <c r="AY30" s="105"/>
      <c r="AZ30" s="105"/>
      <c r="BA30" s="105"/>
      <c r="BB30" s="102"/>
    </row>
    <row r="31" customFormat="false" ht="12" hidden="false" customHeight="true" outlineLevel="0" collapsed="false">
      <c r="A31" s="106" t="s">
        <v>250</v>
      </c>
      <c r="B31" s="106"/>
      <c r="C31" s="107"/>
      <c r="D31" s="108"/>
      <c r="E31" s="107"/>
      <c r="F31" s="107"/>
      <c r="G31" s="108"/>
      <c r="H31" s="107"/>
      <c r="I31" s="107"/>
      <c r="J31" s="108"/>
      <c r="K31" s="107"/>
      <c r="L31" s="107"/>
      <c r="M31" s="108"/>
      <c r="N31" s="107"/>
      <c r="P31" s="107"/>
      <c r="Q31" s="108"/>
      <c r="R31" s="107"/>
      <c r="S31" s="107"/>
      <c r="T31" s="108"/>
      <c r="U31" s="107"/>
      <c r="V31" s="107"/>
      <c r="W31" s="108"/>
      <c r="X31" s="107"/>
      <c r="Y31" s="107"/>
      <c r="Z31" s="108"/>
      <c r="AA31" s="107"/>
      <c r="AB31" s="38"/>
      <c r="AC31" s="107"/>
      <c r="AD31" s="108"/>
      <c r="AE31" s="107"/>
      <c r="AF31" s="107"/>
      <c r="AG31" s="108"/>
      <c r="AH31" s="107"/>
      <c r="AI31" s="107"/>
      <c r="AJ31" s="108"/>
      <c r="AK31" s="107"/>
      <c r="AL31" s="107"/>
      <c r="AM31" s="108"/>
      <c r="AN31" s="107"/>
      <c r="AO31" s="40"/>
      <c r="AP31" s="107"/>
      <c r="AQ31" s="108"/>
      <c r="AR31" s="107"/>
      <c r="AS31" s="107"/>
      <c r="AT31" s="108"/>
      <c r="AU31" s="107"/>
      <c r="AV31" s="107"/>
      <c r="AW31" s="108"/>
      <c r="AX31" s="107"/>
      <c r="AY31" s="107"/>
      <c r="AZ31" s="108"/>
      <c r="BA31" s="107"/>
      <c r="BB31" s="40"/>
    </row>
    <row r="32" customFormat="false" ht="12" hidden="false" customHeight="true" outlineLevel="0" collapsed="false">
      <c r="A32" s="104"/>
      <c r="B32" s="2" t="n">
        <v>16</v>
      </c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5"/>
      <c r="N32" s="105"/>
      <c r="P32" s="105"/>
      <c r="Q32" s="105"/>
      <c r="R32" s="105"/>
      <c r="S32" s="105"/>
      <c r="T32" s="105"/>
      <c r="U32" s="105"/>
      <c r="V32" s="105"/>
      <c r="W32" s="105"/>
      <c r="X32" s="105"/>
      <c r="Y32" s="105"/>
      <c r="Z32" s="105"/>
      <c r="AA32" s="105"/>
      <c r="AB32" s="38"/>
      <c r="AC32" s="105"/>
      <c r="AD32" s="105"/>
      <c r="AE32" s="105"/>
      <c r="AF32" s="105"/>
      <c r="AG32" s="105"/>
      <c r="AH32" s="105"/>
      <c r="AI32" s="105"/>
      <c r="AJ32" s="105"/>
      <c r="AK32" s="105"/>
      <c r="AL32" s="105"/>
      <c r="AM32" s="105"/>
      <c r="AN32" s="105"/>
      <c r="AO32" s="102"/>
      <c r="AP32" s="105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2"/>
    </row>
    <row r="33" customFormat="false" ht="12" hidden="false" customHeight="true" outlineLevel="0" collapsed="false">
      <c r="A33" s="106" t="s">
        <v>250</v>
      </c>
      <c r="B33" s="106"/>
      <c r="C33" s="107"/>
      <c r="D33" s="108"/>
      <c r="E33" s="107"/>
      <c r="F33" s="107"/>
      <c r="G33" s="108"/>
      <c r="H33" s="107"/>
      <c r="I33" s="107"/>
      <c r="J33" s="108"/>
      <c r="K33" s="107"/>
      <c r="L33" s="107"/>
      <c r="M33" s="108"/>
      <c r="N33" s="107"/>
      <c r="P33" s="107"/>
      <c r="Q33" s="108"/>
      <c r="R33" s="107"/>
      <c r="S33" s="107"/>
      <c r="T33" s="108"/>
      <c r="U33" s="107"/>
      <c r="V33" s="107"/>
      <c r="W33" s="108"/>
      <c r="X33" s="107"/>
      <c r="Y33" s="107"/>
      <c r="Z33" s="108"/>
      <c r="AA33" s="107"/>
      <c r="AB33" s="38"/>
      <c r="AC33" s="107"/>
      <c r="AD33" s="108"/>
      <c r="AE33" s="107"/>
      <c r="AF33" s="107"/>
      <c r="AG33" s="108"/>
      <c r="AH33" s="107"/>
      <c r="AI33" s="107"/>
      <c r="AJ33" s="108"/>
      <c r="AK33" s="107"/>
      <c r="AL33" s="107"/>
      <c r="AM33" s="108"/>
      <c r="AN33" s="107"/>
      <c r="AO33" s="40"/>
      <c r="AP33" s="107"/>
      <c r="AQ33" s="108"/>
      <c r="AR33" s="107"/>
      <c r="AS33" s="107"/>
      <c r="AT33" s="108"/>
      <c r="AU33" s="107"/>
      <c r="AV33" s="107"/>
      <c r="AW33" s="108"/>
      <c r="AX33" s="107"/>
      <c r="AY33" s="107"/>
      <c r="AZ33" s="108"/>
      <c r="BA33" s="107"/>
      <c r="BB33" s="40"/>
    </row>
    <row r="34" customFormat="false" ht="12" hidden="false" customHeight="true" outlineLevel="0" collapsed="false">
      <c r="A34" s="104"/>
      <c r="B34" s="2" t="n">
        <v>17</v>
      </c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38"/>
      <c r="AC34" s="105"/>
      <c r="AD34" s="105"/>
      <c r="AE34" s="105"/>
      <c r="AF34" s="105"/>
      <c r="AG34" s="105"/>
      <c r="AH34" s="105"/>
      <c r="AI34" s="105"/>
      <c r="AJ34" s="105"/>
      <c r="AK34" s="105"/>
      <c r="AL34" s="105"/>
      <c r="AM34" s="105"/>
      <c r="AN34" s="105"/>
      <c r="AO34" s="102"/>
      <c r="AP34" s="105"/>
      <c r="AQ34" s="105"/>
      <c r="AR34" s="105"/>
      <c r="AS34" s="105"/>
      <c r="AT34" s="105"/>
      <c r="AU34" s="105"/>
      <c r="AV34" s="105"/>
      <c r="AW34" s="105"/>
      <c r="AX34" s="105"/>
      <c r="AY34" s="105"/>
      <c r="AZ34" s="105"/>
      <c r="BA34" s="105"/>
      <c r="BB34" s="102"/>
    </row>
    <row r="35" customFormat="false" ht="12" hidden="false" customHeight="true" outlineLevel="0" collapsed="false">
      <c r="A35" s="106" t="s">
        <v>250</v>
      </c>
      <c r="B35" s="106"/>
      <c r="C35" s="107"/>
      <c r="D35" s="108"/>
      <c r="E35" s="107"/>
      <c r="F35" s="107"/>
      <c r="G35" s="108"/>
      <c r="H35" s="107"/>
      <c r="I35" s="107"/>
      <c r="J35" s="108"/>
      <c r="K35" s="107"/>
      <c r="L35" s="107"/>
      <c r="M35" s="108"/>
      <c r="N35" s="107"/>
      <c r="O35" s="112"/>
      <c r="P35" s="107"/>
      <c r="Q35" s="108"/>
      <c r="R35" s="107"/>
      <c r="S35" s="107"/>
      <c r="T35" s="108"/>
      <c r="U35" s="107"/>
      <c r="V35" s="107"/>
      <c r="W35" s="108"/>
      <c r="X35" s="107"/>
      <c r="Y35" s="107"/>
      <c r="Z35" s="108"/>
      <c r="AA35" s="107"/>
      <c r="AB35" s="113"/>
      <c r="AC35" s="107"/>
      <c r="AD35" s="108"/>
      <c r="AE35" s="107"/>
      <c r="AF35" s="107"/>
      <c r="AG35" s="108"/>
      <c r="AH35" s="107"/>
      <c r="AI35" s="107"/>
      <c r="AJ35" s="108"/>
      <c r="AK35" s="107"/>
      <c r="AL35" s="107"/>
      <c r="AM35" s="108"/>
      <c r="AN35" s="107"/>
      <c r="AO35" s="40"/>
      <c r="AP35" s="107"/>
      <c r="AQ35" s="108"/>
      <c r="AR35" s="107"/>
      <c r="AS35" s="107"/>
      <c r="AT35" s="108"/>
      <c r="AU35" s="107"/>
      <c r="AV35" s="107"/>
      <c r="AW35" s="108"/>
      <c r="AX35" s="107"/>
      <c r="AY35" s="107"/>
      <c r="AZ35" s="108"/>
      <c r="BA35" s="107"/>
      <c r="BB35" s="40"/>
    </row>
    <row r="36" customFormat="false" ht="12" hidden="false" customHeight="true" outlineLevel="0" collapsed="false">
      <c r="A36" s="104"/>
      <c r="B36" s="2" t="n">
        <v>18</v>
      </c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38"/>
      <c r="AC36" s="105"/>
      <c r="AD36" s="105"/>
      <c r="AE36" s="105"/>
      <c r="AF36" s="105"/>
      <c r="AG36" s="105"/>
      <c r="AH36" s="105"/>
      <c r="AI36" s="105"/>
      <c r="AJ36" s="105"/>
      <c r="AK36" s="105"/>
      <c r="AL36" s="105"/>
      <c r="AM36" s="105"/>
      <c r="AN36" s="105"/>
      <c r="AO36" s="102"/>
      <c r="AP36" s="105"/>
      <c r="AQ36" s="105"/>
      <c r="AR36" s="105"/>
      <c r="AS36" s="105"/>
      <c r="AT36" s="105"/>
      <c r="AU36" s="105"/>
      <c r="AV36" s="105"/>
      <c r="AW36" s="105"/>
      <c r="AX36" s="105"/>
      <c r="AY36" s="105"/>
      <c r="AZ36" s="105"/>
      <c r="BA36" s="105"/>
      <c r="BB36" s="102"/>
    </row>
    <row r="37" customFormat="false" ht="12" hidden="false" customHeight="true" outlineLevel="0" collapsed="false">
      <c r="A37" s="106" t="s">
        <v>250</v>
      </c>
      <c r="B37" s="106"/>
      <c r="C37" s="107"/>
      <c r="D37" s="108"/>
      <c r="E37" s="107"/>
      <c r="F37" s="107"/>
      <c r="G37" s="108"/>
      <c r="H37" s="107"/>
      <c r="I37" s="107"/>
      <c r="J37" s="108"/>
      <c r="K37" s="107"/>
      <c r="L37" s="107"/>
      <c r="M37" s="108"/>
      <c r="N37" s="107"/>
      <c r="O37" s="112"/>
      <c r="P37" s="107"/>
      <c r="Q37" s="108"/>
      <c r="R37" s="107"/>
      <c r="S37" s="107"/>
      <c r="T37" s="108"/>
      <c r="U37" s="107"/>
      <c r="V37" s="107"/>
      <c r="W37" s="108"/>
      <c r="X37" s="107"/>
      <c r="Y37" s="107"/>
      <c r="Z37" s="108"/>
      <c r="AA37" s="107"/>
      <c r="AB37" s="113"/>
      <c r="AC37" s="107"/>
      <c r="AD37" s="108"/>
      <c r="AE37" s="107"/>
      <c r="AF37" s="107"/>
      <c r="AG37" s="108"/>
      <c r="AH37" s="107"/>
      <c r="AI37" s="107"/>
      <c r="AJ37" s="108"/>
      <c r="AK37" s="107"/>
      <c r="AL37" s="107"/>
      <c r="AM37" s="108"/>
      <c r="AN37" s="107"/>
      <c r="AO37" s="40"/>
      <c r="AP37" s="107"/>
      <c r="AQ37" s="108"/>
      <c r="AR37" s="107"/>
      <c r="AS37" s="107"/>
      <c r="AT37" s="108"/>
      <c r="AU37" s="107"/>
      <c r="AV37" s="107"/>
      <c r="AW37" s="108"/>
      <c r="AX37" s="107"/>
      <c r="AY37" s="107"/>
      <c r="AZ37" s="108"/>
      <c r="BA37" s="107"/>
      <c r="BB37" s="40"/>
    </row>
    <row r="38" customFormat="false" ht="13.5" hidden="false" customHeight="false" outlineLevel="0" collapsed="false"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</row>
    <row r="42" customFormat="false" ht="13.5" hidden="false" customHeight="false" outlineLevel="0" collapsed="false">
      <c r="A42" s="0" t="s">
        <v>269</v>
      </c>
    </row>
  </sheetData>
  <mergeCells count="310">
    <mergeCell ref="C1:L1"/>
    <mergeCell ref="P1:Y1"/>
    <mergeCell ref="AC1:AL1"/>
    <mergeCell ref="AP1:AY1"/>
    <mergeCell ref="C2:E2"/>
    <mergeCell ref="F2:H2"/>
    <mergeCell ref="I2:K2"/>
    <mergeCell ref="L2:N2"/>
    <mergeCell ref="P2:R2"/>
    <mergeCell ref="S2:U2"/>
    <mergeCell ref="V2:X2"/>
    <mergeCell ref="Y2:AA2"/>
    <mergeCell ref="AC2:AE2"/>
    <mergeCell ref="AF2:AH2"/>
    <mergeCell ref="AI2:AK2"/>
    <mergeCell ref="AL2:AN2"/>
    <mergeCell ref="AP2:AR2"/>
    <mergeCell ref="AS2:AU2"/>
    <mergeCell ref="AV2:AX2"/>
    <mergeCell ref="AY2:BA2"/>
    <mergeCell ref="A3:B3"/>
    <mergeCell ref="C4:E4"/>
    <mergeCell ref="F4:H4"/>
    <mergeCell ref="I4:K4"/>
    <mergeCell ref="L4:N4"/>
    <mergeCell ref="P4:R4"/>
    <mergeCell ref="S4:U4"/>
    <mergeCell ref="V4:X4"/>
    <mergeCell ref="Y4:AA4"/>
    <mergeCell ref="AC4:AE4"/>
    <mergeCell ref="AF4:AH4"/>
    <mergeCell ref="AI4:AK4"/>
    <mergeCell ref="AL4:AN4"/>
    <mergeCell ref="AP4:AR4"/>
    <mergeCell ref="AS4:AU4"/>
    <mergeCell ref="AV4:AX4"/>
    <mergeCell ref="AY4:BA4"/>
    <mergeCell ref="A5:B5"/>
    <mergeCell ref="C6:E6"/>
    <mergeCell ref="F6:H6"/>
    <mergeCell ref="I6:K6"/>
    <mergeCell ref="L6:N6"/>
    <mergeCell ref="P6:R6"/>
    <mergeCell ref="S6:U6"/>
    <mergeCell ref="V6:X6"/>
    <mergeCell ref="Y6:AA6"/>
    <mergeCell ref="AC6:AE6"/>
    <mergeCell ref="AF6:AH6"/>
    <mergeCell ref="AI6:AK6"/>
    <mergeCell ref="AL6:AN6"/>
    <mergeCell ref="AP6:AR6"/>
    <mergeCell ref="AS6:AU6"/>
    <mergeCell ref="AV6:AX6"/>
    <mergeCell ref="AY6:BA6"/>
    <mergeCell ref="A7:B7"/>
    <mergeCell ref="C8:E8"/>
    <mergeCell ref="F8:H8"/>
    <mergeCell ref="I8:K8"/>
    <mergeCell ref="L8:N8"/>
    <mergeCell ref="P8:R8"/>
    <mergeCell ref="S8:U8"/>
    <mergeCell ref="V8:X8"/>
    <mergeCell ref="Y8:AA8"/>
    <mergeCell ref="AC8:AE8"/>
    <mergeCell ref="AF8:AH8"/>
    <mergeCell ref="AI8:AK8"/>
    <mergeCell ref="AL8:AN8"/>
    <mergeCell ref="AP8:AR8"/>
    <mergeCell ref="AS8:AU8"/>
    <mergeCell ref="AV8:AX8"/>
    <mergeCell ref="AY8:BA8"/>
    <mergeCell ref="A9:B9"/>
    <mergeCell ref="C10:E10"/>
    <mergeCell ref="F10:H10"/>
    <mergeCell ref="I10:K10"/>
    <mergeCell ref="L10:N10"/>
    <mergeCell ref="P10:R10"/>
    <mergeCell ref="S10:U10"/>
    <mergeCell ref="V10:X10"/>
    <mergeCell ref="Y10:AA10"/>
    <mergeCell ref="AC10:AE10"/>
    <mergeCell ref="AF10:AH10"/>
    <mergeCell ref="AI10:AK10"/>
    <mergeCell ref="AL10:AN10"/>
    <mergeCell ref="AP10:AR10"/>
    <mergeCell ref="AS10:AU10"/>
    <mergeCell ref="AV10:AX10"/>
    <mergeCell ref="AY10:BA10"/>
    <mergeCell ref="A11:B11"/>
    <mergeCell ref="C12:E12"/>
    <mergeCell ref="F12:H12"/>
    <mergeCell ref="I12:K12"/>
    <mergeCell ref="L12:N12"/>
    <mergeCell ref="P12:R12"/>
    <mergeCell ref="S12:U12"/>
    <mergeCell ref="V12:X12"/>
    <mergeCell ref="Y12:AA12"/>
    <mergeCell ref="AC12:AE12"/>
    <mergeCell ref="AF12:AH12"/>
    <mergeCell ref="AI12:AK12"/>
    <mergeCell ref="AL12:AN12"/>
    <mergeCell ref="AP12:AR12"/>
    <mergeCell ref="AS12:AU12"/>
    <mergeCell ref="AV12:AX12"/>
    <mergeCell ref="AY12:BA12"/>
    <mergeCell ref="A13:B13"/>
    <mergeCell ref="C14:E14"/>
    <mergeCell ref="F14:H14"/>
    <mergeCell ref="I14:K14"/>
    <mergeCell ref="L14:N14"/>
    <mergeCell ref="P14:R14"/>
    <mergeCell ref="S14:U14"/>
    <mergeCell ref="V14:X14"/>
    <mergeCell ref="Y14:AA14"/>
    <mergeCell ref="AC14:AE14"/>
    <mergeCell ref="AF14:AH14"/>
    <mergeCell ref="AI14:AK14"/>
    <mergeCell ref="AL14:AN14"/>
    <mergeCell ref="AP14:AR14"/>
    <mergeCell ref="AS14:AU14"/>
    <mergeCell ref="AV14:AX14"/>
    <mergeCell ref="AY14:BA14"/>
    <mergeCell ref="A15:B15"/>
    <mergeCell ref="C16:E16"/>
    <mergeCell ref="F16:H16"/>
    <mergeCell ref="I16:K16"/>
    <mergeCell ref="L16:N16"/>
    <mergeCell ref="P16:R16"/>
    <mergeCell ref="S16:U16"/>
    <mergeCell ref="V16:X16"/>
    <mergeCell ref="Y16:AA16"/>
    <mergeCell ref="AC16:AE16"/>
    <mergeCell ref="AF16:AH16"/>
    <mergeCell ref="AI16:AK16"/>
    <mergeCell ref="AL16:AN16"/>
    <mergeCell ref="AP16:AR16"/>
    <mergeCell ref="AS16:AU16"/>
    <mergeCell ref="AV16:AX16"/>
    <mergeCell ref="AY16:BA16"/>
    <mergeCell ref="A17:B17"/>
    <mergeCell ref="C18:E18"/>
    <mergeCell ref="F18:H18"/>
    <mergeCell ref="I18:K18"/>
    <mergeCell ref="L18:N18"/>
    <mergeCell ref="P18:R18"/>
    <mergeCell ref="S18:U18"/>
    <mergeCell ref="V18:X18"/>
    <mergeCell ref="Y18:AA18"/>
    <mergeCell ref="AC18:AE18"/>
    <mergeCell ref="AF18:AH18"/>
    <mergeCell ref="AI18:AK18"/>
    <mergeCell ref="AL18:AN18"/>
    <mergeCell ref="AP18:AR18"/>
    <mergeCell ref="AS18:AU18"/>
    <mergeCell ref="AV18:AX18"/>
    <mergeCell ref="AY18:BA18"/>
    <mergeCell ref="A19:B19"/>
    <mergeCell ref="C20:E20"/>
    <mergeCell ref="F20:H20"/>
    <mergeCell ref="I20:K20"/>
    <mergeCell ref="L20:N20"/>
    <mergeCell ref="P20:R20"/>
    <mergeCell ref="S20:U20"/>
    <mergeCell ref="V20:X20"/>
    <mergeCell ref="Y20:AA20"/>
    <mergeCell ref="AC20:AE20"/>
    <mergeCell ref="AF20:AH20"/>
    <mergeCell ref="AI20:AK20"/>
    <mergeCell ref="AL20:AN20"/>
    <mergeCell ref="AP20:AR20"/>
    <mergeCell ref="AS20:AU20"/>
    <mergeCell ref="AV20:AX20"/>
    <mergeCell ref="AY20:BA20"/>
    <mergeCell ref="A21:B21"/>
    <mergeCell ref="C22:E22"/>
    <mergeCell ref="F22:H22"/>
    <mergeCell ref="I22:K22"/>
    <mergeCell ref="L22:N22"/>
    <mergeCell ref="P22:R22"/>
    <mergeCell ref="S22:U22"/>
    <mergeCell ref="V22:X22"/>
    <mergeCell ref="Y22:AA22"/>
    <mergeCell ref="AC22:AE22"/>
    <mergeCell ref="AF22:AH22"/>
    <mergeCell ref="AI22:AK22"/>
    <mergeCell ref="AL22:AN22"/>
    <mergeCell ref="AP22:AR22"/>
    <mergeCell ref="AS22:AU22"/>
    <mergeCell ref="AV22:AX22"/>
    <mergeCell ref="AY22:BA22"/>
    <mergeCell ref="A23:B23"/>
    <mergeCell ref="C24:E24"/>
    <mergeCell ref="F24:H24"/>
    <mergeCell ref="I24:K24"/>
    <mergeCell ref="L24:N24"/>
    <mergeCell ref="P24:R24"/>
    <mergeCell ref="S24:U24"/>
    <mergeCell ref="V24:X24"/>
    <mergeCell ref="Y24:AA24"/>
    <mergeCell ref="AC24:AE24"/>
    <mergeCell ref="AF24:AH24"/>
    <mergeCell ref="AI24:AK24"/>
    <mergeCell ref="AL24:AN24"/>
    <mergeCell ref="AP24:AR24"/>
    <mergeCell ref="AS24:AU24"/>
    <mergeCell ref="AV24:AX24"/>
    <mergeCell ref="AY24:BA24"/>
    <mergeCell ref="A25:B25"/>
    <mergeCell ref="C26:E26"/>
    <mergeCell ref="F26:H26"/>
    <mergeCell ref="I26:K26"/>
    <mergeCell ref="L26:N26"/>
    <mergeCell ref="P26:R26"/>
    <mergeCell ref="S26:U26"/>
    <mergeCell ref="V26:X26"/>
    <mergeCell ref="Y26:AA26"/>
    <mergeCell ref="AC26:AE26"/>
    <mergeCell ref="AF26:AH26"/>
    <mergeCell ref="AI26:AK26"/>
    <mergeCell ref="AL26:AN26"/>
    <mergeCell ref="AP26:AR26"/>
    <mergeCell ref="AS26:AU26"/>
    <mergeCell ref="AV26:AX26"/>
    <mergeCell ref="AY26:BA26"/>
    <mergeCell ref="A27:B27"/>
    <mergeCell ref="C28:E28"/>
    <mergeCell ref="F28:H28"/>
    <mergeCell ref="I28:K28"/>
    <mergeCell ref="L28:N28"/>
    <mergeCell ref="P28:R28"/>
    <mergeCell ref="S28:U28"/>
    <mergeCell ref="V28:X28"/>
    <mergeCell ref="Y28:AA28"/>
    <mergeCell ref="AC28:AE28"/>
    <mergeCell ref="AF28:AH28"/>
    <mergeCell ref="AI28:AK28"/>
    <mergeCell ref="AL28:AN28"/>
    <mergeCell ref="AP28:AR28"/>
    <mergeCell ref="AS28:AU28"/>
    <mergeCell ref="AV28:AX28"/>
    <mergeCell ref="AY28:BA28"/>
    <mergeCell ref="A29:B29"/>
    <mergeCell ref="C30:E30"/>
    <mergeCell ref="F30:H30"/>
    <mergeCell ref="I30:K30"/>
    <mergeCell ref="L30:N30"/>
    <mergeCell ref="P30:R30"/>
    <mergeCell ref="S30:U30"/>
    <mergeCell ref="V30:X30"/>
    <mergeCell ref="Y30:AA30"/>
    <mergeCell ref="AC30:AE30"/>
    <mergeCell ref="AF30:AH30"/>
    <mergeCell ref="AI30:AK30"/>
    <mergeCell ref="AL30:AN30"/>
    <mergeCell ref="AP30:AR30"/>
    <mergeCell ref="AS30:AU30"/>
    <mergeCell ref="AV30:AX30"/>
    <mergeCell ref="AY30:BA30"/>
    <mergeCell ref="A31:B31"/>
    <mergeCell ref="C32:E32"/>
    <mergeCell ref="F32:H32"/>
    <mergeCell ref="I32:K32"/>
    <mergeCell ref="L32:N32"/>
    <mergeCell ref="P32:R32"/>
    <mergeCell ref="S32:U32"/>
    <mergeCell ref="V32:X32"/>
    <mergeCell ref="Y32:AA32"/>
    <mergeCell ref="AC32:AE32"/>
    <mergeCell ref="AF32:AH32"/>
    <mergeCell ref="AI32:AK32"/>
    <mergeCell ref="AL32:AN32"/>
    <mergeCell ref="AP32:AR32"/>
    <mergeCell ref="AS32:AU32"/>
    <mergeCell ref="AV32:AX32"/>
    <mergeCell ref="AY32:BA32"/>
    <mergeCell ref="A33:B33"/>
    <mergeCell ref="C34:E34"/>
    <mergeCell ref="F34:H34"/>
    <mergeCell ref="I34:K34"/>
    <mergeCell ref="L34:N34"/>
    <mergeCell ref="P34:R34"/>
    <mergeCell ref="S34:U34"/>
    <mergeCell ref="V34:X34"/>
    <mergeCell ref="Y34:AA34"/>
    <mergeCell ref="AC34:AE34"/>
    <mergeCell ref="AF34:AH34"/>
    <mergeCell ref="AI34:AK34"/>
    <mergeCell ref="AL34:AN34"/>
    <mergeCell ref="AP34:AR34"/>
    <mergeCell ref="AS34:AU34"/>
    <mergeCell ref="AV34:AX34"/>
    <mergeCell ref="AY34:BA34"/>
    <mergeCell ref="A35:B35"/>
    <mergeCell ref="C36:E36"/>
    <mergeCell ref="F36:H36"/>
    <mergeCell ref="I36:K36"/>
    <mergeCell ref="L36:N36"/>
    <mergeCell ref="P36:R36"/>
    <mergeCell ref="S36:U36"/>
    <mergeCell ref="V36:X36"/>
    <mergeCell ref="Y36:AA36"/>
    <mergeCell ref="AC36:AE36"/>
    <mergeCell ref="AF36:AH36"/>
    <mergeCell ref="AI36:AK36"/>
    <mergeCell ref="AL36:AN36"/>
    <mergeCell ref="AP36:AR36"/>
    <mergeCell ref="AS36:AU36"/>
    <mergeCell ref="AV36:AX36"/>
    <mergeCell ref="AY36:BA36"/>
    <mergeCell ref="A37:B37"/>
  </mergeCells>
  <printOptions headings="false" gridLines="false" gridLinesSet="true" horizontalCentered="false" verticalCentered="false"/>
  <pageMargins left="0.2" right="0.2" top="0.25" bottom="0.2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AB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3.5" zeroHeight="false" outlineLevelRow="0" outlineLevelCol="0"/>
  <cols>
    <col collapsed="false" customWidth="true" hidden="false" outlineLevel="0" max="1" min="1" style="0" width="7.09"/>
    <col collapsed="false" customWidth="true" hidden="false" outlineLevel="0" max="2" min="2" style="0" width="8.09"/>
    <col collapsed="false" customWidth="true" hidden="false" outlineLevel="0" max="6" min="3" style="0" width="13.17"/>
    <col collapsed="false" customWidth="true" hidden="false" outlineLevel="0" max="8" min="7" style="0" width="3.64"/>
    <col collapsed="false" customWidth="true" hidden="false" outlineLevel="0" max="9" min="9" style="0" width="6.46"/>
    <col collapsed="false" customWidth="true" hidden="false" outlineLevel="0" max="12" min="10" style="0" width="4.18"/>
    <col collapsed="false" customWidth="true" hidden="false" outlineLevel="0" max="13" min="13" style="0" width="4.91"/>
    <col collapsed="false" customWidth="true" hidden="false" outlineLevel="0" max="14" min="14" style="0" width="4.46"/>
    <col collapsed="false" customWidth="true" hidden="false" outlineLevel="0" max="18" min="15" style="0" width="4.18"/>
    <col collapsed="false" customWidth="true" hidden="false" outlineLevel="0" max="19" min="19" style="0" width="3.64"/>
    <col collapsed="false" customWidth="true" hidden="false" outlineLevel="0" max="20" min="20" style="0" width="4.54"/>
    <col collapsed="false" customWidth="true" hidden="false" outlineLevel="0" max="21" min="21" style="0" width="4.46"/>
    <col collapsed="false" customWidth="true" hidden="false" outlineLevel="0" max="22" min="22" style="0" width="4.18"/>
    <col collapsed="false" customWidth="true" hidden="false" outlineLevel="0" max="23" min="23" style="0" width="4.09"/>
    <col collapsed="false" customWidth="true" hidden="false" outlineLevel="0" max="24" min="24" style="0" width="5.18"/>
    <col collapsed="false" customWidth="true" hidden="false" outlineLevel="0" max="25" min="25" style="0" width="6.46"/>
    <col collapsed="false" customWidth="true" hidden="false" outlineLevel="0" max="26" min="26" style="0" width="6.91"/>
    <col collapsed="false" customWidth="true" hidden="false" outlineLevel="0" max="27" min="27" style="0" width="5.82"/>
    <col collapsed="false" customWidth="true" hidden="false" outlineLevel="0" max="28" min="28" style="0" width="3.91"/>
  </cols>
  <sheetData>
    <row r="2" customFormat="false" ht="14.25" hidden="false" customHeight="true" outlineLevel="0" collapsed="false">
      <c r="A2" s="114" t="s">
        <v>270</v>
      </c>
      <c r="B2" s="115" t="s">
        <v>271</v>
      </c>
      <c r="C2" s="116" t="s">
        <v>58</v>
      </c>
      <c r="D2" s="117" t="s">
        <v>238</v>
      </c>
      <c r="E2" s="117" t="s">
        <v>240</v>
      </c>
      <c r="F2" s="117" t="s">
        <v>272</v>
      </c>
      <c r="G2" s="118"/>
      <c r="H2" s="118"/>
    </row>
    <row r="3" customFormat="false" ht="13.5" hidden="false" customHeight="false" outlineLevel="0" collapsed="false">
      <c r="A3" s="114"/>
      <c r="B3" s="115" t="s">
        <v>199</v>
      </c>
      <c r="C3" s="117"/>
      <c r="D3" s="117"/>
      <c r="E3" s="117"/>
      <c r="F3" s="117"/>
      <c r="G3" s="118"/>
      <c r="H3" s="118"/>
    </row>
    <row r="4" customFormat="false" ht="13.5" hidden="false" customHeight="false" outlineLevel="0" collapsed="false">
      <c r="C4" s="42"/>
      <c r="D4" s="42"/>
      <c r="E4" s="42"/>
      <c r="F4" s="42"/>
      <c r="S4" s="42"/>
      <c r="T4" s="42"/>
      <c r="U4" s="42"/>
      <c r="V4" s="42"/>
      <c r="W4" s="42"/>
    </row>
    <row r="5" customFormat="false" ht="13.5" hidden="false" customHeight="false" outlineLevel="0" collapsed="false">
      <c r="C5" s="42"/>
      <c r="D5" s="42"/>
      <c r="E5" s="42"/>
      <c r="F5" s="42"/>
      <c r="K5" s="119"/>
      <c r="P5" s="119"/>
      <c r="T5" s="42"/>
      <c r="U5" s="42"/>
      <c r="V5" s="119"/>
      <c r="W5" s="119"/>
      <c r="X5" s="119"/>
    </row>
    <row r="6" customFormat="false" ht="14.25" hidden="false" customHeight="true" outlineLevel="0" collapsed="false">
      <c r="A6" s="120" t="s">
        <v>273</v>
      </c>
      <c r="B6" s="121" t="s">
        <v>271</v>
      </c>
      <c r="C6" s="117" t="s">
        <v>248</v>
      </c>
      <c r="D6" s="117" t="s">
        <v>35</v>
      </c>
      <c r="E6" s="117" t="s">
        <v>244</v>
      </c>
      <c r="F6" s="117" t="s">
        <v>62</v>
      </c>
      <c r="I6" s="81"/>
      <c r="J6" s="122" t="s">
        <v>103</v>
      </c>
      <c r="K6" s="122" t="s">
        <v>83</v>
      </c>
      <c r="L6" s="122" t="s">
        <v>251</v>
      </c>
      <c r="M6" s="81" t="s">
        <v>252</v>
      </c>
      <c r="N6" s="122" t="s">
        <v>31</v>
      </c>
      <c r="O6" s="122" t="s">
        <v>35</v>
      </c>
      <c r="P6" s="122" t="s">
        <v>124</v>
      </c>
      <c r="Q6" s="122" t="s">
        <v>109</v>
      </c>
      <c r="R6" s="122" t="s">
        <v>127</v>
      </c>
      <c r="S6" s="123" t="s">
        <v>253</v>
      </c>
      <c r="T6" s="124" t="s">
        <v>133</v>
      </c>
      <c r="U6" s="122" t="s">
        <v>254</v>
      </c>
      <c r="V6" s="123" t="s">
        <v>121</v>
      </c>
      <c r="W6" s="125" t="s">
        <v>118</v>
      </c>
      <c r="X6" s="123" t="s">
        <v>246</v>
      </c>
      <c r="Y6" s="122" t="s">
        <v>255</v>
      </c>
      <c r="Z6" s="123" t="s">
        <v>256</v>
      </c>
      <c r="AA6" s="122" t="s">
        <v>257</v>
      </c>
      <c r="AB6" s="122" t="s">
        <v>249</v>
      </c>
    </row>
    <row r="7" customFormat="false" ht="13.5" hidden="false" customHeight="false" outlineLevel="0" collapsed="false">
      <c r="A7" s="120"/>
      <c r="B7" s="121" t="s">
        <v>199</v>
      </c>
      <c r="C7" s="117"/>
      <c r="D7" s="117"/>
      <c r="E7" s="117"/>
      <c r="F7" s="117"/>
      <c r="I7" s="109" t="s">
        <v>103</v>
      </c>
      <c r="J7" s="124" t="s">
        <v>262</v>
      </c>
      <c r="K7" s="124" t="n">
        <f aca="false">J8</f>
        <v>2</v>
      </c>
      <c r="L7" s="124" t="n">
        <f aca="false">J9</f>
        <v>1</v>
      </c>
      <c r="M7" s="110" t="n">
        <f aca="false">J10</f>
        <v>0</v>
      </c>
      <c r="N7" s="124" t="n">
        <f aca="false">J11</f>
        <v>1</v>
      </c>
      <c r="O7" s="124" t="n">
        <f aca="false">J12</f>
        <v>1</v>
      </c>
      <c r="P7" s="124" t="n">
        <f aca="false">J13</f>
        <v>1</v>
      </c>
      <c r="Q7" s="124" t="n">
        <f aca="false">J14</f>
        <v>2</v>
      </c>
      <c r="R7" s="124" t="n">
        <f aca="false">J15</f>
        <v>1</v>
      </c>
      <c r="S7" s="126" t="n">
        <f aca="false">J16</f>
        <v>2</v>
      </c>
      <c r="T7" s="124" t="n">
        <f aca="false">J17</f>
        <v>1</v>
      </c>
      <c r="U7" s="124" t="n">
        <f aca="false">J18</f>
        <v>1</v>
      </c>
      <c r="V7" s="126" t="n">
        <f aca="false">J19</f>
        <v>1</v>
      </c>
      <c r="W7" s="126" t="n">
        <f aca="false">J20</f>
        <v>1</v>
      </c>
      <c r="X7" s="126" t="n">
        <f aca="false">J21</f>
        <v>1</v>
      </c>
      <c r="Y7" s="124" t="n">
        <f aca="false">J22</f>
        <v>1</v>
      </c>
      <c r="Z7" s="126" t="n">
        <f aca="false">J23</f>
        <v>0</v>
      </c>
      <c r="AA7" s="124" t="n">
        <f aca="false">J24</f>
        <v>1</v>
      </c>
      <c r="AB7" s="124" t="n">
        <f aca="false">J25</f>
        <v>2</v>
      </c>
    </row>
    <row r="8" customFormat="false" ht="13.5" hidden="false" customHeight="false" outlineLevel="0" collapsed="false">
      <c r="C8" s="42"/>
      <c r="D8" s="42"/>
      <c r="E8" s="42"/>
      <c r="F8" s="42"/>
      <c r="I8" s="81" t="s">
        <v>83</v>
      </c>
      <c r="J8" s="124" t="n">
        <v>2</v>
      </c>
      <c r="K8" s="124" t="s">
        <v>262</v>
      </c>
      <c r="L8" s="124" t="n">
        <f aca="false">K9</f>
        <v>1</v>
      </c>
      <c r="M8" s="42" t="n">
        <f aca="false">K10</f>
        <v>0</v>
      </c>
      <c r="N8" s="124" t="n">
        <f aca="false">K11</f>
        <v>1</v>
      </c>
      <c r="O8" s="124" t="n">
        <f aca="false">K12</f>
        <v>1</v>
      </c>
      <c r="P8" s="124" t="n">
        <f aca="false">K13</f>
        <v>1</v>
      </c>
      <c r="Q8" s="124" t="n">
        <f aca="false">K14</f>
        <v>2</v>
      </c>
      <c r="R8" s="124" t="n">
        <f aca="false">K15</f>
        <v>1</v>
      </c>
      <c r="S8" s="125" t="n">
        <f aca="false">K16</f>
        <v>1</v>
      </c>
      <c r="T8" s="124" t="n">
        <f aca="false">K17</f>
        <v>0</v>
      </c>
      <c r="U8" s="124" t="n">
        <f aca="false">K18</f>
        <v>2</v>
      </c>
      <c r="V8" s="125" t="n">
        <f aca="false">K19</f>
        <v>2</v>
      </c>
      <c r="W8" s="125" t="n">
        <f aca="false">K20</f>
        <v>2</v>
      </c>
      <c r="X8" s="125" t="n">
        <f aca="false">K21</f>
        <v>3</v>
      </c>
      <c r="Y8" s="124" t="n">
        <f aca="false">K22</f>
        <v>2</v>
      </c>
      <c r="Z8" s="125" t="n">
        <f aca="false">K23</f>
        <v>1</v>
      </c>
      <c r="AA8" s="124" t="n">
        <f aca="false">K24</f>
        <v>1</v>
      </c>
      <c r="AB8" s="124" t="n">
        <f aca="false">K25</f>
        <v>1</v>
      </c>
    </row>
    <row r="9" customFormat="false" ht="13.5" hidden="false" customHeight="false" outlineLevel="0" collapsed="false">
      <c r="C9" s="42"/>
      <c r="D9" s="42"/>
      <c r="E9" s="42"/>
      <c r="F9" s="42"/>
      <c r="I9" s="109" t="s">
        <v>251</v>
      </c>
      <c r="J9" s="124" t="n">
        <v>1</v>
      </c>
      <c r="K9" s="124" t="n">
        <v>1</v>
      </c>
      <c r="L9" s="124" t="s">
        <v>262</v>
      </c>
      <c r="M9" s="110" t="n">
        <f aca="false">L10</f>
        <v>0</v>
      </c>
      <c r="N9" s="124" t="n">
        <f aca="false">L11</f>
        <v>2</v>
      </c>
      <c r="O9" s="124" t="n">
        <f aca="false">L12</f>
        <v>1</v>
      </c>
      <c r="P9" s="124" t="n">
        <f aca="false">L13</f>
        <v>0</v>
      </c>
      <c r="Q9" s="124" t="n">
        <f aca="false">L14</f>
        <v>1</v>
      </c>
      <c r="R9" s="124" t="n">
        <f aca="false">L15</f>
        <v>1</v>
      </c>
      <c r="S9" s="126" t="n">
        <f aca="false">L16</f>
        <v>1</v>
      </c>
      <c r="T9" s="124" t="n">
        <f aca="false">L17</f>
        <v>1</v>
      </c>
      <c r="U9" s="124" t="n">
        <f aca="false">L18</f>
        <v>2</v>
      </c>
      <c r="V9" s="126" t="n">
        <f aca="false">L19</f>
        <v>2</v>
      </c>
      <c r="W9" s="126" t="n">
        <f aca="false">L20</f>
        <v>1</v>
      </c>
      <c r="X9" s="126" t="n">
        <f aca="false">L21</f>
        <v>2</v>
      </c>
      <c r="Y9" s="124" t="n">
        <f aca="false">L22</f>
        <v>2</v>
      </c>
      <c r="Z9" s="126" t="n">
        <f aca="false">L23</f>
        <v>1</v>
      </c>
      <c r="AA9" s="124" t="n">
        <f aca="false">L24</f>
        <v>1</v>
      </c>
      <c r="AB9" s="124" t="n">
        <f aca="false">L25</f>
        <v>2</v>
      </c>
    </row>
    <row r="10" customFormat="false" ht="14.25" hidden="false" customHeight="true" outlineLevel="0" collapsed="false">
      <c r="A10" s="114" t="s">
        <v>274</v>
      </c>
      <c r="B10" s="121" t="s">
        <v>271</v>
      </c>
      <c r="C10" s="117" t="s">
        <v>239</v>
      </c>
      <c r="D10" s="127" t="s">
        <v>263</v>
      </c>
      <c r="E10" s="117" t="s">
        <v>255</v>
      </c>
      <c r="F10" s="117" t="s">
        <v>275</v>
      </c>
      <c r="I10" s="81" t="s">
        <v>252</v>
      </c>
      <c r="J10" s="124"/>
      <c r="K10" s="124"/>
      <c r="L10" s="124"/>
      <c r="M10" s="42" t="s">
        <v>262</v>
      </c>
      <c r="N10" s="124" t="n">
        <f aca="false">M11</f>
        <v>0</v>
      </c>
      <c r="O10" s="124" t="n">
        <f aca="false">M12</f>
        <v>0</v>
      </c>
      <c r="P10" s="124" t="n">
        <f aca="false">M13</f>
        <v>0</v>
      </c>
      <c r="Q10" s="124" t="n">
        <f aca="false">M14</f>
        <v>0</v>
      </c>
      <c r="R10" s="124" t="n">
        <f aca="false">M15</f>
        <v>0</v>
      </c>
      <c r="S10" s="125" t="n">
        <f aca="false">M16</f>
        <v>0</v>
      </c>
      <c r="T10" s="124" t="n">
        <f aca="false">M17</f>
        <v>0</v>
      </c>
      <c r="U10" s="124" t="n">
        <f aca="false">M18</f>
        <v>0</v>
      </c>
      <c r="V10" s="125" t="n">
        <f aca="false">M19</f>
        <v>0</v>
      </c>
      <c r="W10" s="125" t="n">
        <f aca="false">M20</f>
        <v>0</v>
      </c>
      <c r="X10" s="125" t="n">
        <f aca="false">M21</f>
        <v>0</v>
      </c>
      <c r="Y10" s="124" t="n">
        <f aca="false">M22</f>
        <v>0</v>
      </c>
      <c r="Z10" s="125" t="n">
        <f aca="false">M23</f>
        <v>0</v>
      </c>
      <c r="AA10" s="124" t="n">
        <f aca="false">M24</f>
        <v>0</v>
      </c>
      <c r="AB10" s="124" t="n">
        <f aca="false">M25</f>
        <v>0</v>
      </c>
    </row>
    <row r="11" customFormat="false" ht="13.5" hidden="false" customHeight="false" outlineLevel="0" collapsed="false">
      <c r="A11" s="114"/>
      <c r="B11" s="121" t="s">
        <v>199</v>
      </c>
      <c r="C11" s="117"/>
      <c r="D11" s="117"/>
      <c r="E11" s="117"/>
      <c r="F11" s="117"/>
      <c r="I11" s="109" t="s">
        <v>31</v>
      </c>
      <c r="J11" s="124" t="n">
        <v>1</v>
      </c>
      <c r="K11" s="124" t="n">
        <v>1</v>
      </c>
      <c r="L11" s="124" t="n">
        <v>2</v>
      </c>
      <c r="M11" s="110"/>
      <c r="N11" s="124" t="s">
        <v>262</v>
      </c>
      <c r="O11" s="124" t="n">
        <f aca="false">N12</f>
        <v>1</v>
      </c>
      <c r="P11" s="124" t="n">
        <f aca="false">N13</f>
        <v>2</v>
      </c>
      <c r="Q11" s="124" t="n">
        <f aca="false">N14</f>
        <v>1</v>
      </c>
      <c r="R11" s="124" t="n">
        <f aca="false">N15</f>
        <v>2</v>
      </c>
      <c r="S11" s="126" t="n">
        <f aca="false">N16</f>
        <v>2</v>
      </c>
      <c r="T11" s="124" t="n">
        <f aca="false">N17</f>
        <v>1</v>
      </c>
      <c r="U11" s="124" t="n">
        <f aca="false">N18</f>
        <v>1</v>
      </c>
      <c r="V11" s="126" t="n">
        <f aca="false">N19</f>
        <v>2</v>
      </c>
      <c r="W11" s="126" t="n">
        <f aca="false">N20</f>
        <v>1</v>
      </c>
      <c r="X11" s="126" t="n">
        <f aca="false">N21</f>
        <v>2</v>
      </c>
      <c r="Y11" s="124" t="n">
        <f aca="false">N22</f>
        <v>2</v>
      </c>
      <c r="Z11" s="126" t="n">
        <f aca="false">N23</f>
        <v>1</v>
      </c>
      <c r="AA11" s="124" t="n">
        <f aca="false">N24</f>
        <v>2</v>
      </c>
      <c r="AB11" s="124" t="n">
        <f aca="false">N25</f>
        <v>1</v>
      </c>
    </row>
    <row r="12" customFormat="false" ht="13.5" hidden="false" customHeight="false" outlineLevel="0" collapsed="false">
      <c r="C12" s="42"/>
      <c r="D12" s="42"/>
      <c r="E12" s="42"/>
      <c r="F12" s="42"/>
      <c r="I12" s="81" t="s">
        <v>35</v>
      </c>
      <c r="J12" s="124" t="n">
        <v>1</v>
      </c>
      <c r="K12" s="124" t="n">
        <v>1</v>
      </c>
      <c r="L12" s="124" t="n">
        <v>1</v>
      </c>
      <c r="M12" s="42"/>
      <c r="N12" s="124" t="n">
        <v>1</v>
      </c>
      <c r="O12" s="124" t="s">
        <v>262</v>
      </c>
      <c r="P12" s="124" t="n">
        <f aca="false">O13</f>
        <v>1</v>
      </c>
      <c r="Q12" s="124" t="n">
        <f aca="false">O14</f>
        <v>2</v>
      </c>
      <c r="R12" s="124" t="n">
        <f aca="false">O15</f>
        <v>2</v>
      </c>
      <c r="S12" s="125" t="n">
        <f aca="false">O16</f>
        <v>2</v>
      </c>
      <c r="T12" s="124" t="n">
        <f aca="false">O17</f>
        <v>0</v>
      </c>
      <c r="U12" s="124" t="n">
        <f aca="false">O18</f>
        <v>1</v>
      </c>
      <c r="V12" s="125" t="n">
        <f aca="false">O19</f>
        <v>1</v>
      </c>
      <c r="W12" s="125" t="n">
        <f aca="false">O20</f>
        <v>0</v>
      </c>
      <c r="X12" s="125" t="n">
        <f aca="false">O21</f>
        <v>2</v>
      </c>
      <c r="Y12" s="124" t="n">
        <f aca="false">O22</f>
        <v>1</v>
      </c>
      <c r="Z12" s="125" t="n">
        <f aca="false">O23</f>
        <v>1</v>
      </c>
      <c r="AA12" s="124" t="n">
        <f aca="false">O24</f>
        <v>1</v>
      </c>
      <c r="AB12" s="124" t="n">
        <f aca="false">O25</f>
        <v>2</v>
      </c>
    </row>
    <row r="13" customFormat="false" ht="14.25" hidden="false" customHeight="true" outlineLevel="0" collapsed="false">
      <c r="A13" s="114" t="s">
        <v>276</v>
      </c>
      <c r="B13" s="121" t="s">
        <v>271</v>
      </c>
      <c r="C13" s="127" t="s">
        <v>257</v>
      </c>
      <c r="D13" s="127" t="s">
        <v>46</v>
      </c>
      <c r="E13" s="127" t="s">
        <v>268</v>
      </c>
      <c r="F13" s="127" t="s">
        <v>259</v>
      </c>
      <c r="I13" s="109" t="s">
        <v>124</v>
      </c>
      <c r="J13" s="124" t="n">
        <v>1</v>
      </c>
      <c r="K13" s="124" t="n">
        <v>1</v>
      </c>
      <c r="L13" s="124"/>
      <c r="M13" s="110"/>
      <c r="N13" s="124" t="n">
        <v>2</v>
      </c>
      <c r="O13" s="124" t="n">
        <v>1</v>
      </c>
      <c r="P13" s="124" t="s">
        <v>262</v>
      </c>
      <c r="Q13" s="124" t="n">
        <f aca="false">P14</f>
        <v>1</v>
      </c>
      <c r="R13" s="124" t="n">
        <f aca="false">P15</f>
        <v>1</v>
      </c>
      <c r="S13" s="126" t="n">
        <f aca="false">P16</f>
        <v>0</v>
      </c>
      <c r="T13" s="124" t="n">
        <f aca="false">P17</f>
        <v>0</v>
      </c>
      <c r="U13" s="124" t="n">
        <f aca="false">P18</f>
        <v>1</v>
      </c>
      <c r="V13" s="126" t="n">
        <f aca="false">P19</f>
        <v>1</v>
      </c>
      <c r="W13" s="126" t="n">
        <f aca="false">P20</f>
        <v>0</v>
      </c>
      <c r="X13" s="126" t="n">
        <f aca="false">P21</f>
        <v>0</v>
      </c>
      <c r="Y13" s="124" t="n">
        <f aca="false">P22</f>
        <v>0</v>
      </c>
      <c r="Z13" s="126" t="n">
        <f aca="false">P23</f>
        <v>1</v>
      </c>
      <c r="AA13" s="124" t="n">
        <f aca="false">P24</f>
        <v>1</v>
      </c>
      <c r="AB13" s="124" t="n">
        <f aca="false">P25</f>
        <v>1</v>
      </c>
    </row>
    <row r="14" customFormat="false" ht="14.25" hidden="false" customHeight="true" outlineLevel="0" collapsed="false">
      <c r="A14" s="114"/>
      <c r="B14" s="121" t="s">
        <v>199</v>
      </c>
      <c r="C14" s="117"/>
      <c r="D14" s="117"/>
      <c r="E14" s="117"/>
      <c r="F14" s="117"/>
      <c r="I14" s="81" t="s">
        <v>109</v>
      </c>
      <c r="J14" s="124" t="n">
        <v>2</v>
      </c>
      <c r="K14" s="124" t="n">
        <v>2</v>
      </c>
      <c r="L14" s="124" t="n">
        <v>1</v>
      </c>
      <c r="M14" s="42"/>
      <c r="N14" s="124" t="n">
        <v>1</v>
      </c>
      <c r="O14" s="124" t="n">
        <v>2</v>
      </c>
      <c r="P14" s="124" t="n">
        <v>1</v>
      </c>
      <c r="Q14" s="124" t="s">
        <v>262</v>
      </c>
      <c r="R14" s="124" t="n">
        <f aca="false">Q15</f>
        <v>1</v>
      </c>
      <c r="S14" s="125" t="n">
        <f aca="false">Q16</f>
        <v>2</v>
      </c>
      <c r="T14" s="124" t="n">
        <f aca="false">Q17</f>
        <v>0</v>
      </c>
      <c r="U14" s="124" t="n">
        <f aca="false">Q18</f>
        <v>1</v>
      </c>
      <c r="V14" s="125" t="n">
        <f aca="false">Q19</f>
        <v>1</v>
      </c>
      <c r="W14" s="125" t="n">
        <f aca="false">Q20</f>
        <v>1</v>
      </c>
      <c r="X14" s="125" t="n">
        <f aca="false">Q21</f>
        <v>3</v>
      </c>
      <c r="Y14" s="124" t="n">
        <f aca="false">Q22</f>
        <v>2</v>
      </c>
      <c r="Z14" s="125" t="n">
        <f aca="false">Q23</f>
        <v>1</v>
      </c>
      <c r="AA14" s="124" t="n">
        <f aca="false">Q24</f>
        <v>1</v>
      </c>
      <c r="AB14" s="124" t="n">
        <f aca="false">Q25</f>
        <v>1</v>
      </c>
    </row>
    <row r="15" customFormat="false" ht="13.5" hidden="false" customHeight="false" outlineLevel="0" collapsed="false">
      <c r="I15" s="109" t="s">
        <v>127</v>
      </c>
      <c r="J15" s="124" t="n">
        <v>1</v>
      </c>
      <c r="K15" s="124" t="n">
        <v>1</v>
      </c>
      <c r="L15" s="124" t="n">
        <v>1</v>
      </c>
      <c r="M15" s="110"/>
      <c r="N15" s="124" t="n">
        <v>2</v>
      </c>
      <c r="O15" s="124" t="n">
        <v>2</v>
      </c>
      <c r="P15" s="124" t="n">
        <v>1</v>
      </c>
      <c r="Q15" s="124" t="n">
        <v>1</v>
      </c>
      <c r="R15" s="124" t="s">
        <v>262</v>
      </c>
      <c r="S15" s="126" t="n">
        <f aca="false">R16</f>
        <v>1</v>
      </c>
      <c r="T15" s="124" t="n">
        <f aca="false">R17</f>
        <v>0</v>
      </c>
      <c r="U15" s="124" t="n">
        <f aca="false">R18</f>
        <v>1</v>
      </c>
      <c r="V15" s="126" t="n">
        <f aca="false">R19</f>
        <v>2</v>
      </c>
      <c r="W15" s="126" t="n">
        <f aca="false">R20</f>
        <v>1</v>
      </c>
      <c r="X15" s="126" t="n">
        <f aca="false">R21</f>
        <v>1</v>
      </c>
      <c r="Y15" s="124" t="n">
        <f aca="false">R22</f>
        <v>0</v>
      </c>
      <c r="Z15" s="126" t="n">
        <f aca="false">R23</f>
        <v>1</v>
      </c>
      <c r="AA15" s="124" t="n">
        <f aca="false">R24</f>
        <v>1</v>
      </c>
      <c r="AB15" s="124" t="n">
        <f aca="false">R25</f>
        <v>0</v>
      </c>
    </row>
    <row r="16" customFormat="false" ht="14.25" hidden="false" customHeight="true" outlineLevel="0" collapsed="false">
      <c r="A16" s="114" t="s">
        <v>277</v>
      </c>
      <c r="B16" s="121" t="s">
        <v>271</v>
      </c>
      <c r="C16" s="127"/>
      <c r="D16" s="127"/>
      <c r="E16" s="127"/>
      <c r="F16" s="127"/>
      <c r="I16" s="81" t="s">
        <v>253</v>
      </c>
      <c r="J16" s="124" t="n">
        <v>2</v>
      </c>
      <c r="K16" s="124" t="n">
        <v>1</v>
      </c>
      <c r="L16" s="124" t="n">
        <v>1</v>
      </c>
      <c r="M16" s="42"/>
      <c r="N16" s="124" t="n">
        <v>2</v>
      </c>
      <c r="O16" s="124" t="n">
        <v>2</v>
      </c>
      <c r="P16" s="124"/>
      <c r="Q16" s="124" t="n">
        <v>2</v>
      </c>
      <c r="R16" s="124" t="n">
        <v>1</v>
      </c>
      <c r="S16" s="125" t="s">
        <v>262</v>
      </c>
      <c r="T16" s="124" t="n">
        <f aca="false">S17</f>
        <v>0</v>
      </c>
      <c r="U16" s="124" t="n">
        <f aca="false">S18</f>
        <v>1</v>
      </c>
      <c r="V16" s="125" t="n">
        <f aca="false">S19</f>
        <v>1</v>
      </c>
      <c r="W16" s="125" t="n">
        <f aca="false">S20</f>
        <v>1</v>
      </c>
      <c r="X16" s="125" t="n">
        <f aca="false">S21</f>
        <v>2</v>
      </c>
      <c r="Y16" s="124" t="n">
        <f aca="false">S22</f>
        <v>1</v>
      </c>
      <c r="Z16" s="125" t="n">
        <f aca="false">S23</f>
        <v>1</v>
      </c>
      <c r="AA16" s="124" t="n">
        <f aca="false">S24</f>
        <v>1</v>
      </c>
      <c r="AB16" s="124" t="n">
        <f aca="false">S25</f>
        <v>1</v>
      </c>
    </row>
    <row r="17" customFormat="false" ht="13.5" hidden="false" customHeight="false" outlineLevel="0" collapsed="false">
      <c r="A17" s="114"/>
      <c r="B17" s="121" t="s">
        <v>199</v>
      </c>
      <c r="C17" s="117"/>
      <c r="D17" s="117"/>
      <c r="E17" s="117"/>
      <c r="F17" s="117"/>
      <c r="I17" s="109" t="s">
        <v>133</v>
      </c>
      <c r="J17" s="124" t="n">
        <v>1</v>
      </c>
      <c r="K17" s="124"/>
      <c r="L17" s="124" t="n">
        <v>1</v>
      </c>
      <c r="M17" s="110"/>
      <c r="N17" s="124" t="n">
        <v>1</v>
      </c>
      <c r="O17" s="124"/>
      <c r="P17" s="124"/>
      <c r="Q17" s="124"/>
      <c r="R17" s="124"/>
      <c r="S17" s="126"/>
      <c r="T17" s="124" t="s">
        <v>262</v>
      </c>
      <c r="U17" s="124" t="n">
        <f aca="false">T18</f>
        <v>1</v>
      </c>
      <c r="V17" s="126" t="n">
        <f aca="false">T19</f>
        <v>0</v>
      </c>
      <c r="W17" s="126" t="n">
        <f aca="false">T20</f>
        <v>0</v>
      </c>
      <c r="X17" s="126" t="n">
        <f aca="false">T21</f>
        <v>0</v>
      </c>
      <c r="Y17" s="124" t="n">
        <f aca="false">T22</f>
        <v>1</v>
      </c>
      <c r="Z17" s="126" t="n">
        <f aca="false">T23</f>
        <v>0</v>
      </c>
      <c r="AA17" s="124" t="n">
        <f aca="false">T24</f>
        <v>0</v>
      </c>
      <c r="AB17" s="124" t="n">
        <f aca="false">T25</f>
        <v>1</v>
      </c>
    </row>
    <row r="18" customFormat="false" ht="13.5" hidden="false" customHeight="false" outlineLevel="0" collapsed="false">
      <c r="I18" s="81" t="s">
        <v>254</v>
      </c>
      <c r="J18" s="124" t="n">
        <v>1</v>
      </c>
      <c r="K18" s="124" t="n">
        <v>2</v>
      </c>
      <c r="L18" s="124" t="n">
        <v>2</v>
      </c>
      <c r="M18" s="42"/>
      <c r="N18" s="124" t="n">
        <v>1</v>
      </c>
      <c r="O18" s="124" t="n">
        <v>1</v>
      </c>
      <c r="P18" s="124" t="n">
        <v>1</v>
      </c>
      <c r="Q18" s="124" t="n">
        <v>1</v>
      </c>
      <c r="R18" s="124" t="n">
        <v>1</v>
      </c>
      <c r="S18" s="125" t="n">
        <v>1</v>
      </c>
      <c r="T18" s="124" t="n">
        <v>1</v>
      </c>
      <c r="U18" s="124" t="s">
        <v>262</v>
      </c>
      <c r="V18" s="125" t="n">
        <f aca="false">U19</f>
        <v>1</v>
      </c>
      <c r="W18" s="125" t="n">
        <f aca="false">U20</f>
        <v>2</v>
      </c>
      <c r="X18" s="125" t="n">
        <f aca="false">U21</f>
        <v>0</v>
      </c>
      <c r="Y18" s="124" t="n">
        <f aca="false">U22</f>
        <v>2</v>
      </c>
      <c r="Z18" s="125" t="n">
        <f aca="false">U23</f>
        <v>1</v>
      </c>
      <c r="AA18" s="124" t="n">
        <f aca="false">U24</f>
        <v>3</v>
      </c>
      <c r="AB18" s="124" t="n">
        <f aca="false">U25</f>
        <v>1</v>
      </c>
    </row>
    <row r="19" customFormat="false" ht="13.5" hidden="false" customHeight="false" outlineLevel="0" collapsed="false">
      <c r="I19" s="109" t="s">
        <v>121</v>
      </c>
      <c r="J19" s="124" t="n">
        <v>1</v>
      </c>
      <c r="K19" s="124" t="n">
        <v>2</v>
      </c>
      <c r="L19" s="124" t="n">
        <v>2</v>
      </c>
      <c r="M19" s="110"/>
      <c r="N19" s="124" t="n">
        <v>2</v>
      </c>
      <c r="O19" s="124" t="n">
        <v>1</v>
      </c>
      <c r="P19" s="124" t="n">
        <v>1</v>
      </c>
      <c r="Q19" s="124" t="n">
        <v>1</v>
      </c>
      <c r="R19" s="124" t="n">
        <v>2</v>
      </c>
      <c r="S19" s="126" t="n">
        <v>1</v>
      </c>
      <c r="T19" s="124"/>
      <c r="U19" s="124" t="n">
        <v>1</v>
      </c>
      <c r="V19" s="126" t="s">
        <v>262</v>
      </c>
      <c r="W19" s="126" t="n">
        <f aca="false">V20</f>
        <v>0</v>
      </c>
      <c r="X19" s="126" t="n">
        <f aca="false">V21</f>
        <v>2</v>
      </c>
      <c r="Y19" s="124" t="n">
        <f aca="false">V22</f>
        <v>1</v>
      </c>
      <c r="Z19" s="126" t="n">
        <f aca="false">V23</f>
        <v>1</v>
      </c>
      <c r="AA19" s="124" t="n">
        <f aca="false">V24</f>
        <v>1</v>
      </c>
      <c r="AB19" s="124" t="n">
        <f aca="false">V25</f>
        <v>1</v>
      </c>
    </row>
    <row r="20" customFormat="false" ht="13.5" hidden="false" customHeight="false" outlineLevel="0" collapsed="false">
      <c r="I20" s="81" t="s">
        <v>118</v>
      </c>
      <c r="J20" s="124" t="n">
        <v>1</v>
      </c>
      <c r="K20" s="124" t="n">
        <v>2</v>
      </c>
      <c r="L20" s="124" t="n">
        <v>1</v>
      </c>
      <c r="M20" s="42"/>
      <c r="N20" s="124" t="n">
        <v>1</v>
      </c>
      <c r="O20" s="124"/>
      <c r="P20" s="124"/>
      <c r="Q20" s="124" t="n">
        <v>1</v>
      </c>
      <c r="R20" s="124" t="n">
        <v>1</v>
      </c>
      <c r="S20" s="125" t="n">
        <v>1</v>
      </c>
      <c r="T20" s="124"/>
      <c r="U20" s="124" t="n">
        <v>2</v>
      </c>
      <c r="V20" s="125"/>
      <c r="W20" s="125" t="s">
        <v>262</v>
      </c>
      <c r="X20" s="125" t="n">
        <f aca="false">W21</f>
        <v>1</v>
      </c>
      <c r="Y20" s="124" t="n">
        <f aca="false">W22</f>
        <v>1</v>
      </c>
      <c r="Z20" s="125" t="n">
        <f aca="false">W23</f>
        <v>0</v>
      </c>
      <c r="AA20" s="124" t="n">
        <f aca="false">W24</f>
        <v>1</v>
      </c>
      <c r="AB20" s="124" t="n">
        <f aca="false">W25</f>
        <v>2</v>
      </c>
    </row>
    <row r="21" customFormat="false" ht="13.5" hidden="false" customHeight="false" outlineLevel="0" collapsed="false">
      <c r="C21" s="128" t="s">
        <v>62</v>
      </c>
      <c r="D21" s="128" t="s">
        <v>278</v>
      </c>
      <c r="E21" s="129" t="s">
        <v>47</v>
      </c>
      <c r="F21" s="129" t="s">
        <v>52</v>
      </c>
      <c r="I21" s="109" t="s">
        <v>246</v>
      </c>
      <c r="J21" s="124" t="n">
        <v>1</v>
      </c>
      <c r="K21" s="124" t="n">
        <v>3</v>
      </c>
      <c r="L21" s="124" t="n">
        <v>2</v>
      </c>
      <c r="M21" s="110"/>
      <c r="N21" s="124" t="n">
        <v>2</v>
      </c>
      <c r="O21" s="124" t="n">
        <v>2</v>
      </c>
      <c r="P21" s="124"/>
      <c r="Q21" s="124" t="n">
        <v>3</v>
      </c>
      <c r="R21" s="124" t="n">
        <v>1</v>
      </c>
      <c r="S21" s="126" t="n">
        <v>2</v>
      </c>
      <c r="T21" s="124"/>
      <c r="U21" s="124"/>
      <c r="V21" s="126" t="n">
        <v>2</v>
      </c>
      <c r="W21" s="126" t="n">
        <v>1</v>
      </c>
      <c r="X21" s="126" t="s">
        <v>262</v>
      </c>
      <c r="Y21" s="124" t="n">
        <f aca="false">X22</f>
        <v>0</v>
      </c>
      <c r="Z21" s="126" t="n">
        <f aca="false">X23</f>
        <v>0</v>
      </c>
      <c r="AA21" s="124" t="n">
        <f aca="false">X24</f>
        <v>0</v>
      </c>
      <c r="AB21" s="124" t="n">
        <f aca="false">X25</f>
        <v>1</v>
      </c>
    </row>
    <row r="22" customFormat="false" ht="13.5" hidden="false" customHeight="false" outlineLevel="0" collapsed="false">
      <c r="C22" s="130"/>
      <c r="D22" s="130"/>
      <c r="E22" s="130"/>
      <c r="F22" s="130"/>
      <c r="I22" s="81" t="s">
        <v>255</v>
      </c>
      <c r="J22" s="124" t="n">
        <v>1</v>
      </c>
      <c r="K22" s="124" t="n">
        <v>2</v>
      </c>
      <c r="L22" s="124" t="n">
        <v>2</v>
      </c>
      <c r="M22" s="42"/>
      <c r="N22" s="124" t="n">
        <v>2</v>
      </c>
      <c r="O22" s="124" t="n">
        <v>1</v>
      </c>
      <c r="P22" s="124"/>
      <c r="Q22" s="124" t="n">
        <v>2</v>
      </c>
      <c r="R22" s="124"/>
      <c r="S22" s="125" t="n">
        <v>1</v>
      </c>
      <c r="T22" s="124" t="n">
        <v>1</v>
      </c>
      <c r="U22" s="124" t="n">
        <v>2</v>
      </c>
      <c r="V22" s="125" t="n">
        <v>1</v>
      </c>
      <c r="W22" s="125" t="n">
        <v>1</v>
      </c>
      <c r="X22" s="125"/>
      <c r="Y22" s="124" t="s">
        <v>262</v>
      </c>
      <c r="Z22" s="125" t="n">
        <f aca="false">Y23</f>
        <v>1</v>
      </c>
      <c r="AA22" s="124" t="n">
        <f aca="false">Y24</f>
        <v>1</v>
      </c>
      <c r="AB22" s="124" t="n">
        <f aca="false">Y25</f>
        <v>0</v>
      </c>
    </row>
    <row r="23" customFormat="false" ht="13.5" hidden="false" customHeight="false" outlineLevel="0" collapsed="false">
      <c r="C23" s="128" t="s">
        <v>59</v>
      </c>
      <c r="D23" s="128" t="s">
        <v>53</v>
      </c>
      <c r="E23" s="131" t="s">
        <v>55</v>
      </c>
      <c r="F23" s="128" t="s">
        <v>58</v>
      </c>
      <c r="I23" s="109" t="s">
        <v>256</v>
      </c>
      <c r="J23" s="124"/>
      <c r="K23" s="124" t="n">
        <v>1</v>
      </c>
      <c r="L23" s="124" t="n">
        <v>1</v>
      </c>
      <c r="M23" s="110"/>
      <c r="N23" s="124" t="n">
        <v>1</v>
      </c>
      <c r="O23" s="124" t="n">
        <v>1</v>
      </c>
      <c r="P23" s="124" t="n">
        <v>1</v>
      </c>
      <c r="Q23" s="124" t="n">
        <v>1</v>
      </c>
      <c r="R23" s="124" t="n">
        <v>1</v>
      </c>
      <c r="S23" s="126" t="n">
        <v>1</v>
      </c>
      <c r="T23" s="124"/>
      <c r="U23" s="124" t="n">
        <v>1</v>
      </c>
      <c r="V23" s="126" t="n">
        <v>1</v>
      </c>
      <c r="W23" s="126"/>
      <c r="X23" s="126"/>
      <c r="Y23" s="124" t="n">
        <v>1</v>
      </c>
      <c r="Z23" s="126" t="s">
        <v>262</v>
      </c>
      <c r="AA23" s="124" t="n">
        <f aca="false">Z24</f>
        <v>1</v>
      </c>
      <c r="AB23" s="124" t="n">
        <f aca="false">Z25</f>
        <v>2</v>
      </c>
    </row>
    <row r="24" customFormat="false" ht="13.5" hidden="false" customHeight="false" outlineLevel="0" collapsed="false">
      <c r="C24" s="132"/>
      <c r="D24" s="132"/>
      <c r="E24" s="132"/>
      <c r="F24" s="132"/>
      <c r="I24" s="81" t="s">
        <v>257</v>
      </c>
      <c r="J24" s="124" t="n">
        <v>1</v>
      </c>
      <c r="K24" s="124" t="n">
        <v>1</v>
      </c>
      <c r="L24" s="124" t="n">
        <v>1</v>
      </c>
      <c r="M24" s="42"/>
      <c r="N24" s="124" t="n">
        <v>2</v>
      </c>
      <c r="O24" s="124" t="n">
        <v>1</v>
      </c>
      <c r="P24" s="124" t="n">
        <v>1</v>
      </c>
      <c r="Q24" s="124" t="n">
        <v>1</v>
      </c>
      <c r="R24" s="124" t="n">
        <v>1</v>
      </c>
      <c r="S24" s="125" t="n">
        <v>1</v>
      </c>
      <c r="T24" s="124"/>
      <c r="U24" s="124" t="n">
        <v>3</v>
      </c>
      <c r="V24" s="125" t="n">
        <v>1</v>
      </c>
      <c r="W24" s="125" t="n">
        <v>1</v>
      </c>
      <c r="X24" s="125"/>
      <c r="Y24" s="124" t="n">
        <v>1</v>
      </c>
      <c r="Z24" s="125" t="n">
        <v>1</v>
      </c>
      <c r="AA24" s="124" t="s">
        <v>262</v>
      </c>
      <c r="AB24" s="124" t="n">
        <f aca="false">AA25</f>
        <v>1</v>
      </c>
    </row>
    <row r="25" customFormat="false" ht="13.5" hidden="false" customHeight="false" outlineLevel="0" collapsed="false">
      <c r="C25" s="128" t="s">
        <v>42</v>
      </c>
      <c r="D25" s="128" t="s">
        <v>222</v>
      </c>
      <c r="E25" s="128" t="s">
        <v>61</v>
      </c>
      <c r="F25" s="128" t="s">
        <v>49</v>
      </c>
      <c r="I25" s="109" t="s">
        <v>249</v>
      </c>
      <c r="J25" s="124" t="n">
        <v>2</v>
      </c>
      <c r="K25" s="124" t="n">
        <v>1</v>
      </c>
      <c r="L25" s="124" t="n">
        <v>2</v>
      </c>
      <c r="M25" s="110"/>
      <c r="N25" s="124" t="n">
        <v>1</v>
      </c>
      <c r="O25" s="124" t="n">
        <v>2</v>
      </c>
      <c r="P25" s="124" t="n">
        <v>1</v>
      </c>
      <c r="Q25" s="124" t="n">
        <v>1</v>
      </c>
      <c r="R25" s="124"/>
      <c r="S25" s="126" t="n">
        <v>1</v>
      </c>
      <c r="T25" s="124" t="n">
        <v>1</v>
      </c>
      <c r="U25" s="124" t="n">
        <v>1</v>
      </c>
      <c r="V25" s="126" t="n">
        <v>1</v>
      </c>
      <c r="W25" s="126" t="n">
        <v>2</v>
      </c>
      <c r="X25" s="126" t="n">
        <v>1</v>
      </c>
      <c r="Y25" s="124"/>
      <c r="Z25" s="126" t="n">
        <v>2</v>
      </c>
      <c r="AA25" s="124" t="n">
        <v>1</v>
      </c>
      <c r="AB25" s="124" t="s">
        <v>262</v>
      </c>
    </row>
    <row r="26" customFormat="false" ht="13.5" hidden="false" customHeight="false" outlineLevel="0" collapsed="false">
      <c r="C26" s="130"/>
      <c r="D26" s="130"/>
      <c r="E26" s="130"/>
      <c r="F26" s="133"/>
      <c r="I26" s="81" t="s">
        <v>20</v>
      </c>
      <c r="J26" s="124" t="n">
        <f aca="false">SUM(J7:J25)</f>
        <v>20</v>
      </c>
      <c r="K26" s="124" t="n">
        <f aca="false">SUM(K7:K25)</f>
        <v>24</v>
      </c>
      <c r="L26" s="124" t="n">
        <f aca="false">SUM(L7:L25)</f>
        <v>22</v>
      </c>
      <c r="M26" s="42" t="n">
        <f aca="false">SUM(M7:M25)</f>
        <v>0</v>
      </c>
      <c r="N26" s="124" t="n">
        <f aca="false">SUM(N7:N25)</f>
        <v>25</v>
      </c>
      <c r="O26" s="124" t="n">
        <f aca="false">SUM(O7:O25)</f>
        <v>20</v>
      </c>
      <c r="P26" s="124" t="n">
        <f aca="false">SUM(P7:P25)</f>
        <v>12</v>
      </c>
      <c r="Q26" s="124" t="n">
        <f aca="false">SUM(Q7:Q25)</f>
        <v>23</v>
      </c>
      <c r="R26" s="124" t="n">
        <f aca="false">SUM(R7:R25)</f>
        <v>17</v>
      </c>
      <c r="S26" s="125" t="n">
        <f aca="false">SUM(S7:S25)</f>
        <v>20</v>
      </c>
      <c r="T26" s="124" t="n">
        <f aca="false">SUM(T7:T25)</f>
        <v>6</v>
      </c>
      <c r="U26" s="124" t="n">
        <f aca="false">SUM(U7:U25)</f>
        <v>22</v>
      </c>
      <c r="V26" s="125" t="n">
        <f aca="false">SUM(V7:V25)</f>
        <v>20</v>
      </c>
      <c r="W26" s="125" t="n">
        <f aca="false">SUM(W7:W25)</f>
        <v>15</v>
      </c>
      <c r="X26" s="125" t="n">
        <f aca="false">SUM(X7:X25)</f>
        <v>20</v>
      </c>
      <c r="Y26" s="124" t="n">
        <f aca="false">SUM(Y7:Y25)</f>
        <v>18</v>
      </c>
      <c r="Z26" s="125" t="n">
        <f aca="false">SUM(Z7:Z25)</f>
        <v>14</v>
      </c>
      <c r="AA26" s="124" t="n">
        <f aca="false">SUM(AA7:AA25)</f>
        <v>18</v>
      </c>
      <c r="AB26" s="124" t="n">
        <f aca="false">SUM(AB7:AB25)</f>
        <v>20</v>
      </c>
    </row>
    <row r="27" customFormat="false" ht="13.5" hidden="false" customHeight="false" outlineLevel="0" collapsed="false">
      <c r="C27" s="134" t="s">
        <v>56</v>
      </c>
      <c r="D27" s="134" t="s">
        <v>57</v>
      </c>
      <c r="E27" s="135" t="s">
        <v>48</v>
      </c>
      <c r="F27" s="136" t="s">
        <v>54</v>
      </c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AA27" s="137"/>
      <c r="AB27" s="137"/>
    </row>
    <row r="28" customFormat="false" ht="13.5" hidden="false" customHeight="false" outlineLevel="0" collapsed="false">
      <c r="C28" s="138"/>
      <c r="D28" s="138"/>
      <c r="E28" s="130"/>
      <c r="F28" s="133"/>
      <c r="I28" s="0" t="s">
        <v>279</v>
      </c>
      <c r="J28" s="42"/>
      <c r="K28" s="42"/>
      <c r="L28" s="42"/>
      <c r="M28" s="42" t="n">
        <f aca="false">M13+M9</f>
        <v>0</v>
      </c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</row>
    <row r="29" customFormat="false" ht="13.5" hidden="false" customHeight="false" outlineLevel="0" collapsed="false">
      <c r="C29" s="134" t="s">
        <v>60</v>
      </c>
      <c r="D29" s="139" t="s">
        <v>50</v>
      </c>
      <c r="E29" s="136" t="s">
        <v>45</v>
      </c>
      <c r="F29" s="140"/>
      <c r="I29" s="0" t="s">
        <v>280</v>
      </c>
      <c r="J29" s="42"/>
      <c r="K29" s="42"/>
      <c r="L29" s="42"/>
      <c r="M29" s="42" t="n">
        <f aca="false">M11+M12</f>
        <v>0</v>
      </c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</row>
    <row r="30" customFormat="false" ht="13.5" hidden="false" customHeight="false" outlineLevel="0" collapsed="false">
      <c r="A30" s="114"/>
      <c r="B30" s="115"/>
      <c r="H30" s="121"/>
      <c r="I30" s="0" t="s">
        <v>281</v>
      </c>
      <c r="J30" s="42"/>
      <c r="K30" s="42"/>
      <c r="L30" s="42"/>
      <c r="M30" s="42" t="n">
        <f aca="false">M15+M25</f>
        <v>0</v>
      </c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</row>
    <row r="31" customFormat="false" ht="13.5" hidden="false" customHeight="false" outlineLevel="0" collapsed="false">
      <c r="A31" s="114"/>
      <c r="B31" s="115"/>
      <c r="C31" s="115"/>
      <c r="D31" s="121"/>
      <c r="E31" s="121"/>
      <c r="F31" s="121"/>
      <c r="I31" s="0" t="s">
        <v>282</v>
      </c>
      <c r="J31" s="42"/>
      <c r="K31" s="42"/>
      <c r="L31" s="42"/>
      <c r="M31" s="42" t="n">
        <f aca="false">M24+M8</f>
        <v>0</v>
      </c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</row>
    <row r="32" customFormat="false" ht="13.5" hidden="false" customHeight="false" outlineLevel="0" collapsed="false">
      <c r="C32" s="0" t="s">
        <v>283</v>
      </c>
      <c r="D32" s="121"/>
      <c r="E32" s="121"/>
      <c r="F32" s="121"/>
      <c r="I32" s="0" t="s">
        <v>284</v>
      </c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</row>
    <row r="33" customFormat="false" ht="13.5" hidden="false" customHeight="false" outlineLevel="0" collapsed="false"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</row>
    <row r="34" customFormat="false" ht="14.25" hidden="false" customHeight="true" outlineLevel="0" collapsed="false">
      <c r="A34" s="114"/>
      <c r="B34" s="121"/>
      <c r="C34" s="0" t="s">
        <v>285</v>
      </c>
      <c r="D34" s="121"/>
      <c r="E34" s="121"/>
      <c r="F34" s="121"/>
      <c r="I34" s="121" t="s">
        <v>286</v>
      </c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</row>
    <row r="35" customFormat="false" ht="13.5" hidden="false" customHeight="false" outlineLevel="0" collapsed="false">
      <c r="A35" s="114"/>
      <c r="B35" s="121"/>
      <c r="D35" s="121"/>
      <c r="E35" s="121"/>
      <c r="F35" s="121"/>
      <c r="I35" s="0" t="s">
        <v>279</v>
      </c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</row>
    <row r="36" customFormat="false" ht="13.5" hidden="false" customHeight="false" outlineLevel="0" collapsed="false">
      <c r="I36" s="0" t="s">
        <v>280</v>
      </c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</row>
    <row r="37" customFormat="false" ht="13.5" hidden="false" customHeight="false" outlineLevel="0" collapsed="false">
      <c r="I37" s="0" t="s">
        <v>281</v>
      </c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</row>
    <row r="38" customFormat="false" ht="13.5" hidden="false" customHeight="false" outlineLevel="0" collapsed="false"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</row>
    <row r="39" customFormat="false" ht="13.5" hidden="false" customHeight="false" outlineLevel="0" collapsed="false">
      <c r="I39" s="0" t="s">
        <v>287</v>
      </c>
      <c r="J39" s="42"/>
      <c r="K39" s="42"/>
      <c r="L39" s="42"/>
      <c r="M39" s="42"/>
      <c r="N39" s="42"/>
      <c r="O39" s="42"/>
      <c r="P39" s="42"/>
      <c r="S39" s="42"/>
      <c r="T39" s="42"/>
      <c r="W39" s="42"/>
    </row>
    <row r="40" customFormat="false" ht="13.5" hidden="false" customHeight="false" outlineLevel="0" collapsed="false">
      <c r="I40" s="0" t="s">
        <v>279</v>
      </c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</row>
    <row r="41" customFormat="false" ht="13.5" hidden="false" customHeight="false" outlineLevel="0" collapsed="false">
      <c r="I41" s="0" t="s">
        <v>280</v>
      </c>
    </row>
    <row r="42" customFormat="false" ht="13.5" hidden="false" customHeight="false" outlineLevel="0" collapsed="false">
      <c r="I42" s="0" t="s">
        <v>281</v>
      </c>
    </row>
  </sheetData>
  <mergeCells count="7">
    <mergeCell ref="A2:A3"/>
    <mergeCell ref="A6:A7"/>
    <mergeCell ref="A10:A11"/>
    <mergeCell ref="A13:A14"/>
    <mergeCell ref="A16:A17"/>
    <mergeCell ref="A30:A31"/>
    <mergeCell ref="A34:A3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91015625" defaultRowHeight="13.5" zeroHeight="false" outlineLevelRow="1" outlineLevelCol="0"/>
  <cols>
    <col collapsed="false" customWidth="true" hidden="false" outlineLevel="0" max="1" min="1" style="8" width="1.63"/>
    <col collapsed="false" customWidth="true" hidden="false" outlineLevel="0" max="2" min="2" style="1" width="12.09"/>
    <col collapsed="false" customWidth="true" hidden="false" outlineLevel="0" max="3" min="3" style="1" width="6.09"/>
    <col collapsed="false" customWidth="true" hidden="false" outlineLevel="0" max="4" min="4" style="1" width="3.82"/>
    <col collapsed="false" customWidth="true" hidden="false" outlineLevel="0" max="5" min="5" style="1" width="4.18"/>
    <col collapsed="false" customWidth="true" hidden="false" outlineLevel="0" max="6" min="6" style="1" width="3.54"/>
    <col collapsed="false" customWidth="true" hidden="false" outlineLevel="0" max="7" min="7" style="1" width="4.18"/>
    <col collapsed="false" customWidth="true" hidden="false" outlineLevel="0" max="8" min="8" style="1" width="6.18"/>
    <col collapsed="false" customWidth="true" hidden="false" outlineLevel="0" max="9" min="9" style="1" width="2.82"/>
    <col collapsed="false" customWidth="true" hidden="false" outlineLevel="0" max="10" min="10" style="1" width="2"/>
    <col collapsed="false" customWidth="true" hidden="false" outlineLevel="0" max="11" min="11" style="1" width="12.09"/>
    <col collapsed="false" customWidth="true" hidden="false" outlineLevel="0" max="12" min="12" style="1" width="6.46"/>
    <col collapsed="false" customWidth="true" hidden="false" outlineLevel="0" max="13" min="13" style="1" width="3.54"/>
    <col collapsed="false" customWidth="true" hidden="false" outlineLevel="0" max="14" min="14" style="1" width="4.18"/>
    <col collapsed="false" customWidth="true" hidden="false" outlineLevel="0" max="15" min="15" style="1" width="3.54"/>
    <col collapsed="false" customWidth="true" hidden="false" outlineLevel="0" max="16" min="16" style="1" width="4.36"/>
    <col collapsed="false" customWidth="true" hidden="false" outlineLevel="0" max="17" min="17" style="1" width="6.18"/>
    <col collapsed="false" customWidth="false" hidden="false" outlineLevel="0" max="1024" min="18" style="1" width="8.91"/>
  </cols>
  <sheetData>
    <row r="1" s="46" customFormat="true" ht="14.25" hidden="false" customHeight="true" outlineLevel="0" collapsed="false">
      <c r="A1" s="47"/>
      <c r="B1" s="3"/>
      <c r="D1" s="141" t="s">
        <v>288</v>
      </c>
      <c r="E1" s="141"/>
      <c r="F1" s="141" t="s">
        <v>288</v>
      </c>
      <c r="G1" s="141"/>
      <c r="H1" s="104" t="s">
        <v>20</v>
      </c>
      <c r="L1" s="104" t="s">
        <v>20</v>
      </c>
      <c r="M1" s="141" t="s">
        <v>288</v>
      </c>
      <c r="N1" s="141"/>
      <c r="O1" s="141" t="s">
        <v>288</v>
      </c>
      <c r="P1" s="141"/>
      <c r="Q1" s="104" t="s">
        <v>289</v>
      </c>
    </row>
    <row r="2" customFormat="false" ht="13.5" hidden="false" customHeight="false" outlineLevel="0" collapsed="false">
      <c r="B2" s="7" t="s">
        <v>290</v>
      </c>
      <c r="C2" s="1" t="s">
        <v>20</v>
      </c>
      <c r="D2" s="5" t="n">
        <v>1</v>
      </c>
      <c r="E2" s="5"/>
      <c r="F2" s="5" t="n">
        <v>2</v>
      </c>
      <c r="G2" s="5"/>
      <c r="M2" s="5" t="n">
        <v>3</v>
      </c>
      <c r="N2" s="5"/>
      <c r="O2" s="5" t="n">
        <v>4</v>
      </c>
      <c r="P2" s="5"/>
    </row>
    <row r="3" customFormat="false" ht="13.5" hidden="false" customHeight="false" outlineLevel="0" collapsed="false">
      <c r="A3" s="8" t="n">
        <v>1</v>
      </c>
      <c r="B3" s="9"/>
      <c r="C3" s="142"/>
      <c r="D3" s="40"/>
      <c r="E3" s="143"/>
      <c r="F3" s="40"/>
      <c r="G3" s="143"/>
      <c r="H3" s="142" t="n">
        <f aca="false">G3+E3+C3</f>
        <v>0</v>
      </c>
      <c r="J3" s="8" t="n">
        <v>1</v>
      </c>
      <c r="K3" s="9"/>
      <c r="L3" s="144"/>
      <c r="M3" s="40"/>
      <c r="N3" s="143"/>
      <c r="O3" s="40"/>
      <c r="P3" s="22"/>
      <c r="Q3" s="145" t="n">
        <f aca="false">P3+N3+L3</f>
        <v>0</v>
      </c>
    </row>
    <row r="4" customFormat="false" ht="13.5" hidden="false" customHeight="false" outlineLevel="1" collapsed="false">
      <c r="B4" s="7" t="s">
        <v>43</v>
      </c>
      <c r="C4" s="43"/>
      <c r="D4" s="40"/>
      <c r="E4" s="146"/>
      <c r="F4" s="40"/>
      <c r="G4" s="40"/>
      <c r="H4" s="43"/>
      <c r="J4" s="8"/>
      <c r="K4" s="7" t="s">
        <v>43</v>
      </c>
      <c r="L4" s="2"/>
      <c r="M4" s="40"/>
      <c r="N4" s="40"/>
      <c r="O4" s="40"/>
      <c r="P4" s="40"/>
    </row>
    <row r="5" customFormat="false" ht="13.5" hidden="false" customHeight="false" outlineLevel="1" collapsed="false">
      <c r="A5" s="147"/>
      <c r="B5" s="28" t="s">
        <v>44</v>
      </c>
      <c r="C5" s="43"/>
      <c r="D5" s="148"/>
      <c r="E5" s="149"/>
      <c r="F5" s="148"/>
      <c r="G5" s="112"/>
      <c r="H5" s="150"/>
      <c r="J5" s="147"/>
      <c r="K5" s="28" t="s">
        <v>44</v>
      </c>
      <c r="L5" s="2"/>
      <c r="M5" s="148"/>
      <c r="N5" s="112"/>
      <c r="O5" s="148"/>
      <c r="P5" s="112"/>
    </row>
    <row r="6" customFormat="false" ht="13.5" hidden="false" customHeight="false" outlineLevel="0" collapsed="false">
      <c r="A6" s="8" t="n">
        <v>2</v>
      </c>
      <c r="B6" s="9"/>
      <c r="C6" s="142"/>
      <c r="D6" s="40"/>
      <c r="E6" s="143"/>
      <c r="F6" s="40"/>
      <c r="G6" s="143"/>
      <c r="H6" s="142" t="n">
        <f aca="false">G6+E6+C6</f>
        <v>0</v>
      </c>
      <c r="J6" s="8" t="n">
        <v>2</v>
      </c>
      <c r="K6" s="9"/>
      <c r="L6" s="144"/>
      <c r="M6" s="40"/>
      <c r="N6" s="22"/>
      <c r="O6" s="40"/>
      <c r="P6" s="22"/>
      <c r="Q6" s="145" t="n">
        <f aca="false">P6+N6+L6</f>
        <v>0</v>
      </c>
    </row>
    <row r="7" customFormat="false" ht="13.5" hidden="false" customHeight="false" outlineLevel="1" collapsed="false">
      <c r="B7" s="7" t="s">
        <v>43</v>
      </c>
      <c r="C7" s="43"/>
      <c r="D7" s="40"/>
      <c r="E7" s="146"/>
      <c r="F7" s="40"/>
      <c r="G7" s="40"/>
      <c r="H7" s="43"/>
      <c r="J7" s="8"/>
      <c r="K7" s="7" t="s">
        <v>43</v>
      </c>
      <c r="M7" s="40"/>
      <c r="N7" s="40"/>
      <c r="O7" s="40"/>
      <c r="P7" s="40"/>
    </row>
    <row r="8" customFormat="false" ht="13.5" hidden="false" customHeight="false" outlineLevel="1" collapsed="false">
      <c r="A8" s="147"/>
      <c r="B8" s="28" t="s">
        <v>44</v>
      </c>
      <c r="C8" s="43"/>
      <c r="D8" s="148"/>
      <c r="E8" s="149"/>
      <c r="F8" s="148"/>
      <c r="G8" s="112"/>
      <c r="H8" s="150"/>
      <c r="J8" s="147"/>
      <c r="K8" s="28" t="s">
        <v>44</v>
      </c>
      <c r="M8" s="148"/>
      <c r="N8" s="112"/>
      <c r="O8" s="148"/>
      <c r="P8" s="112"/>
    </row>
    <row r="9" customFormat="false" ht="13.5" hidden="false" customHeight="false" outlineLevel="0" collapsed="false">
      <c r="A9" s="8" t="n">
        <v>3</v>
      </c>
      <c r="B9" s="9"/>
      <c r="C9" s="142"/>
      <c r="D9" s="40"/>
      <c r="E9" s="143"/>
      <c r="F9" s="40"/>
      <c r="G9" s="143"/>
      <c r="H9" s="142" t="n">
        <f aca="false">G9+E9+C9</f>
        <v>0</v>
      </c>
      <c r="J9" s="8" t="n">
        <v>3</v>
      </c>
      <c r="K9" s="9"/>
      <c r="L9" s="144"/>
      <c r="M9" s="40"/>
      <c r="N9" s="22"/>
      <c r="O9" s="40"/>
      <c r="P9" s="22"/>
      <c r="Q9" s="145" t="n">
        <f aca="false">P9+N9+L9</f>
        <v>0</v>
      </c>
    </row>
    <row r="10" customFormat="false" ht="13.5" hidden="false" customHeight="false" outlineLevel="1" collapsed="false">
      <c r="B10" s="7" t="s">
        <v>43</v>
      </c>
      <c r="D10" s="40"/>
      <c r="E10" s="146"/>
      <c r="F10" s="40"/>
      <c r="G10" s="40"/>
      <c r="J10" s="8"/>
      <c r="K10" s="7" t="s">
        <v>43</v>
      </c>
      <c r="L10" s="2"/>
      <c r="M10" s="40"/>
      <c r="N10" s="40"/>
      <c r="O10" s="40"/>
      <c r="P10" s="40"/>
      <c r="Q10" s="50"/>
    </row>
    <row r="11" customFormat="false" ht="13.5" hidden="false" customHeight="false" outlineLevel="1" collapsed="false">
      <c r="A11" s="147"/>
      <c r="B11" s="28" t="s">
        <v>44</v>
      </c>
      <c r="C11" s="43"/>
      <c r="D11" s="148"/>
      <c r="E11" s="149"/>
      <c r="F11" s="148"/>
      <c r="G11" s="112"/>
      <c r="H11" s="150"/>
      <c r="J11" s="147"/>
      <c r="K11" s="28" t="s">
        <v>44</v>
      </c>
      <c r="L11" s="2"/>
      <c r="M11" s="148"/>
      <c r="N11" s="112"/>
      <c r="O11" s="148"/>
      <c r="P11" s="112"/>
    </row>
    <row r="12" customFormat="false" ht="13.5" hidden="false" customHeight="false" outlineLevel="0" collapsed="false">
      <c r="A12" s="8" t="n">
        <v>4</v>
      </c>
      <c r="B12" s="9"/>
      <c r="C12" s="142"/>
      <c r="D12" s="40"/>
      <c r="E12" s="143"/>
      <c r="F12" s="40"/>
      <c r="G12" s="143"/>
      <c r="H12" s="142" t="n">
        <f aca="false">G12+E12+C12</f>
        <v>0</v>
      </c>
      <c r="J12" s="8" t="n">
        <v>4</v>
      </c>
      <c r="K12" s="9"/>
      <c r="L12" s="144"/>
      <c r="M12" s="40"/>
      <c r="N12" s="22"/>
      <c r="O12" s="40"/>
      <c r="P12" s="22"/>
      <c r="Q12" s="145" t="n">
        <f aca="false">P12+N12+L12</f>
        <v>0</v>
      </c>
    </row>
    <row r="13" customFormat="false" ht="13.5" hidden="false" customHeight="false" outlineLevel="1" collapsed="false">
      <c r="B13" s="7" t="s">
        <v>43</v>
      </c>
      <c r="C13" s="43"/>
      <c r="D13" s="40"/>
      <c r="E13" s="146"/>
      <c r="F13" s="40"/>
      <c r="G13" s="40"/>
      <c r="K13" s="7" t="s">
        <v>43</v>
      </c>
      <c r="L13" s="2"/>
      <c r="M13" s="40"/>
      <c r="N13" s="40"/>
      <c r="O13" s="40"/>
      <c r="P13" s="40"/>
    </row>
    <row r="14" customFormat="false" ht="13.5" hidden="false" customHeight="false" outlineLevel="1" collapsed="false">
      <c r="A14" s="147"/>
      <c r="B14" s="28" t="s">
        <v>44</v>
      </c>
      <c r="C14" s="43"/>
      <c r="D14" s="148"/>
      <c r="E14" s="149"/>
      <c r="F14" s="148"/>
      <c r="G14" s="112"/>
      <c r="H14" s="64"/>
      <c r="J14" s="147"/>
      <c r="K14" s="28" t="s">
        <v>44</v>
      </c>
      <c r="L14" s="2"/>
      <c r="M14" s="151"/>
      <c r="N14" s="40"/>
      <c r="O14" s="151"/>
      <c r="P14" s="40"/>
    </row>
    <row r="15" customFormat="false" ht="13.5" hidden="false" customHeight="false" outlineLevel="0" collapsed="false">
      <c r="A15" s="8" t="n">
        <v>5</v>
      </c>
      <c r="B15" s="9"/>
      <c r="C15" s="142"/>
      <c r="D15" s="40"/>
      <c r="E15" s="143"/>
      <c r="F15" s="40"/>
      <c r="G15" s="143"/>
      <c r="H15" s="142" t="n">
        <f aca="false">G15+E15+C15</f>
        <v>0</v>
      </c>
      <c r="L15" s="43"/>
      <c r="M15" s="40"/>
      <c r="N15" s="146"/>
      <c r="O15" s="40"/>
      <c r="P15" s="146"/>
    </row>
    <row r="16" customFormat="false" ht="13.5" hidden="false" customHeight="false" outlineLevel="1" collapsed="false">
      <c r="B16" s="7" t="s">
        <v>43</v>
      </c>
      <c r="D16" s="40"/>
      <c r="E16" s="146"/>
      <c r="F16" s="40"/>
      <c r="G16" s="40"/>
      <c r="M16" s="40"/>
      <c r="N16" s="40"/>
      <c r="O16" s="40"/>
      <c r="P16" s="40"/>
    </row>
    <row r="17" customFormat="false" ht="13.5" hidden="false" customHeight="false" outlineLevel="1" collapsed="false">
      <c r="A17" s="147"/>
      <c r="B17" s="28" t="s">
        <v>44</v>
      </c>
      <c r="D17" s="148"/>
      <c r="E17" s="149"/>
      <c r="F17" s="148"/>
      <c r="G17" s="112"/>
      <c r="H17" s="64"/>
      <c r="M17" s="151"/>
      <c r="N17" s="40"/>
      <c r="O17" s="151"/>
      <c r="P17" s="40"/>
    </row>
    <row r="18" customFormat="false" ht="13.5" hidden="false" customHeight="false" outlineLevel="0" collapsed="false">
      <c r="A18" s="8" t="n">
        <v>6</v>
      </c>
      <c r="B18" s="9"/>
      <c r="C18" s="142"/>
      <c r="D18" s="40"/>
      <c r="E18" s="143"/>
      <c r="F18" s="40"/>
      <c r="G18" s="143"/>
      <c r="H18" s="142" t="n">
        <f aca="false">G18+E18+C18</f>
        <v>0</v>
      </c>
      <c r="L18" s="43"/>
      <c r="M18" s="40"/>
      <c r="N18" s="146"/>
      <c r="O18" s="40"/>
      <c r="P18" s="146"/>
    </row>
    <row r="19" customFormat="false" ht="13.5" hidden="false" customHeight="false" outlineLevel="1" collapsed="false">
      <c r="B19" s="7" t="s">
        <v>43</v>
      </c>
      <c r="C19" s="43"/>
      <c r="D19" s="40"/>
      <c r="E19" s="146"/>
      <c r="F19" s="40"/>
      <c r="G19" s="40"/>
      <c r="H19" s="43"/>
      <c r="M19" s="40"/>
      <c r="N19" s="40"/>
      <c r="O19" s="40"/>
      <c r="P19" s="40"/>
    </row>
    <row r="20" customFormat="false" ht="13.5" hidden="false" customHeight="false" outlineLevel="1" collapsed="false">
      <c r="A20" s="147"/>
      <c r="B20" s="28" t="s">
        <v>44</v>
      </c>
      <c r="C20" s="43"/>
      <c r="D20" s="148"/>
      <c r="E20" s="149"/>
      <c r="F20" s="148"/>
      <c r="G20" s="112"/>
      <c r="H20" s="150"/>
      <c r="M20" s="151"/>
      <c r="N20" s="40"/>
      <c r="O20" s="151"/>
      <c r="P20" s="40"/>
    </row>
    <row r="21" customFormat="false" ht="13.5" hidden="false" customHeight="false" outlineLevel="0" collapsed="false">
      <c r="A21" s="8" t="n">
        <v>7</v>
      </c>
      <c r="B21" s="9"/>
      <c r="C21" s="142"/>
      <c r="D21" s="40"/>
      <c r="E21" s="143"/>
      <c r="F21" s="40"/>
      <c r="G21" s="143"/>
      <c r="H21" s="142" t="n">
        <f aca="false">G21+E21+C21</f>
        <v>0</v>
      </c>
      <c r="L21" s="43"/>
      <c r="M21" s="40"/>
      <c r="N21" s="146"/>
      <c r="O21" s="40"/>
      <c r="P21" s="146"/>
    </row>
    <row r="22" customFormat="false" ht="13.5" hidden="false" customHeight="false" outlineLevel="1" collapsed="false">
      <c r="B22" s="7" t="s">
        <v>43</v>
      </c>
      <c r="D22" s="40"/>
      <c r="E22" s="146"/>
      <c r="F22" s="40"/>
      <c r="G22" s="40"/>
      <c r="M22" s="40"/>
      <c r="N22" s="40"/>
      <c r="O22" s="40"/>
      <c r="P22" s="40"/>
    </row>
    <row r="23" customFormat="false" ht="13.5" hidden="false" customHeight="false" outlineLevel="1" collapsed="false">
      <c r="A23" s="147"/>
      <c r="B23" s="28" t="s">
        <v>44</v>
      </c>
      <c r="D23" s="148"/>
      <c r="E23" s="149"/>
      <c r="F23" s="148"/>
      <c r="G23" s="112"/>
      <c r="H23" s="64"/>
      <c r="M23" s="151"/>
      <c r="N23" s="40"/>
      <c r="O23" s="151"/>
      <c r="P23" s="40"/>
    </row>
    <row r="24" customFormat="false" ht="13.5" hidden="false" customHeight="false" outlineLevel="0" collapsed="false">
      <c r="A24" s="8" t="n">
        <v>8</v>
      </c>
      <c r="B24" s="19"/>
      <c r="C24" s="142"/>
      <c r="D24" s="40"/>
      <c r="E24" s="143"/>
      <c r="F24" s="40"/>
      <c r="G24" s="143"/>
      <c r="H24" s="142" t="n">
        <f aca="false">G24+E24+C24</f>
        <v>0</v>
      </c>
      <c r="L24" s="43"/>
      <c r="M24" s="40"/>
      <c r="N24" s="146"/>
      <c r="O24" s="40"/>
      <c r="P24" s="146"/>
    </row>
    <row r="25" customFormat="false" ht="13.5" hidden="false" customHeight="false" outlineLevel="1" collapsed="false">
      <c r="B25" s="7" t="s">
        <v>43</v>
      </c>
      <c r="C25" s="43"/>
      <c r="D25" s="40"/>
      <c r="E25" s="146"/>
      <c r="F25" s="40"/>
      <c r="G25" s="40"/>
      <c r="H25" s="43"/>
      <c r="M25" s="40"/>
      <c r="N25" s="40"/>
      <c r="O25" s="40"/>
      <c r="P25" s="40"/>
    </row>
    <row r="26" customFormat="false" ht="13.5" hidden="false" customHeight="false" outlineLevel="1" collapsed="false">
      <c r="A26" s="147"/>
      <c r="B26" s="28" t="s">
        <v>44</v>
      </c>
      <c r="C26" s="43"/>
      <c r="D26" s="148"/>
      <c r="E26" s="149"/>
      <c r="F26" s="148"/>
      <c r="G26" s="112"/>
      <c r="H26" s="150"/>
      <c r="M26" s="151"/>
      <c r="N26" s="40"/>
      <c r="O26" s="151"/>
      <c r="P26" s="40"/>
    </row>
    <row r="27" customFormat="false" ht="5.25" hidden="false" customHeight="true" outlineLevel="0" collapsed="false">
      <c r="B27" s="67"/>
      <c r="D27" s="40"/>
      <c r="E27" s="40"/>
      <c r="F27" s="40"/>
      <c r="G27" s="40"/>
      <c r="M27" s="40"/>
      <c r="N27" s="40"/>
      <c r="O27" s="40"/>
      <c r="P27" s="40"/>
    </row>
    <row r="28" customFormat="false" ht="13.5" hidden="false" customHeight="false" outlineLevel="0" collapsed="false">
      <c r="B28" s="1" t="s">
        <v>63</v>
      </c>
      <c r="E28" s="41" t="e">
        <f aca="false">AVERAGE(E3,E6,E9,E12,E15,E18,E21,E24)</f>
        <v>#DIV/0!</v>
      </c>
      <c r="G28" s="41" t="e">
        <f aca="false">AVERAGE(G3,G6,G9,G12,G15,G18,G21,G24)</f>
        <v>#DIV/0!</v>
      </c>
      <c r="N28" s="41"/>
      <c r="P28" s="41"/>
    </row>
    <row r="29" customFormat="false" ht="6" hidden="false" customHeight="true" outlineLevel="0" collapsed="false">
      <c r="D29" s="42"/>
    </row>
    <row r="30" customFormat="false" ht="13.5" hidden="false" customHeight="false" outlineLevel="0" collapsed="false">
      <c r="B30" s="1" t="s">
        <v>20</v>
      </c>
      <c r="D30" s="42"/>
      <c r="E30" s="44" t="n">
        <f aca="false">E24+E21+E18+E15+E12+E9+E6+E3</f>
        <v>0</v>
      </c>
      <c r="F30" s="152"/>
      <c r="G30" s="44" t="n">
        <f aca="false">G24+G21+G18+G15+G12+G9+G6+G3</f>
        <v>0</v>
      </c>
      <c r="N30" s="44"/>
      <c r="P30" s="44"/>
    </row>
    <row r="31" customFormat="false" ht="13.5" hidden="false" customHeight="false" outlineLevel="0" collapsed="false">
      <c r="D31" s="42"/>
    </row>
    <row r="46" customFormat="false" ht="13.5" hidden="false" customHeight="false" outlineLevel="0" collapsed="false">
      <c r="B46" s="9"/>
    </row>
  </sheetData>
  <mergeCells count="8">
    <mergeCell ref="D1:E1"/>
    <mergeCell ref="F1:G1"/>
    <mergeCell ref="M1:N1"/>
    <mergeCell ref="O1:P1"/>
    <mergeCell ref="D2:E2"/>
    <mergeCell ref="F2:G2"/>
    <mergeCell ref="M2:N2"/>
    <mergeCell ref="O2:P2"/>
  </mergeCells>
  <printOptions headings="false" gridLines="false" gridLinesSet="true" horizontalCentered="false" verticalCentered="false"/>
  <pageMargins left="0.7" right="0.2" top="1.375" bottom="0.25" header="0.3" footer="0.511811023622047"/>
  <pageSetup paperSize="1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>&amp;C&amp;20 2021 Wolf Cup Playoffs</oddHeader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L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3.5" zeroHeight="false" outlineLevelRow="0" outlineLevelCol="0"/>
  <cols>
    <col collapsed="false" customWidth="true" hidden="false" outlineLevel="0" max="2" min="2" style="0" width="11"/>
    <col collapsed="false" customWidth="true" hidden="false" outlineLevel="0" max="8" min="8" style="0" width="14.63"/>
    <col collapsed="false" customWidth="true" hidden="false" outlineLevel="0" max="9" min="9" style="0" width="10"/>
  </cols>
  <sheetData>
    <row r="2" customFormat="false" ht="13.5" hidden="false" customHeight="false" outlineLevel="0" collapsed="false">
      <c r="A2" s="0" t="s">
        <v>291</v>
      </c>
      <c r="K2" s="0" t="s">
        <v>292</v>
      </c>
      <c r="L2" s="153" t="n">
        <v>36</v>
      </c>
    </row>
    <row r="3" customFormat="false" ht="13.5" hidden="false" customHeight="false" outlineLevel="0" collapsed="false">
      <c r="B3" s="154" t="s">
        <v>54</v>
      </c>
      <c r="C3" s="155" t="n">
        <v>100</v>
      </c>
      <c r="D3" s="155"/>
      <c r="E3" s="155"/>
      <c r="G3" s="0" t="s">
        <v>293</v>
      </c>
      <c r="I3" s="156" t="n">
        <f aca="false">C23</f>
        <v>1900</v>
      </c>
      <c r="K3" s="0" t="s">
        <v>294</v>
      </c>
      <c r="L3" s="153"/>
    </row>
    <row r="4" customFormat="false" ht="13.5" hidden="false" customHeight="false" outlineLevel="0" collapsed="false">
      <c r="B4" s="9" t="s">
        <v>62</v>
      </c>
      <c r="C4" s="155" t="n">
        <v>100</v>
      </c>
      <c r="D4" s="155"/>
      <c r="E4" s="155"/>
      <c r="I4" s="153"/>
      <c r="K4" s="0" t="s">
        <v>295</v>
      </c>
      <c r="L4" s="153" t="n">
        <v>36</v>
      </c>
    </row>
    <row r="5" customFormat="false" ht="13.5" hidden="false" customHeight="false" outlineLevel="0" collapsed="false">
      <c r="B5" s="154" t="s">
        <v>278</v>
      </c>
      <c r="C5" s="155" t="n">
        <v>100</v>
      </c>
      <c r="D5" s="155"/>
      <c r="E5" s="155"/>
      <c r="G5" s="0" t="s">
        <v>296</v>
      </c>
      <c r="I5" s="153"/>
      <c r="K5" s="0" t="s">
        <v>297</v>
      </c>
      <c r="L5" s="153" t="n">
        <v>40</v>
      </c>
    </row>
    <row r="6" customFormat="false" ht="13.5" hidden="false" customHeight="false" outlineLevel="0" collapsed="false">
      <c r="A6" s="157"/>
      <c r="B6" s="154" t="s">
        <v>47</v>
      </c>
      <c r="C6" s="155" t="n">
        <v>100</v>
      </c>
      <c r="D6" s="158" t="n">
        <v>87.5</v>
      </c>
      <c r="E6" s="155"/>
      <c r="H6" s="0" t="s">
        <v>298</v>
      </c>
      <c r="I6" s="153" t="n">
        <f aca="false">L21</f>
        <v>288</v>
      </c>
      <c r="K6" s="0" t="s">
        <v>299</v>
      </c>
      <c r="L6" s="153" t="n">
        <v>36</v>
      </c>
    </row>
    <row r="7" customFormat="false" ht="13.5" hidden="false" customHeight="false" outlineLevel="0" collapsed="false">
      <c r="B7" s="154" t="s">
        <v>52</v>
      </c>
      <c r="C7" s="155" t="n">
        <v>100</v>
      </c>
      <c r="D7" s="155"/>
      <c r="E7" s="155"/>
      <c r="H7" s="0" t="s">
        <v>300</v>
      </c>
      <c r="I7" s="153" t="n">
        <v>50</v>
      </c>
      <c r="K7" s="0" t="s">
        <v>301</v>
      </c>
      <c r="L7" s="153" t="n">
        <v>36</v>
      </c>
    </row>
    <row r="8" customFormat="false" ht="13.5" hidden="false" customHeight="false" outlineLevel="0" collapsed="false">
      <c r="A8" s="157"/>
      <c r="B8" s="159" t="s">
        <v>59</v>
      </c>
      <c r="C8" s="155" t="n">
        <v>100</v>
      </c>
      <c r="D8" s="155"/>
      <c r="E8" s="155"/>
      <c r="H8" s="0" t="s">
        <v>302</v>
      </c>
      <c r="I8" s="153" t="n">
        <v>25</v>
      </c>
      <c r="K8" s="0" t="s">
        <v>303</v>
      </c>
      <c r="L8" s="153" t="n">
        <v>36</v>
      </c>
    </row>
    <row r="9" customFormat="false" ht="13.5" hidden="false" customHeight="false" outlineLevel="0" collapsed="false">
      <c r="B9" s="154" t="s">
        <v>53</v>
      </c>
      <c r="C9" s="155" t="n">
        <v>100</v>
      </c>
      <c r="D9" s="155"/>
      <c r="E9" s="155"/>
      <c r="H9" s="0" t="s">
        <v>304</v>
      </c>
      <c r="I9" s="153" t="n">
        <v>31.12</v>
      </c>
      <c r="J9" s="0" t="s">
        <v>305</v>
      </c>
      <c r="K9" s="0" t="s">
        <v>306</v>
      </c>
      <c r="L9" s="153" t="n">
        <v>32</v>
      </c>
    </row>
    <row r="10" customFormat="false" ht="13.5" hidden="false" customHeight="false" outlineLevel="0" collapsed="false">
      <c r="A10" s="157"/>
      <c r="B10" s="160" t="s">
        <v>55</v>
      </c>
      <c r="C10" s="155" t="n">
        <v>100</v>
      </c>
      <c r="D10" s="158" t="n">
        <v>87.5</v>
      </c>
      <c r="E10" s="155"/>
      <c r="H10" s="0" t="s">
        <v>307</v>
      </c>
      <c r="I10" s="153" t="n">
        <v>169</v>
      </c>
      <c r="J10" s="0" t="s">
        <v>305</v>
      </c>
      <c r="K10" s="0" t="s">
        <v>308</v>
      </c>
      <c r="L10" s="153" t="n">
        <v>36</v>
      </c>
    </row>
    <row r="11" customFormat="false" ht="13.5" hidden="false" customHeight="false" outlineLevel="0" collapsed="false">
      <c r="A11" s="157"/>
      <c r="B11" s="154" t="s">
        <v>58</v>
      </c>
      <c r="C11" s="155" t="n">
        <v>100</v>
      </c>
      <c r="D11" s="155"/>
      <c r="E11" s="155"/>
      <c r="H11" s="0" t="s">
        <v>309</v>
      </c>
      <c r="I11" s="153" t="n">
        <v>16.05</v>
      </c>
      <c r="J11" s="0" t="s">
        <v>305</v>
      </c>
      <c r="K11" s="0" t="s">
        <v>310</v>
      </c>
      <c r="L11" s="153"/>
    </row>
    <row r="12" customFormat="false" ht="13.5" hidden="false" customHeight="false" outlineLevel="0" collapsed="false">
      <c r="A12" s="157"/>
      <c r="B12" s="154" t="s">
        <v>42</v>
      </c>
      <c r="C12" s="155" t="n">
        <v>100</v>
      </c>
      <c r="D12" s="155"/>
      <c r="E12" s="155"/>
      <c r="I12" s="153"/>
      <c r="K12" s="0" t="s">
        <v>311</v>
      </c>
      <c r="L12" s="153"/>
    </row>
    <row r="13" customFormat="false" ht="13.5" hidden="false" customHeight="false" outlineLevel="0" collapsed="false">
      <c r="A13" s="157"/>
      <c r="B13" s="154" t="s">
        <v>222</v>
      </c>
      <c r="C13" s="155" t="n">
        <v>100</v>
      </c>
      <c r="D13" s="155"/>
      <c r="E13" s="155"/>
      <c r="H13" s="0" t="s">
        <v>312</v>
      </c>
      <c r="I13" s="153" t="n">
        <v>90.6999999999999</v>
      </c>
      <c r="K13" s="0" t="s">
        <v>313</v>
      </c>
      <c r="L13" s="153"/>
    </row>
    <row r="14" customFormat="false" ht="13.5" hidden="false" customHeight="false" outlineLevel="0" collapsed="false">
      <c r="A14" s="157"/>
      <c r="B14" s="154" t="s">
        <v>61</v>
      </c>
      <c r="C14" s="155" t="n">
        <v>100</v>
      </c>
      <c r="D14" s="155"/>
      <c r="E14" s="155"/>
      <c r="K14" s="0" t="s">
        <v>314</v>
      </c>
      <c r="L14" s="153"/>
    </row>
    <row r="15" customFormat="false" ht="13.5" hidden="false" customHeight="false" outlineLevel="0" collapsed="false">
      <c r="B15" s="122" t="s">
        <v>49</v>
      </c>
      <c r="C15" s="155" t="n">
        <v>100</v>
      </c>
      <c r="D15" s="155"/>
      <c r="E15" s="155"/>
      <c r="H15" s="0" t="s">
        <v>315</v>
      </c>
      <c r="I15" s="153" t="n">
        <f aca="false">SUM(I6:I12)+I13</f>
        <v>669.87</v>
      </c>
      <c r="K15" s="0" t="s">
        <v>316</v>
      </c>
      <c r="L15" s="153"/>
    </row>
    <row r="16" customFormat="false" ht="13.5" hidden="false" customHeight="false" outlineLevel="0" collapsed="false">
      <c r="B16" s="154" t="s">
        <v>57</v>
      </c>
      <c r="C16" s="155" t="n">
        <v>100</v>
      </c>
      <c r="D16" s="155"/>
      <c r="E16" s="155"/>
      <c r="I16" s="153"/>
      <c r="K16" s="0" t="s">
        <v>317</v>
      </c>
      <c r="L16" s="153"/>
    </row>
    <row r="17" customFormat="false" ht="13.5" hidden="false" customHeight="false" outlineLevel="0" collapsed="false">
      <c r="B17" s="154" t="s">
        <v>56</v>
      </c>
      <c r="C17" s="155" t="n">
        <v>100</v>
      </c>
      <c r="D17" s="155"/>
      <c r="E17" s="155"/>
      <c r="G17" s="0" t="s">
        <v>318</v>
      </c>
      <c r="I17" s="153" t="n">
        <f aca="false">I3-I15</f>
        <v>1230.13</v>
      </c>
      <c r="K17" s="0" t="s">
        <v>319</v>
      </c>
      <c r="L17" s="153"/>
    </row>
    <row r="18" customFormat="false" ht="13.5" hidden="false" customHeight="false" outlineLevel="0" collapsed="false">
      <c r="A18" s="157"/>
      <c r="B18" s="154" t="s">
        <v>48</v>
      </c>
      <c r="C18" s="155" t="n">
        <v>100</v>
      </c>
      <c r="D18" s="155"/>
      <c r="E18" s="155"/>
      <c r="I18" s="153"/>
      <c r="K18" s="0" t="s">
        <v>320</v>
      </c>
      <c r="L18" s="153"/>
    </row>
    <row r="19" customFormat="false" ht="13.5" hidden="false" customHeight="false" outlineLevel="0" collapsed="false">
      <c r="B19" s="154" t="s">
        <v>321</v>
      </c>
      <c r="C19" s="155" t="n">
        <v>100</v>
      </c>
      <c r="D19" s="155"/>
      <c r="E19" s="155"/>
      <c r="K19" s="0" t="s">
        <v>322</v>
      </c>
      <c r="L19" s="153"/>
    </row>
    <row r="20" customFormat="false" ht="13.5" hidden="false" customHeight="false" outlineLevel="0" collapsed="false">
      <c r="B20" s="154" t="s">
        <v>50</v>
      </c>
      <c r="C20" s="155" t="n">
        <v>100</v>
      </c>
      <c r="D20" s="155"/>
      <c r="E20" s="155"/>
      <c r="K20" s="0" t="s">
        <v>323</v>
      </c>
      <c r="L20" s="153"/>
    </row>
    <row r="21" customFormat="false" ht="13.5" hidden="false" customHeight="false" outlineLevel="0" collapsed="false">
      <c r="B21" s="154" t="s">
        <v>45</v>
      </c>
      <c r="C21" s="155" t="n">
        <v>100</v>
      </c>
      <c r="L21" s="153" t="n">
        <f aca="false">SUM(L2:L20)</f>
        <v>288</v>
      </c>
    </row>
    <row r="23" customFormat="false" ht="13.5" hidden="false" customHeight="false" outlineLevel="0" collapsed="false">
      <c r="B23" s="9" t="s">
        <v>293</v>
      </c>
      <c r="C23" s="155" t="n">
        <f aca="false">SUM(C3:C22)</f>
        <v>1900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4296875" defaultRowHeight="13.5" zeroHeight="false" outlineLevelRow="0" outlineLevelCol="0"/>
  <cols>
    <col collapsed="false" customWidth="true" hidden="false" outlineLevel="0" max="1" min="1" style="0" width="11.45"/>
    <col collapsed="false" customWidth="true" hidden="false" outlineLevel="0" max="2" min="2" style="161" width="17.91"/>
    <col collapsed="false" customWidth="true" hidden="false" outlineLevel="0" max="3" min="3" style="161" width="12.82"/>
    <col collapsed="false" customWidth="true" hidden="false" outlineLevel="0" max="6" min="4" style="161" width="5"/>
    <col collapsed="false" customWidth="true" hidden="false" outlineLevel="0" max="10" min="7" style="42" width="5"/>
    <col collapsed="false" customWidth="true" hidden="false" outlineLevel="0" max="12" min="12" style="0" width="2.54"/>
    <col collapsed="false" customWidth="true" hidden="false" outlineLevel="0" max="13" min="13" style="0" width="11.17"/>
  </cols>
  <sheetData>
    <row r="1" customFormat="false" ht="13.5" hidden="false" customHeight="false" outlineLevel="0" collapsed="false">
      <c r="C1" s="161" t="s">
        <v>324</v>
      </c>
      <c r="D1" s="161" t="n">
        <v>2021</v>
      </c>
      <c r="E1" s="161" t="n">
        <v>2020</v>
      </c>
      <c r="F1" s="161" t="n">
        <v>2019</v>
      </c>
      <c r="G1" s="42" t="n">
        <v>2018</v>
      </c>
      <c r="H1" s="42" t="n">
        <v>2017</v>
      </c>
      <c r="I1" s="42" t="n">
        <v>2016</v>
      </c>
      <c r="J1" s="42" t="n">
        <v>2015</v>
      </c>
      <c r="K1" s="42" t="s">
        <v>20</v>
      </c>
    </row>
    <row r="2" customFormat="false" ht="13.5" hidden="false" customHeight="false" outlineLevel="0" collapsed="false">
      <c r="M2" s="9"/>
      <c r="N2" s="155"/>
      <c r="O2" s="155"/>
    </row>
    <row r="3" customFormat="false" ht="13.5" hidden="false" customHeight="false" outlineLevel="0" collapsed="false">
      <c r="B3" s="162" t="s">
        <v>152</v>
      </c>
      <c r="C3" s="127" t="n">
        <v>4</v>
      </c>
      <c r="D3" s="163" t="n">
        <v>66.5</v>
      </c>
      <c r="K3" s="88" t="n">
        <f aca="false">SUM(D3:J3)</f>
        <v>66.5</v>
      </c>
      <c r="M3" s="154"/>
      <c r="N3" s="155"/>
      <c r="O3" s="155"/>
    </row>
    <row r="4" customFormat="false" ht="13.5" hidden="false" customHeight="false" outlineLevel="0" collapsed="false">
      <c r="B4" s="161" t="s">
        <v>325</v>
      </c>
      <c r="C4" s="127" t="n">
        <v>3</v>
      </c>
      <c r="D4" s="163" t="n">
        <v>25.5</v>
      </c>
      <c r="E4" s="161" t="n">
        <v>13</v>
      </c>
      <c r="F4" s="161" t="n">
        <v>6</v>
      </c>
      <c r="G4" s="164" t="n">
        <v>41.5</v>
      </c>
      <c r="H4" s="165"/>
      <c r="I4" s="165"/>
      <c r="J4" s="163"/>
      <c r="K4" s="88" t="n">
        <f aca="false">SUM(D4:J4)</f>
        <v>86</v>
      </c>
      <c r="M4" s="9"/>
      <c r="N4" s="155"/>
      <c r="O4" s="158"/>
    </row>
    <row r="5" customFormat="false" ht="13.5" hidden="false" customHeight="false" outlineLevel="0" collapsed="false">
      <c r="A5" s="161" t="s">
        <v>326</v>
      </c>
      <c r="B5" s="166" t="s">
        <v>285</v>
      </c>
      <c r="C5" s="127" t="n">
        <v>3</v>
      </c>
      <c r="D5" s="163" t="n">
        <v>21</v>
      </c>
      <c r="G5" s="165"/>
      <c r="H5" s="164" t="n">
        <v>5</v>
      </c>
      <c r="I5" s="165"/>
      <c r="K5" s="88" t="n">
        <f aca="false">SUM(D5:J5)</f>
        <v>26</v>
      </c>
      <c r="M5" s="34"/>
      <c r="N5" s="155"/>
      <c r="O5" s="155"/>
    </row>
    <row r="6" customFormat="false" ht="13.5" hidden="false" customHeight="false" outlineLevel="0" collapsed="false">
      <c r="B6" s="161" t="s">
        <v>327</v>
      </c>
      <c r="C6" s="127" t="n">
        <v>3</v>
      </c>
      <c r="D6" s="163" t="n">
        <v>24</v>
      </c>
      <c r="K6" s="88" t="n">
        <f aca="false">SUM(D6:J6)</f>
        <v>24</v>
      </c>
      <c r="M6" s="9"/>
      <c r="N6" s="155"/>
      <c r="O6" s="155"/>
    </row>
    <row r="7" customFormat="false" ht="13.5" hidden="false" customHeight="false" outlineLevel="0" collapsed="false">
      <c r="B7" s="161" t="s">
        <v>328</v>
      </c>
      <c r="C7" s="127" t="n">
        <v>2</v>
      </c>
      <c r="F7" s="161" t="n">
        <v>48.5</v>
      </c>
      <c r="G7" s="164" t="n">
        <v>25.5</v>
      </c>
      <c r="H7" s="164" t="n">
        <v>8</v>
      </c>
      <c r="I7" s="165"/>
      <c r="K7" s="88" t="n">
        <f aca="false">SUM(D7:J7)</f>
        <v>82</v>
      </c>
      <c r="M7" s="19"/>
      <c r="N7" s="155"/>
      <c r="O7" s="158"/>
    </row>
    <row r="8" customFormat="false" ht="13.5" hidden="false" customHeight="false" outlineLevel="0" collapsed="false">
      <c r="B8" s="161" t="s">
        <v>329</v>
      </c>
      <c r="C8" s="127" t="n">
        <v>2</v>
      </c>
      <c r="G8" s="165"/>
      <c r="H8" s="164" t="n">
        <v>48.5</v>
      </c>
      <c r="I8" s="164" t="n">
        <v>11</v>
      </c>
      <c r="K8" s="88" t="n">
        <f aca="false">SUM(D8:J8)</f>
        <v>59.5</v>
      </c>
      <c r="M8" s="9"/>
      <c r="N8" s="155"/>
      <c r="O8" s="155"/>
    </row>
    <row r="9" customFormat="false" ht="13.5" hidden="false" customHeight="false" outlineLevel="0" collapsed="false">
      <c r="B9" s="161" t="s">
        <v>144</v>
      </c>
      <c r="C9" s="127" t="n">
        <v>2</v>
      </c>
      <c r="D9" s="163" t="n">
        <v>13.5</v>
      </c>
      <c r="K9" s="88" t="n">
        <f aca="false">SUM(D9:J9)</f>
        <v>13.5</v>
      </c>
      <c r="M9" s="9"/>
      <c r="N9" s="155"/>
      <c r="O9" s="155"/>
    </row>
    <row r="10" customFormat="false" ht="13.5" hidden="false" customHeight="false" outlineLevel="0" collapsed="false">
      <c r="B10" s="161" t="s">
        <v>330</v>
      </c>
      <c r="C10" s="127" t="n">
        <v>2</v>
      </c>
      <c r="D10" s="163" t="n">
        <v>12.5</v>
      </c>
      <c r="K10" s="88" t="n">
        <f aca="false">SUM(D10:J10)</f>
        <v>12.5</v>
      </c>
      <c r="M10" s="9"/>
      <c r="N10" s="155"/>
      <c r="O10" s="155"/>
    </row>
    <row r="11" customFormat="false" ht="13.5" hidden="false" customHeight="false" outlineLevel="0" collapsed="false">
      <c r="B11" s="161" t="s">
        <v>331</v>
      </c>
      <c r="C11" s="127" t="n">
        <v>2</v>
      </c>
      <c r="G11" s="164" t="n">
        <v>9.5</v>
      </c>
      <c r="H11" s="165"/>
      <c r="I11" s="165"/>
      <c r="K11" s="88" t="n">
        <f aca="false">SUM(D11:J11)</f>
        <v>9.5</v>
      </c>
      <c r="M11" s="9"/>
      <c r="N11" s="155"/>
      <c r="O11" s="155"/>
    </row>
    <row r="12" customFormat="false" ht="13.5" hidden="false" customHeight="false" outlineLevel="0" collapsed="false">
      <c r="B12" s="161" t="s">
        <v>332</v>
      </c>
      <c r="C12" s="127" t="n">
        <v>2</v>
      </c>
      <c r="K12" s="88" t="n">
        <f aca="false">SUM(D12:J12)</f>
        <v>0</v>
      </c>
      <c r="M12" s="38"/>
      <c r="N12" s="155"/>
      <c r="O12" s="155"/>
    </row>
    <row r="13" customFormat="false" ht="13.5" hidden="false" customHeight="false" outlineLevel="0" collapsed="false">
      <c r="B13" s="161" t="s">
        <v>333</v>
      </c>
      <c r="C13" s="127" t="n">
        <v>2</v>
      </c>
      <c r="K13" s="88" t="n">
        <f aca="false">SUM(D13:J13)</f>
        <v>0</v>
      </c>
      <c r="M13" s="9"/>
      <c r="N13" s="155"/>
      <c r="O13" s="155"/>
    </row>
    <row r="14" customFormat="false" ht="13.5" hidden="false" customHeight="false" outlineLevel="0" collapsed="false">
      <c r="B14" s="161" t="s">
        <v>334</v>
      </c>
      <c r="C14" s="127" t="n">
        <v>2</v>
      </c>
      <c r="M14" s="9"/>
      <c r="N14" s="155"/>
      <c r="O14" s="155"/>
    </row>
    <row r="15" customFormat="false" ht="13.5" hidden="false" customHeight="false" outlineLevel="0" collapsed="false">
      <c r="B15" s="161" t="s">
        <v>335</v>
      </c>
      <c r="C15" s="127" t="n">
        <v>1</v>
      </c>
      <c r="G15" s="165"/>
      <c r="H15" s="164" t="n">
        <v>27.5</v>
      </c>
      <c r="I15" s="167"/>
      <c r="J15" s="164"/>
      <c r="K15" s="88" t="n">
        <f aca="false">SUM(D15:J15)</f>
        <v>27.5</v>
      </c>
      <c r="M15" s="9"/>
      <c r="N15" s="155"/>
      <c r="O15" s="155"/>
    </row>
    <row r="16" customFormat="false" ht="13.5" hidden="false" customHeight="false" outlineLevel="0" collapsed="false">
      <c r="B16" s="161" t="s">
        <v>336</v>
      </c>
      <c r="C16" s="127" t="n">
        <v>1</v>
      </c>
      <c r="G16" s="165"/>
      <c r="H16" s="164" t="n">
        <v>2</v>
      </c>
      <c r="I16" s="167"/>
      <c r="J16" s="164"/>
      <c r="K16" s="88" t="n">
        <f aca="false">SUM(D16:J16)</f>
        <v>2</v>
      </c>
    </row>
    <row r="17" customFormat="false" ht="13.5" hidden="false" customHeight="false" outlineLevel="0" collapsed="false">
      <c r="A17" s="0" t="s">
        <v>246</v>
      </c>
      <c r="B17" s="161" t="s">
        <v>337</v>
      </c>
      <c r="C17" s="127"/>
      <c r="G17" s="165"/>
      <c r="H17" s="164"/>
      <c r="I17" s="167"/>
      <c r="J17" s="164"/>
      <c r="K17" s="88"/>
    </row>
    <row r="18" customFormat="false" ht="13.5" hidden="false" customHeight="false" outlineLevel="0" collapsed="false">
      <c r="B18" s="161" t="s">
        <v>338</v>
      </c>
      <c r="C18" s="127" t="n">
        <v>0</v>
      </c>
      <c r="D18" s="163" t="n">
        <v>23</v>
      </c>
      <c r="K18" s="88" t="n">
        <f aca="false">SUM(D18:J18)</f>
        <v>23</v>
      </c>
    </row>
    <row r="19" customFormat="false" ht="13.5" hidden="false" customHeight="false" outlineLevel="0" collapsed="false">
      <c r="B19" s="161" t="s">
        <v>339</v>
      </c>
      <c r="C19" s="127" t="n">
        <v>0</v>
      </c>
      <c r="G19" s="164" t="n">
        <v>5.5</v>
      </c>
      <c r="H19" s="165"/>
      <c r="I19" s="164" t="n">
        <v>7.5</v>
      </c>
      <c r="K19" s="88" t="n">
        <f aca="false">SUM(D19:J19)</f>
        <v>13</v>
      </c>
    </row>
    <row r="20" customFormat="false" ht="13.5" hidden="false" customHeight="false" outlineLevel="0" collapsed="false">
      <c r="B20" s="162" t="s">
        <v>340</v>
      </c>
      <c r="C20" s="127"/>
      <c r="F20" s="161" t="n">
        <v>4</v>
      </c>
      <c r="K20" s="88" t="n">
        <f aca="false">SUM(D20:J20)</f>
        <v>4</v>
      </c>
    </row>
    <row r="21" customFormat="false" ht="13.5" hidden="false" customHeight="false" outlineLevel="0" collapsed="false">
      <c r="B21" s="161" t="s">
        <v>341</v>
      </c>
      <c r="C21" s="127"/>
      <c r="F21" s="161" t="n">
        <v>2</v>
      </c>
      <c r="K21" s="88" t="n">
        <f aca="false">SUM(D21:J21)</f>
        <v>2</v>
      </c>
    </row>
    <row r="22" customFormat="false" ht="13.5" hidden="false" customHeight="false" outlineLevel="0" collapsed="false">
      <c r="B22" s="161" t="s">
        <v>342</v>
      </c>
      <c r="C22" s="127"/>
      <c r="K22" s="88" t="n">
        <f aca="false">SUM(D22:J22)</f>
        <v>0</v>
      </c>
    </row>
    <row r="23" customFormat="false" ht="13.5" hidden="false" customHeight="false" outlineLevel="0" collapsed="false">
      <c r="B23" s="161" t="s">
        <v>343</v>
      </c>
      <c r="C23" s="127"/>
      <c r="K23" s="88" t="n">
        <f aca="false">SUM(D23:J23)</f>
        <v>0</v>
      </c>
    </row>
    <row r="24" customFormat="false" ht="13.5" hidden="false" customHeight="false" outlineLevel="0" collapsed="false">
      <c r="B24" s="161" t="s">
        <v>344</v>
      </c>
      <c r="C24" s="127"/>
      <c r="K24" s="88" t="n">
        <f aca="false">SUM(D24:J24)</f>
        <v>0</v>
      </c>
    </row>
    <row r="25" customFormat="false" ht="13.5" hidden="false" customHeight="false" outlineLevel="0" collapsed="false">
      <c r="B25" s="161" t="s">
        <v>345</v>
      </c>
      <c r="C25" s="127"/>
      <c r="K25" s="88" t="n">
        <f aca="false">SUM(D25:J25)</f>
        <v>0</v>
      </c>
    </row>
    <row r="26" customFormat="false" ht="13.5" hidden="false" customHeight="false" outlineLevel="0" collapsed="false">
      <c r="B26" s="161" t="s">
        <v>346</v>
      </c>
      <c r="C26" s="42"/>
      <c r="K26" s="88" t="n">
        <f aca="false">SUM(D26:J26)</f>
        <v>0</v>
      </c>
    </row>
    <row r="27" customFormat="false" ht="13.5" hidden="false" customHeight="false" outlineLevel="0" collapsed="false">
      <c r="B27" s="161" t="s">
        <v>347</v>
      </c>
      <c r="K27" s="88" t="n">
        <f aca="false">SUM(D27:J27)</f>
        <v>0</v>
      </c>
    </row>
    <row r="28" customFormat="false" ht="13.5" hidden="false" customHeight="false" outlineLevel="0" collapsed="false">
      <c r="B28" s="161" t="s">
        <v>348</v>
      </c>
      <c r="K28" s="88" t="n">
        <f aca="false">SUM(D28:J28)</f>
        <v>0</v>
      </c>
    </row>
    <row r="29" customFormat="false" ht="13.5" hidden="false" customHeight="false" outlineLevel="0" collapsed="false">
      <c r="B29" s="161" t="s">
        <v>349</v>
      </c>
      <c r="K29" s="88" t="n">
        <f aca="false">SUM(D29:J29)</f>
        <v>0</v>
      </c>
    </row>
    <row r="30" customFormat="false" ht="13.5" hidden="false" customHeight="false" outlineLevel="0" collapsed="false">
      <c r="B30" s="162" t="s">
        <v>350</v>
      </c>
      <c r="K30" s="88" t="n">
        <f aca="false">SUM(D30:J30)</f>
        <v>0</v>
      </c>
    </row>
    <row r="31" customFormat="false" ht="13.5" hidden="false" customHeight="false" outlineLevel="0" collapsed="false">
      <c r="B31" s="161" t="s">
        <v>351</v>
      </c>
      <c r="K31" s="88" t="n">
        <f aca="false">SUM(D31:J31)</f>
        <v>0</v>
      </c>
    </row>
    <row r="32" customFormat="false" ht="13.5" hidden="false" customHeight="false" outlineLevel="0" collapsed="false">
      <c r="B32" s="161" t="s">
        <v>352</v>
      </c>
      <c r="C32" s="127"/>
      <c r="D32" s="163" t="n">
        <v>22</v>
      </c>
      <c r="K32" s="88" t="n">
        <f aca="false">SUM(D32:J32)</f>
        <v>22</v>
      </c>
    </row>
    <row r="33" customFormat="false" ht="13.5" hidden="false" customHeight="false" outlineLevel="0" collapsed="false">
      <c r="B33" s="161" t="s">
        <v>353</v>
      </c>
      <c r="K33" s="88" t="n">
        <f aca="false">SUM(D33:J33)</f>
        <v>0</v>
      </c>
    </row>
    <row r="34" customFormat="false" ht="13.5" hidden="false" customHeight="false" outlineLevel="0" collapsed="false">
      <c r="B34" s="161" t="s">
        <v>354</v>
      </c>
    </row>
  </sheetData>
  <printOptions headings="false" gridLines="false" gridLinesSet="true" horizontalCentered="false" verticalCentered="false"/>
  <pageMargins left="0.45" right="0.45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LibreOffice/7.3.2.2$Linux_X86_64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2014-04-02T21:11:50Z</dcterms:created>
  <dc:creator>Jason Moses</dc:creator>
  <dc:description/>
  <dc:language>en-US</dc:language>
  <cp:lastModifiedBy>Jason Moses</cp:lastModifiedBy>
  <cp:lastPrinted>2022-07-05T19:43:22Z</cp:lastPrinted>
  <dcterms:modified xsi:type="dcterms:W3CDTF">2022-07-14T17:27:25Z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