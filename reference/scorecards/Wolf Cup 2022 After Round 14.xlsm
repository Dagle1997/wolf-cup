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 Moses\Documents\Personal\Sports\Wolf Cup\2022\"/>
    </mc:Choice>
  </mc:AlternateContent>
  <xr:revisionPtr revIDLastSave="0" documentId="13_ncr:1_{402E83C9-92B3-4E03-9B34-C245CCE14430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31" i="6" l="1"/>
  <c r="M30" i="6"/>
  <c r="M29" i="6"/>
  <c r="M28" i="6"/>
  <c r="M26" i="6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U26" i="6" s="1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R26" i="6" s="1"/>
  <c r="Q8" i="6"/>
  <c r="P8" i="6"/>
  <c r="O8" i="6"/>
  <c r="N8" i="6"/>
  <c r="M8" i="6"/>
  <c r="L8" i="6"/>
  <c r="AB7" i="6"/>
  <c r="AB26" i="6" s="1"/>
  <c r="AA7" i="6"/>
  <c r="AA26" i="6" s="1"/>
  <c r="Z7" i="6"/>
  <c r="Z26" i="6" s="1"/>
  <c r="Y7" i="6"/>
  <c r="Y26" i="6" s="1"/>
  <c r="X7" i="6"/>
  <c r="X26" i="6" s="1"/>
  <c r="W7" i="6"/>
  <c r="W26" i="6" s="1"/>
  <c r="V7" i="6"/>
  <c r="V26" i="6" s="1"/>
  <c r="U7" i="6"/>
  <c r="T7" i="6"/>
  <c r="T26" i="6" s="1"/>
  <c r="S7" i="6"/>
  <c r="S26" i="6" s="1"/>
  <c r="R7" i="6"/>
  <c r="Q7" i="6"/>
  <c r="Q26" i="6" s="1"/>
  <c r="P7" i="6"/>
  <c r="P26" i="6" s="1"/>
  <c r="O7" i="6"/>
  <c r="O26" i="6" s="1"/>
  <c r="N7" i="6"/>
  <c r="N26" i="6" s="1"/>
  <c r="M7" i="6"/>
  <c r="L7" i="6"/>
  <c r="L26" i="6" s="1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L62" i="2"/>
  <c r="BG62" i="2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K61" i="2"/>
  <c r="BF61" i="2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3" i="2"/>
  <c r="CP53" i="2"/>
  <c r="CR53" i="2" s="1"/>
  <c r="CK53" i="2"/>
  <c r="CM53" i="2" s="1"/>
  <c r="CF53" i="2"/>
  <c r="CH53" i="2" s="1"/>
  <c r="CA53" i="2"/>
  <c r="CC53" i="2" s="1"/>
  <c r="BV53" i="2"/>
  <c r="BQ53" i="2"/>
  <c r="BL53" i="2"/>
  <c r="BG53" i="2"/>
  <c r="BB53" i="2"/>
  <c r="BD53" i="2" s="1"/>
  <c r="AW53" i="2"/>
  <c r="AR53" i="2"/>
  <c r="AT53" i="2" s="1"/>
  <c r="AM53" i="2"/>
  <c r="AO53" i="2" s="1"/>
  <c r="AH53" i="2"/>
  <c r="AJ53" i="2" s="1"/>
  <c r="AC53" i="2"/>
  <c r="AE53" i="2" s="1"/>
  <c r="X53" i="2"/>
  <c r="S53" i="2"/>
  <c r="U53" i="2" s="1"/>
  <c r="N53" i="2"/>
  <c r="P53" i="2" s="1"/>
  <c r="I53" i="2"/>
  <c r="K53" i="2" s="1"/>
  <c r="EI58" i="2"/>
  <c r="EC52" i="2"/>
  <c r="CO52" i="2"/>
  <c r="CQ52" i="2" s="1"/>
  <c r="CJ52" i="2"/>
  <c r="CL52" i="2" s="1"/>
  <c r="CE52" i="2"/>
  <c r="CG52" i="2" s="1"/>
  <c r="BZ52" i="2"/>
  <c r="CB52" i="2" s="1"/>
  <c r="BU52" i="2"/>
  <c r="BP52" i="2"/>
  <c r="BK52" i="2"/>
  <c r="BF52" i="2"/>
  <c r="BA52" i="2"/>
  <c r="BC52" i="2" s="1"/>
  <c r="AV52" i="2"/>
  <c r="AQ52" i="2"/>
  <c r="AS52" i="2" s="1"/>
  <c r="AL52" i="2"/>
  <c r="AN52" i="2" s="1"/>
  <c r="AG52" i="2"/>
  <c r="AI52" i="2" s="1"/>
  <c r="AB52" i="2"/>
  <c r="AD52" i="2" s="1"/>
  <c r="W52" i="2"/>
  <c r="R52" i="2"/>
  <c r="T52" i="2" s="1"/>
  <c r="M52" i="2"/>
  <c r="O52" i="2" s="1"/>
  <c r="H52" i="2"/>
  <c r="J52" i="2" s="1"/>
  <c r="EC47" i="2"/>
  <c r="CP47" i="2"/>
  <c r="CR47" i="2" s="1"/>
  <c r="CK47" i="2"/>
  <c r="CM47" i="2" s="1"/>
  <c r="CF47" i="2"/>
  <c r="CH47" i="2" s="1"/>
  <c r="CA47" i="2"/>
  <c r="CC47" i="2" s="1"/>
  <c r="BV47" i="2"/>
  <c r="BQ47" i="2"/>
  <c r="BS47" i="2" s="1"/>
  <c r="BL47" i="2"/>
  <c r="BG47" i="2"/>
  <c r="BB47" i="2"/>
  <c r="BD47" i="2" s="1"/>
  <c r="AW47" i="2"/>
  <c r="AR47" i="2"/>
  <c r="AT47" i="2" s="1"/>
  <c r="AM47" i="2"/>
  <c r="AO47" i="2" s="1"/>
  <c r="AH47" i="2"/>
  <c r="AC47" i="2"/>
  <c r="AE47" i="2" s="1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P46" i="2"/>
  <c r="BR46" i="2" s="1"/>
  <c r="BK46" i="2"/>
  <c r="BF46" i="2"/>
  <c r="BA46" i="2"/>
  <c r="BC46" i="2" s="1"/>
  <c r="AV46" i="2"/>
  <c r="AQ46" i="2"/>
  <c r="AS46" i="2" s="1"/>
  <c r="AL46" i="2"/>
  <c r="AN46" i="2" s="1"/>
  <c r="AG46" i="2"/>
  <c r="AB46" i="2"/>
  <c r="AD46" i="2" s="1"/>
  <c r="W46" i="2"/>
  <c r="Y46" i="2" s="1"/>
  <c r="R46" i="2"/>
  <c r="M46" i="2"/>
  <c r="O46" i="2" s="1"/>
  <c r="H46" i="2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AW56" i="2"/>
  <c r="AR56" i="2"/>
  <c r="AM56" i="2"/>
  <c r="AO56" i="2" s="1"/>
  <c r="AH56" i="2"/>
  <c r="AC56" i="2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AV55" i="2"/>
  <c r="AQ55" i="2"/>
  <c r="AL55" i="2"/>
  <c r="AN55" i="2" s="1"/>
  <c r="AG55" i="2"/>
  <c r="AB55" i="2"/>
  <c r="W55" i="2"/>
  <c r="Y55" i="2" s="1"/>
  <c r="R55" i="2"/>
  <c r="M55" i="2"/>
  <c r="O55" i="2" s="1"/>
  <c r="H55" i="2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0" i="2"/>
  <c r="CP50" i="2"/>
  <c r="CR50" i="2" s="1"/>
  <c r="CK50" i="2"/>
  <c r="CM50" i="2" s="1"/>
  <c r="CF50" i="2"/>
  <c r="CH50" i="2" s="1"/>
  <c r="CA50" i="2"/>
  <c r="CC50" i="2" s="1"/>
  <c r="BV50" i="2"/>
  <c r="BQ50" i="2"/>
  <c r="BL50" i="2"/>
  <c r="BG50" i="2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P49" i="2"/>
  <c r="BK49" i="2"/>
  <c r="BF49" i="2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26" i="2"/>
  <c r="CP26" i="2"/>
  <c r="CR26" i="2" s="1"/>
  <c r="CK26" i="2"/>
  <c r="CM26" i="2" s="1"/>
  <c r="CF26" i="2"/>
  <c r="CH26" i="2" s="1"/>
  <c r="CA26" i="2"/>
  <c r="CC26" i="2" s="1"/>
  <c r="BV26" i="2"/>
  <c r="BQ26" i="2"/>
  <c r="BL26" i="2"/>
  <c r="BG26" i="2"/>
  <c r="BB26" i="2"/>
  <c r="AW26" i="2"/>
  <c r="AR26" i="2"/>
  <c r="AT26" i="2" s="1"/>
  <c r="AM26" i="2"/>
  <c r="AH26" i="2"/>
  <c r="AJ26" i="2" s="1"/>
  <c r="AC26" i="2"/>
  <c r="AE26" i="2" s="1"/>
  <c r="X26" i="2"/>
  <c r="S26" i="2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P25" i="2"/>
  <c r="BK25" i="2"/>
  <c r="BF25" i="2"/>
  <c r="BA25" i="2"/>
  <c r="AV25" i="2"/>
  <c r="AQ25" i="2"/>
  <c r="AS25" i="2" s="1"/>
  <c r="AL25" i="2"/>
  <c r="AG25" i="2"/>
  <c r="AI25" i="2" s="1"/>
  <c r="AB25" i="2"/>
  <c r="AD25" i="2" s="1"/>
  <c r="W25" i="2"/>
  <c r="R25" i="2"/>
  <c r="M25" i="2"/>
  <c r="O25" i="2" s="1"/>
  <c r="H25" i="2"/>
  <c r="EC35" i="2"/>
  <c r="CP35" i="2"/>
  <c r="CR35" i="2" s="1"/>
  <c r="CK35" i="2"/>
  <c r="CM35" i="2" s="1"/>
  <c r="CF35" i="2"/>
  <c r="CH35" i="2" s="1"/>
  <c r="CA35" i="2"/>
  <c r="BV35" i="2"/>
  <c r="BQ35" i="2"/>
  <c r="BL35" i="2"/>
  <c r="BG35" i="2"/>
  <c r="BB35" i="2"/>
  <c r="AW35" i="2"/>
  <c r="AR35" i="2"/>
  <c r="AM35" i="2"/>
  <c r="AO35" i="2" s="1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P34" i="2"/>
  <c r="BK34" i="2"/>
  <c r="BF34" i="2"/>
  <c r="BA34" i="2"/>
  <c r="AV34" i="2"/>
  <c r="AQ34" i="2"/>
  <c r="AL34" i="2"/>
  <c r="AN34" i="2" s="1"/>
  <c r="AG34" i="2"/>
  <c r="AB34" i="2"/>
  <c r="W34" i="2"/>
  <c r="Y34" i="2" s="1"/>
  <c r="R34" i="2"/>
  <c r="M34" i="2"/>
  <c r="O34" i="2" s="1"/>
  <c r="H34" i="2"/>
  <c r="EC44" i="2"/>
  <c r="CP44" i="2"/>
  <c r="CR44" i="2" s="1"/>
  <c r="CK44" i="2"/>
  <c r="CM44" i="2" s="1"/>
  <c r="CF44" i="2"/>
  <c r="CH44" i="2" s="1"/>
  <c r="CA44" i="2"/>
  <c r="CC44" i="2" s="1"/>
  <c r="BV44" i="2"/>
  <c r="BQ44" i="2"/>
  <c r="BL44" i="2"/>
  <c r="BG44" i="2"/>
  <c r="BI44" i="2" s="1"/>
  <c r="BB44" i="2"/>
  <c r="AW44" i="2"/>
  <c r="AY44" i="2" s="1"/>
  <c r="AR44" i="2"/>
  <c r="AM44" i="2"/>
  <c r="AO44" i="2" s="1"/>
  <c r="AH44" i="2"/>
  <c r="AJ44" i="2" s="1"/>
  <c r="AC44" i="2"/>
  <c r="X44" i="2"/>
  <c r="S44" i="2"/>
  <c r="U44" i="2" s="1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P43" i="2"/>
  <c r="BK43" i="2"/>
  <c r="BF43" i="2"/>
  <c r="BH43" i="2" s="1"/>
  <c r="BA43" i="2"/>
  <c r="AV43" i="2"/>
  <c r="AX43" i="2" s="1"/>
  <c r="AQ43" i="2"/>
  <c r="AL43" i="2"/>
  <c r="AN43" i="2" s="1"/>
  <c r="AG43" i="2"/>
  <c r="AI43" i="2" s="1"/>
  <c r="AB43" i="2"/>
  <c r="W43" i="2"/>
  <c r="R43" i="2"/>
  <c r="T43" i="2" s="1"/>
  <c r="M43" i="2"/>
  <c r="O43" i="2" s="1"/>
  <c r="H43" i="2"/>
  <c r="EC38" i="2"/>
  <c r="CP38" i="2"/>
  <c r="CR38" i="2" s="1"/>
  <c r="CK38" i="2"/>
  <c r="CM38" i="2" s="1"/>
  <c r="CF38" i="2"/>
  <c r="CH38" i="2" s="1"/>
  <c r="CA38" i="2"/>
  <c r="CC38" i="2" s="1"/>
  <c r="BV38" i="2"/>
  <c r="BQ38" i="2"/>
  <c r="BL38" i="2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P37" i="2"/>
  <c r="BK37" i="2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32" i="2"/>
  <c r="CP32" i="2"/>
  <c r="CR32" i="2" s="1"/>
  <c r="CK32" i="2"/>
  <c r="CM32" i="2" s="1"/>
  <c r="CF32" i="2"/>
  <c r="CH32" i="2" s="1"/>
  <c r="CA32" i="2"/>
  <c r="BV32" i="2"/>
  <c r="BQ32" i="2"/>
  <c r="BL32" i="2"/>
  <c r="BG32" i="2"/>
  <c r="BB32" i="2"/>
  <c r="AW32" i="2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P31" i="2"/>
  <c r="BK31" i="2"/>
  <c r="BF31" i="2"/>
  <c r="BA31" i="2"/>
  <c r="AV31" i="2"/>
  <c r="AQ31" i="2"/>
  <c r="AL31" i="2"/>
  <c r="AG31" i="2"/>
  <c r="AB31" i="2"/>
  <c r="W31" i="2"/>
  <c r="Y31" i="2" s="1"/>
  <c r="R31" i="2"/>
  <c r="M31" i="2"/>
  <c r="O31" i="2" s="1"/>
  <c r="H31" i="2"/>
  <c r="EC41" i="2"/>
  <c r="CP41" i="2"/>
  <c r="CR41" i="2" s="1"/>
  <c r="CK41" i="2"/>
  <c r="CM41" i="2" s="1"/>
  <c r="CF41" i="2"/>
  <c r="CH41" i="2" s="1"/>
  <c r="CA41" i="2"/>
  <c r="CC41" i="2" s="1"/>
  <c r="BV41" i="2"/>
  <c r="BQ41" i="2"/>
  <c r="BS41" i="2" s="1"/>
  <c r="BL41" i="2"/>
  <c r="BN41" i="2" s="1"/>
  <c r="BG41" i="2"/>
  <c r="BB41" i="2"/>
  <c r="AW41" i="2"/>
  <c r="AR41" i="2"/>
  <c r="AT41" i="2" s="1"/>
  <c r="AM41" i="2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P40" i="2"/>
  <c r="BR40" i="2" s="1"/>
  <c r="BK40" i="2"/>
  <c r="BM40" i="2" s="1"/>
  <c r="BF40" i="2"/>
  <c r="BA40" i="2"/>
  <c r="AV40" i="2"/>
  <c r="AQ40" i="2"/>
  <c r="AS40" i="2" s="1"/>
  <c r="AL40" i="2"/>
  <c r="AG40" i="2"/>
  <c r="AB40" i="2"/>
  <c r="W40" i="2"/>
  <c r="Y40" i="2" s="1"/>
  <c r="R40" i="2"/>
  <c r="M40" i="2"/>
  <c r="O40" i="2" s="1"/>
  <c r="H40" i="2"/>
  <c r="EC14" i="2"/>
  <c r="CP14" i="2"/>
  <c r="CR14" i="2" s="1"/>
  <c r="CK14" i="2"/>
  <c r="CM14" i="2" s="1"/>
  <c r="CF14" i="2"/>
  <c r="CH14" i="2" s="1"/>
  <c r="CA14" i="2"/>
  <c r="BV14" i="2"/>
  <c r="BQ14" i="2"/>
  <c r="BS14" i="2" s="1"/>
  <c r="BL14" i="2"/>
  <c r="BG14" i="2"/>
  <c r="BB14" i="2"/>
  <c r="AW14" i="2"/>
  <c r="AR14" i="2"/>
  <c r="AM14" i="2"/>
  <c r="AO14" i="2" s="1"/>
  <c r="AH14" i="2"/>
  <c r="AC14" i="2"/>
  <c r="X14" i="2"/>
  <c r="S14" i="2"/>
  <c r="U14" i="2" s="1"/>
  <c r="N14" i="2"/>
  <c r="P14" i="2" s="1"/>
  <c r="I14" i="2"/>
  <c r="EC13" i="2"/>
  <c r="CO13" i="2"/>
  <c r="CQ13" i="2" s="1"/>
  <c r="CJ13" i="2"/>
  <c r="CL13" i="2" s="1"/>
  <c r="CE13" i="2"/>
  <c r="CG13" i="2" s="1"/>
  <c r="BZ13" i="2"/>
  <c r="CB13" i="2" s="1"/>
  <c r="BU13" i="2"/>
  <c r="BP13" i="2"/>
  <c r="BR13" i="2" s="1"/>
  <c r="BK13" i="2"/>
  <c r="BF13" i="2"/>
  <c r="BA13" i="2"/>
  <c r="AV13" i="2"/>
  <c r="AQ13" i="2"/>
  <c r="AL13" i="2"/>
  <c r="AN13" i="2" s="1"/>
  <c r="AG13" i="2"/>
  <c r="AB13" i="2"/>
  <c r="W13" i="2"/>
  <c r="R13" i="2"/>
  <c r="T13" i="2" s="1"/>
  <c r="M13" i="2"/>
  <c r="O13" i="2" s="1"/>
  <c r="H13" i="2"/>
  <c r="EC17" i="2"/>
  <c r="CP17" i="2"/>
  <c r="CR17" i="2" s="1"/>
  <c r="CK17" i="2"/>
  <c r="CM17" i="2" s="1"/>
  <c r="CF17" i="2"/>
  <c r="CH17" i="2" s="1"/>
  <c r="CA17" i="2"/>
  <c r="BV17" i="2"/>
  <c r="BQ17" i="2"/>
  <c r="BL17" i="2"/>
  <c r="BG17" i="2"/>
  <c r="BI17" i="2" s="1"/>
  <c r="BB17" i="2"/>
  <c r="AW17" i="2"/>
  <c r="AR17" i="2"/>
  <c r="AM17" i="2"/>
  <c r="AH17" i="2"/>
  <c r="AC17" i="2"/>
  <c r="X17" i="2"/>
  <c r="Z17" i="2" s="1"/>
  <c r="S17" i="2"/>
  <c r="U17" i="2" s="1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P16" i="2"/>
  <c r="BK16" i="2"/>
  <c r="BF16" i="2"/>
  <c r="BH16" i="2" s="1"/>
  <c r="BA16" i="2"/>
  <c r="AV16" i="2"/>
  <c r="AQ16" i="2"/>
  <c r="AL16" i="2"/>
  <c r="AG16" i="2"/>
  <c r="AB16" i="2"/>
  <c r="W16" i="2"/>
  <c r="Y16" i="2" s="1"/>
  <c r="R16" i="2"/>
  <c r="T16" i="2" s="1"/>
  <c r="M16" i="2"/>
  <c r="O16" i="2" s="1"/>
  <c r="H16" i="2"/>
  <c r="EC11" i="2"/>
  <c r="CP11" i="2"/>
  <c r="CR11" i="2" s="1"/>
  <c r="CK11" i="2"/>
  <c r="CM11" i="2" s="1"/>
  <c r="CF11" i="2"/>
  <c r="CH11" i="2" s="1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3" i="2"/>
  <c r="CP23" i="2"/>
  <c r="CR23" i="2" s="1"/>
  <c r="CK23" i="2"/>
  <c r="CM23" i="2" s="1"/>
  <c r="CF23" i="2"/>
  <c r="CH23" i="2" s="1"/>
  <c r="CA23" i="2"/>
  <c r="BV23" i="2"/>
  <c r="BQ23" i="2"/>
  <c r="BL23" i="2"/>
  <c r="BG23" i="2"/>
  <c r="BB23" i="2"/>
  <c r="AW23" i="2"/>
  <c r="AY23" i="2" s="1"/>
  <c r="AR23" i="2"/>
  <c r="AM23" i="2"/>
  <c r="AH23" i="2"/>
  <c r="AC23" i="2"/>
  <c r="X23" i="2"/>
  <c r="Z23" i="2" s="1"/>
  <c r="S23" i="2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P22" i="2"/>
  <c r="BK22" i="2"/>
  <c r="BF22" i="2"/>
  <c r="BA22" i="2"/>
  <c r="AV22" i="2"/>
  <c r="AX22" i="2" s="1"/>
  <c r="AQ22" i="2"/>
  <c r="AL22" i="2"/>
  <c r="AG22" i="2"/>
  <c r="AB22" i="2"/>
  <c r="W22" i="2"/>
  <c r="Y22" i="2" s="1"/>
  <c r="R22" i="2"/>
  <c r="M22" i="2"/>
  <c r="O22" i="2" s="1"/>
  <c r="H22" i="2"/>
  <c r="EC20" i="2"/>
  <c r="CP20" i="2"/>
  <c r="CR20" i="2" s="1"/>
  <c r="CK20" i="2"/>
  <c r="CM20" i="2" s="1"/>
  <c r="CF20" i="2"/>
  <c r="CH20" i="2" s="1"/>
  <c r="CA20" i="2"/>
  <c r="BV20" i="2"/>
  <c r="BQ20" i="2"/>
  <c r="BS20" i="2" s="1"/>
  <c r="BL20" i="2"/>
  <c r="BG20" i="2"/>
  <c r="BB20" i="2"/>
  <c r="AW20" i="2"/>
  <c r="AR20" i="2"/>
  <c r="AM20" i="2"/>
  <c r="AH20" i="2"/>
  <c r="AC20" i="2"/>
  <c r="X20" i="2"/>
  <c r="S20" i="2"/>
  <c r="N20" i="2"/>
  <c r="P20" i="2" s="1"/>
  <c r="I20" i="2"/>
  <c r="EU13" i="2"/>
  <c r="EC19" i="2"/>
  <c r="CO19" i="2"/>
  <c r="CQ19" i="2" s="1"/>
  <c r="CJ19" i="2"/>
  <c r="CL19" i="2" s="1"/>
  <c r="CE19" i="2"/>
  <c r="CG19" i="2" s="1"/>
  <c r="BZ19" i="2"/>
  <c r="CB19" i="2" s="1"/>
  <c r="BU19" i="2"/>
  <c r="BP19" i="2"/>
  <c r="BR19" i="2" s="1"/>
  <c r="BK19" i="2"/>
  <c r="BF19" i="2"/>
  <c r="BA19" i="2"/>
  <c r="AV19" i="2"/>
  <c r="AQ19" i="2"/>
  <c r="AL19" i="2"/>
  <c r="AG19" i="2"/>
  <c r="AB19" i="2"/>
  <c r="W19" i="2"/>
  <c r="R19" i="2"/>
  <c r="M19" i="2"/>
  <c r="O19" i="2" s="1"/>
  <c r="H19" i="2"/>
  <c r="EU12" i="2"/>
  <c r="EU11" i="2"/>
  <c r="EC8" i="2"/>
  <c r="CP8" i="2"/>
  <c r="CR8" i="2" s="1"/>
  <c r="CK8" i="2"/>
  <c r="CM8" i="2" s="1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29" i="2"/>
  <c r="CP29" i="2"/>
  <c r="CR29" i="2" s="1"/>
  <c r="CK29" i="2"/>
  <c r="CM29" i="2" s="1"/>
  <c r="CF29" i="2"/>
  <c r="CH29" i="2" s="1"/>
  <c r="CA29" i="2"/>
  <c r="BV29" i="2"/>
  <c r="BX29" i="2" s="1"/>
  <c r="BQ29" i="2"/>
  <c r="BS29" i="2" s="1"/>
  <c r="BL29" i="2"/>
  <c r="BN29" i="2" s="1"/>
  <c r="BG29" i="2"/>
  <c r="BB29" i="2"/>
  <c r="BD29" i="2" s="1"/>
  <c r="AW29" i="2"/>
  <c r="AR29" i="2"/>
  <c r="AM29" i="2"/>
  <c r="AH29" i="2"/>
  <c r="AC29" i="2"/>
  <c r="X29" i="2"/>
  <c r="S29" i="2"/>
  <c r="N29" i="2"/>
  <c r="P29" i="2" s="1"/>
  <c r="I29" i="2"/>
  <c r="EC28" i="2"/>
  <c r="CO28" i="2"/>
  <c r="CQ28" i="2" s="1"/>
  <c r="CJ28" i="2"/>
  <c r="CL28" i="2" s="1"/>
  <c r="CE28" i="2"/>
  <c r="BZ28" i="2"/>
  <c r="BU28" i="2"/>
  <c r="BW28" i="2" s="1"/>
  <c r="BP28" i="2"/>
  <c r="BK28" i="2"/>
  <c r="BM28" i="2" s="1"/>
  <c r="BF28" i="2"/>
  <c r="BA28" i="2"/>
  <c r="AV28" i="2"/>
  <c r="AQ28" i="2"/>
  <c r="AL28" i="2"/>
  <c r="AG28" i="2"/>
  <c r="AB28" i="2"/>
  <c r="W28" i="2"/>
  <c r="R28" i="2"/>
  <c r="M28" i="2"/>
  <c r="O28" i="2" s="1"/>
  <c r="H28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BX50" i="2" l="1"/>
  <c r="BW40" i="2"/>
  <c r="BX53" i="2"/>
  <c r="BX47" i="2"/>
  <c r="BW37" i="2"/>
  <c r="BW49" i="2"/>
  <c r="BW52" i="2"/>
  <c r="BX44" i="2"/>
  <c r="BW43" i="2"/>
  <c r="BW46" i="2"/>
  <c r="BX38" i="2"/>
  <c r="BX41" i="2"/>
  <c r="BX20" i="2"/>
  <c r="BX26" i="2"/>
  <c r="BW25" i="2"/>
  <c r="BX23" i="2"/>
  <c r="BX14" i="2"/>
  <c r="BW10" i="2"/>
  <c r="CC29" i="2"/>
  <c r="CC14" i="2"/>
  <c r="CC23" i="2"/>
  <c r="CC17" i="2"/>
  <c r="CC11" i="2"/>
  <c r="CC8" i="2"/>
  <c r="CB7" i="2"/>
  <c r="BX11" i="2"/>
  <c r="BX17" i="2"/>
  <c r="BW13" i="2"/>
  <c r="BW22" i="2"/>
  <c r="BW16" i="2"/>
  <c r="BX8" i="2"/>
  <c r="BW7" i="2"/>
  <c r="BW19" i="2"/>
  <c r="BW31" i="2"/>
  <c r="BW34" i="2"/>
  <c r="BX35" i="2"/>
  <c r="BX32" i="2"/>
  <c r="CC32" i="2"/>
  <c r="CC20" i="2"/>
  <c r="CC35" i="2"/>
  <c r="BF23" i="5"/>
  <c r="BR22" i="2"/>
  <c r="BS53" i="2"/>
  <c r="BR52" i="2"/>
  <c r="BN53" i="2"/>
  <c r="BS44" i="2"/>
  <c r="BS23" i="2"/>
  <c r="BS35" i="2"/>
  <c r="BR34" i="2"/>
  <c r="BR43" i="2"/>
  <c r="BS32" i="2"/>
  <c r="BR31" i="2"/>
  <c r="BS17" i="2"/>
  <c r="BS26" i="2"/>
  <c r="BR25" i="2"/>
  <c r="BR7" i="2"/>
  <c r="BR16" i="2"/>
  <c r="BS11" i="2"/>
  <c r="BR49" i="2"/>
  <c r="BR10" i="2"/>
  <c r="BR37" i="2"/>
  <c r="BS38" i="2"/>
  <c r="BS50" i="2"/>
  <c r="BS62" i="2"/>
  <c r="BR61" i="2"/>
  <c r="BS8" i="2"/>
  <c r="R65" i="1"/>
  <c r="BN50" i="2"/>
  <c r="BN62" i="2"/>
  <c r="BM22" i="2"/>
  <c r="BN23" i="2"/>
  <c r="BN35" i="2"/>
  <c r="BN20" i="2"/>
  <c r="BN14" i="2"/>
  <c r="BN44" i="2"/>
  <c r="BM34" i="2"/>
  <c r="BN83" i="2"/>
  <c r="BI23" i="2"/>
  <c r="BH88" i="2"/>
  <c r="BN101" i="2"/>
  <c r="BI86" i="2"/>
  <c r="BM100" i="2"/>
  <c r="BH85" i="2"/>
  <c r="BN95" i="2"/>
  <c r="BI89" i="2"/>
  <c r="BM82" i="2"/>
  <c r="BM94" i="2"/>
  <c r="BM61" i="2"/>
  <c r="BM37" i="2"/>
  <c r="BM49" i="2"/>
  <c r="BM52" i="2"/>
  <c r="BM43" i="2"/>
  <c r="BM25" i="2"/>
  <c r="BN17" i="2"/>
  <c r="BN38" i="2"/>
  <c r="BN32" i="2"/>
  <c r="BN26" i="2"/>
  <c r="BN47" i="2"/>
  <c r="BM46" i="2"/>
  <c r="BM31" i="2"/>
  <c r="BM16" i="2"/>
  <c r="BM19" i="2"/>
  <c r="BM13" i="2"/>
  <c r="AB65" i="1"/>
  <c r="BI32" i="2"/>
  <c r="BH49" i="2"/>
  <c r="BH52" i="2"/>
  <c r="BC10" i="2"/>
  <c r="BI35" i="2"/>
  <c r="BH31" i="2"/>
  <c r="BH25" i="2"/>
  <c r="BI41" i="2"/>
  <c r="BI62" i="2"/>
  <c r="BH61" i="2"/>
  <c r="BI53" i="2"/>
  <c r="BI50" i="2"/>
  <c r="BI26" i="2"/>
  <c r="BI47" i="2"/>
  <c r="BH46" i="2"/>
  <c r="BH28" i="2"/>
  <c r="BH22" i="2"/>
  <c r="BH40" i="2"/>
  <c r="BH34" i="2"/>
  <c r="BI29" i="2"/>
  <c r="BI20" i="2"/>
  <c r="BI14" i="2"/>
  <c r="BH13" i="2"/>
  <c r="BH19" i="2"/>
  <c r="BI11" i="2"/>
  <c r="BI8" i="2"/>
  <c r="BH10" i="2"/>
  <c r="BH7" i="2"/>
  <c r="T67" i="1"/>
  <c r="V65" i="1"/>
  <c r="Z67" i="1"/>
  <c r="Z65" i="1"/>
  <c r="BD17" i="2"/>
  <c r="BC22" i="2"/>
  <c r="BD11" i="2"/>
  <c r="BC34" i="2"/>
  <c r="BC13" i="2"/>
  <c r="BD35" i="2"/>
  <c r="BD23" i="2"/>
  <c r="BD8" i="2"/>
  <c r="BD14" i="2"/>
  <c r="BD56" i="2"/>
  <c r="BC7" i="2"/>
  <c r="BC55" i="2"/>
  <c r="BD20" i="2"/>
  <c r="BC16" i="2"/>
  <c r="BC31" i="2"/>
  <c r="BC40" i="2"/>
  <c r="BC19" i="2"/>
  <c r="BD26" i="2"/>
  <c r="BC25" i="2"/>
  <c r="BC43" i="2"/>
  <c r="BD44" i="2"/>
  <c r="BD41" i="2"/>
  <c r="BD32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19" i="2"/>
  <c r="BO23" i="5"/>
  <c r="AI28" i="2"/>
  <c r="AE8" i="2"/>
  <c r="AD19" i="2"/>
  <c r="AT20" i="2"/>
  <c r="AY38" i="2"/>
  <c r="BQ23" i="5"/>
  <c r="AS28" i="2"/>
  <c r="K29" i="2"/>
  <c r="AY41" i="2"/>
  <c r="BH23" i="5"/>
  <c r="AY56" i="2"/>
  <c r="K2" i="3"/>
  <c r="K17" i="3" s="1"/>
  <c r="AY8" i="2"/>
  <c r="AY17" i="2"/>
  <c r="AY53" i="2"/>
  <c r="BI23" i="5"/>
  <c r="BU23" i="5"/>
  <c r="U29" i="2"/>
  <c r="AJ8" i="2"/>
  <c r="N2" i="3"/>
  <c r="N16" i="3" s="1"/>
  <c r="AY47" i="2"/>
  <c r="T7" i="2"/>
  <c r="P2" i="3"/>
  <c r="AO29" i="2"/>
  <c r="BN23" i="5"/>
  <c r="BL23" i="5"/>
  <c r="BV23" i="5"/>
  <c r="BR23" i="5"/>
  <c r="BM23" i="5"/>
  <c r="BJ23" i="5"/>
  <c r="BP23" i="5"/>
  <c r="BT23" i="5"/>
  <c r="AX46" i="2"/>
  <c r="AX25" i="2"/>
  <c r="AX34" i="2"/>
  <c r="AX52" i="2"/>
  <c r="AX49" i="2"/>
  <c r="AX58" i="2"/>
  <c r="AX55" i="2"/>
  <c r="AY14" i="2"/>
  <c r="AY32" i="2"/>
  <c r="AY59" i="2"/>
  <c r="AY35" i="2"/>
  <c r="AY26" i="2"/>
  <c r="AY50" i="2"/>
  <c r="AX37" i="2"/>
  <c r="AX10" i="2"/>
  <c r="AX19" i="2"/>
  <c r="AX31" i="2"/>
  <c r="AX40" i="2"/>
  <c r="AX13" i="2"/>
  <c r="AX16" i="2"/>
  <c r="J2" i="3"/>
  <c r="J29" i="3" s="1"/>
  <c r="AX7" i="2"/>
  <c r="AY20" i="2"/>
  <c r="AY11" i="2"/>
  <c r="AY29" i="2"/>
  <c r="CV28" i="2"/>
  <c r="EB19" i="2"/>
  <c r="EB29" i="2"/>
  <c r="AS19" i="2"/>
  <c r="AJ59" i="2"/>
  <c r="AE11" i="2"/>
  <c r="EB8" i="2"/>
  <c r="J28" i="2"/>
  <c r="DZ22" i="2"/>
  <c r="AJ29" i="2"/>
  <c r="U8" i="2"/>
  <c r="DZ19" i="2"/>
  <c r="AD7" i="2"/>
  <c r="J19" i="2"/>
  <c r="AT29" i="2"/>
  <c r="AI19" i="2"/>
  <c r="AS7" i="2"/>
  <c r="K20" i="2"/>
  <c r="Y28" i="2"/>
  <c r="AD28" i="2"/>
  <c r="EB7" i="2"/>
  <c r="AO20" i="2"/>
  <c r="U20" i="2"/>
  <c r="AO23" i="2"/>
  <c r="AN22" i="2"/>
  <c r="K8" i="2"/>
  <c r="AN19" i="2"/>
  <c r="Z20" i="2"/>
  <c r="CV7" i="2"/>
  <c r="CV8" i="2"/>
  <c r="DZ20" i="2"/>
  <c r="CV10" i="2"/>
  <c r="CV19" i="2"/>
  <c r="CV22" i="2"/>
  <c r="DZ116" i="2"/>
  <c r="DZ113" i="2"/>
  <c r="DZ110" i="2"/>
  <c r="DZ83" i="2"/>
  <c r="DZ53" i="2"/>
  <c r="DZ56" i="2"/>
  <c r="DZ14" i="2"/>
  <c r="DZ35" i="2"/>
  <c r="DZ17" i="2"/>
  <c r="DZ26" i="2"/>
  <c r="DZ29" i="2"/>
  <c r="DZ23" i="2"/>
  <c r="DX8" i="2"/>
  <c r="DZ11" i="2"/>
  <c r="CV20" i="2"/>
  <c r="DX23" i="2"/>
  <c r="DZ10" i="2"/>
  <c r="DX104" i="2"/>
  <c r="DX98" i="2"/>
  <c r="DX110" i="2"/>
  <c r="DX83" i="2"/>
  <c r="DX92" i="2"/>
  <c r="DX62" i="2"/>
  <c r="DX11" i="2"/>
  <c r="DX29" i="2"/>
  <c r="DZ8" i="2"/>
  <c r="CV50" i="2"/>
  <c r="DZ7" i="2"/>
  <c r="CV86" i="2"/>
  <c r="CV83" i="2"/>
  <c r="CV92" i="2"/>
  <c r="CV62" i="2"/>
  <c r="CV59" i="2"/>
  <c r="CV44" i="2"/>
  <c r="CV26" i="2"/>
  <c r="CV35" i="2"/>
  <c r="CV32" i="2"/>
  <c r="CV29" i="2"/>
  <c r="DX20" i="2"/>
  <c r="J10" i="2"/>
  <c r="AD16" i="2"/>
  <c r="DZ16" i="2"/>
  <c r="AO17" i="2"/>
  <c r="AJ14" i="2"/>
  <c r="DX14" i="2"/>
  <c r="T31" i="2"/>
  <c r="K32" i="2"/>
  <c r="CV38" i="2"/>
  <c r="Z44" i="2"/>
  <c r="EB34" i="2"/>
  <c r="EB59" i="2"/>
  <c r="G2" i="3"/>
  <c r="AI55" i="2"/>
  <c r="AI46" i="2"/>
  <c r="AI58" i="2"/>
  <c r="AI34" i="2"/>
  <c r="M2" i="3"/>
  <c r="S2" i="3"/>
  <c r="K56" i="2"/>
  <c r="K47" i="2"/>
  <c r="K26" i="2"/>
  <c r="K44" i="2"/>
  <c r="K35" i="2"/>
  <c r="K50" i="2"/>
  <c r="K38" i="2"/>
  <c r="AO26" i="2"/>
  <c r="CV11" i="2"/>
  <c r="AI16" i="2"/>
  <c r="CV13" i="2"/>
  <c r="CV41" i="2"/>
  <c r="AE44" i="2"/>
  <c r="EB35" i="2"/>
  <c r="AJ47" i="2"/>
  <c r="DZ115" i="2"/>
  <c r="DZ94" i="2"/>
  <c r="DZ85" i="2"/>
  <c r="DZ58" i="2"/>
  <c r="Y19" i="2"/>
  <c r="AS22" i="2"/>
  <c r="AT23" i="2"/>
  <c r="EB17" i="2"/>
  <c r="AD40" i="2"/>
  <c r="U41" i="2"/>
  <c r="AD37" i="2"/>
  <c r="H2" i="3"/>
  <c r="AN37" i="2"/>
  <c r="AN31" i="2"/>
  <c r="AN40" i="2"/>
  <c r="AI7" i="2"/>
  <c r="AE20" i="2"/>
  <c r="EB22" i="2"/>
  <c r="EB23" i="2"/>
  <c r="AN16" i="2"/>
  <c r="DZ13" i="2"/>
  <c r="EB14" i="2"/>
  <c r="AI40" i="2"/>
  <c r="AD31" i="2"/>
  <c r="U32" i="2"/>
  <c r="AI37" i="2"/>
  <c r="DZ43" i="2"/>
  <c r="AD49" i="2"/>
  <c r="DZ46" i="2"/>
  <c r="Z11" i="2"/>
  <c r="AN28" i="2"/>
  <c r="BR28" i="2"/>
  <c r="AO8" i="2"/>
  <c r="AJ20" i="2"/>
  <c r="K23" i="2"/>
  <c r="Y10" i="2"/>
  <c r="AS16" i="2"/>
  <c r="K17" i="2"/>
  <c r="AD13" i="2"/>
  <c r="AI31" i="2"/>
  <c r="AJ38" i="2"/>
  <c r="EB112" i="2"/>
  <c r="EB43" i="2"/>
  <c r="B2" i="3"/>
  <c r="J37" i="2"/>
  <c r="J31" i="2"/>
  <c r="J40" i="2"/>
  <c r="J13" i="2"/>
  <c r="AT77" i="2"/>
  <c r="AT32" i="2"/>
  <c r="AT14" i="2"/>
  <c r="AT17" i="2"/>
  <c r="C2" i="3"/>
  <c r="I2" i="3"/>
  <c r="AS76" i="2"/>
  <c r="AS43" i="2"/>
  <c r="O2" i="3"/>
  <c r="U47" i="2"/>
  <c r="U56" i="2"/>
  <c r="J7" i="2"/>
  <c r="AN7" i="2"/>
  <c r="J22" i="2"/>
  <c r="AD10" i="2"/>
  <c r="EB16" i="2"/>
  <c r="AI13" i="2"/>
  <c r="DZ40" i="2"/>
  <c r="AJ41" i="2"/>
  <c r="AS37" i="2"/>
  <c r="DZ37" i="2"/>
  <c r="DZ44" i="2"/>
  <c r="AI49" i="2"/>
  <c r="CV109" i="2"/>
  <c r="CV106" i="2"/>
  <c r="AT8" i="2"/>
  <c r="CV23" i="2"/>
  <c r="AI10" i="2"/>
  <c r="AJ11" i="2"/>
  <c r="CV17" i="2"/>
  <c r="K14" i="2"/>
  <c r="EB40" i="2"/>
  <c r="AO41" i="2"/>
  <c r="DX41" i="2"/>
  <c r="AS31" i="2"/>
  <c r="DZ31" i="2"/>
  <c r="AJ32" i="2"/>
  <c r="DX32" i="2"/>
  <c r="AO38" i="2"/>
  <c r="DX38" i="2"/>
  <c r="T22" i="2"/>
  <c r="U23" i="2"/>
  <c r="AO11" i="2"/>
  <c r="J16" i="2"/>
  <c r="EB31" i="2"/>
  <c r="AO32" i="2"/>
  <c r="EB37" i="2"/>
  <c r="CV25" i="2"/>
  <c r="D2" i="3"/>
  <c r="T58" i="2"/>
  <c r="T49" i="2"/>
  <c r="T46" i="2"/>
  <c r="T34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28" i="2"/>
  <c r="Z53" i="2"/>
  <c r="Z26" i="2"/>
  <c r="Z38" i="2"/>
  <c r="T28" i="2"/>
  <c r="AX28" i="2"/>
  <c r="CB28" i="2"/>
  <c r="DV97" i="2" s="1"/>
  <c r="EB28" i="2"/>
  <c r="Z29" i="2"/>
  <c r="AN10" i="2"/>
  <c r="CV16" i="2"/>
  <c r="AS13" i="2"/>
  <c r="CV14" i="2"/>
  <c r="DZ41" i="2"/>
  <c r="DZ32" i="2"/>
  <c r="DZ38" i="2"/>
  <c r="DZ50" i="2"/>
  <c r="AE56" i="2"/>
  <c r="AS10" i="2"/>
  <c r="AT11" i="2"/>
  <c r="EB13" i="2"/>
  <c r="EB41" i="2"/>
  <c r="EB32" i="2"/>
  <c r="CV43" i="2"/>
  <c r="T25" i="2"/>
  <c r="AN58" i="2"/>
  <c r="EB61" i="2"/>
  <c r="EB116" i="2"/>
  <c r="EB104" i="2"/>
  <c r="EB83" i="2"/>
  <c r="EB95" i="2"/>
  <c r="EB86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32" i="2"/>
  <c r="AE41" i="2"/>
  <c r="AE14" i="2"/>
  <c r="BC28" i="2"/>
  <c r="CG28" i="2"/>
  <c r="DX25" i="2" s="1"/>
  <c r="AE29" i="2"/>
  <c r="AD22" i="2"/>
  <c r="AE23" i="2"/>
  <c r="EB10" i="2"/>
  <c r="EB11" i="2"/>
  <c r="AE17" i="2"/>
  <c r="Z14" i="2"/>
  <c r="CV40" i="2"/>
  <c r="EB38" i="2"/>
  <c r="E2" i="3"/>
  <c r="Y43" i="2"/>
  <c r="Y37" i="2"/>
  <c r="Y13" i="2"/>
  <c r="F2" i="3"/>
  <c r="AD76" i="2"/>
  <c r="L2" i="3"/>
  <c r="R2" i="3"/>
  <c r="EB20" i="2"/>
  <c r="AI22" i="2"/>
  <c r="AJ23" i="2"/>
  <c r="K11" i="2"/>
  <c r="AJ17" i="2"/>
  <c r="DX17" i="2"/>
  <c r="T40" i="2"/>
  <c r="K41" i="2"/>
  <c r="CV31" i="2"/>
  <c r="CV37" i="2"/>
  <c r="DX35" i="2"/>
  <c r="AS55" i="2"/>
  <c r="DZ55" i="2"/>
  <c r="J43" i="2"/>
  <c r="J25" i="2"/>
  <c r="U26" i="2"/>
  <c r="EB50" i="2"/>
  <c r="AD55" i="2"/>
  <c r="AT38" i="2"/>
  <c r="AS34" i="2"/>
  <c r="DZ34" i="2"/>
  <c r="AT35" i="2"/>
  <c r="U59" i="2"/>
  <c r="Y25" i="2"/>
  <c r="U50" i="2"/>
  <c r="AJ56" i="2"/>
  <c r="J34" i="2"/>
  <c r="DX26" i="2"/>
  <c r="AS49" i="2"/>
  <c r="DZ49" i="2"/>
  <c r="EB58" i="2"/>
  <c r="EB55" i="2"/>
  <c r="EB46" i="2"/>
  <c r="DX44" i="2"/>
  <c r="CV34" i="2"/>
  <c r="AD43" i="2"/>
  <c r="AT44" i="2"/>
  <c r="U35" i="2"/>
  <c r="EB26" i="2"/>
  <c r="EB49" i="2"/>
  <c r="AE50" i="2"/>
  <c r="CV58" i="2"/>
  <c r="DX59" i="2"/>
  <c r="CV46" i="2"/>
  <c r="Y52" i="2"/>
  <c r="DX53" i="2"/>
  <c r="EB44" i="2"/>
  <c r="AN25" i="2"/>
  <c r="AJ50" i="2"/>
  <c r="AO59" i="2"/>
  <c r="DZ59" i="2"/>
  <c r="DZ47" i="2"/>
  <c r="DZ25" i="2"/>
  <c r="J49" i="2"/>
  <c r="CV55" i="2"/>
  <c r="EB56" i="2"/>
  <c r="EB47" i="2"/>
  <c r="EB62" i="2"/>
  <c r="CV98" i="2"/>
  <c r="AD34" i="2"/>
  <c r="AE35" i="2"/>
  <c r="CV49" i="2"/>
  <c r="DX50" i="2"/>
  <c r="AD58" i="2"/>
  <c r="T55" i="2"/>
  <c r="CV56" i="2"/>
  <c r="CV47" i="2"/>
  <c r="CV53" i="2"/>
  <c r="DZ76" i="2"/>
  <c r="AJ35" i="2"/>
  <c r="EB25" i="2"/>
  <c r="AT50" i="2"/>
  <c r="CV52" i="2"/>
  <c r="EB52" i="2"/>
  <c r="CV61" i="2"/>
  <c r="DZ62" i="2"/>
  <c r="CV77" i="2"/>
  <c r="EB91" i="2"/>
  <c r="DZ98" i="2"/>
  <c r="AE59" i="2"/>
  <c r="CV91" i="2"/>
  <c r="EB98" i="2"/>
  <c r="EB76" i="2"/>
  <c r="EB53" i="2"/>
  <c r="DZ79" i="2"/>
  <c r="DZ80" i="2"/>
  <c r="DX47" i="2"/>
  <c r="CV79" i="2"/>
  <c r="EB79" i="2"/>
  <c r="AT56" i="2"/>
  <c r="J46" i="2"/>
  <c r="EB80" i="2"/>
  <c r="AS97" i="2"/>
  <c r="DX97" i="2"/>
  <c r="EC65" i="2"/>
  <c r="DX77" i="2"/>
  <c r="DX91" i="2"/>
  <c r="AJ92" i="2"/>
  <c r="J55" i="2"/>
  <c r="DX56" i="2"/>
  <c r="DZ52" i="2"/>
  <c r="DZ77" i="2"/>
  <c r="CV80" i="2"/>
  <c r="DZ86" i="2"/>
  <c r="DZ61" i="2"/>
  <c r="DZ91" i="2"/>
  <c r="EB97" i="2"/>
  <c r="CV85" i="2"/>
  <c r="EB77" i="2"/>
  <c r="DX88" i="2"/>
  <c r="EB100" i="2"/>
  <c r="CV97" i="2"/>
  <c r="CV88" i="2"/>
  <c r="CV100" i="2"/>
  <c r="DX82" i="2"/>
  <c r="AN76" i="2"/>
  <c r="EB88" i="2"/>
  <c r="CV103" i="2"/>
  <c r="EB107" i="2"/>
  <c r="AE77" i="2"/>
  <c r="AI91" i="2"/>
  <c r="DZ92" i="2"/>
  <c r="DZ95" i="2"/>
  <c r="CV76" i="2"/>
  <c r="AT80" i="2"/>
  <c r="DX80" i="2"/>
  <c r="AT98" i="2"/>
  <c r="DZ89" i="2"/>
  <c r="AO77" i="2"/>
  <c r="AS79" i="2"/>
  <c r="DX79" i="2"/>
  <c r="EB92" i="2"/>
  <c r="EB89" i="2"/>
  <c r="CV89" i="2"/>
  <c r="EB94" i="2"/>
  <c r="DZ82" i="2"/>
  <c r="CV110" i="2"/>
  <c r="EB82" i="2"/>
  <c r="DZ103" i="2"/>
  <c r="EB85" i="2"/>
  <c r="CV94" i="2"/>
  <c r="CV107" i="2"/>
  <c r="EB103" i="2"/>
  <c r="DX101" i="2"/>
  <c r="DZ88" i="2"/>
  <c r="DZ101" i="2"/>
  <c r="DX106" i="2"/>
  <c r="EB101" i="2"/>
  <c r="CV82" i="2"/>
  <c r="DZ104" i="2"/>
  <c r="DZ106" i="2"/>
  <c r="DX107" i="2"/>
  <c r="DZ109" i="2"/>
  <c r="DX112" i="2"/>
  <c r="CV101" i="2"/>
  <c r="EB109" i="2"/>
  <c r="DX86" i="2"/>
  <c r="CV112" i="2"/>
  <c r="DZ97" i="2"/>
  <c r="DX89" i="2"/>
  <c r="DX94" i="2"/>
  <c r="CV95" i="2"/>
  <c r="DX95" i="2"/>
  <c r="DZ100" i="2"/>
  <c r="CV104" i="2"/>
  <c r="DX116" i="2"/>
  <c r="EB110" i="2"/>
  <c r="DX113" i="2"/>
  <c r="DX115" i="2"/>
  <c r="EB113" i="2"/>
  <c r="DZ107" i="2"/>
  <c r="CV115" i="2"/>
  <c r="EB106" i="2"/>
  <c r="CV113" i="2"/>
  <c r="I17" i="8"/>
  <c r="EB115" i="2"/>
  <c r="DZ112" i="2"/>
  <c r="CV116" i="2"/>
  <c r="BG23" i="5"/>
  <c r="BS23" i="5"/>
  <c r="DT97" i="2" l="1"/>
  <c r="DT100" i="2"/>
  <c r="DT79" i="2"/>
  <c r="DT92" i="2"/>
  <c r="DT80" i="2"/>
  <c r="DT58" i="2"/>
  <c r="DT56" i="2"/>
  <c r="DT83" i="2"/>
  <c r="DT95" i="2"/>
  <c r="DT62" i="2"/>
  <c r="DT110" i="2"/>
  <c r="DT113" i="2"/>
  <c r="DT101" i="2"/>
  <c r="DT116" i="2"/>
  <c r="DT107" i="2"/>
  <c r="DT77" i="2"/>
  <c r="DT98" i="2"/>
  <c r="DT106" i="2"/>
  <c r="DT55" i="2"/>
  <c r="DT115" i="2"/>
  <c r="DT94" i="2"/>
  <c r="DT76" i="2"/>
  <c r="DT109" i="2"/>
  <c r="DT88" i="2"/>
  <c r="DT61" i="2"/>
  <c r="DT103" i="2"/>
  <c r="DT91" i="2"/>
  <c r="DT112" i="2"/>
  <c r="DT85" i="2"/>
  <c r="DT82" i="2"/>
  <c r="DV50" i="2"/>
  <c r="DV110" i="2"/>
  <c r="DV104" i="2"/>
  <c r="DV62" i="2"/>
  <c r="DV113" i="2"/>
  <c r="DV86" i="2"/>
  <c r="DV59" i="2"/>
  <c r="DV14" i="2"/>
  <c r="DV26" i="2"/>
  <c r="DV38" i="2"/>
  <c r="DV44" i="2"/>
  <c r="DV47" i="2"/>
  <c r="DV23" i="2"/>
  <c r="DV116" i="2"/>
  <c r="DV80" i="2"/>
  <c r="DV56" i="2"/>
  <c r="DV95" i="2"/>
  <c r="DV29" i="2"/>
  <c r="DV89" i="2"/>
  <c r="DV41" i="2"/>
  <c r="DV83" i="2"/>
  <c r="DV92" i="2"/>
  <c r="DV53" i="2"/>
  <c r="DV101" i="2"/>
  <c r="DV98" i="2"/>
  <c r="DV96" i="2" s="1"/>
  <c r="BY96" i="2" s="1"/>
  <c r="DV77" i="2"/>
  <c r="DV107" i="2"/>
  <c r="DV17" i="2"/>
  <c r="DV11" i="2"/>
  <c r="DT86" i="2"/>
  <c r="DT89" i="2"/>
  <c r="DT104" i="2"/>
  <c r="DT59" i="2"/>
  <c r="DV8" i="2"/>
  <c r="DV35" i="2"/>
  <c r="DV109" i="2"/>
  <c r="DV106" i="2"/>
  <c r="DV79" i="2"/>
  <c r="DV100" i="2"/>
  <c r="DV112" i="2"/>
  <c r="DV94" i="2"/>
  <c r="DV82" i="2"/>
  <c r="DV20" i="2"/>
  <c r="DV32" i="2"/>
  <c r="DV31" i="2"/>
  <c r="CX106" i="2"/>
  <c r="DR76" i="2"/>
  <c r="DR56" i="2"/>
  <c r="DR104" i="2"/>
  <c r="DR110" i="2"/>
  <c r="DR101" i="2"/>
  <c r="DR113" i="2"/>
  <c r="DR107" i="2"/>
  <c r="DR98" i="2"/>
  <c r="DR92" i="2"/>
  <c r="DR59" i="2"/>
  <c r="DR95" i="2"/>
  <c r="DR89" i="2"/>
  <c r="DR83" i="2"/>
  <c r="DR77" i="2"/>
  <c r="DR14" i="2"/>
  <c r="DR20" i="2"/>
  <c r="DR41" i="2"/>
  <c r="DR80" i="2"/>
  <c r="DR116" i="2"/>
  <c r="DR86" i="2"/>
  <c r="DR47" i="2"/>
  <c r="DR29" i="2"/>
  <c r="DR85" i="2"/>
  <c r="DR106" i="2"/>
  <c r="DR91" i="2"/>
  <c r="DR58" i="2"/>
  <c r="DR115" i="2"/>
  <c r="DR103" i="2"/>
  <c r="DR94" i="2"/>
  <c r="DR100" i="2"/>
  <c r="DR82" i="2"/>
  <c r="DR109" i="2"/>
  <c r="DR88" i="2"/>
  <c r="DR46" i="2"/>
  <c r="N5" i="3"/>
  <c r="DR7" i="2" s="1"/>
  <c r="DR79" i="2"/>
  <c r="N6" i="3"/>
  <c r="DR31" i="2" s="1"/>
  <c r="N22" i="3"/>
  <c r="N13" i="3"/>
  <c r="DR52" i="2" s="1"/>
  <c r="N29" i="3"/>
  <c r="N18" i="3"/>
  <c r="N21" i="3"/>
  <c r="N4" i="3"/>
  <c r="DR11" i="2" s="1"/>
  <c r="N20" i="3"/>
  <c r="N17" i="3"/>
  <c r="N9" i="3"/>
  <c r="N8" i="3"/>
  <c r="N24" i="3"/>
  <c r="N3" i="3"/>
  <c r="DR25" i="2" s="1"/>
  <c r="N15" i="3"/>
  <c r="N10" i="3"/>
  <c r="DR35" i="2" s="1"/>
  <c r="N26" i="3"/>
  <c r="N7" i="3"/>
  <c r="N23" i="3"/>
  <c r="N12" i="3"/>
  <c r="DR53" i="2" s="1"/>
  <c r="N28" i="3"/>
  <c r="N11" i="3"/>
  <c r="N25" i="3"/>
  <c r="N14" i="3"/>
  <c r="N30" i="3"/>
  <c r="N19" i="3"/>
  <c r="N27" i="3"/>
  <c r="DN77" i="2"/>
  <c r="DP106" i="2"/>
  <c r="DP79" i="2"/>
  <c r="DP76" i="2"/>
  <c r="DP109" i="2"/>
  <c r="DP115" i="2"/>
  <c r="DP88" i="2"/>
  <c r="DP91" i="2"/>
  <c r="DP40" i="2"/>
  <c r="DP58" i="2"/>
  <c r="DP97" i="2"/>
  <c r="DP55" i="2"/>
  <c r="DP28" i="2"/>
  <c r="DP10" i="2"/>
  <c r="DP112" i="2"/>
  <c r="DP103" i="2"/>
  <c r="DP85" i="2"/>
  <c r="DP116" i="2"/>
  <c r="DP59" i="2"/>
  <c r="DP98" i="2"/>
  <c r="DP104" i="2"/>
  <c r="DP107" i="2"/>
  <c r="DP92" i="2"/>
  <c r="DP113" i="2"/>
  <c r="DP29" i="2"/>
  <c r="DP77" i="2"/>
  <c r="DP41" i="2"/>
  <c r="DP89" i="2"/>
  <c r="DP56" i="2"/>
  <c r="DP110" i="2"/>
  <c r="DP80" i="2"/>
  <c r="DP8" i="2"/>
  <c r="DP11" i="2"/>
  <c r="DP86" i="2"/>
  <c r="DP7" i="2"/>
  <c r="DN38" i="2"/>
  <c r="DN109" i="2"/>
  <c r="DN80" i="2"/>
  <c r="DN107" i="2"/>
  <c r="DN110" i="2"/>
  <c r="DN17" i="2"/>
  <c r="DN92" i="2"/>
  <c r="DN98" i="2"/>
  <c r="DN59" i="2"/>
  <c r="DN116" i="2"/>
  <c r="DN56" i="2"/>
  <c r="DN95" i="2"/>
  <c r="DN104" i="2"/>
  <c r="DN44" i="2"/>
  <c r="DN113" i="2"/>
  <c r="DN83" i="2"/>
  <c r="DN101" i="2"/>
  <c r="DN82" i="2"/>
  <c r="DN100" i="2"/>
  <c r="DN103" i="2"/>
  <c r="DN76" i="2"/>
  <c r="DN79" i="2"/>
  <c r="DN112" i="2"/>
  <c r="DN37" i="2"/>
  <c r="DN16" i="2"/>
  <c r="DN43" i="2"/>
  <c r="DN91" i="2"/>
  <c r="DN97" i="2"/>
  <c r="DN55" i="2"/>
  <c r="DN58" i="2"/>
  <c r="DN106" i="2"/>
  <c r="DN115" i="2"/>
  <c r="DN94" i="2"/>
  <c r="DL86" i="2"/>
  <c r="DL110" i="2"/>
  <c r="DL47" i="2"/>
  <c r="DL62" i="2"/>
  <c r="DL112" i="2"/>
  <c r="DL101" i="2"/>
  <c r="DL92" i="2"/>
  <c r="DL83" i="2"/>
  <c r="DL38" i="2"/>
  <c r="DL107" i="2"/>
  <c r="DL77" i="2"/>
  <c r="DL59" i="2"/>
  <c r="DL50" i="2"/>
  <c r="DL104" i="2"/>
  <c r="DL89" i="2"/>
  <c r="DL98" i="2"/>
  <c r="DL113" i="2"/>
  <c r="DL95" i="2"/>
  <c r="DL29" i="2"/>
  <c r="DL116" i="2"/>
  <c r="DL80" i="2"/>
  <c r="DL53" i="2"/>
  <c r="DL109" i="2"/>
  <c r="DL106" i="2"/>
  <c r="DL115" i="2"/>
  <c r="DL88" i="2"/>
  <c r="K12" i="3"/>
  <c r="K18" i="3"/>
  <c r="K25" i="3"/>
  <c r="H65" i="1"/>
  <c r="J24" i="3"/>
  <c r="DJ113" i="2"/>
  <c r="DJ110" i="2"/>
  <c r="CZ92" i="2"/>
  <c r="CT80" i="2"/>
  <c r="DB94" i="2"/>
  <c r="DJ89" i="2"/>
  <c r="DJ83" i="2"/>
  <c r="DJ95" i="2"/>
  <c r="DJ116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101" i="2"/>
  <c r="DJ44" i="2"/>
  <c r="K16" i="3"/>
  <c r="K15" i="3"/>
  <c r="CZ80" i="2"/>
  <c r="K24" i="3"/>
  <c r="DF83" i="2"/>
  <c r="CX112" i="2"/>
  <c r="CV90" i="2"/>
  <c r="L90" i="2" s="1"/>
  <c r="DJ86" i="2"/>
  <c r="DJ77" i="2"/>
  <c r="DJ62" i="2"/>
  <c r="DJ107" i="2"/>
  <c r="DJ104" i="2"/>
  <c r="DJ80" i="2"/>
  <c r="DJ98" i="2"/>
  <c r="DJ92" i="2"/>
  <c r="DJ23" i="2"/>
  <c r="DJ101" i="2"/>
  <c r="J30" i="3"/>
  <c r="J12" i="3"/>
  <c r="J20" i="3"/>
  <c r="J7" i="3"/>
  <c r="J15" i="3"/>
  <c r="J14" i="3"/>
  <c r="J17" i="3"/>
  <c r="DJ55" i="2" s="1"/>
  <c r="J16" i="3"/>
  <c r="J23" i="3"/>
  <c r="J26" i="3"/>
  <c r="J3" i="3"/>
  <c r="DJ14" i="2" s="1"/>
  <c r="J19" i="3"/>
  <c r="J28" i="3"/>
  <c r="J5" i="3"/>
  <c r="J21" i="3"/>
  <c r="J22" i="3"/>
  <c r="J18" i="3"/>
  <c r="DJ28" i="2" s="1"/>
  <c r="J9" i="3"/>
  <c r="J25" i="3"/>
  <c r="J6" i="3"/>
  <c r="J4" i="3"/>
  <c r="DJ11" i="2" s="1"/>
  <c r="J11" i="3"/>
  <c r="J27" i="3"/>
  <c r="J10" i="3"/>
  <c r="J8" i="3"/>
  <c r="DJ46" i="2" s="1"/>
  <c r="J13" i="3"/>
  <c r="CV42" i="2"/>
  <c r="L42" i="2" s="1"/>
  <c r="CV27" i="2"/>
  <c r="L27" i="2" s="1"/>
  <c r="DZ111" i="2"/>
  <c r="CI111" i="2" s="1"/>
  <c r="CV60" i="2"/>
  <c r="L60" i="2" s="1"/>
  <c r="DJ76" i="2"/>
  <c r="DZ33" i="2"/>
  <c r="CI33" i="2" s="1"/>
  <c r="EB27" i="2"/>
  <c r="CN27" i="2" s="1"/>
  <c r="DJ94" i="2"/>
  <c r="EB18" i="2"/>
  <c r="CN18" i="2" s="1"/>
  <c r="DJ88" i="2"/>
  <c r="DJ82" i="2"/>
  <c r="DJ100" i="2"/>
  <c r="DJ106" i="2"/>
  <c r="DJ91" i="2"/>
  <c r="DJ103" i="2"/>
  <c r="DJ79" i="2"/>
  <c r="DJ85" i="2"/>
  <c r="DJ115" i="2"/>
  <c r="DZ24" i="2"/>
  <c r="CI24" i="2" s="1"/>
  <c r="EB57" i="2"/>
  <c r="CN57" i="2" s="1"/>
  <c r="CV57" i="2"/>
  <c r="L57" i="2" s="1"/>
  <c r="DX90" i="2"/>
  <c r="CD90" i="2" s="1"/>
  <c r="DZ9" i="2"/>
  <c r="CI9" i="2" s="1"/>
  <c r="DZ27" i="2"/>
  <c r="CI27" i="2" s="1"/>
  <c r="EB102" i="2"/>
  <c r="CN102" i="2" s="1"/>
  <c r="EB84" i="2"/>
  <c r="CN84" i="2" s="1"/>
  <c r="DH116" i="2"/>
  <c r="CT62" i="2"/>
  <c r="CX98" i="2"/>
  <c r="DF35" i="2"/>
  <c r="CZ110" i="2"/>
  <c r="CZ86" i="2"/>
  <c r="DD43" i="2"/>
  <c r="CX53" i="2"/>
  <c r="CT95" i="2"/>
  <c r="CZ95" i="2"/>
  <c r="DF92" i="2"/>
  <c r="CT109" i="2"/>
  <c r="CZ116" i="2"/>
  <c r="CZ83" i="2"/>
  <c r="CZ56" i="2"/>
  <c r="CZ47" i="2"/>
  <c r="DL52" i="2"/>
  <c r="CT98" i="2"/>
  <c r="CZ104" i="2"/>
  <c r="DH89" i="2"/>
  <c r="CZ31" i="2"/>
  <c r="DF95" i="2"/>
  <c r="CZ35" i="2"/>
  <c r="DB46" i="2"/>
  <c r="DZ54" i="2"/>
  <c r="CI54" i="2" s="1"/>
  <c r="CV81" i="2"/>
  <c r="L81" i="2" s="1"/>
  <c r="CV84" i="2"/>
  <c r="L84" i="2" s="1"/>
  <c r="DZ18" i="2"/>
  <c r="CI18" i="2" s="1"/>
  <c r="CV39" i="2"/>
  <c r="L39" i="2" s="1"/>
  <c r="DX96" i="2"/>
  <c r="CD96" i="2" s="1"/>
  <c r="CV30" i="2"/>
  <c r="L30" i="2" s="1"/>
  <c r="DZ21" i="2"/>
  <c r="CI21" i="2" s="1"/>
  <c r="DZ96" i="2"/>
  <c r="CI96" i="2" s="1"/>
  <c r="EB6" i="2"/>
  <c r="CN6" i="2" s="1"/>
  <c r="DZ108" i="2"/>
  <c r="CI108" i="2" s="1"/>
  <c r="EB12" i="2"/>
  <c r="CN12" i="2" s="1"/>
  <c r="EB81" i="2"/>
  <c r="CN81" i="2" s="1"/>
  <c r="CV96" i="2"/>
  <c r="L96" i="2" s="1"/>
  <c r="DZ12" i="2"/>
  <c r="CI12" i="2" s="1"/>
  <c r="DZ15" i="2"/>
  <c r="CI15" i="2" s="1"/>
  <c r="DF116" i="2"/>
  <c r="CZ89" i="2"/>
  <c r="DB80" i="2"/>
  <c r="CZ17" i="2"/>
  <c r="CT58" i="2"/>
  <c r="DH53" i="2"/>
  <c r="DF62" i="2"/>
  <c r="DF53" i="2"/>
  <c r="DF56" i="2"/>
  <c r="CX43" i="2"/>
  <c r="DX109" i="2"/>
  <c r="DX108" i="2" s="1"/>
  <c r="CD108" i="2" s="1"/>
  <c r="DF107" i="2"/>
  <c r="DL103" i="2"/>
  <c r="EB93" i="2"/>
  <c r="CN93" i="2" s="1"/>
  <c r="DV76" i="2"/>
  <c r="DL85" i="2"/>
  <c r="CX92" i="2"/>
  <c r="EB24" i="2"/>
  <c r="CN24" i="2" s="1"/>
  <c r="DV58" i="2"/>
  <c r="DV55" i="2"/>
  <c r="DF13" i="2"/>
  <c r="CZ32" i="2"/>
  <c r="DF115" i="2"/>
  <c r="CT106" i="2"/>
  <c r="CX85" i="2"/>
  <c r="DV37" i="2"/>
  <c r="CZ61" i="2"/>
  <c r="DX7" i="2"/>
  <c r="DX6" i="2" s="1"/>
  <c r="CD6" i="2" s="1"/>
  <c r="DF110" i="2"/>
  <c r="CX88" i="2"/>
  <c r="CX80" i="2"/>
  <c r="CZ34" i="2"/>
  <c r="CT82" i="2"/>
  <c r="DB95" i="2"/>
  <c r="DB97" i="2"/>
  <c r="DF112" i="2"/>
  <c r="CZ107" i="2"/>
  <c r="CZ100" i="2"/>
  <c r="CZ101" i="2"/>
  <c r="DX85" i="2"/>
  <c r="DX84" i="2" s="1"/>
  <c r="CD84" i="2" s="1"/>
  <c r="DL100" i="2"/>
  <c r="CZ98" i="2"/>
  <c r="DH103" i="2"/>
  <c r="DL79" i="2"/>
  <c r="DV88" i="2"/>
  <c r="CV51" i="2"/>
  <c r="L51" i="2" s="1"/>
  <c r="DL49" i="2"/>
  <c r="DB115" i="2"/>
  <c r="DH40" i="2"/>
  <c r="DF113" i="2"/>
  <c r="DX100" i="2"/>
  <c r="DX99" i="2" s="1"/>
  <c r="CD99" i="2" s="1"/>
  <c r="DF104" i="2"/>
  <c r="DL91" i="2"/>
  <c r="CX95" i="2"/>
  <c r="DJ22" i="2"/>
  <c r="DH106" i="2"/>
  <c r="DB79" i="2"/>
  <c r="DB100" i="2"/>
  <c r="DL61" i="2"/>
  <c r="CZ59" i="2"/>
  <c r="DD88" i="2"/>
  <c r="CV6" i="2"/>
  <c r="L6" i="2" s="1"/>
  <c r="DB106" i="2"/>
  <c r="DZ81" i="2"/>
  <c r="CI81" i="2" s="1"/>
  <c r="CV48" i="2"/>
  <c r="L48" i="2" s="1"/>
  <c r="DZ48" i="2"/>
  <c r="CI48" i="2" s="1"/>
  <c r="DZ87" i="2"/>
  <c r="CI87" i="2" s="1"/>
  <c r="EB9" i="2"/>
  <c r="CN9" i="2" s="1"/>
  <c r="EB48" i="2"/>
  <c r="CN48" i="2" s="1"/>
  <c r="CV33" i="2"/>
  <c r="L33" i="2" s="1"/>
  <c r="DZ99" i="2"/>
  <c r="CI99" i="2" s="1"/>
  <c r="CV36" i="2"/>
  <c r="L36" i="2" s="1"/>
  <c r="EB114" i="2"/>
  <c r="CN114" i="2" s="1"/>
  <c r="DZ60" i="2"/>
  <c r="CI60" i="2" s="1"/>
  <c r="EB15" i="2"/>
  <c r="CN15" i="2" s="1"/>
  <c r="CV54" i="2"/>
  <c r="L54" i="2" s="1"/>
  <c r="CV24" i="2"/>
  <c r="L24" i="2" s="1"/>
  <c r="EB78" i="2"/>
  <c r="CN78" i="2" s="1"/>
  <c r="DZ51" i="2"/>
  <c r="CI51" i="2" s="1"/>
  <c r="DZ90" i="2"/>
  <c r="CI90" i="2" s="1"/>
  <c r="EB21" i="2"/>
  <c r="CN21" i="2" s="1"/>
  <c r="DX78" i="2"/>
  <c r="CD78" i="2" s="1"/>
  <c r="EB45" i="2"/>
  <c r="CN45" i="2" s="1"/>
  <c r="DX24" i="2"/>
  <c r="CD24" i="2" s="1"/>
  <c r="DX93" i="2"/>
  <c r="CD93" i="2" s="1"/>
  <c r="DZ6" i="2"/>
  <c r="CI6" i="2" s="1"/>
  <c r="DX105" i="2"/>
  <c r="CD105" i="2" s="1"/>
  <c r="DF97" i="2"/>
  <c r="CT116" i="2"/>
  <c r="DH112" i="2"/>
  <c r="DB112" i="2"/>
  <c r="DH107" i="2"/>
  <c r="CT100" i="2"/>
  <c r="CT104" i="2"/>
  <c r="CT101" i="2"/>
  <c r="DH82" i="2"/>
  <c r="DH85" i="2"/>
  <c r="DH92" i="2"/>
  <c r="DB86" i="2"/>
  <c r="CV45" i="2"/>
  <c r="L45" i="2" s="1"/>
  <c r="DX49" i="2"/>
  <c r="DX48" i="2" s="1"/>
  <c r="CD48" i="2" s="1"/>
  <c r="CZ16" i="2"/>
  <c r="DX52" i="2"/>
  <c r="DX51" i="2" s="1"/>
  <c r="CD51" i="2" s="1"/>
  <c r="DF34" i="2"/>
  <c r="DX10" i="2"/>
  <c r="DX9" i="2" s="1"/>
  <c r="CD9" i="2" s="1"/>
  <c r="EB30" i="2"/>
  <c r="CN30" i="2" s="1"/>
  <c r="DB61" i="2"/>
  <c r="DX37" i="2"/>
  <c r="DX36" i="2" s="1"/>
  <c r="CD36" i="2" s="1"/>
  <c r="DZ57" i="2"/>
  <c r="CI57" i="2" s="1"/>
  <c r="CV18" i="2"/>
  <c r="L18" i="2" s="1"/>
  <c r="DZ84" i="2"/>
  <c r="CI84" i="2" s="1"/>
  <c r="EB105" i="2"/>
  <c r="CN105" i="2" s="1"/>
  <c r="DB88" i="2"/>
  <c r="DD103" i="2"/>
  <c r="DF100" i="2"/>
  <c r="CZ103" i="2"/>
  <c r="CV93" i="2"/>
  <c r="L93" i="2" s="1"/>
  <c r="DD97" i="2"/>
  <c r="DF80" i="2"/>
  <c r="CT97" i="2"/>
  <c r="CX76" i="2"/>
  <c r="DB52" i="2"/>
  <c r="DH25" i="2"/>
  <c r="DD44" i="2"/>
  <c r="DB62" i="2"/>
  <c r="E30" i="3"/>
  <c r="E28" i="3"/>
  <c r="E26" i="3"/>
  <c r="E24" i="3"/>
  <c r="E22" i="3"/>
  <c r="E20" i="3"/>
  <c r="E18" i="3"/>
  <c r="E16" i="3"/>
  <c r="E14" i="3"/>
  <c r="E12" i="3"/>
  <c r="E10" i="3"/>
  <c r="CZ25" i="2" s="1"/>
  <c r="E8" i="3"/>
  <c r="CZ11" i="2" s="1"/>
  <c r="E6" i="3"/>
  <c r="CZ44" i="2" s="1"/>
  <c r="E4" i="3"/>
  <c r="E17" i="3"/>
  <c r="E29" i="3"/>
  <c r="E27" i="3"/>
  <c r="E25" i="3"/>
  <c r="E23" i="3"/>
  <c r="E15" i="3"/>
  <c r="E9" i="3"/>
  <c r="CZ38" i="2" s="1"/>
  <c r="E5" i="3"/>
  <c r="CZ20" i="2" s="1"/>
  <c r="E21" i="3"/>
  <c r="E13" i="3"/>
  <c r="E19" i="3"/>
  <c r="E11" i="3"/>
  <c r="E3" i="3"/>
  <c r="CZ29" i="2" s="1"/>
  <c r="E7" i="3"/>
  <c r="CZ52" i="2" s="1"/>
  <c r="CZ113" i="2"/>
  <c r="CZ62" i="2"/>
  <c r="DH91" i="2"/>
  <c r="DX13" i="2"/>
  <c r="DX12" i="2" s="1"/>
  <c r="CD12" i="2" s="1"/>
  <c r="DZ30" i="2"/>
  <c r="CI30" i="2" s="1"/>
  <c r="DB85" i="2"/>
  <c r="DZ39" i="2"/>
  <c r="CI39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DT43" i="2" s="1"/>
  <c r="O21" i="3"/>
  <c r="O13" i="3"/>
  <c r="DT53" i="2" s="1"/>
  <c r="O19" i="3"/>
  <c r="O11" i="3"/>
  <c r="O7" i="3"/>
  <c r="DT41" i="2" s="1"/>
  <c r="O3" i="3"/>
  <c r="DT28" i="2" s="1"/>
  <c r="O17" i="3"/>
  <c r="O29" i="3"/>
  <c r="O27" i="3"/>
  <c r="O25" i="3"/>
  <c r="DZ93" i="2"/>
  <c r="CI93" i="2" s="1"/>
  <c r="CZ106" i="2"/>
  <c r="DF109" i="2"/>
  <c r="DD112" i="2"/>
  <c r="DD116" i="2"/>
  <c r="CX82" i="2"/>
  <c r="DZ105" i="2"/>
  <c r="CI105" i="2" s="1"/>
  <c r="DD95" i="2"/>
  <c r="DF88" i="2"/>
  <c r="DD80" i="2"/>
  <c r="DB91" i="2"/>
  <c r="DX81" i="2"/>
  <c r="CD81" i="2" s="1"/>
  <c r="CV78" i="2"/>
  <c r="L78" i="2" s="1"/>
  <c r="DZ78" i="2"/>
  <c r="CI78" i="2" s="1"/>
  <c r="DD61" i="2"/>
  <c r="DF47" i="2"/>
  <c r="CX61" i="2"/>
  <c r="EB54" i="2"/>
  <c r="CN54" i="2" s="1"/>
  <c r="DF79" i="2"/>
  <c r="CT61" i="2"/>
  <c r="DH61" i="2"/>
  <c r="CX14" i="2"/>
  <c r="DL37" i="2"/>
  <c r="DH100" i="2"/>
  <c r="B30" i="3"/>
  <c r="B28" i="3"/>
  <c r="B26" i="3"/>
  <c r="B24" i="3"/>
  <c r="B22" i="3"/>
  <c r="B20" i="3"/>
  <c r="B18" i="3"/>
  <c r="CT55" i="2" s="1"/>
  <c r="B16" i="3"/>
  <c r="CT38" i="2" s="1"/>
  <c r="B14" i="3"/>
  <c r="B12" i="3"/>
  <c r="B10" i="3"/>
  <c r="CT47" i="2" s="1"/>
  <c r="B8" i="3"/>
  <c r="B6" i="3"/>
  <c r="B4" i="3"/>
  <c r="CT23" i="2" s="1"/>
  <c r="B19" i="3"/>
  <c r="B11" i="3"/>
  <c r="B7" i="3"/>
  <c r="B3" i="3"/>
  <c r="CT8" i="2" s="1"/>
  <c r="B17" i="3"/>
  <c r="CT26" i="2" s="1"/>
  <c r="B29" i="3"/>
  <c r="B27" i="3"/>
  <c r="B25" i="3"/>
  <c r="B23" i="3"/>
  <c r="B15" i="3"/>
  <c r="CT19" i="2" s="1"/>
  <c r="B9" i="3"/>
  <c r="CT14" i="2" s="1"/>
  <c r="B5" i="3"/>
  <c r="CT20" i="2" s="1"/>
  <c r="B21" i="3"/>
  <c r="B13" i="3"/>
  <c r="CT29" i="2" s="1"/>
  <c r="DR112" i="2"/>
  <c r="DR97" i="2"/>
  <c r="DR55" i="2"/>
  <c r="DR28" i="2"/>
  <c r="CZ41" i="2"/>
  <c r="DZ114" i="2"/>
  <c r="CI114" i="2" s="1"/>
  <c r="G30" i="3"/>
  <c r="G28" i="3"/>
  <c r="G26" i="3"/>
  <c r="G24" i="3"/>
  <c r="G22" i="3"/>
  <c r="G20" i="3"/>
  <c r="G18" i="3"/>
  <c r="DD55" i="2" s="1"/>
  <c r="G16" i="3"/>
  <c r="DD37" i="2" s="1"/>
  <c r="G14" i="3"/>
  <c r="DD38" i="2" s="1"/>
  <c r="G12" i="3"/>
  <c r="DD34" i="2" s="1"/>
  <c r="G10" i="3"/>
  <c r="G8" i="3"/>
  <c r="DD41" i="2" s="1"/>
  <c r="G6" i="3"/>
  <c r="DD13" i="2" s="1"/>
  <c r="G4" i="3"/>
  <c r="DD32" i="2" s="1"/>
  <c r="G29" i="3"/>
  <c r="G27" i="3"/>
  <c r="G25" i="3"/>
  <c r="G23" i="3"/>
  <c r="G15" i="3"/>
  <c r="DD11" i="2" s="1"/>
  <c r="G9" i="3"/>
  <c r="G5" i="3"/>
  <c r="DD17" i="2" s="1"/>
  <c r="G21" i="3"/>
  <c r="G13" i="3"/>
  <c r="G19" i="3"/>
  <c r="G11" i="3"/>
  <c r="DD40" i="2" s="1"/>
  <c r="G7" i="3"/>
  <c r="DD14" i="2" s="1"/>
  <c r="G3" i="3"/>
  <c r="DD46" i="2" s="1"/>
  <c r="G17" i="3"/>
  <c r="DD20" i="2" s="1"/>
  <c r="DR40" i="2"/>
  <c r="CZ23" i="2"/>
  <c r="DX19" i="2"/>
  <c r="DX18" i="2" s="1"/>
  <c r="CD18" i="2" s="1"/>
  <c r="CT91" i="2"/>
  <c r="DD82" i="2"/>
  <c r="CX79" i="2"/>
  <c r="DB92" i="2"/>
  <c r="CZ76" i="2"/>
  <c r="EB51" i="2"/>
  <c r="CN51" i="2" s="1"/>
  <c r="DF50" i="2"/>
  <c r="CZ46" i="2"/>
  <c r="DB47" i="2"/>
  <c r="DD76" i="2"/>
  <c r="DV115" i="2"/>
  <c r="DV103" i="2"/>
  <c r="DV85" i="2"/>
  <c r="DV91" i="2"/>
  <c r="DV52" i="2"/>
  <c r="DV61" i="2"/>
  <c r="DV49" i="2"/>
  <c r="DV25" i="2"/>
  <c r="DV43" i="2"/>
  <c r="DV28" i="2"/>
  <c r="DV13" i="2"/>
  <c r="CX17" i="2"/>
  <c r="EB42" i="2"/>
  <c r="CN42" i="2" s="1"/>
  <c r="DX40" i="2"/>
  <c r="DX39" i="2" s="1"/>
  <c r="CD39" i="2" s="1"/>
  <c r="DF94" i="2"/>
  <c r="DF91" i="2"/>
  <c r="DF55" i="2"/>
  <c r="DF49" i="2"/>
  <c r="DZ45" i="2"/>
  <c r="CI45" i="2" s="1"/>
  <c r="DV7" i="2"/>
  <c r="CZ88" i="2"/>
  <c r="DV16" i="2"/>
  <c r="DD101" i="2"/>
  <c r="DD109" i="2"/>
  <c r="CZ115" i="2"/>
  <c r="CZ82" i="2"/>
  <c r="DB82" i="2"/>
  <c r="CV111" i="2"/>
  <c r="L111" i="2" s="1"/>
  <c r="DD113" i="2"/>
  <c r="DH95" i="2"/>
  <c r="DB89" i="2"/>
  <c r="DF101" i="2"/>
  <c r="CZ79" i="2"/>
  <c r="CT79" i="2"/>
  <c r="DH47" i="2"/>
  <c r="DH46" i="2"/>
  <c r="DB113" i="2"/>
  <c r="DB110" i="2"/>
  <c r="DB107" i="2"/>
  <c r="DB83" i="2"/>
  <c r="DB101" i="2"/>
  <c r="DB53" i="2"/>
  <c r="DB26" i="2"/>
  <c r="DB98" i="2"/>
  <c r="DD79" i="2"/>
  <c r="DJ112" i="2"/>
  <c r="DJ109" i="2"/>
  <c r="DJ97" i="2"/>
  <c r="DJ43" i="2"/>
  <c r="DJ61" i="2"/>
  <c r="CX83" i="2"/>
  <c r="I29" i="3"/>
  <c r="I27" i="3"/>
  <c r="I25" i="3"/>
  <c r="I23" i="3"/>
  <c r="I21" i="3"/>
  <c r="I19" i="3"/>
  <c r="I17" i="3"/>
  <c r="DH49" i="2" s="1"/>
  <c r="I15" i="3"/>
  <c r="I13" i="3"/>
  <c r="DH31" i="2" s="1"/>
  <c r="I11" i="3"/>
  <c r="DH22" i="2" s="1"/>
  <c r="I9" i="3"/>
  <c r="DH23" i="2" s="1"/>
  <c r="I7" i="3"/>
  <c r="DH79" i="2" s="1"/>
  <c r="I5" i="3"/>
  <c r="I3" i="3"/>
  <c r="DH50" i="2" s="1"/>
  <c r="I20" i="3"/>
  <c r="I12" i="3"/>
  <c r="I8" i="3"/>
  <c r="DH16" i="2" s="1"/>
  <c r="I4" i="3"/>
  <c r="DH56" i="2" s="1"/>
  <c r="I18" i="3"/>
  <c r="DH77" i="2" s="1"/>
  <c r="I30" i="3"/>
  <c r="I28" i="3"/>
  <c r="I26" i="3"/>
  <c r="I24" i="3"/>
  <c r="I16" i="3"/>
  <c r="DH98" i="2" s="1"/>
  <c r="I10" i="3"/>
  <c r="I6" i="3"/>
  <c r="I14" i="3"/>
  <c r="I22" i="3"/>
  <c r="EB111" i="2"/>
  <c r="CN111" i="2" s="1"/>
  <c r="DV46" i="2"/>
  <c r="CZ94" i="2"/>
  <c r="CT113" i="2"/>
  <c r="CV114" i="2"/>
  <c r="L114" i="2" s="1"/>
  <c r="DD106" i="2"/>
  <c r="CT112" i="2"/>
  <c r="DD77" i="2"/>
  <c r="DH62" i="2"/>
  <c r="EB96" i="2"/>
  <c r="CN96" i="2" s="1"/>
  <c r="AJ69" i="1"/>
  <c r="AH69" i="1"/>
  <c r="DD62" i="2"/>
  <c r="DZ75" i="2"/>
  <c r="CI75" i="2" s="1"/>
  <c r="CT53" i="2"/>
  <c r="DD25" i="2"/>
  <c r="CZ50" i="2"/>
  <c r="DD100" i="2"/>
  <c r="DH41" i="2"/>
  <c r="CX115" i="2"/>
  <c r="CX103" i="2"/>
  <c r="CX109" i="2"/>
  <c r="CX97" i="2"/>
  <c r="CX91" i="2"/>
  <c r="CX52" i="2"/>
  <c r="CX10" i="2"/>
  <c r="EB39" i="2"/>
  <c r="CN39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9" i="2"/>
  <c r="DV40" i="2"/>
  <c r="DF46" i="2"/>
  <c r="CZ40" i="2"/>
  <c r="EB33" i="2"/>
  <c r="CN33" i="2" s="1"/>
  <c r="CX13" i="2"/>
  <c r="CV21" i="2"/>
  <c r="L21" i="2" s="1"/>
  <c r="CV9" i="2"/>
  <c r="L9" i="2" s="1"/>
  <c r="CX116" i="2"/>
  <c r="DD110" i="2"/>
  <c r="DD94" i="2"/>
  <c r="CV99" i="2"/>
  <c r="L99" i="2" s="1"/>
  <c r="DF61" i="2"/>
  <c r="CX62" i="2"/>
  <c r="DH59" i="2"/>
  <c r="DH26" i="2"/>
  <c r="DH58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6" i="2"/>
  <c r="DX45" i="2" s="1"/>
  <c r="CD45" i="2" s="1"/>
  <c r="DX58" i="2"/>
  <c r="DX57" i="2" s="1"/>
  <c r="CD57" i="2" s="1"/>
  <c r="DX55" i="2"/>
  <c r="DX54" i="2" s="1"/>
  <c r="CD54" i="2" s="1"/>
  <c r="DX28" i="2"/>
  <c r="DX27" i="2" s="1"/>
  <c r="CD27" i="2" s="1"/>
  <c r="DF14" i="2"/>
  <c r="DD83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9" i="2" s="1"/>
  <c r="H18" i="3"/>
  <c r="H30" i="3"/>
  <c r="H28" i="3"/>
  <c r="H26" i="3"/>
  <c r="H24" i="3"/>
  <c r="H16" i="3"/>
  <c r="H10" i="3"/>
  <c r="DF32" i="2" s="1"/>
  <c r="H6" i="3"/>
  <c r="DF20" i="2" s="1"/>
  <c r="H14" i="3"/>
  <c r="DF40" i="2" s="1"/>
  <c r="H22" i="3"/>
  <c r="CV75" i="2"/>
  <c r="L75" i="2" s="1"/>
  <c r="DD85" i="2"/>
  <c r="CT103" i="2"/>
  <c r="DH109" i="2"/>
  <c r="DX114" i="2"/>
  <c r="CD114" i="2" s="1"/>
  <c r="CX110" i="2"/>
  <c r="DF103" i="2"/>
  <c r="EB108" i="2"/>
  <c r="CN108" i="2" s="1"/>
  <c r="CT85" i="2"/>
  <c r="CT83" i="2"/>
  <c r="DF106" i="2"/>
  <c r="DH104" i="2"/>
  <c r="DD104" i="2"/>
  <c r="CV102" i="2"/>
  <c r="L102" i="2" s="1"/>
  <c r="CX100" i="2"/>
  <c r="CV87" i="2"/>
  <c r="L87" i="2" s="1"/>
  <c r="EB99" i="2"/>
  <c r="CN99" i="2" s="1"/>
  <c r="CT77" i="2"/>
  <c r="DD53" i="2"/>
  <c r="EB90" i="2"/>
  <c r="CN90" i="2" s="1"/>
  <c r="DF52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61" i="2" s="1"/>
  <c r="L30" i="3"/>
  <c r="L28" i="3"/>
  <c r="L26" i="3"/>
  <c r="L24" i="3"/>
  <c r="L22" i="3"/>
  <c r="L20" i="3"/>
  <c r="L18" i="3"/>
  <c r="L16" i="3"/>
  <c r="L14" i="3"/>
  <c r="L12" i="3"/>
  <c r="L10" i="3"/>
  <c r="L6" i="3"/>
  <c r="DN85" i="2" s="1"/>
  <c r="L8" i="3"/>
  <c r="L4" i="3"/>
  <c r="DL97" i="2"/>
  <c r="DL94" i="2"/>
  <c r="DL82" i="2"/>
  <c r="DL76" i="2"/>
  <c r="DL46" i="2"/>
  <c r="DL58" i="2"/>
  <c r="DL28" i="2"/>
  <c r="DV34" i="2"/>
  <c r="DZ36" i="2"/>
  <c r="CI36" i="2" s="1"/>
  <c r="DZ42" i="2"/>
  <c r="CI42" i="2" s="1"/>
  <c r="DR13" i="2"/>
  <c r="DF89" i="2"/>
  <c r="CV12" i="2"/>
  <c r="L12" i="2" s="1"/>
  <c r="CZ8" i="2"/>
  <c r="CT52" i="2"/>
  <c r="CX113" i="2"/>
  <c r="CX104" i="2"/>
  <c r="DD115" i="2"/>
  <c r="DH115" i="2"/>
  <c r="CT115" i="2"/>
  <c r="DB109" i="2"/>
  <c r="CZ112" i="2"/>
  <c r="DB103" i="2"/>
  <c r="DZ102" i="2"/>
  <c r="CI102" i="2" s="1"/>
  <c r="DB104" i="2"/>
  <c r="CT89" i="2"/>
  <c r="DD98" i="2"/>
  <c r="CX94" i="2"/>
  <c r="EB87" i="2"/>
  <c r="CN87" i="2" s="1"/>
  <c r="DH86" i="2"/>
  <c r="DX87" i="2"/>
  <c r="CD87" i="2" s="1"/>
  <c r="DH88" i="2"/>
  <c r="DH52" i="2"/>
  <c r="CZ91" i="2"/>
  <c r="CZ58" i="2"/>
  <c r="CZ49" i="2"/>
  <c r="D30" i="3"/>
  <c r="D28" i="3"/>
  <c r="D26" i="3"/>
  <c r="D24" i="3"/>
  <c r="D22" i="3"/>
  <c r="D20" i="3"/>
  <c r="D18" i="3"/>
  <c r="D16" i="3"/>
  <c r="D14" i="3"/>
  <c r="CX41" i="2" s="1"/>
  <c r="D12" i="3"/>
  <c r="CX58" i="2" s="1"/>
  <c r="D10" i="3"/>
  <c r="D8" i="3"/>
  <c r="CX19" i="2" s="1"/>
  <c r="D6" i="3"/>
  <c r="D4" i="3"/>
  <c r="CX28" i="2" s="1"/>
  <c r="D11" i="3"/>
  <c r="CX46" i="2" s="1"/>
  <c r="D7" i="3"/>
  <c r="CX25" i="2" s="1"/>
  <c r="D3" i="3"/>
  <c r="CX29" i="2" s="1"/>
  <c r="D17" i="3"/>
  <c r="D29" i="3"/>
  <c r="D27" i="3"/>
  <c r="D25" i="3"/>
  <c r="D23" i="3"/>
  <c r="D15" i="3"/>
  <c r="D9" i="3"/>
  <c r="CX47" i="2" s="1"/>
  <c r="D5" i="3"/>
  <c r="CX7" i="2" s="1"/>
  <c r="D21" i="3"/>
  <c r="D13" i="3"/>
  <c r="CX31" i="2" s="1"/>
  <c r="D19" i="3"/>
  <c r="CV105" i="2"/>
  <c r="L105" i="2" s="1"/>
  <c r="DF43" i="2"/>
  <c r="DD26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22" i="2"/>
  <c r="CZ7" i="2"/>
  <c r="CT76" i="2"/>
  <c r="DD107" i="2"/>
  <c r="DB116" i="2"/>
  <c r="DH83" i="2"/>
  <c r="CX86" i="2"/>
  <c r="CZ85" i="2"/>
  <c r="DD52" i="2"/>
  <c r="DB25" i="2"/>
  <c r="F30" i="3"/>
  <c r="F28" i="3"/>
  <c r="F26" i="3"/>
  <c r="F24" i="3"/>
  <c r="F22" i="3"/>
  <c r="F20" i="3"/>
  <c r="F18" i="3"/>
  <c r="DB58" i="2" s="1"/>
  <c r="F16" i="3"/>
  <c r="DB49" i="2" s="1"/>
  <c r="F14" i="3"/>
  <c r="DB22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0" i="2" s="1"/>
  <c r="F15" i="3"/>
  <c r="DB59" i="2" s="1"/>
  <c r="F13" i="3"/>
  <c r="DB20" i="2" s="1"/>
  <c r="F9" i="3"/>
  <c r="F5" i="3"/>
  <c r="DB17" i="2" s="1"/>
  <c r="F11" i="3"/>
  <c r="DB56" i="2" s="1"/>
  <c r="F3" i="3"/>
  <c r="DB16" i="2" s="1"/>
  <c r="F7" i="3"/>
  <c r="DB32" i="2" s="1"/>
  <c r="EB36" i="2"/>
  <c r="CN36" i="2" s="1"/>
  <c r="CV108" i="2"/>
  <c r="L108" i="2" s="1"/>
  <c r="DX16" i="2"/>
  <c r="DX15" i="2" s="1"/>
  <c r="CD15" i="2" s="1"/>
  <c r="CT92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V19" i="2"/>
  <c r="DR19" i="2"/>
  <c r="DV10" i="2"/>
  <c r="DH113" i="2"/>
  <c r="CZ109" i="2"/>
  <c r="DH110" i="2"/>
  <c r="CX101" i="2"/>
  <c r="CX107" i="2"/>
  <c r="CT88" i="2"/>
  <c r="DH94" i="2"/>
  <c r="DX111" i="2"/>
  <c r="CD111" i="2" s="1"/>
  <c r="DF82" i="2"/>
  <c r="DF85" i="2"/>
  <c r="DF98" i="2"/>
  <c r="CZ97" i="2"/>
  <c r="CT86" i="2"/>
  <c r="DF86" i="2"/>
  <c r="DD86" i="2"/>
  <c r="CX89" i="2"/>
  <c r="CT59" i="2"/>
  <c r="EB75" i="2"/>
  <c r="CN75" i="2" s="1"/>
  <c r="CZ55" i="2"/>
  <c r="DF44" i="2"/>
  <c r="CX44" i="2"/>
  <c r="EB60" i="2"/>
  <c r="CN60" i="2" s="1"/>
  <c r="CZ22" i="2"/>
  <c r="DX34" i="2"/>
  <c r="DX33" i="2" s="1"/>
  <c r="CD33" i="2" s="1"/>
  <c r="CV15" i="2"/>
  <c r="L15" i="2" s="1"/>
  <c r="DX31" i="2"/>
  <c r="DX30" i="2" s="1"/>
  <c r="CD30" i="2" s="1"/>
  <c r="DX43" i="2"/>
  <c r="DX42" i="2" s="1"/>
  <c r="CD42" i="2" s="1"/>
  <c r="CX11" i="2"/>
  <c r="CT110" i="2"/>
  <c r="CX38" i="2"/>
  <c r="DX22" i="2"/>
  <c r="DX21" i="2" s="1"/>
  <c r="CD21" i="2" s="1"/>
  <c r="CX16" i="2"/>
  <c r="CT94" i="2"/>
  <c r="DT78" i="2" l="1"/>
  <c r="BT78" i="2" s="1"/>
  <c r="DT46" i="2"/>
  <c r="DT47" i="2"/>
  <c r="DT52" i="2"/>
  <c r="DT51" i="2" s="1"/>
  <c r="BT51" i="2" s="1"/>
  <c r="DT49" i="2"/>
  <c r="DT50" i="2"/>
  <c r="DT44" i="2"/>
  <c r="DT42" i="2" s="1"/>
  <c r="BT42" i="2" s="1"/>
  <c r="DT57" i="2"/>
  <c r="BT57" i="2" s="1"/>
  <c r="DT111" i="2"/>
  <c r="BT111" i="2" s="1"/>
  <c r="DT37" i="2"/>
  <c r="DT96" i="2"/>
  <c r="BT96" i="2" s="1"/>
  <c r="DT38" i="2"/>
  <c r="DT40" i="2"/>
  <c r="DT39" i="2" s="1"/>
  <c r="BT39" i="2" s="1"/>
  <c r="DT87" i="2"/>
  <c r="BT87" i="2" s="1"/>
  <c r="DT99" i="2"/>
  <c r="BT99" i="2" s="1"/>
  <c r="DT114" i="2"/>
  <c r="BT114" i="2" s="1"/>
  <c r="DV102" i="2"/>
  <c r="BY102" i="2" s="1"/>
  <c r="DT105" i="2"/>
  <c r="BT105" i="2" s="1"/>
  <c r="DT54" i="2"/>
  <c r="BT54" i="2" s="1"/>
  <c r="DV39" i="2"/>
  <c r="BY39" i="2" s="1"/>
  <c r="DT93" i="2"/>
  <c r="BT93" i="2" s="1"/>
  <c r="DV42" i="2"/>
  <c r="BY42" i="2" s="1"/>
  <c r="DV9" i="2"/>
  <c r="BY9" i="2" s="1"/>
  <c r="DT90" i="2"/>
  <c r="BT90" i="2" s="1"/>
  <c r="DT60" i="2"/>
  <c r="BT60" i="2" s="1"/>
  <c r="DT75" i="2"/>
  <c r="BT75" i="2" s="1"/>
  <c r="DT81" i="2"/>
  <c r="BT81" i="2" s="1"/>
  <c r="DT108" i="2"/>
  <c r="BT108" i="2" s="1"/>
  <c r="DV105" i="2"/>
  <c r="BY105" i="2" s="1"/>
  <c r="DV24" i="2"/>
  <c r="BY24" i="2" s="1"/>
  <c r="DV48" i="2"/>
  <c r="BY48" i="2" s="1"/>
  <c r="DV27" i="2"/>
  <c r="BY27" i="2" s="1"/>
  <c r="DV60" i="2"/>
  <c r="BY60" i="2" s="1"/>
  <c r="DV111" i="2"/>
  <c r="BY111" i="2" s="1"/>
  <c r="DV36" i="2"/>
  <c r="BY36" i="2" s="1"/>
  <c r="DV75" i="2"/>
  <c r="BY75" i="2" s="1"/>
  <c r="DV93" i="2"/>
  <c r="BY93" i="2" s="1"/>
  <c r="DT102" i="2"/>
  <c r="BT102" i="2" s="1"/>
  <c r="DV57" i="2"/>
  <c r="BY57" i="2" s="1"/>
  <c r="DV33" i="2"/>
  <c r="BY33" i="2" s="1"/>
  <c r="AD69" i="1"/>
  <c r="DV12" i="2"/>
  <c r="BY12" i="2" s="1"/>
  <c r="DR111" i="2"/>
  <c r="BO111" i="2" s="1"/>
  <c r="DV54" i="2"/>
  <c r="BY54" i="2" s="1"/>
  <c r="DT84" i="2"/>
  <c r="BT84" i="2" s="1"/>
  <c r="DV84" i="2"/>
  <c r="BY84" i="2" s="1"/>
  <c r="DV114" i="2"/>
  <c r="BY114" i="2" s="1"/>
  <c r="DV90" i="2"/>
  <c r="BY90" i="2" s="1"/>
  <c r="AF69" i="1"/>
  <c r="DV87" i="2"/>
  <c r="BY87" i="2" s="1"/>
  <c r="DV51" i="2"/>
  <c r="BY51" i="2" s="1"/>
  <c r="DV78" i="2"/>
  <c r="BY78" i="2" s="1"/>
  <c r="DV45" i="2"/>
  <c r="BY45" i="2" s="1"/>
  <c r="DV99" i="2"/>
  <c r="BY99" i="2" s="1"/>
  <c r="DV21" i="2"/>
  <c r="BY21" i="2" s="1"/>
  <c r="DV108" i="2"/>
  <c r="BY108" i="2" s="1"/>
  <c r="DV81" i="2"/>
  <c r="BY81" i="2" s="1"/>
  <c r="DV15" i="2"/>
  <c r="BY15" i="2" s="1"/>
  <c r="DT29" i="2"/>
  <c r="DT27" i="2" s="1"/>
  <c r="BT27" i="2" s="1"/>
  <c r="DT13" i="2"/>
  <c r="DT14" i="2"/>
  <c r="DT22" i="2"/>
  <c r="DT23" i="2"/>
  <c r="DT16" i="2"/>
  <c r="DT17" i="2"/>
  <c r="DT10" i="2"/>
  <c r="DT11" i="2"/>
  <c r="DV6" i="2"/>
  <c r="BY6" i="2" s="1"/>
  <c r="DT7" i="2"/>
  <c r="DT8" i="2"/>
  <c r="DR54" i="2"/>
  <c r="BO54" i="2" s="1"/>
  <c r="DR39" i="2"/>
  <c r="BO39" i="2" s="1"/>
  <c r="CX105" i="2"/>
  <c r="Q105" i="2" s="1"/>
  <c r="DV30" i="2"/>
  <c r="BY30" i="2" s="1"/>
  <c r="DV18" i="2"/>
  <c r="BY18" i="2" s="1"/>
  <c r="DT25" i="2"/>
  <c r="DT26" i="2"/>
  <c r="DT34" i="2"/>
  <c r="DT35" i="2"/>
  <c r="DT31" i="2"/>
  <c r="DT32" i="2"/>
  <c r="DT19" i="2"/>
  <c r="DT20" i="2"/>
  <c r="DR57" i="2"/>
  <c r="BO57" i="2" s="1"/>
  <c r="DP101" i="2"/>
  <c r="ED101" i="2" s="1"/>
  <c r="DR114" i="2"/>
  <c r="BO114" i="2" s="1"/>
  <c r="DR37" i="2"/>
  <c r="DR105" i="2"/>
  <c r="BO105" i="2" s="1"/>
  <c r="DR96" i="2"/>
  <c r="BO96" i="2" s="1"/>
  <c r="DR45" i="2"/>
  <c r="BO45" i="2" s="1"/>
  <c r="DR75" i="2"/>
  <c r="BO75" i="2" s="1"/>
  <c r="DR102" i="2"/>
  <c r="BO102" i="2" s="1"/>
  <c r="DR93" i="2"/>
  <c r="BO93" i="2" s="1"/>
  <c r="DR99" i="2"/>
  <c r="BO99" i="2" s="1"/>
  <c r="DR43" i="2"/>
  <c r="DR51" i="2"/>
  <c r="BO51" i="2" s="1"/>
  <c r="DR12" i="2"/>
  <c r="BO12" i="2" s="1"/>
  <c r="DR27" i="2"/>
  <c r="BO27" i="2" s="1"/>
  <c r="DR44" i="2"/>
  <c r="DR87" i="2"/>
  <c r="BO87" i="2" s="1"/>
  <c r="DR16" i="2"/>
  <c r="DR78" i="2"/>
  <c r="BO78" i="2" s="1"/>
  <c r="DR34" i="2"/>
  <c r="DR33" i="2" s="1"/>
  <c r="BO33" i="2" s="1"/>
  <c r="DR32" i="2"/>
  <c r="DR30" i="2" s="1"/>
  <c r="BO30" i="2" s="1"/>
  <c r="DR23" i="2"/>
  <c r="DR84" i="2"/>
  <c r="BO84" i="2" s="1"/>
  <c r="DR18" i="2"/>
  <c r="BO18" i="2" s="1"/>
  <c r="DR26" i="2"/>
  <c r="DR24" i="2" s="1"/>
  <c r="BO24" i="2" s="1"/>
  <c r="AB69" i="1"/>
  <c r="DR108" i="2"/>
  <c r="BO108" i="2" s="1"/>
  <c r="DR81" i="2"/>
  <c r="BO81" i="2" s="1"/>
  <c r="DR90" i="2"/>
  <c r="BO90" i="2" s="1"/>
  <c r="DR17" i="2"/>
  <c r="DP75" i="2"/>
  <c r="BJ75" i="2" s="1"/>
  <c r="DR22" i="2"/>
  <c r="DR10" i="2"/>
  <c r="DR9" i="2" s="1"/>
  <c r="BO9" i="2" s="1"/>
  <c r="DR49" i="2"/>
  <c r="DR50" i="2"/>
  <c r="DR61" i="2"/>
  <c r="DR62" i="2"/>
  <c r="DR8" i="2"/>
  <c r="DR6" i="2" s="1"/>
  <c r="BO6" i="2" s="1"/>
  <c r="DR38" i="2"/>
  <c r="DP54" i="2"/>
  <c r="BJ54" i="2" s="1"/>
  <c r="DP96" i="2"/>
  <c r="BJ96" i="2" s="1"/>
  <c r="DN75" i="2"/>
  <c r="BE75" i="2" s="1"/>
  <c r="DP114" i="2"/>
  <c r="BJ114" i="2" s="1"/>
  <c r="DP90" i="2"/>
  <c r="BJ90" i="2" s="1"/>
  <c r="DP108" i="2"/>
  <c r="BJ108" i="2" s="1"/>
  <c r="DP27" i="2"/>
  <c r="BJ27" i="2" s="1"/>
  <c r="DP105" i="2"/>
  <c r="BJ105" i="2" s="1"/>
  <c r="DP39" i="2"/>
  <c r="BJ39" i="2" s="1"/>
  <c r="DP62" i="2"/>
  <c r="DP82" i="2"/>
  <c r="ED82" i="2" s="1"/>
  <c r="DP47" i="2"/>
  <c r="DP78" i="2"/>
  <c r="BJ78" i="2" s="1"/>
  <c r="DP102" i="2"/>
  <c r="BJ102" i="2" s="1"/>
  <c r="DP83" i="2"/>
  <c r="ED83" i="2" s="1"/>
  <c r="DP9" i="2"/>
  <c r="BJ9" i="2" s="1"/>
  <c r="DP87" i="2"/>
  <c r="BJ87" i="2" s="1"/>
  <c r="DP100" i="2"/>
  <c r="DP57" i="2"/>
  <c r="BJ57" i="2" s="1"/>
  <c r="DP95" i="2"/>
  <c r="ED95" i="2" s="1"/>
  <c r="DP111" i="2"/>
  <c r="BJ111" i="2" s="1"/>
  <c r="DP84" i="2"/>
  <c r="BJ84" i="2" s="1"/>
  <c r="DP94" i="2"/>
  <c r="DP44" i="2"/>
  <c r="DP38" i="2"/>
  <c r="DP53" i="2"/>
  <c r="DP50" i="2"/>
  <c r="DP61" i="2"/>
  <c r="DP52" i="2"/>
  <c r="DP49" i="2"/>
  <c r="DP6" i="2"/>
  <c r="BJ6" i="2" s="1"/>
  <c r="DP43" i="2"/>
  <c r="DP25" i="2"/>
  <c r="DP37" i="2"/>
  <c r="DP46" i="2"/>
  <c r="DP35" i="2"/>
  <c r="DP26" i="2"/>
  <c r="DP34" i="2"/>
  <c r="DP31" i="2"/>
  <c r="DP32" i="2"/>
  <c r="DP16" i="2"/>
  <c r="DP17" i="2"/>
  <c r="DP22" i="2"/>
  <c r="DP14" i="2"/>
  <c r="DP13" i="2"/>
  <c r="DP23" i="2"/>
  <c r="DP19" i="2"/>
  <c r="DP20" i="2"/>
  <c r="DN108" i="2"/>
  <c r="BE108" i="2" s="1"/>
  <c r="DN36" i="2"/>
  <c r="BE36" i="2" s="1"/>
  <c r="DN81" i="2"/>
  <c r="BE81" i="2" s="1"/>
  <c r="DN102" i="2"/>
  <c r="BE102" i="2" s="1"/>
  <c r="DN96" i="2"/>
  <c r="BE96" i="2" s="1"/>
  <c r="DN78" i="2"/>
  <c r="BE78" i="2" s="1"/>
  <c r="DN42" i="2"/>
  <c r="BE42" i="2" s="1"/>
  <c r="DN88" i="2"/>
  <c r="ED88" i="2" s="1"/>
  <c r="DN89" i="2"/>
  <c r="ED89" i="2" s="1"/>
  <c r="DN50" i="2"/>
  <c r="DN15" i="2"/>
  <c r="BE15" i="2" s="1"/>
  <c r="DN62" i="2"/>
  <c r="DN60" i="2" s="1"/>
  <c r="BE60" i="2" s="1"/>
  <c r="DN86" i="2"/>
  <c r="DN84" i="2" s="1"/>
  <c r="BE84" i="2" s="1"/>
  <c r="DN93" i="2"/>
  <c r="BE93" i="2" s="1"/>
  <c r="DN54" i="2"/>
  <c r="BE54" i="2" s="1"/>
  <c r="DN90" i="2"/>
  <c r="BE90" i="2" s="1"/>
  <c r="DN105" i="2"/>
  <c r="BE105" i="2" s="1"/>
  <c r="DN53" i="2"/>
  <c r="DN111" i="2"/>
  <c r="BE111" i="2" s="1"/>
  <c r="DN52" i="2"/>
  <c r="DN57" i="2"/>
  <c r="BE57" i="2" s="1"/>
  <c r="DN99" i="2"/>
  <c r="BE99" i="2" s="1"/>
  <c r="DN114" i="2"/>
  <c r="BE114" i="2" s="1"/>
  <c r="DN49" i="2"/>
  <c r="DN46" i="2"/>
  <c r="DN14" i="2"/>
  <c r="DN47" i="2"/>
  <c r="DN32" i="2"/>
  <c r="DN35" i="2"/>
  <c r="DN26" i="2"/>
  <c r="DN34" i="2"/>
  <c r="DN25" i="2"/>
  <c r="DN31" i="2"/>
  <c r="DN41" i="2"/>
  <c r="DN22" i="2"/>
  <c r="DN23" i="2"/>
  <c r="DN40" i="2"/>
  <c r="DN20" i="2"/>
  <c r="DN19" i="2"/>
  <c r="DN13" i="2"/>
  <c r="DN28" i="2"/>
  <c r="DN29" i="2"/>
  <c r="DN10" i="2"/>
  <c r="DN11" i="2"/>
  <c r="DN7" i="2"/>
  <c r="DN8" i="2"/>
  <c r="DL84" i="2"/>
  <c r="AZ84" i="2" s="1"/>
  <c r="DL102" i="2"/>
  <c r="AZ102" i="2" s="1"/>
  <c r="DL60" i="2"/>
  <c r="AZ60" i="2" s="1"/>
  <c r="DL22" i="2"/>
  <c r="DL45" i="2"/>
  <c r="AZ45" i="2" s="1"/>
  <c r="DL27" i="2"/>
  <c r="AZ27" i="2" s="1"/>
  <c r="DL90" i="2"/>
  <c r="AZ90" i="2" s="1"/>
  <c r="DL108" i="2"/>
  <c r="AZ108" i="2" s="1"/>
  <c r="DL34" i="2"/>
  <c r="DL105" i="2"/>
  <c r="AZ105" i="2" s="1"/>
  <c r="DL14" i="2"/>
  <c r="DL99" i="2"/>
  <c r="AZ99" i="2" s="1"/>
  <c r="DL13" i="2"/>
  <c r="DL35" i="2"/>
  <c r="DL23" i="2"/>
  <c r="DL43" i="2"/>
  <c r="DL56" i="2"/>
  <c r="DL48" i="2"/>
  <c r="AZ48" i="2" s="1"/>
  <c r="DL55" i="2"/>
  <c r="DL111" i="2"/>
  <c r="AZ111" i="2" s="1"/>
  <c r="DF81" i="2"/>
  <c r="AK81" i="2" s="1"/>
  <c r="DL16" i="2"/>
  <c r="DL10" i="2"/>
  <c r="DL11" i="2"/>
  <c r="DL75" i="2"/>
  <c r="AZ75" i="2" s="1"/>
  <c r="DL87" i="2"/>
  <c r="AZ87" i="2" s="1"/>
  <c r="DL78" i="2"/>
  <c r="AZ78" i="2" s="1"/>
  <c r="DL81" i="2"/>
  <c r="AZ81" i="2" s="1"/>
  <c r="DL7" i="2"/>
  <c r="DL114" i="2"/>
  <c r="AZ114" i="2" s="1"/>
  <c r="DL25" i="2"/>
  <c r="DL57" i="2"/>
  <c r="AZ57" i="2" s="1"/>
  <c r="DL51" i="2"/>
  <c r="AZ51" i="2" s="1"/>
  <c r="V69" i="1"/>
  <c r="DL96" i="2"/>
  <c r="AZ96" i="2" s="1"/>
  <c r="DL36" i="2"/>
  <c r="AZ36" i="2" s="1"/>
  <c r="DL93" i="2"/>
  <c r="AZ93" i="2" s="1"/>
  <c r="DL8" i="2"/>
  <c r="DL31" i="2"/>
  <c r="DL19" i="2"/>
  <c r="DL20" i="2"/>
  <c r="DL17" i="2"/>
  <c r="DL40" i="2"/>
  <c r="DL44" i="2"/>
  <c r="DL26" i="2"/>
  <c r="DL32" i="2"/>
  <c r="DL41" i="2"/>
  <c r="DJ93" i="2"/>
  <c r="AU93" i="2" s="1"/>
  <c r="CZ90" i="2"/>
  <c r="V90" i="2" s="1"/>
  <c r="DJ81" i="2"/>
  <c r="AU81" i="2" s="1"/>
  <c r="DJ87" i="2"/>
  <c r="AU87" i="2" s="1"/>
  <c r="CX111" i="2"/>
  <c r="Q111" i="2" s="1"/>
  <c r="DB93" i="2"/>
  <c r="AA93" i="2" s="1"/>
  <c r="DJ111" i="2"/>
  <c r="AU111" i="2" s="1"/>
  <c r="CZ78" i="2"/>
  <c r="V78" i="2" s="1"/>
  <c r="DJ108" i="2"/>
  <c r="AU108" i="2" s="1"/>
  <c r="DJ114" i="2"/>
  <c r="AU114" i="2" s="1"/>
  <c r="DJ42" i="2"/>
  <c r="AU42" i="2" s="1"/>
  <c r="DH99" i="2"/>
  <c r="AP99" i="2" s="1"/>
  <c r="CX75" i="2"/>
  <c r="Q75" i="2" s="1"/>
  <c r="DJ60" i="2"/>
  <c r="AU60" i="2" s="1"/>
  <c r="DJ84" i="2"/>
  <c r="AU84" i="2" s="1"/>
  <c r="DJ105" i="2"/>
  <c r="AU105" i="2" s="1"/>
  <c r="DJ78" i="2"/>
  <c r="AU78" i="2" s="1"/>
  <c r="DJ96" i="2"/>
  <c r="AU96" i="2" s="1"/>
  <c r="DJ52" i="2"/>
  <c r="DJ99" i="2"/>
  <c r="AU99" i="2" s="1"/>
  <c r="DJ16" i="2"/>
  <c r="DJ53" i="2"/>
  <c r="DJ21" i="2"/>
  <c r="AU21" i="2" s="1"/>
  <c r="T69" i="1"/>
  <c r="DJ90" i="2"/>
  <c r="AU90" i="2" s="1"/>
  <c r="DJ10" i="2"/>
  <c r="DJ9" i="2" s="1"/>
  <c r="AU9" i="2" s="1"/>
  <c r="DJ20" i="2"/>
  <c r="DJ102" i="2"/>
  <c r="AU102" i="2" s="1"/>
  <c r="DJ75" i="2"/>
  <c r="AU75" i="2" s="1"/>
  <c r="DJ59" i="2"/>
  <c r="DJ17" i="2"/>
  <c r="DJ47" i="2"/>
  <c r="DJ45" i="2" s="1"/>
  <c r="AU45" i="2" s="1"/>
  <c r="DJ49" i="2"/>
  <c r="DJ58" i="2"/>
  <c r="DJ29" i="2"/>
  <c r="DJ27" i="2" s="1"/>
  <c r="AU27" i="2" s="1"/>
  <c r="DJ56" i="2"/>
  <c r="DJ54" i="2" s="1"/>
  <c r="AU54" i="2" s="1"/>
  <c r="DJ31" i="2"/>
  <c r="DJ37" i="2"/>
  <c r="DJ35" i="2"/>
  <c r="DJ25" i="2"/>
  <c r="DJ40" i="2"/>
  <c r="DJ26" i="2"/>
  <c r="DJ50" i="2"/>
  <c r="DJ41" i="2"/>
  <c r="DJ8" i="2"/>
  <c r="DJ13" i="2"/>
  <c r="DJ12" i="2" s="1"/>
  <c r="AU12" i="2" s="1"/>
  <c r="DJ32" i="2"/>
  <c r="DJ34" i="2"/>
  <c r="DJ7" i="2"/>
  <c r="DJ38" i="2"/>
  <c r="DJ19" i="2"/>
  <c r="CZ13" i="2"/>
  <c r="CZ111" i="2"/>
  <c r="V111" i="2" s="1"/>
  <c r="CT10" i="2"/>
  <c r="DD59" i="2"/>
  <c r="CZ54" i="2"/>
  <c r="V54" i="2" s="1"/>
  <c r="CZ84" i="2"/>
  <c r="V84" i="2" s="1"/>
  <c r="DB99" i="2"/>
  <c r="AA99" i="2" s="1"/>
  <c r="CZ87" i="2"/>
  <c r="V87" i="2" s="1"/>
  <c r="CZ30" i="2"/>
  <c r="V30" i="2" s="1"/>
  <c r="CX93" i="2"/>
  <c r="Q93" i="2" s="1"/>
  <c r="CT105" i="2"/>
  <c r="G105" i="2" s="1"/>
  <c r="DF51" i="2"/>
  <c r="AK51" i="2" s="1"/>
  <c r="CZ114" i="2"/>
  <c r="V114" i="2" s="1"/>
  <c r="CX90" i="2"/>
  <c r="Q90" i="2" s="1"/>
  <c r="DF54" i="2"/>
  <c r="AK54" i="2" s="1"/>
  <c r="DH102" i="2"/>
  <c r="AP102" i="2" s="1"/>
  <c r="DF93" i="2"/>
  <c r="AK93" i="2" s="1"/>
  <c r="CX84" i="2"/>
  <c r="Q84" i="2" s="1"/>
  <c r="CZ57" i="2"/>
  <c r="V57" i="2" s="1"/>
  <c r="CZ81" i="2"/>
  <c r="V81" i="2" s="1"/>
  <c r="CX78" i="2"/>
  <c r="Q78" i="2" s="1"/>
  <c r="CZ33" i="2"/>
  <c r="V33" i="2" s="1"/>
  <c r="DB45" i="2"/>
  <c r="AA45" i="2" s="1"/>
  <c r="DD42" i="2"/>
  <c r="AF42" i="2" s="1"/>
  <c r="DB114" i="2"/>
  <c r="AA114" i="2" s="1"/>
  <c r="CX42" i="2"/>
  <c r="Q42" i="2" s="1"/>
  <c r="DB24" i="2"/>
  <c r="AA24" i="2" s="1"/>
  <c r="CZ96" i="2"/>
  <c r="V96" i="2" s="1"/>
  <c r="CZ15" i="2"/>
  <c r="V15" i="2" s="1"/>
  <c r="CZ45" i="2"/>
  <c r="V45" i="2" s="1"/>
  <c r="CX51" i="2"/>
  <c r="Q51" i="2" s="1"/>
  <c r="DH114" i="2"/>
  <c r="AP114" i="2" s="1"/>
  <c r="DD87" i="2"/>
  <c r="AF87" i="2" s="1"/>
  <c r="CT57" i="2"/>
  <c r="G57" i="2" s="1"/>
  <c r="CZ93" i="2"/>
  <c r="V93" i="2" s="1"/>
  <c r="CX96" i="2"/>
  <c r="Q96" i="2" s="1"/>
  <c r="DF90" i="2"/>
  <c r="AK90" i="2" s="1"/>
  <c r="DH34" i="2"/>
  <c r="DB105" i="2"/>
  <c r="AA105" i="2" s="1"/>
  <c r="DF12" i="2"/>
  <c r="AK12" i="2" s="1"/>
  <c r="CZ102" i="2"/>
  <c r="V102" i="2" s="1"/>
  <c r="DF33" i="2"/>
  <c r="AK33" i="2" s="1"/>
  <c r="DB84" i="2"/>
  <c r="AA84" i="2" s="1"/>
  <c r="DB78" i="2"/>
  <c r="AA78" i="2" s="1"/>
  <c r="CZ60" i="2"/>
  <c r="V60" i="2" s="1"/>
  <c r="DH14" i="2"/>
  <c r="DH39" i="2"/>
  <c r="AP39" i="2" s="1"/>
  <c r="DF114" i="2"/>
  <c r="AK114" i="2" s="1"/>
  <c r="DH87" i="2"/>
  <c r="AP87" i="2" s="1"/>
  <c r="CZ108" i="2"/>
  <c r="V108" i="2" s="1"/>
  <c r="DD99" i="2"/>
  <c r="AF99" i="2" s="1"/>
  <c r="DF108" i="2"/>
  <c r="AK108" i="2" s="1"/>
  <c r="CX87" i="2"/>
  <c r="Q87" i="2" s="1"/>
  <c r="DH51" i="2"/>
  <c r="AP51" i="2" s="1"/>
  <c r="DF60" i="2"/>
  <c r="AK60" i="2" s="1"/>
  <c r="DF102" i="2"/>
  <c r="AK102" i="2" s="1"/>
  <c r="CZ6" i="2"/>
  <c r="V6" i="2" s="1"/>
  <c r="DF105" i="2"/>
  <c r="AK105" i="2" s="1"/>
  <c r="CZ105" i="2"/>
  <c r="V105" i="2" s="1"/>
  <c r="CT81" i="2"/>
  <c r="G81" i="2" s="1"/>
  <c r="DB96" i="2"/>
  <c r="AA96" i="2" s="1"/>
  <c r="CZ21" i="2"/>
  <c r="V21" i="2" s="1"/>
  <c r="DD16" i="2"/>
  <c r="DD15" i="2" s="1"/>
  <c r="AF15" i="2" s="1"/>
  <c r="CZ28" i="2"/>
  <c r="CZ27" i="2" s="1"/>
  <c r="V27" i="2" s="1"/>
  <c r="DH105" i="2"/>
  <c r="AP105" i="2" s="1"/>
  <c r="DD51" i="2"/>
  <c r="AF51" i="2" s="1"/>
  <c r="CT49" i="2"/>
  <c r="DD31" i="2"/>
  <c r="DD30" i="2" s="1"/>
  <c r="AF30" i="2" s="1"/>
  <c r="DH7" i="2"/>
  <c r="DD22" i="2"/>
  <c r="DF111" i="2"/>
  <c r="AK111" i="2" s="1"/>
  <c r="DF78" i="2"/>
  <c r="AK78" i="2" s="1"/>
  <c r="DF48" i="2"/>
  <c r="AK48" i="2" s="1"/>
  <c r="CX15" i="2"/>
  <c r="Q15" i="2" s="1"/>
  <c r="DD56" i="2"/>
  <c r="DD54" i="2" s="1"/>
  <c r="AF54" i="2" s="1"/>
  <c r="DH93" i="2"/>
  <c r="AP93" i="2" s="1"/>
  <c r="CZ99" i="2"/>
  <c r="V99" i="2" s="1"/>
  <c r="DF58" i="2"/>
  <c r="DH90" i="2"/>
  <c r="AP90" i="2" s="1"/>
  <c r="DF16" i="2"/>
  <c r="DH35" i="2"/>
  <c r="CX32" i="2"/>
  <c r="CX30" i="2" s="1"/>
  <c r="Q30" i="2" s="1"/>
  <c r="CZ14" i="2"/>
  <c r="CZ10" i="2"/>
  <c r="CZ9" i="2" s="1"/>
  <c r="V9" i="2" s="1"/>
  <c r="CT35" i="2"/>
  <c r="CT31" i="2"/>
  <c r="CT11" i="2"/>
  <c r="DH11" i="2"/>
  <c r="DD114" i="2"/>
  <c r="AF114" i="2" s="1"/>
  <c r="CZ43" i="2"/>
  <c r="CZ42" i="2" s="1"/>
  <c r="V42" i="2" s="1"/>
  <c r="DB77" i="2"/>
  <c r="CX26" i="2"/>
  <c r="CX24" i="2" s="1"/>
  <c r="Q24" i="2" s="1"/>
  <c r="DB37" i="2"/>
  <c r="DH32" i="2"/>
  <c r="DH30" i="2" s="1"/>
  <c r="AP30" i="2" s="1"/>
  <c r="DH10" i="2"/>
  <c r="DD10" i="2"/>
  <c r="DD9" i="2" s="1"/>
  <c r="AF9" i="2" s="1"/>
  <c r="CZ37" i="2"/>
  <c r="CZ36" i="2" s="1"/>
  <c r="V36" i="2" s="1"/>
  <c r="DB44" i="2"/>
  <c r="CZ26" i="2"/>
  <c r="CZ24" i="2" s="1"/>
  <c r="V24" i="2" s="1"/>
  <c r="DH13" i="2"/>
  <c r="DH45" i="2"/>
  <c r="AP45" i="2" s="1"/>
  <c r="CX35" i="2"/>
  <c r="DH55" i="2"/>
  <c r="DH54" i="2" s="1"/>
  <c r="AP54" i="2" s="1"/>
  <c r="CT41" i="2"/>
  <c r="DH38" i="2"/>
  <c r="DF42" i="2"/>
  <c r="AK42" i="2" s="1"/>
  <c r="DD93" i="2"/>
  <c r="AF93" i="2" s="1"/>
  <c r="DF45" i="2"/>
  <c r="AK45" i="2" s="1"/>
  <c r="CT13" i="2"/>
  <c r="CT12" i="2" s="1"/>
  <c r="DF77" i="2"/>
  <c r="DH20" i="2"/>
  <c r="DF17" i="2"/>
  <c r="DD7" i="2"/>
  <c r="CX45" i="2"/>
  <c r="Q45" i="2" s="1"/>
  <c r="CT25" i="2"/>
  <c r="CT24" i="2" s="1"/>
  <c r="CT7" i="2"/>
  <c r="CT6" i="2" s="1"/>
  <c r="DD8" i="2"/>
  <c r="CX22" i="2"/>
  <c r="CX50" i="2"/>
  <c r="CT28" i="2"/>
  <c r="CT27" i="2" s="1"/>
  <c r="CZ53" i="2"/>
  <c r="CZ51" i="2" s="1"/>
  <c r="V51" i="2" s="1"/>
  <c r="DD49" i="2"/>
  <c r="DF7" i="2"/>
  <c r="DF6" i="2" s="1"/>
  <c r="AK6" i="2" s="1"/>
  <c r="CT22" i="2"/>
  <c r="CT21" i="2" s="1"/>
  <c r="CI67" i="2"/>
  <c r="DZ67" i="2" s="1"/>
  <c r="DD47" i="2"/>
  <c r="DD45" i="2" s="1"/>
  <c r="AF45" i="2" s="1"/>
  <c r="DB40" i="2"/>
  <c r="DB76" i="2"/>
  <c r="DH29" i="2"/>
  <c r="ED110" i="2"/>
  <c r="CT16" i="2"/>
  <c r="CT44" i="2"/>
  <c r="DD92" i="2"/>
  <c r="ED92" i="2" s="1"/>
  <c r="DD29" i="2"/>
  <c r="DF84" i="2"/>
  <c r="AK84" i="2" s="1"/>
  <c r="DB14" i="2"/>
  <c r="CX23" i="2"/>
  <c r="DH44" i="2"/>
  <c r="ED98" i="2"/>
  <c r="DH108" i="2"/>
  <c r="AP108" i="2" s="1"/>
  <c r="CT56" i="2"/>
  <c r="DH57" i="2"/>
  <c r="AP57" i="2" s="1"/>
  <c r="CZ39" i="2"/>
  <c r="V39" i="2" s="1"/>
  <c r="DH21" i="2"/>
  <c r="AP21" i="2" s="1"/>
  <c r="CZ19" i="2"/>
  <c r="CZ18" i="2" s="1"/>
  <c r="V18" i="2" s="1"/>
  <c r="CT43" i="2"/>
  <c r="DH81" i="2"/>
  <c r="AP81" i="2" s="1"/>
  <c r="L66" i="2"/>
  <c r="CV66" i="2" s="1"/>
  <c r="CI66" i="2"/>
  <c r="DZ66" i="2" s="1"/>
  <c r="DF31" i="2"/>
  <c r="DF30" i="2" s="1"/>
  <c r="AK30" i="2" s="1"/>
  <c r="DF19" i="2"/>
  <c r="DF18" i="2" s="1"/>
  <c r="AK18" i="2" s="1"/>
  <c r="DB15" i="2"/>
  <c r="AA15" i="2" s="1"/>
  <c r="CT17" i="2"/>
  <c r="DB29" i="2"/>
  <c r="DD35" i="2"/>
  <c r="DD33" i="2" s="1"/>
  <c r="AF33" i="2" s="1"/>
  <c r="CX8" i="2"/>
  <c r="CX6" i="2" s="1"/>
  <c r="Q6" i="2" s="1"/>
  <c r="DB102" i="2"/>
  <c r="AA102" i="2" s="1"/>
  <c r="DF10" i="2"/>
  <c r="DF9" i="2" s="1"/>
  <c r="AK9" i="2" s="1"/>
  <c r="CT34" i="2"/>
  <c r="DD111" i="2"/>
  <c r="AF111" i="2" s="1"/>
  <c r="DF28" i="2"/>
  <c r="DF27" i="2" s="1"/>
  <c r="AK27" i="2" s="1"/>
  <c r="DH8" i="2"/>
  <c r="DB31" i="2"/>
  <c r="DB30" i="2" s="1"/>
  <c r="AA30" i="2" s="1"/>
  <c r="DF38" i="2"/>
  <c r="DD91" i="2"/>
  <c r="CT50" i="2"/>
  <c r="DF99" i="2"/>
  <c r="AK99" i="2" s="1"/>
  <c r="CX12" i="2"/>
  <c r="Q12" i="2" s="1"/>
  <c r="DH97" i="2"/>
  <c r="DH96" i="2" s="1"/>
  <c r="AP96" i="2" s="1"/>
  <c r="CN66" i="2"/>
  <c r="EB66" i="2" s="1"/>
  <c r="CX56" i="2"/>
  <c r="DB43" i="2"/>
  <c r="CZ48" i="2"/>
  <c r="V48" i="2" s="1"/>
  <c r="DB108" i="2"/>
  <c r="AA108" i="2" s="1"/>
  <c r="DB8" i="2"/>
  <c r="DD28" i="2"/>
  <c r="CN67" i="2"/>
  <c r="EB67" i="2" s="1"/>
  <c r="DH43" i="2"/>
  <c r="DB48" i="2"/>
  <c r="AA48" i="2" s="1"/>
  <c r="DB57" i="2"/>
  <c r="AA57" i="2" s="1"/>
  <c r="CX27" i="2"/>
  <c r="Q27" i="2" s="1"/>
  <c r="CD67" i="2"/>
  <c r="DX67" i="2" s="1"/>
  <c r="CD66" i="2"/>
  <c r="DX66" i="2" s="1"/>
  <c r="CT93" i="2"/>
  <c r="DF76" i="2"/>
  <c r="CX99" i="2"/>
  <c r="Q99" i="2" s="1"/>
  <c r="DB13" i="2"/>
  <c r="CX114" i="2"/>
  <c r="Q114" i="2" s="1"/>
  <c r="DB35" i="2"/>
  <c r="DD78" i="2"/>
  <c r="AF78" i="2" s="1"/>
  <c r="DB55" i="2"/>
  <c r="DB54" i="2" s="1"/>
  <c r="AA54" i="2" s="1"/>
  <c r="DH19" i="2"/>
  <c r="DB90" i="2"/>
  <c r="AA90" i="2" s="1"/>
  <c r="CT108" i="2"/>
  <c r="CT37" i="2"/>
  <c r="DB19" i="2"/>
  <c r="DB18" i="2" s="1"/>
  <c r="AA18" i="2" s="1"/>
  <c r="CT40" i="2"/>
  <c r="DD36" i="2"/>
  <c r="AF36" i="2" s="1"/>
  <c r="CT87" i="2"/>
  <c r="CX36" i="2"/>
  <c r="Q36" i="2" s="1"/>
  <c r="CT51" i="2"/>
  <c r="CT102" i="2"/>
  <c r="ED103" i="2"/>
  <c r="DH17" i="2"/>
  <c r="DH15" i="2" s="1"/>
  <c r="AP15" i="2" s="1"/>
  <c r="DH48" i="2"/>
  <c r="AP48" i="2" s="1"/>
  <c r="DF23" i="2"/>
  <c r="DH76" i="2"/>
  <c r="DH75" i="2" s="1"/>
  <c r="AP75" i="2" s="1"/>
  <c r="DD50" i="2"/>
  <c r="DH80" i="2"/>
  <c r="ED80" i="2" s="1"/>
  <c r="DB51" i="2"/>
  <c r="AA51" i="2" s="1"/>
  <c r="DD102" i="2"/>
  <c r="AF102" i="2" s="1"/>
  <c r="CT32" i="2"/>
  <c r="DB60" i="2"/>
  <c r="AA60" i="2" s="1"/>
  <c r="DD84" i="2"/>
  <c r="AF84" i="2" s="1"/>
  <c r="DB10" i="2"/>
  <c r="DB9" i="2" s="1"/>
  <c r="AA9" i="2" s="1"/>
  <c r="ED112" i="2"/>
  <c r="CT111" i="2"/>
  <c r="DD12" i="2"/>
  <c r="AF12" i="2" s="1"/>
  <c r="DB87" i="2"/>
  <c r="AA87" i="2" s="1"/>
  <c r="DD58" i="2"/>
  <c r="ED104" i="2"/>
  <c r="DB7" i="2"/>
  <c r="DB34" i="2"/>
  <c r="DD105" i="2"/>
  <c r="AF105" i="2" s="1"/>
  <c r="DD108" i="2"/>
  <c r="AF108" i="2" s="1"/>
  <c r="CZ75" i="2"/>
  <c r="V75" i="2" s="1"/>
  <c r="CX60" i="2"/>
  <c r="Q60" i="2" s="1"/>
  <c r="DF26" i="2"/>
  <c r="DF59" i="2"/>
  <c r="CT99" i="2"/>
  <c r="DH37" i="2"/>
  <c r="CX9" i="2"/>
  <c r="Q9" i="2" s="1"/>
  <c r="CX40" i="2"/>
  <c r="CX39" i="2" s="1"/>
  <c r="Q39" i="2" s="1"/>
  <c r="DF41" i="2"/>
  <c r="DF39" i="2" s="1"/>
  <c r="AK39" i="2" s="1"/>
  <c r="DD39" i="2"/>
  <c r="AF39" i="2" s="1"/>
  <c r="DB23" i="2"/>
  <c r="DF87" i="2"/>
  <c r="AK87" i="2" s="1"/>
  <c r="DD19" i="2"/>
  <c r="DD18" i="2" s="1"/>
  <c r="AF18" i="2" s="1"/>
  <c r="DB28" i="2"/>
  <c r="CX55" i="2"/>
  <c r="DB41" i="2"/>
  <c r="ED115" i="2"/>
  <c r="CT114" i="2"/>
  <c r="DB38" i="2"/>
  <c r="ED113" i="2"/>
  <c r="CT78" i="2"/>
  <c r="ED79" i="2"/>
  <c r="DB81" i="2"/>
  <c r="AA81" i="2" s="1"/>
  <c r="DD60" i="2"/>
  <c r="AF60" i="2" s="1"/>
  <c r="DB111" i="2"/>
  <c r="AA111" i="2" s="1"/>
  <c r="DF22" i="2"/>
  <c r="CX49" i="2"/>
  <c r="DF37" i="2"/>
  <c r="CX59" i="2"/>
  <c r="CX57" i="2" s="1"/>
  <c r="CT46" i="2"/>
  <c r="DD75" i="2"/>
  <c r="AF75" i="2" s="1"/>
  <c r="DD81" i="2"/>
  <c r="AF81" i="2" s="1"/>
  <c r="DD23" i="2"/>
  <c r="CT96" i="2"/>
  <c r="DH111" i="2"/>
  <c r="AP111" i="2" s="1"/>
  <c r="DH28" i="2"/>
  <c r="L67" i="2"/>
  <c r="CV67" i="2" s="1"/>
  <c r="CT75" i="2"/>
  <c r="ED85" i="2"/>
  <c r="CT84" i="2"/>
  <c r="CT90" i="2"/>
  <c r="ED116" i="2"/>
  <c r="CX20" i="2"/>
  <c r="DD24" i="2"/>
  <c r="AF24" i="2" s="1"/>
  <c r="CX34" i="2"/>
  <c r="DH60" i="2"/>
  <c r="AP60" i="2" s="1"/>
  <c r="CX81" i="2"/>
  <c r="Q81" i="2" s="1"/>
  <c r="DF96" i="2"/>
  <c r="AK96" i="2" s="1"/>
  <c r="CX108" i="2"/>
  <c r="Q108" i="2" s="1"/>
  <c r="DF25" i="2"/>
  <c r="CT60" i="2"/>
  <c r="DH24" i="2"/>
  <c r="AP24" i="2" s="1"/>
  <c r="DD96" i="2"/>
  <c r="AF96" i="2" s="1"/>
  <c r="ED107" i="2"/>
  <c r="CT18" i="2"/>
  <c r="CX102" i="2"/>
  <c r="Q102" i="2" s="1"/>
  <c r="ED109" i="2"/>
  <c r="DH84" i="2"/>
  <c r="AP84" i="2" s="1"/>
  <c r="ED106" i="2"/>
  <c r="DT45" i="2" l="1"/>
  <c r="BT45" i="2" s="1"/>
  <c r="DT48" i="2"/>
  <c r="BT48" i="2" s="1"/>
  <c r="DT36" i="2"/>
  <c r="BT36" i="2" s="1"/>
  <c r="DB6" i="2"/>
  <c r="DD6" i="2"/>
  <c r="AF6" i="2" s="1"/>
  <c r="DT12" i="2"/>
  <c r="BT12" i="2" s="1"/>
  <c r="DT21" i="2"/>
  <c r="BT21" i="2" s="1"/>
  <c r="BY67" i="2"/>
  <c r="DV67" i="2" s="1"/>
  <c r="DT15" i="2"/>
  <c r="BT15" i="2" s="1"/>
  <c r="BY66" i="2"/>
  <c r="DV66" i="2" s="1"/>
  <c r="DT9" i="2"/>
  <c r="BT9" i="2" s="1"/>
  <c r="DT6" i="2"/>
  <c r="BT6" i="2" s="1"/>
  <c r="DP99" i="2"/>
  <c r="BJ99" i="2" s="1"/>
  <c r="DT24" i="2"/>
  <c r="BT24" i="2" s="1"/>
  <c r="DT33" i="2"/>
  <c r="BT33" i="2" s="1"/>
  <c r="DT30" i="2"/>
  <c r="BT30" i="2" s="1"/>
  <c r="DT18" i="2"/>
  <c r="BT18" i="2" s="1"/>
  <c r="DR36" i="2"/>
  <c r="BO36" i="2" s="1"/>
  <c r="DR42" i="2"/>
  <c r="BO42" i="2" s="1"/>
  <c r="DR15" i="2"/>
  <c r="BO15" i="2" s="1"/>
  <c r="DR21" i="2"/>
  <c r="BO21" i="2" s="1"/>
  <c r="DR48" i="2"/>
  <c r="BO48" i="2" s="1"/>
  <c r="DR60" i="2"/>
  <c r="BO60" i="2" s="1"/>
  <c r="ED100" i="2"/>
  <c r="DP60" i="2"/>
  <c r="BJ60" i="2" s="1"/>
  <c r="DP81" i="2"/>
  <c r="BJ81" i="2" s="1"/>
  <c r="EC81" i="2" s="1"/>
  <c r="C81" i="2" s="1"/>
  <c r="DP45" i="2"/>
  <c r="BJ45" i="2" s="1"/>
  <c r="DP93" i="2"/>
  <c r="BJ93" i="2" s="1"/>
  <c r="ED94" i="2"/>
  <c r="Z69" i="1"/>
  <c r="DP51" i="2"/>
  <c r="BJ51" i="2" s="1"/>
  <c r="DP42" i="2"/>
  <c r="BJ42" i="2" s="1"/>
  <c r="DP48" i="2"/>
  <c r="BJ48" i="2" s="1"/>
  <c r="ED61" i="2"/>
  <c r="DP36" i="2"/>
  <c r="BJ36" i="2" s="1"/>
  <c r="DP24" i="2"/>
  <c r="BJ24" i="2" s="1"/>
  <c r="DP33" i="2"/>
  <c r="BJ33" i="2" s="1"/>
  <c r="DP30" i="2"/>
  <c r="BJ30" i="2" s="1"/>
  <c r="DP21" i="2"/>
  <c r="BJ21" i="2" s="1"/>
  <c r="DP12" i="2"/>
  <c r="BJ12" i="2" s="1"/>
  <c r="DP15" i="2"/>
  <c r="BJ15" i="2" s="1"/>
  <c r="DP18" i="2"/>
  <c r="BJ18" i="2" s="1"/>
  <c r="ED62" i="2"/>
  <c r="DN48" i="2"/>
  <c r="BE48" i="2" s="1"/>
  <c r="X69" i="1"/>
  <c r="ED86" i="2"/>
  <c r="DN87" i="2"/>
  <c r="BE87" i="2" s="1"/>
  <c r="DN51" i="2"/>
  <c r="BE51" i="2" s="1"/>
  <c r="ED52" i="2"/>
  <c r="DN45" i="2"/>
  <c r="BE45" i="2" s="1"/>
  <c r="DN30" i="2"/>
  <c r="BE30" i="2" s="1"/>
  <c r="DN12" i="2"/>
  <c r="BE12" i="2" s="1"/>
  <c r="DN33" i="2"/>
  <c r="BE33" i="2" s="1"/>
  <c r="DN24" i="2"/>
  <c r="BE24" i="2" s="1"/>
  <c r="DN39" i="2"/>
  <c r="BE39" i="2" s="1"/>
  <c r="DN21" i="2"/>
  <c r="BE21" i="2" s="1"/>
  <c r="DN18" i="2"/>
  <c r="BE18" i="2" s="1"/>
  <c r="DN9" i="2"/>
  <c r="BE9" i="2" s="1"/>
  <c r="DN27" i="2"/>
  <c r="BE27" i="2" s="1"/>
  <c r="DN6" i="2"/>
  <c r="BE6" i="2" s="1"/>
  <c r="DL21" i="2"/>
  <c r="AZ21" i="2" s="1"/>
  <c r="DL33" i="2"/>
  <c r="AZ33" i="2" s="1"/>
  <c r="DL42" i="2"/>
  <c r="AZ42" i="2" s="1"/>
  <c r="DL12" i="2"/>
  <c r="AZ12" i="2" s="1"/>
  <c r="DL54" i="2"/>
  <c r="AZ54" i="2" s="1"/>
  <c r="DL15" i="2"/>
  <c r="AZ15" i="2" s="1"/>
  <c r="DL9" i="2"/>
  <c r="AZ9" i="2" s="1"/>
  <c r="DL6" i="2"/>
  <c r="AZ6" i="2" s="1"/>
  <c r="DL24" i="2"/>
  <c r="AZ24" i="2" s="1"/>
  <c r="DL18" i="2"/>
  <c r="AZ18" i="2" s="1"/>
  <c r="DL30" i="2"/>
  <c r="AZ30" i="2" s="1"/>
  <c r="DL39" i="2"/>
  <c r="AZ39" i="2" s="1"/>
  <c r="DH12" i="2"/>
  <c r="AP12" i="2" s="1"/>
  <c r="DJ51" i="2"/>
  <c r="AU51" i="2" s="1"/>
  <c r="DJ15" i="2"/>
  <c r="AU15" i="2" s="1"/>
  <c r="DJ18" i="2"/>
  <c r="AU18" i="2" s="1"/>
  <c r="DJ48" i="2"/>
  <c r="AU48" i="2" s="1"/>
  <c r="DJ57" i="2"/>
  <c r="AU57" i="2" s="1"/>
  <c r="DJ30" i="2"/>
  <c r="AU30" i="2" s="1"/>
  <c r="DJ24" i="2"/>
  <c r="AU24" i="2" s="1"/>
  <c r="DJ36" i="2"/>
  <c r="AU36" i="2" s="1"/>
  <c r="DJ33" i="2"/>
  <c r="AU33" i="2" s="1"/>
  <c r="DJ39" i="2"/>
  <c r="AU39" i="2" s="1"/>
  <c r="CZ12" i="2"/>
  <c r="V12" i="2" s="1"/>
  <c r="V67" i="2" s="1"/>
  <c r="CZ67" i="2" s="1"/>
  <c r="DJ6" i="2"/>
  <c r="AU6" i="2" s="1"/>
  <c r="DD57" i="2"/>
  <c r="AF57" i="2" s="1"/>
  <c r="CT9" i="2"/>
  <c r="G9" i="2" s="1"/>
  <c r="DB36" i="2"/>
  <c r="AA36" i="2" s="1"/>
  <c r="DD21" i="2"/>
  <c r="AF21" i="2" s="1"/>
  <c r="DF57" i="2"/>
  <c r="AK57" i="2" s="1"/>
  <c r="DH33" i="2"/>
  <c r="AP33" i="2" s="1"/>
  <c r="DH36" i="2"/>
  <c r="AP36" i="2" s="1"/>
  <c r="ED20" i="2"/>
  <c r="DF36" i="2"/>
  <c r="AK36" i="2" s="1"/>
  <c r="DB42" i="2"/>
  <c r="AA42" i="2" s="1"/>
  <c r="CX48" i="2"/>
  <c r="Q48" i="2" s="1"/>
  <c r="ED11" i="2"/>
  <c r="ED14" i="2"/>
  <c r="CT48" i="2"/>
  <c r="G48" i="2" s="1"/>
  <c r="CT33" i="2"/>
  <c r="G33" i="2" s="1"/>
  <c r="DB75" i="2"/>
  <c r="AA75" i="2" s="1"/>
  <c r="DF15" i="2"/>
  <c r="AK15" i="2" s="1"/>
  <c r="DH9" i="2"/>
  <c r="AP9" i="2" s="1"/>
  <c r="DH6" i="2"/>
  <c r="AP6" i="2" s="1"/>
  <c r="ED77" i="2"/>
  <c r="ED26" i="2"/>
  <c r="DB27" i="2"/>
  <c r="AA27" i="2" s="1"/>
  <c r="DD27" i="2"/>
  <c r="AF27" i="2" s="1"/>
  <c r="DB12" i="2"/>
  <c r="AA12" i="2" s="1"/>
  <c r="DF24" i="2"/>
  <c r="AK24" i="2" s="1"/>
  <c r="DD90" i="2"/>
  <c r="AF90" i="2" s="1"/>
  <c r="CV68" i="2"/>
  <c r="DF75" i="2"/>
  <c r="AK75" i="2" s="1"/>
  <c r="CX54" i="2"/>
  <c r="Q54" i="2" s="1"/>
  <c r="DH18" i="2"/>
  <c r="AP18" i="2" s="1"/>
  <c r="DD48" i="2"/>
  <c r="AF48" i="2" s="1"/>
  <c r="ED97" i="2"/>
  <c r="ED32" i="2"/>
  <c r="DZ68" i="2"/>
  <c r="DH42" i="2"/>
  <c r="AP42" i="2" s="1"/>
  <c r="ED56" i="2"/>
  <c r="ED35" i="2"/>
  <c r="CT15" i="2"/>
  <c r="G15" i="2" s="1"/>
  <c r="ED7" i="2"/>
  <c r="ED31" i="2"/>
  <c r="ED16" i="2"/>
  <c r="ED53" i="2"/>
  <c r="CT54" i="2"/>
  <c r="EB68" i="2"/>
  <c r="ED43" i="2"/>
  <c r="DB33" i="2"/>
  <c r="AA33" i="2" s="1"/>
  <c r="CX33" i="2"/>
  <c r="Q33" i="2" s="1"/>
  <c r="DH27" i="2"/>
  <c r="AP27" i="2" s="1"/>
  <c r="ED29" i="2"/>
  <c r="ED47" i="2"/>
  <c r="ED8" i="2"/>
  <c r="CT30" i="2"/>
  <c r="ED41" i="2"/>
  <c r="CX21" i="2"/>
  <c r="Q21" i="2" s="1"/>
  <c r="DX68" i="2"/>
  <c r="ED91" i="2"/>
  <c r="ED13" i="2"/>
  <c r="CT42" i="2"/>
  <c r="ED19" i="2"/>
  <c r="ED10" i="2"/>
  <c r="ED44" i="2"/>
  <c r="ED23" i="2"/>
  <c r="AA6" i="2"/>
  <c r="ED50" i="2"/>
  <c r="ED76" i="2"/>
  <c r="Q57" i="2"/>
  <c r="F84" i="2"/>
  <c r="G84" i="2"/>
  <c r="EC84" i="2" s="1"/>
  <c r="C84" i="2" s="1"/>
  <c r="ED84" i="2"/>
  <c r="F96" i="2"/>
  <c r="ED96" i="2"/>
  <c r="G96" i="2"/>
  <c r="EC96" i="2" s="1"/>
  <c r="C96" i="2" s="1"/>
  <c r="ED34" i="2"/>
  <c r="G21" i="2"/>
  <c r="G87" i="2"/>
  <c r="DH78" i="2"/>
  <c r="AP78" i="2" s="1"/>
  <c r="G24" i="2"/>
  <c r="DB21" i="2"/>
  <c r="AA21" i="2" s="1"/>
  <c r="G27" i="2"/>
  <c r="ED59" i="2"/>
  <c r="ED25" i="2"/>
  <c r="ED38" i="2"/>
  <c r="ED49" i="2"/>
  <c r="G6" i="2"/>
  <c r="ED28" i="2"/>
  <c r="ED46" i="2"/>
  <c r="CT45" i="2"/>
  <c r="G78" i="2"/>
  <c r="G12" i="2"/>
  <c r="F102" i="2"/>
  <c r="G102" i="2"/>
  <c r="EC102" i="2" s="1"/>
  <c r="C102" i="2" s="1"/>
  <c r="ED102" i="2"/>
  <c r="DB39" i="2"/>
  <c r="AA39" i="2" s="1"/>
  <c r="ED105" i="2"/>
  <c r="ED17" i="2"/>
  <c r="CT39" i="2"/>
  <c r="ED40" i="2"/>
  <c r="F105" i="2"/>
  <c r="G75" i="2"/>
  <c r="ED111" i="2"/>
  <c r="G111" i="2"/>
  <c r="EC111" i="2" s="1"/>
  <c r="C111" i="2" s="1"/>
  <c r="F111" i="2"/>
  <c r="G51" i="2"/>
  <c r="EC105" i="2"/>
  <c r="C105" i="2" s="1"/>
  <c r="G99" i="2"/>
  <c r="ED37" i="2"/>
  <c r="CT36" i="2"/>
  <c r="ED108" i="2"/>
  <c r="G108" i="2"/>
  <c r="EC108" i="2" s="1"/>
  <c r="C108" i="2" s="1"/>
  <c r="F108" i="2"/>
  <c r="CX18" i="2"/>
  <c r="Q18" i="2" s="1"/>
  <c r="ED58" i="2"/>
  <c r="G60" i="2"/>
  <c r="G18" i="2"/>
  <c r="G90" i="2"/>
  <c r="DF21" i="2"/>
  <c r="AK21" i="2" s="1"/>
  <c r="ED114" i="2"/>
  <c r="F114" i="2"/>
  <c r="G114" i="2"/>
  <c r="EC114" i="2" s="1"/>
  <c r="C114" i="2" s="1"/>
  <c r="ED22" i="2"/>
  <c r="G93" i="2"/>
  <c r="ED55" i="2"/>
  <c r="ED99" i="2" l="1"/>
  <c r="F8" i="2"/>
  <c r="F99" i="2"/>
  <c r="EC99" i="2"/>
  <c r="C99" i="2" s="1"/>
  <c r="F11" i="2"/>
  <c r="DV68" i="2"/>
  <c r="F62" i="2"/>
  <c r="F59" i="2"/>
  <c r="F53" i="2"/>
  <c r="F50" i="2"/>
  <c r="F26" i="2"/>
  <c r="F35" i="2"/>
  <c r="F29" i="2"/>
  <c r="F14" i="2"/>
  <c r="F23" i="2"/>
  <c r="F17" i="2"/>
  <c r="F20" i="2"/>
  <c r="BT67" i="2"/>
  <c r="DT67" i="2" s="1"/>
  <c r="BT66" i="2"/>
  <c r="DT66" i="2" s="1"/>
  <c r="BO66" i="2"/>
  <c r="DR66" i="2" s="1"/>
  <c r="EC93" i="2"/>
  <c r="C93" i="2" s="1"/>
  <c r="ED93" i="2"/>
  <c r="BO67" i="2"/>
  <c r="DR67" i="2" s="1"/>
  <c r="F93" i="2"/>
  <c r="ED60" i="2"/>
  <c r="F60" i="2"/>
  <c r="F81" i="2"/>
  <c r="ED81" i="2"/>
  <c r="BJ66" i="2"/>
  <c r="DP66" i="2" s="1"/>
  <c r="BJ67" i="2"/>
  <c r="DP67" i="2" s="1"/>
  <c r="ED87" i="2"/>
  <c r="F87" i="2"/>
  <c r="EC87" i="2"/>
  <c r="C87" i="2" s="1"/>
  <c r="BE66" i="2"/>
  <c r="DN66" i="2" s="1"/>
  <c r="BE67" i="2"/>
  <c r="DN67" i="2" s="1"/>
  <c r="AZ67" i="2"/>
  <c r="DL67" i="2" s="1"/>
  <c r="AZ66" i="2"/>
  <c r="DL66" i="2" s="1"/>
  <c r="D65" i="1"/>
  <c r="F51" i="2"/>
  <c r="ED51" i="2"/>
  <c r="ED30" i="2"/>
  <c r="V66" i="2"/>
  <c r="CZ66" i="2" s="1"/>
  <c r="CZ68" i="2" s="1"/>
  <c r="AU67" i="2"/>
  <c r="DJ67" i="2" s="1"/>
  <c r="AU66" i="2"/>
  <c r="DJ66" i="2" s="1"/>
  <c r="ED57" i="2"/>
  <c r="F57" i="2"/>
  <c r="F30" i="2"/>
  <c r="F9" i="2"/>
  <c r="EC57" i="2"/>
  <c r="C57" i="2" s="1"/>
  <c r="ED9" i="2"/>
  <c r="G30" i="2"/>
  <c r="F12" i="2"/>
  <c r="ED48" i="2"/>
  <c r="F75" i="2"/>
  <c r="ED12" i="2"/>
  <c r="F48" i="2"/>
  <c r="EC75" i="2"/>
  <c r="C75" i="2" s="1"/>
  <c r="ED75" i="2"/>
  <c r="F24" i="2"/>
  <c r="F90" i="2"/>
  <c r="ED24" i="2"/>
  <c r="AK67" i="2"/>
  <c r="DF67" i="2" s="1"/>
  <c r="AL67" i="1"/>
  <c r="AL69" i="1" s="1"/>
  <c r="AL65" i="1"/>
  <c r="EC90" i="2"/>
  <c r="C90" i="2" s="1"/>
  <c r="ED90" i="2"/>
  <c r="ED54" i="2"/>
  <c r="AF67" i="2"/>
  <c r="DD67" i="2" s="1"/>
  <c r="ED42" i="2"/>
  <c r="G54" i="2"/>
  <c r="ED15" i="2"/>
  <c r="F15" i="2"/>
  <c r="F54" i="2"/>
  <c r="F78" i="2"/>
  <c r="ED6" i="2"/>
  <c r="F6" i="2"/>
  <c r="AP66" i="2"/>
  <c r="DH66" i="2" s="1"/>
  <c r="AF66" i="2"/>
  <c r="DD66" i="2" s="1"/>
  <c r="F42" i="2"/>
  <c r="G42" i="2"/>
  <c r="F44" i="2" s="1"/>
  <c r="F33" i="2"/>
  <c r="AP67" i="2"/>
  <c r="DH67" i="2" s="1"/>
  <c r="ED33" i="2"/>
  <c r="ED27" i="2"/>
  <c r="F27" i="2"/>
  <c r="Q66" i="2"/>
  <c r="CX66" i="2" s="1"/>
  <c r="AA67" i="2"/>
  <c r="DB67" i="2" s="1"/>
  <c r="F18" i="2"/>
  <c r="EC27" i="2"/>
  <c r="C27" i="2" s="1"/>
  <c r="ED45" i="2"/>
  <c r="G45" i="2"/>
  <c r="F47" i="2" s="1"/>
  <c r="F45" i="2"/>
  <c r="EC18" i="2"/>
  <c r="C18" i="2" s="1"/>
  <c r="ED18" i="2"/>
  <c r="EC33" i="2"/>
  <c r="C33" i="2" s="1"/>
  <c r="Q67" i="2"/>
  <c r="CX67" i="2" s="1"/>
  <c r="AA66" i="2"/>
  <c r="DB66" i="2" s="1"/>
  <c r="EC6" i="2"/>
  <c r="C6" i="2" s="1"/>
  <c r="EC48" i="2"/>
  <c r="C48" i="2" s="1"/>
  <c r="EC51" i="2"/>
  <c r="C51" i="2" s="1"/>
  <c r="G39" i="2"/>
  <c r="F41" i="2" s="1"/>
  <c r="F39" i="2"/>
  <c r="ED39" i="2"/>
  <c r="G36" i="2"/>
  <c r="F38" i="2" s="1"/>
  <c r="ED36" i="2"/>
  <c r="F36" i="2"/>
  <c r="EC60" i="2"/>
  <c r="C60" i="2" s="1"/>
  <c r="EC15" i="2"/>
  <c r="C15" i="2" s="1"/>
  <c r="EC24" i="2"/>
  <c r="C24" i="2" s="1"/>
  <c r="EC12" i="2"/>
  <c r="C12" i="2" s="1"/>
  <c r="ED21" i="2"/>
  <c r="EC78" i="2"/>
  <c r="C78" i="2" s="1"/>
  <c r="F21" i="2"/>
  <c r="EC9" i="2"/>
  <c r="C9" i="2" s="1"/>
  <c r="ED78" i="2"/>
  <c r="EC21" i="2"/>
  <c r="C21" i="2" s="1"/>
  <c r="AK66" i="2"/>
  <c r="DF66" i="2" s="1"/>
  <c r="EC54" i="2" l="1"/>
  <c r="C54" i="2" s="1"/>
  <c r="F56" i="2"/>
  <c r="EC30" i="2"/>
  <c r="C30" i="2" s="1"/>
  <c r="F32" i="2"/>
  <c r="DT68" i="2"/>
  <c r="DR68" i="2"/>
  <c r="DP68" i="2"/>
  <c r="DN68" i="2"/>
  <c r="DL68" i="2"/>
  <c r="DJ68" i="2"/>
  <c r="DD68" i="2"/>
  <c r="DF68" i="2"/>
  <c r="B78" i="2"/>
  <c r="CX68" i="2"/>
  <c r="EC42" i="2"/>
  <c r="C42" i="2" s="1"/>
  <c r="DH68" i="2"/>
  <c r="DB68" i="2"/>
  <c r="B90" i="2"/>
  <c r="B105" i="2"/>
  <c r="B111" i="2"/>
  <c r="B87" i="2"/>
  <c r="B102" i="2"/>
  <c r="B108" i="2"/>
  <c r="B93" i="2"/>
  <c r="B96" i="2"/>
  <c r="EC39" i="2"/>
  <c r="C39" i="2" s="1"/>
  <c r="B99" i="2"/>
  <c r="EC45" i="2"/>
  <c r="C45" i="2" s="1"/>
  <c r="G66" i="2"/>
  <c r="CT66" i="2" s="1"/>
  <c r="EC36" i="2"/>
  <c r="C36" i="2" s="1"/>
  <c r="B81" i="2"/>
  <c r="B114" i="2"/>
  <c r="G67" i="2"/>
  <c r="CT67" i="2" s="1"/>
  <c r="B84" i="2"/>
  <c r="B75" i="2"/>
  <c r="B9" i="2" l="1"/>
  <c r="B10" i="2" s="1"/>
  <c r="B36" i="2"/>
  <c r="B38" i="2" s="1"/>
  <c r="B6" i="2"/>
  <c r="B15" i="2"/>
  <c r="B27" i="2"/>
  <c r="B30" i="2"/>
  <c r="B48" i="2"/>
  <c r="B33" i="2"/>
  <c r="B54" i="2"/>
  <c r="B24" i="2"/>
  <c r="B21" i="2"/>
  <c r="CT68" i="2"/>
  <c r="B51" i="2"/>
  <c r="B18" i="2"/>
  <c r="B12" i="2"/>
  <c r="B60" i="2"/>
  <c r="B42" i="2"/>
  <c r="B45" i="2"/>
  <c r="B39" i="2"/>
  <c r="B57" i="2"/>
  <c r="B37" i="2" l="1"/>
  <c r="B11" i="2"/>
  <c r="B25" i="2"/>
  <c r="B26" i="2"/>
  <c r="B31" i="2"/>
  <c r="B32" i="2"/>
  <c r="B55" i="2"/>
  <c r="B56" i="2"/>
  <c r="B43" i="2"/>
  <c r="B44" i="2"/>
  <c r="B59" i="2"/>
  <c r="B58" i="2"/>
  <c r="B50" i="2"/>
  <c r="B49" i="2"/>
  <c r="B16" i="2"/>
  <c r="B17" i="2"/>
  <c r="B40" i="2"/>
  <c r="B41" i="2"/>
  <c r="B7" i="2"/>
  <c r="B8" i="2"/>
  <c r="B46" i="2"/>
  <c r="B47" i="2"/>
  <c r="B29" i="2"/>
  <c r="B28" i="2"/>
  <c r="B62" i="2"/>
  <c r="B61" i="2"/>
  <c r="B19" i="2"/>
  <c r="B20" i="2"/>
  <c r="B22" i="2"/>
  <c r="B23" i="2"/>
  <c r="B34" i="2"/>
  <c r="B35" i="2"/>
  <c r="B13" i="2"/>
  <c r="B14" i="2"/>
  <c r="B53" i="2"/>
  <c r="B52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5" i="1" l="1"/>
  <c r="AM67" i="1"/>
</calcChain>
</file>

<file path=xl/sharedStrings.xml><?xml version="1.0" encoding="utf-8"?>
<sst xmlns="http://schemas.openxmlformats.org/spreadsheetml/2006/main" count="1749" uniqueCount="373">
  <si>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</si>
  <si>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</si>
  <si>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</si>
  <si>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</si>
  <si>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</si>
  <si>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</si>
  <si>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</si>
  <si>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</si>
  <si>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</si>
  <si>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</si>
  <si>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</si>
  <si>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</si>
  <si>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</si>
  <si>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</si>
  <si>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</si>
  <si>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</si>
  <si>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</si>
  <si>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</si>
  <si>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</si>
  <si>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</si>
  <si>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</si>
  <si>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</si>
  <si>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</si>
  <si>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</si>
  <si>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</si>
  <si>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</si>
  <si>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</si>
  <si>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</si>
  <si>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</si>
  <si>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</si>
  <si>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</si>
  <si>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</si>
  <si>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</si>
  <si>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</si>
  <si>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</si>
  <si>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</si>
  <si>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</si>
  <si>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</si>
  <si>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</si>
  <si>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</si>
  <si>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</si>
  <si>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</si>
  <si>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</si>
  <si>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</si>
  <si>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</si>
  <si>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</si>
  <si>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</si>
  <si>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</si>
  <si>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</si>
  <si>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</si>
  <si>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</si>
  <si>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</si>
  <si>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</si>
  <si>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</si>
  <si>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</si>
  <si>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</si>
  <si>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</si>
  <si>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</si>
  <si>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</si>
  <si>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</si>
  <si>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</si>
  <si>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</si>
  <si>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</si>
  <si>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</si>
  <si>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</si>
  <si>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</si>
  <si>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</si>
  <si>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</si>
  <si>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</si>
  <si>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</si>
  <si>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</si>
  <si>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</si>
  <si>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</si>
  <si>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</si>
  <si>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</si>
  <si>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</si>
  <si>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</si>
  <si>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</si>
  <si>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</si>
  <si>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</si>
  <si>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</si>
  <si>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</si>
  <si>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</si>
  <si>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</si>
  <si>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</si>
  <si>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</si>
  <si>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</si>
  <si>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</si>
  <si>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</si>
  <si>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</si>
  <si>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</si>
  <si>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</si>
  <si>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</si>
  <si>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</si>
  <si>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</si>
  <si>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</si>
  <si>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</si>
  <si>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</si>
  <si>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</si>
  <si>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</si>
  <si>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</si>
  <si>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</si>
  <si>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</si>
  <si>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</si>
  <si>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</si>
  <si>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</si>
  <si>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</si>
  <si>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</si>
  <si>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</si>
  <si>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</si>
  <si>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</si>
  <si>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</si>
  <si>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</si>
  <si>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</si>
  <si>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</si>
  <si>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</si>
  <si>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</si>
  <si>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</si>
  <si>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</si>
  <si>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</si>
  <si>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</si>
  <si>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</si>
  <si>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</si>
  <si>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</si>
  <si>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</si>
  <si>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</si>
  <si>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</si>
  <si>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</si>
  <si>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</si>
  <si>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</si>
  <si>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</si>
  <si>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</si>
  <si>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</si>
  <si>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</si>
  <si>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</si>
  <si>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</si>
  <si>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</si>
  <si>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</si>
  <si>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</si>
  <si>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</si>
  <si>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</si>
  <si>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</si>
  <si>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</si>
  <si>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</si>
  <si>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</si>
  <si>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</si>
  <si>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</si>
  <si>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</si>
  <si>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</si>
  <si>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</si>
  <si>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</si>
  <si>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</si>
  <si>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</si>
  <si>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</si>
  <si>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</si>
  <si>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</si>
  <si>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</si>
  <si>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</si>
  <si>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</si>
  <si>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</si>
  <si>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</si>
  <si>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</si>
  <si>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</si>
  <si>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</si>
  <si>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</si>
  <si>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</si>
  <si>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</si>
  <si>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</si>
  <si>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</si>
  <si>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</si>
  <si>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</si>
  <si>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</si>
  <si>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</si>
  <si>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</si>
  <si>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</si>
  <si>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</si>
  <si>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</si>
  <si>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</si>
  <si>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</si>
  <si>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</si>
  <si>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</si>
  <si>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</si>
  <si>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</si>
  <si>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</si>
  <si>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</si>
  <si>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</si>
  <si>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</si>
  <si>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</si>
  <si>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</si>
  <si>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</si>
  <si>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</si>
  <si>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</si>
  <si>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</si>
  <si>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</si>
  <si>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</si>
  <si>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</si>
  <si>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</si>
  <si>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</si>
  <si>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</si>
  <si>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</si>
  <si>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</si>
  <si>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</si>
  <si>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</si>
  <si>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</si>
  <si>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</si>
  <si>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</si>
  <si>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</si>
  <si>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</si>
  <si>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</si>
  <si>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</si>
  <si>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</si>
  <si>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</si>
  <si>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</si>
  <si>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</si>
  <si>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</si>
  <si>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</si>
  <si>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</si>
  <si>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</si>
  <si>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</si>
  <si>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</si>
  <si>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</si>
  <si>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</si>
  <si>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</si>
  <si>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</si>
  <si>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</si>
  <si>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</si>
  <si>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</si>
  <si>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</si>
  <si>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</si>
  <si>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</si>
  <si>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</si>
  <si>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</si>
  <si>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</si>
  <si>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</si>
  <si>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</si>
  <si>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</si>
  <si>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</si>
  <si>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</si>
  <si>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</si>
  <si>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</si>
  <si>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</si>
  <si>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</si>
  <si>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</si>
  <si>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</si>
  <si>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</si>
  <si>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</si>
  <si>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</si>
  <si>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</si>
  <si>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</si>
  <si>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</si>
  <si>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</si>
  <si>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</si>
  <si>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</si>
  <si>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</si>
  <si>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</si>
  <si>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</si>
  <si>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</si>
  <si>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</si>
  <si>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</si>
  <si>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</si>
  <si>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</si>
  <si>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</si>
  <si>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</si>
  <si>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</si>
  <si>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</si>
  <si>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</si>
  <si>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</si>
  <si>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</si>
  <si>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</si>
  <si>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</si>
  <si>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</si>
  <si>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</si>
  <si>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</si>
  <si>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</si>
  <si>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</si>
  <si>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</si>
  <si>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</si>
  <si>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</si>
  <si>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</si>
  <si>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</si>
  <si>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</si>
  <si>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</si>
  <si>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</si>
  <si>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</si>
  <si>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</si>
  <si>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</si>
  <si>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</si>
  <si>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</si>
  <si>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</si>
  <si>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</si>
  <si>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</si>
  <si>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</si>
  <si>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</si>
  <si>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</si>
  <si>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</si>
  <si>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</si>
  <si>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</si>
  <si>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</si>
  <si>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</si>
  <si>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</si>
  <si>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</si>
  <si>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</si>
  <si>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</si>
  <si>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</si>
  <si>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</si>
  <si>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</si>
  <si>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</si>
  <si>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</si>
  <si>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</si>
  <si>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</si>
  <si>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</si>
  <si>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</si>
  <si>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</si>
  <si>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</si>
  <si>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</si>
  <si>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</si>
  <si>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</si>
  <si>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</si>
  <si>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</si>
  <si>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</si>
  <si>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</si>
  <si>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</si>
  <si>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</si>
  <si>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</si>
  <si>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</si>
  <si>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</si>
  <si>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</si>
  <si>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</si>
  <si>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</si>
  <si>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</si>
  <si>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</si>
  <si>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</si>
  <si>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</si>
  <si>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</si>
  <si>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</si>
  <si>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</si>
  <si>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</si>
  <si>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</si>
  <si>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</si>
  <si>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</si>
  <si>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</si>
  <si>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</si>
  <si>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</si>
  <si>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</si>
  <si>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</si>
  <si>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</si>
  <si>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</si>
  <si>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</si>
  <si>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</si>
  <si>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</si>
  <si>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</si>
  <si>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</si>
  <si>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</si>
  <si>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</si>
  <si>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</si>
  <si>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</si>
  <si>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</si>
  <si>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</si>
  <si>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</si>
  <si>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</si>
  <si>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</si>
  <si>
    <t>McGinnis (?)</t>
  </si>
  <si>
    <t>Wilson (?)</t>
  </si>
  <si>
    <t>Preston (?)</t>
  </si>
  <si>
    <t>Keaton (?)</t>
  </si>
  <si>
    <t>Madden (?)</t>
  </si>
  <si>
    <t>Pierson (?)</t>
  </si>
  <si>
    <t>Dawson (?)</t>
  </si>
  <si>
    <t>Biederman  (?)</t>
  </si>
  <si>
    <t>Cox (?)</t>
  </si>
  <si>
    <t>Patterson (?)</t>
  </si>
  <si>
    <t>Bonner (?)</t>
  </si>
  <si>
    <t>Adkins (?)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</si>
</sst>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4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rgb="FFD9D9D9"/>
      </patternFill>
    </fill>
    <fill>
      <patternFill patternType="solid">
        <fgColor rgb="FFFFFF00"/>
        <bgColor rgb="FFD9D9D9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93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49" fontId="0" fillId="10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9" borderId="7" xfId="0" applyFont="1" applyFill="1" applyBorder="1"/>
    <xf numFmtId="0" fontId="0" fillId="9" borderId="7" xfId="0" applyFont="1" applyFill="1" applyBorder="1" applyAlignment="1">
      <alignment horizontal="center"/>
    </xf>
    <xf numFmtId="49" fontId="0" fillId="9" borderId="7" xfId="0" applyNumberFormat="1" applyFont="1" applyFill="1" applyBorder="1" applyAlignment="1">
      <alignment horizontal="center" vertical="center"/>
    </xf>
    <xf numFmtId="0" fontId="22" fillId="9" borderId="7" xfId="0" applyFont="1" applyFill="1" applyBorder="1" applyAlignment="1">
      <alignment horizontal="center"/>
    </xf>
    <xf numFmtId="0" fontId="22" fillId="10" borderId="7" xfId="0" applyFont="1" applyFill="1" applyBorder="1" applyAlignment="1">
      <alignment horizontal="center"/>
    </xf>
    <xf numFmtId="0" fontId="0" fillId="9" borderId="0" xfId="0" applyFill="1"/>
    <xf numFmtId="0" fontId="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/>
    <xf numFmtId="0" fontId="0" fillId="12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15" fillId="13" borderId="0" xfId="0" applyFont="1" applyFill="1" applyBorder="1" applyAlignment="1" applyProtection="1">
      <protection locked="0"/>
    </xf>
    <xf numFmtId="0" fontId="0" fillId="10" borderId="7" xfId="0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76200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AO62" sqref="A1:AO62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hidden="1" customWidth="1"/>
    <col min="25" max="25" width="4.21875" style="1" hidden="1" customWidth="1"/>
    <col min="26" max="26" width="8.33203125" style="1" bestFit="1" customWidth="1"/>
    <col min="27" max="27" width="4.33203125" style="1" bestFit="1" customWidth="1"/>
    <col min="28" max="28" width="8.33203125" style="1" bestFit="1" customWidth="1"/>
    <col min="29" max="29" width="4.33203125" style="1" bestFit="1" customWidth="1"/>
    <col min="30" max="30" width="8.33203125" style="1" bestFit="1" customWidth="1"/>
    <col min="31" max="31" width="4.33203125" style="1" bestFit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4.77734375" style="1" hidden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76" t="s">
        <v>0</v>
      </c>
      <c r="D1" s="177">
        <v>1</v>
      </c>
      <c r="E1" s="177"/>
      <c r="F1" s="177">
        <v>2</v>
      </c>
      <c r="G1" s="177"/>
      <c r="H1" s="177">
        <v>3</v>
      </c>
      <c r="I1" s="177"/>
      <c r="J1" s="177">
        <v>4</v>
      </c>
      <c r="K1" s="177"/>
      <c r="L1" s="177">
        <v>5</v>
      </c>
      <c r="M1" s="177"/>
      <c r="N1" s="177">
        <v>6</v>
      </c>
      <c r="O1" s="177"/>
      <c r="P1" s="177">
        <v>7</v>
      </c>
      <c r="Q1" s="177"/>
      <c r="R1" s="177">
        <v>8</v>
      </c>
      <c r="S1" s="177"/>
      <c r="T1" s="177">
        <v>9</v>
      </c>
      <c r="U1" s="177"/>
      <c r="V1" s="177">
        <v>10</v>
      </c>
      <c r="W1" s="177"/>
      <c r="X1" s="177">
        <v>11</v>
      </c>
      <c r="Y1" s="177"/>
      <c r="Z1" s="177">
        <v>12</v>
      </c>
      <c r="AA1" s="177"/>
      <c r="AB1" s="177">
        <v>13</v>
      </c>
      <c r="AC1" s="177"/>
      <c r="AD1" s="177">
        <v>14</v>
      </c>
      <c r="AE1" s="177"/>
      <c r="AF1" s="177">
        <v>15</v>
      </c>
      <c r="AG1" s="177"/>
      <c r="AH1" s="177">
        <v>16</v>
      </c>
      <c r="AI1" s="177"/>
      <c r="AJ1" s="177">
        <v>17</v>
      </c>
      <c r="AK1" s="177"/>
      <c r="AL1" s="177">
        <v>18</v>
      </c>
      <c r="AM1" s="177"/>
      <c r="AN1" s="3"/>
      <c r="AO1" s="5"/>
    </row>
    <row r="2" spans="1:41" x14ac:dyDescent="0.2">
      <c r="B2" s="6" t="s">
        <v>1</v>
      </c>
      <c r="C2" s="176"/>
      <c r="D2" s="178" t="s">
        <v>2</v>
      </c>
      <c r="E2" s="178"/>
      <c r="F2" s="178" t="s">
        <v>3</v>
      </c>
      <c r="G2" s="178"/>
      <c r="H2" s="178" t="s">
        <v>4</v>
      </c>
      <c r="I2" s="178"/>
      <c r="J2" s="178" t="s">
        <v>5</v>
      </c>
      <c r="K2" s="178"/>
      <c r="L2" s="178" t="s">
        <v>6</v>
      </c>
      <c r="M2" s="178"/>
      <c r="N2" s="178" t="s">
        <v>7</v>
      </c>
      <c r="O2" s="178"/>
      <c r="P2" s="178" t="s">
        <v>8</v>
      </c>
      <c r="Q2" s="178"/>
      <c r="R2" s="178" t="s">
        <v>9</v>
      </c>
      <c r="S2" s="178"/>
      <c r="T2" s="178" t="s">
        <v>10</v>
      </c>
      <c r="U2" s="178"/>
      <c r="V2" s="178" t="s">
        <v>11</v>
      </c>
      <c r="W2" s="178"/>
      <c r="X2" s="178" t="s">
        <v>12</v>
      </c>
      <c r="Y2" s="178"/>
      <c r="Z2" s="178" t="s">
        <v>13</v>
      </c>
      <c r="AA2" s="178"/>
      <c r="AB2" s="178" t="s">
        <v>14</v>
      </c>
      <c r="AC2" s="178"/>
      <c r="AD2" s="178" t="s">
        <v>15</v>
      </c>
      <c r="AE2" s="178"/>
      <c r="AF2" s="178" t="s">
        <v>16</v>
      </c>
      <c r="AG2" s="178"/>
      <c r="AH2" s="178" t="s">
        <v>17</v>
      </c>
      <c r="AI2" s="178"/>
      <c r="AJ2" s="178" t="s">
        <v>18</v>
      </c>
      <c r="AK2" s="178"/>
      <c r="AL2" s="178" t="s">
        <v>19</v>
      </c>
      <c r="AM2" s="178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76"/>
      <c r="D3" s="179" t="s">
        <v>23</v>
      </c>
      <c r="E3" s="179"/>
      <c r="F3" s="179" t="s">
        <v>24</v>
      </c>
      <c r="G3" s="179"/>
      <c r="H3" s="179" t="s">
        <v>25</v>
      </c>
      <c r="I3" s="179"/>
      <c r="J3" s="179" t="s">
        <v>26</v>
      </c>
      <c r="K3" s="179"/>
      <c r="L3" s="179" t="s">
        <v>23</v>
      </c>
      <c r="M3" s="179"/>
      <c r="N3" s="179" t="s">
        <v>24</v>
      </c>
      <c r="O3" s="179"/>
      <c r="P3" s="179" t="s">
        <v>25</v>
      </c>
      <c r="Q3" s="179"/>
      <c r="R3" s="179" t="s">
        <v>26</v>
      </c>
      <c r="S3" s="179"/>
      <c r="T3" s="179" t="s">
        <v>23</v>
      </c>
      <c r="U3" s="179"/>
      <c r="V3" s="179" t="s">
        <v>23</v>
      </c>
      <c r="W3" s="179"/>
      <c r="X3" s="179" t="s">
        <v>25</v>
      </c>
      <c r="Y3" s="179"/>
      <c r="Z3" s="179" t="s">
        <v>26</v>
      </c>
      <c r="AA3" s="179"/>
      <c r="AB3" s="179" t="s">
        <v>23</v>
      </c>
      <c r="AC3" s="179"/>
      <c r="AD3" s="179" t="s">
        <v>24</v>
      </c>
      <c r="AE3" s="179"/>
      <c r="AF3" s="179" t="s">
        <v>25</v>
      </c>
      <c r="AG3" s="179"/>
      <c r="AH3" s="179" t="s">
        <v>26</v>
      </c>
      <c r="AI3" s="179"/>
      <c r="AJ3" s="179" t="s">
        <v>23</v>
      </c>
      <c r="AK3" s="179"/>
      <c r="AL3" s="179" t="s">
        <v>24</v>
      </c>
      <c r="AM3" s="179"/>
      <c r="AN3" s="179"/>
      <c r="AO3" s="179"/>
    </row>
    <row r="4" spans="1:41" ht="45" customHeight="1" x14ac:dyDescent="0.2">
      <c r="B4" s="10" t="s">
        <v>27</v>
      </c>
      <c r="C4" s="176"/>
      <c r="D4" s="180" t="s">
        <v>28</v>
      </c>
      <c r="E4" s="180"/>
      <c r="F4" s="180"/>
      <c r="G4" s="180"/>
      <c r="H4" s="181" t="s">
        <v>29</v>
      </c>
      <c r="I4" s="181"/>
      <c r="J4" s="181" t="s">
        <v>30</v>
      </c>
      <c r="K4" s="181"/>
      <c r="L4" s="181" t="s">
        <v>31</v>
      </c>
      <c r="M4" s="181"/>
      <c r="N4" s="181" t="s">
        <v>32</v>
      </c>
      <c r="O4" s="181"/>
      <c r="P4" s="180" t="s">
        <v>33</v>
      </c>
      <c r="Q4" s="180"/>
      <c r="R4" s="182" t="s">
        <v>34</v>
      </c>
      <c r="S4" s="182"/>
      <c r="T4" s="181" t="s">
        <v>235</v>
      </c>
      <c r="U4" s="181"/>
      <c r="V4" s="180" t="s">
        <v>351</v>
      </c>
      <c r="W4" s="180"/>
      <c r="X4" s="180" t="s">
        <v>60</v>
      </c>
      <c r="Y4" s="180"/>
      <c r="Z4" s="181" t="s">
        <v>357</v>
      </c>
      <c r="AA4" s="181"/>
      <c r="AB4" s="180" t="s">
        <v>360</v>
      </c>
      <c r="AC4" s="180"/>
      <c r="AD4" s="180" t="s">
        <v>245</v>
      </c>
      <c r="AE4" s="180"/>
      <c r="AF4" s="183"/>
      <c r="AG4" s="183"/>
      <c r="AH4" s="183"/>
      <c r="AI4" s="183"/>
      <c r="AJ4" s="180"/>
      <c r="AK4" s="180"/>
      <c r="AL4" s="180"/>
      <c r="AM4" s="180"/>
      <c r="AN4" s="12"/>
      <c r="AO4" s="9"/>
    </row>
    <row r="5" spans="1:41" ht="14.25" customHeight="1" x14ac:dyDescent="0.2">
      <c r="B5" s="13" t="s">
        <v>35</v>
      </c>
      <c r="C5" s="13"/>
      <c r="D5" s="179" t="s">
        <v>36</v>
      </c>
      <c r="E5" s="179"/>
      <c r="F5" s="1" t="s">
        <v>37</v>
      </c>
      <c r="H5" s="179" t="s">
        <v>38</v>
      </c>
      <c r="I5" s="179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64">
        <v>1</v>
      </c>
      <c r="B6" s="31" t="s">
        <v>43</v>
      </c>
      <c r="C6" s="16">
        <v>11</v>
      </c>
      <c r="D6" s="17">
        <v>77</v>
      </c>
      <c r="E6" s="18">
        <v>36</v>
      </c>
      <c r="F6" s="17"/>
      <c r="G6" s="18" t="s">
        <v>350</v>
      </c>
      <c r="H6" s="17">
        <v>83</v>
      </c>
      <c r="I6" s="18">
        <v>26.5</v>
      </c>
      <c r="J6" s="17"/>
      <c r="K6" s="18" t="s">
        <v>350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>
        <v>75</v>
      </c>
      <c r="W6" s="18">
        <v>29.5</v>
      </c>
      <c r="X6" s="17">
        <v>76</v>
      </c>
      <c r="Y6" s="18">
        <v>24</v>
      </c>
      <c r="Z6" s="17"/>
      <c r="AA6" s="18" t="s">
        <v>350</v>
      </c>
      <c r="AB6" s="17">
        <v>75</v>
      </c>
      <c r="AC6" s="18">
        <v>25</v>
      </c>
      <c r="AD6" s="17">
        <v>77</v>
      </c>
      <c r="AE6" s="18">
        <v>29</v>
      </c>
      <c r="AF6" s="17"/>
      <c r="AG6" s="18" t="s">
        <v>350</v>
      </c>
      <c r="AH6" s="17"/>
      <c r="AI6" s="18" t="s">
        <v>350</v>
      </c>
      <c r="AJ6" s="17"/>
      <c r="AK6" s="18" t="s">
        <v>350</v>
      </c>
      <c r="AL6" s="17"/>
      <c r="AM6" s="18" t="s">
        <v>350</v>
      </c>
      <c r="AN6" s="12">
        <v>281.5</v>
      </c>
      <c r="AO6" s="19">
        <v>27.681818181818183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350</v>
      </c>
      <c r="H7" s="17">
        <v>37</v>
      </c>
      <c r="I7" s="22">
        <v>14</v>
      </c>
      <c r="J7" s="17"/>
      <c r="K7" s="22" t="s">
        <v>350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>
        <v>37</v>
      </c>
      <c r="W7" s="22">
        <v>15.5</v>
      </c>
      <c r="X7" s="17">
        <v>37</v>
      </c>
      <c r="Y7" s="22">
        <v>14</v>
      </c>
      <c r="Z7" s="17"/>
      <c r="AA7" s="22" t="s">
        <v>350</v>
      </c>
      <c r="AB7" s="17">
        <v>35</v>
      </c>
      <c r="AC7" s="22">
        <v>14</v>
      </c>
      <c r="AD7" s="17">
        <v>36</v>
      </c>
      <c r="AE7" s="22">
        <v>15</v>
      </c>
      <c r="AF7" s="17"/>
      <c r="AG7" s="22" t="s">
        <v>350</v>
      </c>
      <c r="AH7" s="17"/>
      <c r="AI7" s="22" t="s">
        <v>350</v>
      </c>
      <c r="AJ7" s="17"/>
      <c r="AK7" s="22" t="s">
        <v>350</v>
      </c>
      <c r="AL7" s="17"/>
      <c r="AM7" s="22" t="s">
        <v>350</v>
      </c>
      <c r="AN7" s="23">
        <v>36.272727272727273</v>
      </c>
      <c r="AO7" s="19">
        <v>14.590909090909092</v>
      </c>
    </row>
    <row r="8" spans="1:41" x14ac:dyDescent="0.2">
      <c r="A8" s="24">
        <v>1.0229999999999999</v>
      </c>
      <c r="B8" s="132" t="s">
        <v>42</v>
      </c>
      <c r="C8" s="26">
        <v>24</v>
      </c>
      <c r="D8" s="27">
        <v>35</v>
      </c>
      <c r="E8" s="28">
        <v>18</v>
      </c>
      <c r="F8" s="27"/>
      <c r="G8" s="28" t="s">
        <v>350</v>
      </c>
      <c r="H8" s="27">
        <v>4</v>
      </c>
      <c r="I8" s="28">
        <v>12.5</v>
      </c>
      <c r="J8" s="27"/>
      <c r="K8" s="28" t="s">
        <v>350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>
        <v>16</v>
      </c>
      <c r="W8" s="28">
        <v>14</v>
      </c>
      <c r="X8" s="27">
        <v>2</v>
      </c>
      <c r="Y8" s="28">
        <v>10</v>
      </c>
      <c r="Z8" s="27"/>
      <c r="AA8" s="28" t="s">
        <v>350</v>
      </c>
      <c r="AB8" s="27">
        <v>2</v>
      </c>
      <c r="AC8" s="28">
        <v>11</v>
      </c>
      <c r="AD8" s="27">
        <v>9</v>
      </c>
      <c r="AE8" s="28">
        <v>14</v>
      </c>
      <c r="AF8" s="27"/>
      <c r="AG8" s="28" t="s">
        <v>350</v>
      </c>
      <c r="AH8" s="27"/>
      <c r="AI8" s="28" t="s">
        <v>350</v>
      </c>
      <c r="AJ8" s="27"/>
      <c r="AK8" s="28" t="s">
        <v>350</v>
      </c>
      <c r="AL8" s="27"/>
      <c r="AM8" s="28" t="s">
        <v>350</v>
      </c>
      <c r="AN8" s="29">
        <v>124.999</v>
      </c>
      <c r="AO8" s="30">
        <v>13.090909090909092</v>
      </c>
    </row>
    <row r="9" spans="1:41" x14ac:dyDescent="0.2">
      <c r="A9" s="164">
        <v>2</v>
      </c>
      <c r="B9" s="15" t="s">
        <v>46</v>
      </c>
      <c r="C9" s="16">
        <v>11</v>
      </c>
      <c r="D9" s="17">
        <v>80</v>
      </c>
      <c r="E9" s="18">
        <v>23</v>
      </c>
      <c r="F9" s="17"/>
      <c r="G9" s="18" t="s">
        <v>350</v>
      </c>
      <c r="H9" s="17"/>
      <c r="I9" s="18" t="s">
        <v>350</v>
      </c>
      <c r="J9" s="17">
        <v>81</v>
      </c>
      <c r="K9" s="18">
        <v>21.5</v>
      </c>
      <c r="L9" s="17">
        <v>83</v>
      </c>
      <c r="M9" s="18">
        <v>29</v>
      </c>
      <c r="N9" s="17">
        <v>84</v>
      </c>
      <c r="O9" s="18">
        <v>17.5</v>
      </c>
      <c r="P9" s="17">
        <v>79</v>
      </c>
      <c r="Q9" s="18">
        <v>21.5</v>
      </c>
      <c r="R9" s="17">
        <v>79</v>
      </c>
      <c r="S9" s="18">
        <v>29.5</v>
      </c>
      <c r="T9" s="17">
        <v>76</v>
      </c>
      <c r="U9" s="18">
        <v>35</v>
      </c>
      <c r="V9" s="17">
        <v>81</v>
      </c>
      <c r="W9" s="18">
        <v>18</v>
      </c>
      <c r="X9" s="17">
        <v>75</v>
      </c>
      <c r="Y9" s="18">
        <v>31</v>
      </c>
      <c r="Z9" s="17"/>
      <c r="AA9" s="18" t="s">
        <v>350</v>
      </c>
      <c r="AB9" s="17">
        <v>82</v>
      </c>
      <c r="AC9" s="18">
        <v>22.5</v>
      </c>
      <c r="AD9" s="17">
        <v>75</v>
      </c>
      <c r="AE9" s="18">
        <v>32</v>
      </c>
      <c r="AF9" s="17"/>
      <c r="AG9" s="18" t="s">
        <v>350</v>
      </c>
      <c r="AH9" s="17"/>
      <c r="AI9" s="18" t="s">
        <v>350</v>
      </c>
      <c r="AJ9" s="17"/>
      <c r="AK9" s="18" t="s">
        <v>350</v>
      </c>
      <c r="AL9" s="17"/>
      <c r="AM9" s="18" t="s">
        <v>350</v>
      </c>
      <c r="AN9" s="12">
        <v>263</v>
      </c>
      <c r="AO9" s="19">
        <v>25.5</v>
      </c>
    </row>
    <row r="10" spans="1:41" x14ac:dyDescent="0.2">
      <c r="A10" s="20">
        <v>2.15</v>
      </c>
      <c r="B10" s="21" t="s">
        <v>41</v>
      </c>
      <c r="C10" s="21"/>
      <c r="D10" s="17">
        <v>34</v>
      </c>
      <c r="E10" s="22">
        <v>16</v>
      </c>
      <c r="F10" s="17"/>
      <c r="G10" s="22" t="s">
        <v>350</v>
      </c>
      <c r="H10" s="17"/>
      <c r="I10" s="22" t="s">
        <v>350</v>
      </c>
      <c r="J10" s="17">
        <v>32</v>
      </c>
      <c r="K10" s="22">
        <v>12.5</v>
      </c>
      <c r="L10" s="17">
        <v>33</v>
      </c>
      <c r="M10" s="22">
        <v>14</v>
      </c>
      <c r="N10" s="17">
        <v>34</v>
      </c>
      <c r="O10" s="22">
        <v>11.5</v>
      </c>
      <c r="P10" s="17">
        <v>36</v>
      </c>
      <c r="Q10" s="22">
        <v>13.5</v>
      </c>
      <c r="R10" s="17">
        <v>36</v>
      </c>
      <c r="S10" s="22">
        <v>15.5</v>
      </c>
      <c r="T10" s="17">
        <v>41</v>
      </c>
      <c r="U10" s="22">
        <v>18</v>
      </c>
      <c r="V10" s="17">
        <v>33</v>
      </c>
      <c r="W10" s="22">
        <v>9.5</v>
      </c>
      <c r="X10" s="17">
        <v>39</v>
      </c>
      <c r="Y10" s="22">
        <v>16.5</v>
      </c>
      <c r="Z10" s="17"/>
      <c r="AA10" s="22" t="s">
        <v>350</v>
      </c>
      <c r="AB10" s="17">
        <v>28</v>
      </c>
      <c r="AC10" s="22">
        <v>7.5</v>
      </c>
      <c r="AD10" s="17">
        <v>38</v>
      </c>
      <c r="AE10" s="22">
        <v>16</v>
      </c>
      <c r="AF10" s="17"/>
      <c r="AG10" s="22" t="s">
        <v>350</v>
      </c>
      <c r="AH10" s="17"/>
      <c r="AI10" s="22" t="s">
        <v>350</v>
      </c>
      <c r="AJ10" s="17"/>
      <c r="AK10" s="22" t="s">
        <v>350</v>
      </c>
      <c r="AL10" s="17"/>
      <c r="AM10" s="22" t="s">
        <v>350</v>
      </c>
      <c r="AN10" s="23">
        <v>34.909090909090907</v>
      </c>
      <c r="AO10" s="19">
        <v>13.681818181818182</v>
      </c>
    </row>
    <row r="11" spans="1:41" x14ac:dyDescent="0.2">
      <c r="A11" s="24">
        <v>2.0249999999999999</v>
      </c>
      <c r="B11" s="132" t="s">
        <v>42</v>
      </c>
      <c r="C11" s="26">
        <v>18</v>
      </c>
      <c r="D11" s="27">
        <v>-10</v>
      </c>
      <c r="E11" s="28">
        <v>7</v>
      </c>
      <c r="F11" s="27"/>
      <c r="G11" s="28" t="s">
        <v>350</v>
      </c>
      <c r="H11" s="27"/>
      <c r="I11" s="28" t="s">
        <v>350</v>
      </c>
      <c r="J11" s="27">
        <v>-15</v>
      </c>
      <c r="K11" s="28">
        <v>9</v>
      </c>
      <c r="L11" s="27">
        <v>20</v>
      </c>
      <c r="M11" s="28">
        <v>15</v>
      </c>
      <c r="N11" s="27">
        <v>-16</v>
      </c>
      <c r="O11" s="28">
        <v>6</v>
      </c>
      <c r="P11" s="27">
        <v>-4</v>
      </c>
      <c r="Q11" s="28">
        <v>8</v>
      </c>
      <c r="R11" s="27">
        <v>12</v>
      </c>
      <c r="S11" s="28">
        <v>14</v>
      </c>
      <c r="T11" s="27">
        <v>25</v>
      </c>
      <c r="U11" s="28">
        <v>17</v>
      </c>
      <c r="V11" s="27">
        <v>-8</v>
      </c>
      <c r="W11" s="28">
        <v>8.5</v>
      </c>
      <c r="X11" s="27">
        <v>14</v>
      </c>
      <c r="Y11" s="28">
        <v>14.5</v>
      </c>
      <c r="Z11" s="27"/>
      <c r="AA11" s="28" t="s">
        <v>350</v>
      </c>
      <c r="AB11" s="27">
        <v>16</v>
      </c>
      <c r="AC11" s="28">
        <v>15</v>
      </c>
      <c r="AD11" s="27">
        <v>24</v>
      </c>
      <c r="AE11" s="28">
        <v>16</v>
      </c>
      <c r="AF11" s="27"/>
      <c r="AG11" s="28" t="s">
        <v>350</v>
      </c>
      <c r="AH11" s="27"/>
      <c r="AI11" s="28" t="s">
        <v>350</v>
      </c>
      <c r="AJ11" s="27"/>
      <c r="AK11" s="28" t="s">
        <v>350</v>
      </c>
      <c r="AL11" s="27"/>
      <c r="AM11" s="28" t="s">
        <v>350</v>
      </c>
      <c r="AN11" s="29">
        <v>58</v>
      </c>
      <c r="AO11" s="30">
        <v>11.818181818181818</v>
      </c>
    </row>
    <row r="12" spans="1:41" x14ac:dyDescent="0.2">
      <c r="A12" s="164">
        <v>3</v>
      </c>
      <c r="B12" s="31" t="s">
        <v>48</v>
      </c>
      <c r="C12" s="16">
        <v>10</v>
      </c>
      <c r="D12" s="17">
        <v>83</v>
      </c>
      <c r="E12" s="18">
        <v>26.5</v>
      </c>
      <c r="F12" s="17"/>
      <c r="G12" s="18" t="s">
        <v>350</v>
      </c>
      <c r="H12" s="17"/>
      <c r="I12" s="18" t="s">
        <v>350</v>
      </c>
      <c r="J12" s="17">
        <v>84</v>
      </c>
      <c r="K12" s="18">
        <v>24</v>
      </c>
      <c r="L12" s="17">
        <v>87</v>
      </c>
      <c r="M12" s="18">
        <v>23</v>
      </c>
      <c r="N12" s="17">
        <v>83</v>
      </c>
      <c r="O12" s="18">
        <v>29</v>
      </c>
      <c r="P12" s="17"/>
      <c r="Q12" s="18" t="s">
        <v>350</v>
      </c>
      <c r="R12" s="17">
        <v>88</v>
      </c>
      <c r="S12" s="18">
        <v>10.5</v>
      </c>
      <c r="T12" s="17">
        <v>81</v>
      </c>
      <c r="U12" s="18">
        <v>33</v>
      </c>
      <c r="V12" s="17">
        <v>84</v>
      </c>
      <c r="W12" s="18">
        <v>22</v>
      </c>
      <c r="X12" s="17">
        <v>85</v>
      </c>
      <c r="Y12" s="18">
        <v>24.5</v>
      </c>
      <c r="Z12" s="17">
        <v>82</v>
      </c>
      <c r="AA12" s="18">
        <v>20</v>
      </c>
      <c r="AB12" s="17"/>
      <c r="AC12" s="18" t="s">
        <v>350</v>
      </c>
      <c r="AD12" s="17">
        <v>86</v>
      </c>
      <c r="AE12" s="18">
        <v>21</v>
      </c>
      <c r="AF12" s="17"/>
      <c r="AG12" s="18" t="s">
        <v>350</v>
      </c>
      <c r="AH12" s="17"/>
      <c r="AI12" s="18" t="s">
        <v>350</v>
      </c>
      <c r="AJ12" s="17"/>
      <c r="AK12" s="18" t="s">
        <v>350</v>
      </c>
      <c r="AL12" s="17"/>
      <c r="AM12" s="18" t="s">
        <v>350</v>
      </c>
      <c r="AN12" s="12">
        <v>233.5</v>
      </c>
      <c r="AO12" s="19">
        <v>23.35</v>
      </c>
    </row>
    <row r="13" spans="1:41" x14ac:dyDescent="0.2">
      <c r="A13" s="20">
        <v>3.14</v>
      </c>
      <c r="B13" s="21" t="s">
        <v>41</v>
      </c>
      <c r="C13" s="21"/>
      <c r="D13" s="17">
        <v>33</v>
      </c>
      <c r="E13" s="22">
        <v>14.5</v>
      </c>
      <c r="F13" s="17"/>
      <c r="G13" s="22" t="s">
        <v>350</v>
      </c>
      <c r="H13" s="17"/>
      <c r="I13" s="22" t="s">
        <v>350</v>
      </c>
      <c r="J13" s="17">
        <v>30</v>
      </c>
      <c r="K13" s="22">
        <v>11</v>
      </c>
      <c r="L13" s="17">
        <v>31</v>
      </c>
      <c r="M13" s="22">
        <v>11</v>
      </c>
      <c r="N13" s="17">
        <v>36</v>
      </c>
      <c r="O13" s="22">
        <v>15</v>
      </c>
      <c r="P13" s="17"/>
      <c r="Q13" s="22" t="s">
        <v>350</v>
      </c>
      <c r="R13" s="17">
        <v>29</v>
      </c>
      <c r="S13" s="22">
        <v>6.5</v>
      </c>
      <c r="T13" s="17">
        <v>38</v>
      </c>
      <c r="U13" s="22">
        <v>15</v>
      </c>
      <c r="V13" s="17">
        <v>30</v>
      </c>
      <c r="W13" s="22">
        <v>8</v>
      </c>
      <c r="X13" s="17">
        <v>32</v>
      </c>
      <c r="Y13" s="22">
        <v>8</v>
      </c>
      <c r="Z13" s="17">
        <v>37</v>
      </c>
      <c r="AA13" s="22">
        <v>17</v>
      </c>
      <c r="AB13" s="17"/>
      <c r="AC13" s="22" t="s">
        <v>350</v>
      </c>
      <c r="AD13" s="17">
        <v>32</v>
      </c>
      <c r="AE13" s="22">
        <v>10</v>
      </c>
      <c r="AF13" s="17"/>
      <c r="AG13" s="22" t="s">
        <v>350</v>
      </c>
      <c r="AH13" s="17"/>
      <c r="AI13" s="22" t="s">
        <v>350</v>
      </c>
      <c r="AJ13" s="17"/>
      <c r="AK13" s="22" t="s">
        <v>350</v>
      </c>
      <c r="AL13" s="17"/>
      <c r="AM13" s="22" t="s">
        <v>350</v>
      </c>
      <c r="AN13" s="23">
        <v>32.799999999999997</v>
      </c>
      <c r="AO13" s="19">
        <v>11.6</v>
      </c>
    </row>
    <row r="14" spans="1:41" x14ac:dyDescent="0.2">
      <c r="A14" s="24">
        <v>3.024</v>
      </c>
      <c r="B14" s="132" t="s">
        <v>42</v>
      </c>
      <c r="C14" s="26">
        <v>10.5</v>
      </c>
      <c r="D14" s="27">
        <v>5</v>
      </c>
      <c r="E14" s="28">
        <v>12</v>
      </c>
      <c r="F14" s="27"/>
      <c r="G14" s="28" t="s">
        <v>350</v>
      </c>
      <c r="H14" s="27"/>
      <c r="I14" s="28" t="s">
        <v>350</v>
      </c>
      <c r="J14" s="27">
        <v>41</v>
      </c>
      <c r="K14" s="28">
        <v>13</v>
      </c>
      <c r="L14" s="27">
        <v>8</v>
      </c>
      <c r="M14" s="28">
        <v>12</v>
      </c>
      <c r="N14" s="27">
        <v>12</v>
      </c>
      <c r="O14" s="28">
        <v>14</v>
      </c>
      <c r="P14" s="27"/>
      <c r="Q14" s="28" t="s">
        <v>350</v>
      </c>
      <c r="R14" s="27">
        <v>-32</v>
      </c>
      <c r="S14" s="28">
        <v>4</v>
      </c>
      <c r="T14" s="27">
        <v>29</v>
      </c>
      <c r="U14" s="28">
        <v>18</v>
      </c>
      <c r="V14" s="27">
        <v>16</v>
      </c>
      <c r="W14" s="28">
        <v>14</v>
      </c>
      <c r="X14" s="27">
        <v>18</v>
      </c>
      <c r="Y14" s="28">
        <v>16.5</v>
      </c>
      <c r="Z14" s="27">
        <v>-57</v>
      </c>
      <c r="AA14" s="28">
        <v>3</v>
      </c>
      <c r="AB14" s="27"/>
      <c r="AC14" s="28" t="s">
        <v>350</v>
      </c>
      <c r="AD14" s="27">
        <v>1</v>
      </c>
      <c r="AE14" s="28">
        <v>11</v>
      </c>
      <c r="AF14" s="27"/>
      <c r="AG14" s="28" t="s">
        <v>350</v>
      </c>
      <c r="AH14" s="27"/>
      <c r="AI14" s="28" t="s">
        <v>350</v>
      </c>
      <c r="AJ14" s="27"/>
      <c r="AK14" s="28" t="s">
        <v>350</v>
      </c>
      <c r="AL14" s="27"/>
      <c r="AM14" s="28" t="s">
        <v>350</v>
      </c>
      <c r="AN14" s="29">
        <v>41</v>
      </c>
      <c r="AO14" s="30">
        <v>11.75</v>
      </c>
    </row>
    <row r="15" spans="1:41" x14ac:dyDescent="0.2">
      <c r="A15" s="164">
        <v>4</v>
      </c>
      <c r="B15" s="15" t="s">
        <v>47</v>
      </c>
      <c r="C15" s="16">
        <v>9</v>
      </c>
      <c r="D15" s="17">
        <v>85</v>
      </c>
      <c r="E15" s="18">
        <v>22</v>
      </c>
      <c r="F15" s="17"/>
      <c r="G15" s="18" t="s">
        <v>350</v>
      </c>
      <c r="H15" s="17"/>
      <c r="I15" s="18" t="s">
        <v>350</v>
      </c>
      <c r="J15" s="17"/>
      <c r="K15" s="18" t="s">
        <v>350</v>
      </c>
      <c r="L15" s="17">
        <v>80</v>
      </c>
      <c r="M15" s="18">
        <v>34</v>
      </c>
      <c r="N15" s="17">
        <v>80</v>
      </c>
      <c r="O15" s="18">
        <v>32.5</v>
      </c>
      <c r="P15" s="17">
        <v>74</v>
      </c>
      <c r="Q15" s="18">
        <v>22</v>
      </c>
      <c r="R15" s="17">
        <v>81</v>
      </c>
      <c r="S15" s="18">
        <v>21.5</v>
      </c>
      <c r="T15" s="17">
        <v>83</v>
      </c>
      <c r="U15" s="18">
        <v>23.5</v>
      </c>
      <c r="V15" s="17">
        <v>77</v>
      </c>
      <c r="W15" s="18">
        <v>18</v>
      </c>
      <c r="X15" s="17"/>
      <c r="Y15" s="18" t="s">
        <v>350</v>
      </c>
      <c r="Z15" s="17">
        <v>76</v>
      </c>
      <c r="AA15" s="18">
        <v>36</v>
      </c>
      <c r="AB15" s="17">
        <v>80</v>
      </c>
      <c r="AC15" s="18">
        <v>14</v>
      </c>
      <c r="AD15" s="17"/>
      <c r="AE15" s="18" t="s">
        <v>350</v>
      </c>
      <c r="AF15" s="17"/>
      <c r="AG15" s="18" t="s">
        <v>350</v>
      </c>
      <c r="AH15" s="17"/>
      <c r="AI15" s="18" t="s">
        <v>350</v>
      </c>
      <c r="AJ15" s="17"/>
      <c r="AK15" s="18" t="s">
        <v>350</v>
      </c>
      <c r="AL15" s="17"/>
      <c r="AM15" s="18" t="s">
        <v>350</v>
      </c>
      <c r="AN15" s="12">
        <v>223.5</v>
      </c>
      <c r="AO15" s="19">
        <v>24.833333333333332</v>
      </c>
    </row>
    <row r="16" spans="1:41" x14ac:dyDescent="0.2">
      <c r="A16" s="20">
        <v>4.1109999999999998</v>
      </c>
      <c r="B16" s="21" t="s">
        <v>41</v>
      </c>
      <c r="C16" s="21"/>
      <c r="D16" s="17">
        <v>32</v>
      </c>
      <c r="E16" s="22">
        <v>12.5</v>
      </c>
      <c r="F16" s="17"/>
      <c r="G16" s="22" t="s">
        <v>350</v>
      </c>
      <c r="H16" s="17"/>
      <c r="I16" s="22" t="s">
        <v>350</v>
      </c>
      <c r="J16" s="17"/>
      <c r="K16" s="22" t="s">
        <v>350</v>
      </c>
      <c r="L16" s="17">
        <v>37</v>
      </c>
      <c r="M16" s="22">
        <v>18</v>
      </c>
      <c r="N16" s="17">
        <v>37</v>
      </c>
      <c r="O16" s="22">
        <v>16.5</v>
      </c>
      <c r="P16" s="17">
        <v>39</v>
      </c>
      <c r="Q16" s="22">
        <v>15.5</v>
      </c>
      <c r="R16" s="17">
        <v>34</v>
      </c>
      <c r="S16" s="22">
        <v>13</v>
      </c>
      <c r="T16" s="17">
        <v>33</v>
      </c>
      <c r="U16" s="22">
        <v>8.5</v>
      </c>
      <c r="V16" s="17">
        <v>33</v>
      </c>
      <c r="W16" s="22">
        <v>9.5</v>
      </c>
      <c r="X16" s="17"/>
      <c r="Y16" s="22" t="s">
        <v>350</v>
      </c>
      <c r="Z16" s="17">
        <v>38</v>
      </c>
      <c r="AA16" s="22">
        <v>18</v>
      </c>
      <c r="AB16" s="17">
        <v>29</v>
      </c>
      <c r="AC16" s="22">
        <v>9</v>
      </c>
      <c r="AD16" s="17"/>
      <c r="AE16" s="22" t="s">
        <v>350</v>
      </c>
      <c r="AF16" s="17"/>
      <c r="AG16" s="22" t="s">
        <v>350</v>
      </c>
      <c r="AH16" s="17"/>
      <c r="AI16" s="22" t="s">
        <v>350</v>
      </c>
      <c r="AJ16" s="17"/>
      <c r="AK16" s="22" t="s">
        <v>350</v>
      </c>
      <c r="AL16" s="17"/>
      <c r="AM16" s="22" t="s">
        <v>350</v>
      </c>
      <c r="AN16" s="23">
        <v>34.666666666666664</v>
      </c>
      <c r="AO16" s="19">
        <v>13.388888888888889</v>
      </c>
    </row>
    <row r="17" spans="1:41" x14ac:dyDescent="0.2">
      <c r="A17" s="24">
        <v>4.0210999999999997</v>
      </c>
      <c r="B17" s="132" t="s">
        <v>42</v>
      </c>
      <c r="C17" s="26">
        <v>14</v>
      </c>
      <c r="D17" s="27">
        <v>-8</v>
      </c>
      <c r="E17" s="28">
        <v>9.5</v>
      </c>
      <c r="F17" s="27"/>
      <c r="G17" s="28" t="s">
        <v>350</v>
      </c>
      <c r="H17" s="27"/>
      <c r="I17" s="28" t="s">
        <v>350</v>
      </c>
      <c r="J17" s="27"/>
      <c r="K17" s="28" t="s">
        <v>350</v>
      </c>
      <c r="L17" s="27">
        <v>28</v>
      </c>
      <c r="M17" s="28">
        <v>16</v>
      </c>
      <c r="N17" s="27">
        <v>17</v>
      </c>
      <c r="O17" s="28">
        <v>16</v>
      </c>
      <c r="P17" s="27">
        <v>-8</v>
      </c>
      <c r="Q17" s="28">
        <v>6.5</v>
      </c>
      <c r="R17" s="27">
        <v>-2</v>
      </c>
      <c r="S17" s="28">
        <v>8.5</v>
      </c>
      <c r="T17" s="27">
        <v>13</v>
      </c>
      <c r="U17" s="28">
        <v>15</v>
      </c>
      <c r="V17" s="27">
        <v>-8</v>
      </c>
      <c r="W17" s="28">
        <v>8.5</v>
      </c>
      <c r="X17" s="27"/>
      <c r="Y17" s="28" t="s">
        <v>350</v>
      </c>
      <c r="Z17" s="27">
        <v>45</v>
      </c>
      <c r="AA17" s="28">
        <v>18</v>
      </c>
      <c r="AB17" s="27">
        <v>-22</v>
      </c>
      <c r="AC17" s="28">
        <v>5</v>
      </c>
      <c r="AD17" s="27"/>
      <c r="AE17" s="28" t="s">
        <v>350</v>
      </c>
      <c r="AF17" s="27"/>
      <c r="AG17" s="28" t="s">
        <v>350</v>
      </c>
      <c r="AH17" s="27"/>
      <c r="AI17" s="28" t="s">
        <v>350</v>
      </c>
      <c r="AJ17" s="27"/>
      <c r="AK17" s="28" t="s">
        <v>350</v>
      </c>
      <c r="AL17" s="27"/>
      <c r="AM17" s="28" t="s">
        <v>350</v>
      </c>
      <c r="AN17" s="29">
        <v>55</v>
      </c>
      <c r="AO17" s="30">
        <v>11.444444444444445</v>
      </c>
    </row>
    <row r="18" spans="1:41" x14ac:dyDescent="0.2">
      <c r="A18" s="164">
        <v>5</v>
      </c>
      <c r="B18" s="15" t="s">
        <v>44</v>
      </c>
      <c r="C18" s="16">
        <v>12</v>
      </c>
      <c r="D18" s="17">
        <v>82</v>
      </c>
      <c r="E18" s="18">
        <v>22</v>
      </c>
      <c r="F18" s="17"/>
      <c r="G18" s="18" t="s">
        <v>350</v>
      </c>
      <c r="H18" s="17">
        <v>81</v>
      </c>
      <c r="I18" s="18">
        <v>23.5</v>
      </c>
      <c r="J18" s="17">
        <v>76</v>
      </c>
      <c r="K18" s="18">
        <v>26</v>
      </c>
      <c r="L18" s="17">
        <v>80</v>
      </c>
      <c r="M18" s="18">
        <v>22</v>
      </c>
      <c r="N18" s="17">
        <v>85</v>
      </c>
      <c r="O18" s="18">
        <v>11.5</v>
      </c>
      <c r="P18" s="17">
        <v>76</v>
      </c>
      <c r="Q18" s="18">
        <v>23.5</v>
      </c>
      <c r="R18" s="17">
        <v>74</v>
      </c>
      <c r="S18" s="18">
        <v>28.5</v>
      </c>
      <c r="T18" s="17">
        <v>80</v>
      </c>
      <c r="U18" s="18">
        <v>16.5</v>
      </c>
      <c r="V18" s="17">
        <v>74</v>
      </c>
      <c r="W18" s="18">
        <v>18.5</v>
      </c>
      <c r="X18" s="17">
        <v>82</v>
      </c>
      <c r="Y18" s="18">
        <v>8.5</v>
      </c>
      <c r="Z18" s="17">
        <v>82</v>
      </c>
      <c r="AA18" s="18">
        <v>13</v>
      </c>
      <c r="AB18" s="17"/>
      <c r="AC18" s="18" t="s">
        <v>350</v>
      </c>
      <c r="AD18" s="17">
        <v>76</v>
      </c>
      <c r="AE18" s="18">
        <v>27</v>
      </c>
      <c r="AF18" s="17"/>
      <c r="AG18" s="18" t="s">
        <v>350</v>
      </c>
      <c r="AH18" s="17"/>
      <c r="AI18" s="18" t="s">
        <v>350</v>
      </c>
      <c r="AJ18" s="17"/>
      <c r="AK18" s="18" t="s">
        <v>350</v>
      </c>
      <c r="AL18" s="17"/>
      <c r="AM18" s="18" t="s">
        <v>350</v>
      </c>
      <c r="AN18" s="12">
        <v>220.5</v>
      </c>
      <c r="AO18" s="19">
        <v>20.041666666666668</v>
      </c>
    </row>
    <row r="19" spans="1:41" x14ac:dyDescent="0.2">
      <c r="A19" s="20">
        <v>5.12</v>
      </c>
      <c r="B19" s="21" t="s">
        <v>41</v>
      </c>
      <c r="C19" s="21"/>
      <c r="D19" s="17">
        <v>29</v>
      </c>
      <c r="E19" s="22">
        <v>6</v>
      </c>
      <c r="F19" s="17"/>
      <c r="G19" s="22" t="s">
        <v>350</v>
      </c>
      <c r="H19" s="17">
        <v>32</v>
      </c>
      <c r="I19" s="22">
        <v>11</v>
      </c>
      <c r="J19" s="17">
        <v>33</v>
      </c>
      <c r="K19" s="22">
        <v>14</v>
      </c>
      <c r="L19" s="17">
        <v>33</v>
      </c>
      <c r="M19" s="22">
        <v>14</v>
      </c>
      <c r="N19" s="17">
        <v>29</v>
      </c>
      <c r="O19" s="22">
        <v>7.5</v>
      </c>
      <c r="P19" s="17">
        <v>34</v>
      </c>
      <c r="Q19" s="22">
        <v>10.5</v>
      </c>
      <c r="R19" s="17">
        <v>38</v>
      </c>
      <c r="S19" s="22">
        <v>18</v>
      </c>
      <c r="T19" s="17">
        <v>33</v>
      </c>
      <c r="U19" s="22">
        <v>8.5</v>
      </c>
      <c r="V19" s="17">
        <v>34</v>
      </c>
      <c r="W19" s="22">
        <v>11.5</v>
      </c>
      <c r="X19" s="17">
        <v>28</v>
      </c>
      <c r="Y19" s="22">
        <v>4.5</v>
      </c>
      <c r="Z19" s="17">
        <v>30</v>
      </c>
      <c r="AA19" s="22">
        <v>6</v>
      </c>
      <c r="AB19" s="17"/>
      <c r="AC19" s="22" t="s">
        <v>350</v>
      </c>
      <c r="AD19" s="17">
        <v>33</v>
      </c>
      <c r="AE19" s="22">
        <v>12</v>
      </c>
      <c r="AF19" s="17"/>
      <c r="AG19" s="22" t="s">
        <v>350</v>
      </c>
      <c r="AH19" s="17"/>
      <c r="AI19" s="22" t="s">
        <v>350</v>
      </c>
      <c r="AJ19" s="17"/>
      <c r="AK19" s="22" t="s">
        <v>350</v>
      </c>
      <c r="AL19" s="17"/>
      <c r="AM19" s="22" t="s">
        <v>350</v>
      </c>
      <c r="AN19" s="23">
        <v>32.166666666666664</v>
      </c>
      <c r="AO19" s="19">
        <v>10.291666666666666</v>
      </c>
    </row>
    <row r="20" spans="1:41" x14ac:dyDescent="0.2">
      <c r="A20" s="24">
        <v>5.0220000000000002</v>
      </c>
      <c r="B20" s="132" t="s">
        <v>42</v>
      </c>
      <c r="C20" s="26">
        <v>13</v>
      </c>
      <c r="D20" s="27">
        <v>12</v>
      </c>
      <c r="E20" s="28">
        <v>16</v>
      </c>
      <c r="F20" s="27"/>
      <c r="G20" s="28" t="s">
        <v>350</v>
      </c>
      <c r="H20" s="27">
        <v>4</v>
      </c>
      <c r="I20" s="28">
        <v>12.5</v>
      </c>
      <c r="J20" s="27">
        <v>13</v>
      </c>
      <c r="K20" s="28">
        <v>12</v>
      </c>
      <c r="L20" s="27">
        <v>-6</v>
      </c>
      <c r="M20" s="28">
        <v>8</v>
      </c>
      <c r="N20" s="27">
        <v>-28</v>
      </c>
      <c r="O20" s="28">
        <v>4</v>
      </c>
      <c r="P20" s="27">
        <v>4</v>
      </c>
      <c r="Q20" s="28">
        <v>13</v>
      </c>
      <c r="R20" s="27">
        <v>-1E-4</v>
      </c>
      <c r="S20" s="28">
        <v>10.5</v>
      </c>
      <c r="T20" s="27">
        <v>-9</v>
      </c>
      <c r="U20" s="28">
        <v>8</v>
      </c>
      <c r="V20" s="27">
        <v>-18</v>
      </c>
      <c r="W20" s="28">
        <v>7</v>
      </c>
      <c r="X20" s="27">
        <v>-24</v>
      </c>
      <c r="Y20" s="28">
        <v>4</v>
      </c>
      <c r="Z20" s="27">
        <v>-7</v>
      </c>
      <c r="AA20" s="28">
        <v>7</v>
      </c>
      <c r="AB20" s="27"/>
      <c r="AC20" s="28" t="s">
        <v>350</v>
      </c>
      <c r="AD20" s="27">
        <v>12</v>
      </c>
      <c r="AE20" s="28">
        <v>15</v>
      </c>
      <c r="AF20" s="27"/>
      <c r="AG20" s="28" t="s">
        <v>350</v>
      </c>
      <c r="AH20" s="27"/>
      <c r="AI20" s="28" t="s">
        <v>350</v>
      </c>
      <c r="AJ20" s="27"/>
      <c r="AK20" s="28" t="s">
        <v>350</v>
      </c>
      <c r="AL20" s="27"/>
      <c r="AM20" s="28" t="s">
        <v>350</v>
      </c>
      <c r="AN20" s="29">
        <v>-47.000100000000003</v>
      </c>
      <c r="AO20" s="30">
        <v>9.75</v>
      </c>
    </row>
    <row r="21" spans="1:41" x14ac:dyDescent="0.2">
      <c r="A21" s="164">
        <v>6</v>
      </c>
      <c r="B21" s="32" t="s">
        <v>45</v>
      </c>
      <c r="C21" s="16">
        <v>11</v>
      </c>
      <c r="D21" s="17">
        <v>96</v>
      </c>
      <c r="E21" s="18">
        <v>27</v>
      </c>
      <c r="F21" s="17"/>
      <c r="G21" s="18" t="s">
        <v>350</v>
      </c>
      <c r="H21" s="17">
        <v>89</v>
      </c>
      <c r="I21" s="18">
        <v>31</v>
      </c>
      <c r="J21" s="17"/>
      <c r="K21" s="18" t="s">
        <v>350</v>
      </c>
      <c r="L21" s="17">
        <v>100</v>
      </c>
      <c r="M21" s="18">
        <v>12</v>
      </c>
      <c r="N21" s="17">
        <v>92</v>
      </c>
      <c r="O21" s="18">
        <v>34.5</v>
      </c>
      <c r="P21" s="17">
        <v>89</v>
      </c>
      <c r="Q21" s="18">
        <v>21.5</v>
      </c>
      <c r="R21" s="17">
        <v>93</v>
      </c>
      <c r="S21" s="18">
        <v>22</v>
      </c>
      <c r="T21" s="17"/>
      <c r="U21" s="18" t="s">
        <v>350</v>
      </c>
      <c r="V21" s="17">
        <v>86</v>
      </c>
      <c r="W21" s="18">
        <v>19.5</v>
      </c>
      <c r="X21" s="17">
        <v>92</v>
      </c>
      <c r="Y21" s="18">
        <v>12</v>
      </c>
      <c r="Z21" s="17">
        <v>104</v>
      </c>
      <c r="AA21" s="18">
        <v>16</v>
      </c>
      <c r="AB21" s="17">
        <v>91</v>
      </c>
      <c r="AC21" s="18">
        <v>19</v>
      </c>
      <c r="AD21" s="17">
        <v>92</v>
      </c>
      <c r="AE21" s="18">
        <v>15</v>
      </c>
      <c r="AF21" s="17"/>
      <c r="AG21" s="18" t="s">
        <v>350</v>
      </c>
      <c r="AH21" s="17"/>
      <c r="AI21" s="18" t="s">
        <v>350</v>
      </c>
      <c r="AJ21" s="17"/>
      <c r="AK21" s="18" t="s">
        <v>350</v>
      </c>
      <c r="AL21" s="17"/>
      <c r="AM21" s="18" t="s">
        <v>350</v>
      </c>
      <c r="AN21" s="12">
        <v>217.5</v>
      </c>
      <c r="AO21" s="19">
        <v>20.863636363636363</v>
      </c>
    </row>
    <row r="22" spans="1:41" x14ac:dyDescent="0.2">
      <c r="A22" s="20">
        <v>6.16</v>
      </c>
      <c r="B22" s="21" t="s">
        <v>41</v>
      </c>
      <c r="C22" s="21"/>
      <c r="D22" s="17">
        <v>31</v>
      </c>
      <c r="E22" s="22">
        <v>10</v>
      </c>
      <c r="F22" s="17"/>
      <c r="G22" s="22" t="s">
        <v>350</v>
      </c>
      <c r="H22" s="17">
        <v>40</v>
      </c>
      <c r="I22" s="22">
        <v>16</v>
      </c>
      <c r="J22" s="17"/>
      <c r="K22" s="22" t="s">
        <v>350</v>
      </c>
      <c r="L22" s="17">
        <v>27</v>
      </c>
      <c r="M22" s="22">
        <v>7</v>
      </c>
      <c r="N22" s="17">
        <v>37</v>
      </c>
      <c r="O22" s="22">
        <v>16.5</v>
      </c>
      <c r="P22" s="17">
        <v>34</v>
      </c>
      <c r="Q22" s="22">
        <v>10.5</v>
      </c>
      <c r="R22" s="17">
        <v>32</v>
      </c>
      <c r="S22" s="22">
        <v>10</v>
      </c>
      <c r="T22" s="17"/>
      <c r="U22" s="22" t="s">
        <v>350</v>
      </c>
      <c r="V22" s="17">
        <v>36</v>
      </c>
      <c r="W22" s="22">
        <v>13.5</v>
      </c>
      <c r="X22" s="17">
        <v>30</v>
      </c>
      <c r="Y22" s="22">
        <v>6</v>
      </c>
      <c r="Z22" s="17">
        <v>21</v>
      </c>
      <c r="AA22" s="22">
        <v>4</v>
      </c>
      <c r="AB22" s="17">
        <v>30</v>
      </c>
      <c r="AC22" s="22">
        <v>11</v>
      </c>
      <c r="AD22" s="17">
        <v>30</v>
      </c>
      <c r="AE22" s="22">
        <v>7</v>
      </c>
      <c r="AF22" s="17"/>
      <c r="AG22" s="22" t="s">
        <v>350</v>
      </c>
      <c r="AH22" s="17"/>
      <c r="AI22" s="22" t="s">
        <v>350</v>
      </c>
      <c r="AJ22" s="17"/>
      <c r="AK22" s="22" t="s">
        <v>350</v>
      </c>
      <c r="AL22" s="17"/>
      <c r="AM22" s="22" t="s">
        <v>350</v>
      </c>
      <c r="AN22" s="23">
        <v>31.636363636363637</v>
      </c>
      <c r="AO22" s="19">
        <v>10.136363636363637</v>
      </c>
    </row>
    <row r="23" spans="1:41" x14ac:dyDescent="0.2">
      <c r="A23" s="24">
        <v>6.0259999999999998</v>
      </c>
      <c r="B23" s="132" t="s">
        <v>42</v>
      </c>
      <c r="C23" s="26">
        <v>12</v>
      </c>
      <c r="D23" s="27">
        <v>27</v>
      </c>
      <c r="E23" s="28">
        <v>17</v>
      </c>
      <c r="F23" s="27"/>
      <c r="G23" s="28" t="s">
        <v>350</v>
      </c>
      <c r="H23" s="27">
        <v>21</v>
      </c>
      <c r="I23" s="28">
        <v>15</v>
      </c>
      <c r="J23" s="27"/>
      <c r="K23" s="28" t="s">
        <v>350</v>
      </c>
      <c r="L23" s="27">
        <v>-20</v>
      </c>
      <c r="M23" s="28">
        <v>5</v>
      </c>
      <c r="N23" s="27">
        <v>28</v>
      </c>
      <c r="O23" s="28">
        <v>18</v>
      </c>
      <c r="P23" s="27">
        <v>2</v>
      </c>
      <c r="Q23" s="28">
        <v>11</v>
      </c>
      <c r="R23" s="27">
        <v>8</v>
      </c>
      <c r="S23" s="28">
        <v>12</v>
      </c>
      <c r="T23" s="27"/>
      <c r="U23" s="28" t="s">
        <v>350</v>
      </c>
      <c r="V23" s="27">
        <v>-20</v>
      </c>
      <c r="W23" s="28">
        <v>6</v>
      </c>
      <c r="X23" s="27">
        <v>-11</v>
      </c>
      <c r="Y23" s="28">
        <v>6</v>
      </c>
      <c r="Z23" s="27">
        <v>2</v>
      </c>
      <c r="AA23" s="28">
        <v>12</v>
      </c>
      <c r="AB23" s="27">
        <v>-6</v>
      </c>
      <c r="AC23" s="28">
        <v>8</v>
      </c>
      <c r="AD23" s="27">
        <v>-7</v>
      </c>
      <c r="AE23" s="28">
        <v>8</v>
      </c>
      <c r="AF23" s="27"/>
      <c r="AG23" s="28" t="s">
        <v>350</v>
      </c>
      <c r="AH23" s="27"/>
      <c r="AI23" s="28" t="s">
        <v>350</v>
      </c>
      <c r="AJ23" s="27"/>
      <c r="AK23" s="28" t="s">
        <v>350</v>
      </c>
      <c r="AL23" s="27"/>
      <c r="AM23" s="28" t="s">
        <v>350</v>
      </c>
      <c r="AN23" s="29">
        <v>24</v>
      </c>
      <c r="AO23" s="30">
        <v>10.727272727272727</v>
      </c>
    </row>
    <row r="24" spans="1:41" x14ac:dyDescent="0.2">
      <c r="A24" s="164">
        <v>7</v>
      </c>
      <c r="B24" s="31" t="s">
        <v>54</v>
      </c>
      <c r="C24" s="16">
        <v>10</v>
      </c>
      <c r="D24" s="17">
        <v>89</v>
      </c>
      <c r="E24" s="18">
        <v>18.5</v>
      </c>
      <c r="F24" s="17"/>
      <c r="G24" s="18" t="s">
        <v>350</v>
      </c>
      <c r="H24" s="17">
        <v>91</v>
      </c>
      <c r="I24" s="18">
        <v>19</v>
      </c>
      <c r="J24" s="17">
        <v>93</v>
      </c>
      <c r="K24" s="18">
        <v>17</v>
      </c>
      <c r="L24" s="17"/>
      <c r="M24" s="18" t="s">
        <v>350</v>
      </c>
      <c r="N24" s="17"/>
      <c r="O24" s="18" t="s">
        <v>350</v>
      </c>
      <c r="P24" s="17">
        <v>80</v>
      </c>
      <c r="Q24" s="18">
        <v>22</v>
      </c>
      <c r="R24" s="17"/>
      <c r="S24" s="18" t="s">
        <v>350</v>
      </c>
      <c r="T24" s="17">
        <v>89</v>
      </c>
      <c r="U24" s="18">
        <v>15</v>
      </c>
      <c r="V24" s="17">
        <v>81</v>
      </c>
      <c r="W24" s="18">
        <v>29.5</v>
      </c>
      <c r="X24" s="17">
        <v>87</v>
      </c>
      <c r="Y24" s="18">
        <v>16</v>
      </c>
      <c r="Z24" s="17">
        <v>89</v>
      </c>
      <c r="AA24" s="18">
        <v>31</v>
      </c>
      <c r="AB24" s="17">
        <v>76</v>
      </c>
      <c r="AC24" s="18">
        <v>29</v>
      </c>
      <c r="AD24" s="17">
        <v>90</v>
      </c>
      <c r="AE24" s="18">
        <v>19</v>
      </c>
      <c r="AF24" s="17"/>
      <c r="AG24" s="18" t="s">
        <v>350</v>
      </c>
      <c r="AH24" s="17"/>
      <c r="AI24" s="18" t="s">
        <v>350</v>
      </c>
      <c r="AJ24" s="17"/>
      <c r="AK24" s="18" t="s">
        <v>350</v>
      </c>
      <c r="AL24" s="17"/>
      <c r="AM24" s="18" t="s">
        <v>350</v>
      </c>
      <c r="AN24" s="12">
        <v>216</v>
      </c>
      <c r="AO24" s="19">
        <v>21.6</v>
      </c>
    </row>
    <row r="25" spans="1:41" x14ac:dyDescent="0.2">
      <c r="A25" s="20">
        <v>7.1120000000000001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350</v>
      </c>
      <c r="H25" s="17">
        <v>33</v>
      </c>
      <c r="I25" s="22">
        <v>12</v>
      </c>
      <c r="J25" s="17">
        <v>26</v>
      </c>
      <c r="K25" s="22">
        <v>7</v>
      </c>
      <c r="L25" s="17"/>
      <c r="M25" s="22" t="s">
        <v>350</v>
      </c>
      <c r="N25" s="17"/>
      <c r="O25" s="22" t="s">
        <v>350</v>
      </c>
      <c r="P25" s="17">
        <v>39</v>
      </c>
      <c r="Q25" s="22">
        <v>15.5</v>
      </c>
      <c r="R25" s="17"/>
      <c r="S25" s="22" t="s">
        <v>350</v>
      </c>
      <c r="T25" s="17">
        <v>34</v>
      </c>
      <c r="U25" s="22">
        <v>11</v>
      </c>
      <c r="V25" s="17">
        <v>37</v>
      </c>
      <c r="W25" s="22">
        <v>15.5</v>
      </c>
      <c r="X25" s="17">
        <v>35</v>
      </c>
      <c r="Y25" s="22">
        <v>9</v>
      </c>
      <c r="Z25" s="17">
        <v>34</v>
      </c>
      <c r="AA25" s="22">
        <v>14</v>
      </c>
      <c r="AB25" s="17">
        <v>42</v>
      </c>
      <c r="AC25" s="22">
        <v>16</v>
      </c>
      <c r="AD25" s="17">
        <v>29</v>
      </c>
      <c r="AE25" s="22">
        <v>6</v>
      </c>
      <c r="AF25" s="17"/>
      <c r="AG25" s="22" t="s">
        <v>350</v>
      </c>
      <c r="AH25" s="17"/>
      <c r="AI25" s="22" t="s">
        <v>350</v>
      </c>
      <c r="AJ25" s="17"/>
      <c r="AK25" s="22" t="s">
        <v>350</v>
      </c>
      <c r="AL25" s="17"/>
      <c r="AM25" s="22" t="s">
        <v>350</v>
      </c>
      <c r="AN25" s="23">
        <v>34.200000000000003</v>
      </c>
      <c r="AO25" s="19">
        <v>12.05</v>
      </c>
    </row>
    <row r="26" spans="1:41" x14ac:dyDescent="0.2">
      <c r="A26" s="24">
        <v>7.0212000000000003</v>
      </c>
      <c r="B26" s="34" t="s">
        <v>42</v>
      </c>
      <c r="C26" s="26">
        <v>15</v>
      </c>
      <c r="D26" s="27">
        <v>-15</v>
      </c>
      <c r="E26" s="28">
        <v>4</v>
      </c>
      <c r="F26" s="27"/>
      <c r="G26" s="28" t="s">
        <v>350</v>
      </c>
      <c r="H26" s="27">
        <v>-12</v>
      </c>
      <c r="I26" s="28">
        <v>7</v>
      </c>
      <c r="J26" s="27">
        <v>-13</v>
      </c>
      <c r="K26" s="28">
        <v>10</v>
      </c>
      <c r="L26" s="27"/>
      <c r="M26" s="28" t="s">
        <v>350</v>
      </c>
      <c r="N26" s="27"/>
      <c r="O26" s="28" t="s">
        <v>350</v>
      </c>
      <c r="P26" s="27">
        <v>-8</v>
      </c>
      <c r="Q26" s="28">
        <v>6.5</v>
      </c>
      <c r="R26" s="27"/>
      <c r="S26" s="28" t="s">
        <v>350</v>
      </c>
      <c r="T26" s="27">
        <v>-21</v>
      </c>
      <c r="U26" s="28">
        <v>4</v>
      </c>
      <c r="V26" s="27">
        <v>16</v>
      </c>
      <c r="W26" s="28">
        <v>14</v>
      </c>
      <c r="X26" s="27">
        <v>-10</v>
      </c>
      <c r="Y26" s="28">
        <v>7</v>
      </c>
      <c r="Z26" s="27">
        <v>22</v>
      </c>
      <c r="AA26" s="28">
        <v>17</v>
      </c>
      <c r="AB26" s="27">
        <v>12</v>
      </c>
      <c r="AC26" s="28">
        <v>13</v>
      </c>
      <c r="AD26" s="27">
        <v>5</v>
      </c>
      <c r="AE26" s="28">
        <v>13</v>
      </c>
      <c r="AF26" s="27"/>
      <c r="AG26" s="28" t="s">
        <v>350</v>
      </c>
      <c r="AH26" s="27"/>
      <c r="AI26" s="28" t="s">
        <v>350</v>
      </c>
      <c r="AJ26" s="27"/>
      <c r="AK26" s="28" t="s">
        <v>350</v>
      </c>
      <c r="AL26" s="27"/>
      <c r="AM26" s="28" t="s">
        <v>350</v>
      </c>
      <c r="AN26" s="29">
        <v>-24</v>
      </c>
      <c r="AO26" s="30">
        <v>9.5500000000000007</v>
      </c>
    </row>
    <row r="27" spans="1:41" x14ac:dyDescent="0.2">
      <c r="A27" s="164">
        <v>8</v>
      </c>
      <c r="B27" s="15" t="s">
        <v>40</v>
      </c>
      <c r="C27" s="16">
        <v>9</v>
      </c>
      <c r="D27" s="17">
        <v>84</v>
      </c>
      <c r="E27" s="18">
        <v>20.5</v>
      </c>
      <c r="F27" s="17"/>
      <c r="G27" s="18" t="s">
        <v>350</v>
      </c>
      <c r="H27" s="17">
        <v>79</v>
      </c>
      <c r="I27" s="18">
        <v>31</v>
      </c>
      <c r="J27" s="17">
        <v>82</v>
      </c>
      <c r="K27" s="18">
        <v>26.5</v>
      </c>
      <c r="L27" s="17">
        <v>86</v>
      </c>
      <c r="M27" s="18">
        <v>26.5</v>
      </c>
      <c r="N27" s="17">
        <v>84</v>
      </c>
      <c r="O27" s="18">
        <v>23.5</v>
      </c>
      <c r="P27" s="17">
        <v>80</v>
      </c>
      <c r="Q27" s="18">
        <v>25.5</v>
      </c>
      <c r="R27" s="17">
        <v>83</v>
      </c>
      <c r="S27" s="18">
        <v>25.5</v>
      </c>
      <c r="T27" s="17">
        <v>96</v>
      </c>
      <c r="U27" s="18">
        <v>14</v>
      </c>
      <c r="V27" s="17"/>
      <c r="W27" s="18" t="s">
        <v>350</v>
      </c>
      <c r="X27" s="17">
        <v>89</v>
      </c>
      <c r="Y27" s="18">
        <v>12</v>
      </c>
      <c r="Z27" s="17"/>
      <c r="AA27" s="18" t="s">
        <v>350</v>
      </c>
      <c r="AB27" s="17"/>
      <c r="AC27" s="18" t="s">
        <v>350</v>
      </c>
      <c r="AD27" s="17"/>
      <c r="AE27" s="18" t="s">
        <v>350</v>
      </c>
      <c r="AF27" s="17"/>
      <c r="AG27" s="18" t="s">
        <v>350</v>
      </c>
      <c r="AH27" s="17"/>
      <c r="AI27" s="18" t="s">
        <v>350</v>
      </c>
      <c r="AJ27" s="17"/>
      <c r="AK27" s="18" t="s">
        <v>350</v>
      </c>
      <c r="AL27" s="17"/>
      <c r="AM27" s="18" t="s">
        <v>350</v>
      </c>
      <c r="AN27" s="12">
        <v>205</v>
      </c>
      <c r="AO27" s="19">
        <v>22.777777777777779</v>
      </c>
    </row>
    <row r="28" spans="1:41" x14ac:dyDescent="0.2">
      <c r="A28" s="20">
        <v>8.11</v>
      </c>
      <c r="B28" s="21" t="s">
        <v>41</v>
      </c>
      <c r="C28" s="21"/>
      <c r="D28" s="17">
        <v>32</v>
      </c>
      <c r="E28" s="22">
        <v>12.5</v>
      </c>
      <c r="F28" s="17"/>
      <c r="G28" s="22" t="s">
        <v>350</v>
      </c>
      <c r="H28" s="17">
        <v>39</v>
      </c>
      <c r="I28" s="22">
        <v>15</v>
      </c>
      <c r="J28" s="17">
        <v>32</v>
      </c>
      <c r="K28" s="22">
        <v>12.5</v>
      </c>
      <c r="L28" s="17">
        <v>30</v>
      </c>
      <c r="M28" s="22">
        <v>8.5</v>
      </c>
      <c r="N28" s="17">
        <v>34</v>
      </c>
      <c r="O28" s="22">
        <v>11.5</v>
      </c>
      <c r="P28" s="17">
        <v>34</v>
      </c>
      <c r="Q28" s="22">
        <v>10.5</v>
      </c>
      <c r="R28" s="17">
        <v>33</v>
      </c>
      <c r="S28" s="22">
        <v>11.5</v>
      </c>
      <c r="T28" s="17">
        <v>23</v>
      </c>
      <c r="U28" s="22">
        <v>3</v>
      </c>
      <c r="V28" s="17"/>
      <c r="W28" s="22" t="s">
        <v>350</v>
      </c>
      <c r="X28" s="17">
        <v>27</v>
      </c>
      <c r="Y28" s="22">
        <v>3</v>
      </c>
      <c r="Z28" s="17"/>
      <c r="AA28" s="22" t="s">
        <v>350</v>
      </c>
      <c r="AB28" s="17"/>
      <c r="AC28" s="22" t="s">
        <v>350</v>
      </c>
      <c r="AD28" s="17"/>
      <c r="AE28" s="22" t="s">
        <v>350</v>
      </c>
      <c r="AF28" s="17"/>
      <c r="AG28" s="22" t="s">
        <v>350</v>
      </c>
      <c r="AH28" s="17"/>
      <c r="AI28" s="22" t="s">
        <v>350</v>
      </c>
      <c r="AJ28" s="17"/>
      <c r="AK28" s="22" t="s">
        <v>350</v>
      </c>
      <c r="AL28" s="17"/>
      <c r="AM28" s="22" t="s">
        <v>350</v>
      </c>
      <c r="AN28" s="23">
        <v>31.555555555555557</v>
      </c>
      <c r="AO28" s="19">
        <v>9.7777777777777786</v>
      </c>
    </row>
    <row r="29" spans="1:41" x14ac:dyDescent="0.2">
      <c r="A29" s="24">
        <v>8.0210000000000008</v>
      </c>
      <c r="B29" s="132" t="s">
        <v>42</v>
      </c>
      <c r="C29" s="26">
        <v>12</v>
      </c>
      <c r="D29" s="27">
        <v>-9</v>
      </c>
      <c r="E29" s="28">
        <v>8</v>
      </c>
      <c r="F29" s="27"/>
      <c r="G29" s="28" t="s">
        <v>350</v>
      </c>
      <c r="H29" s="27">
        <v>30</v>
      </c>
      <c r="I29" s="28">
        <v>16</v>
      </c>
      <c r="J29" s="27">
        <v>43</v>
      </c>
      <c r="K29" s="28">
        <v>14</v>
      </c>
      <c r="L29" s="27">
        <v>40</v>
      </c>
      <c r="M29" s="28">
        <v>18</v>
      </c>
      <c r="N29" s="27">
        <v>1</v>
      </c>
      <c r="O29" s="28">
        <v>12</v>
      </c>
      <c r="P29" s="27">
        <v>8</v>
      </c>
      <c r="Q29" s="28">
        <v>15</v>
      </c>
      <c r="R29" s="27">
        <v>12</v>
      </c>
      <c r="S29" s="28">
        <v>14</v>
      </c>
      <c r="T29" s="27">
        <v>3</v>
      </c>
      <c r="U29" s="28">
        <v>11</v>
      </c>
      <c r="V29" s="27"/>
      <c r="W29" s="28" t="s">
        <v>350</v>
      </c>
      <c r="X29" s="27">
        <v>-5</v>
      </c>
      <c r="Y29" s="28">
        <v>9</v>
      </c>
      <c r="Z29" s="27"/>
      <c r="AA29" s="28" t="s">
        <v>350</v>
      </c>
      <c r="AB29" s="27"/>
      <c r="AC29" s="28" t="s">
        <v>350</v>
      </c>
      <c r="AD29" s="27"/>
      <c r="AE29" s="28" t="s">
        <v>350</v>
      </c>
      <c r="AF29" s="27"/>
      <c r="AG29" s="28" t="s">
        <v>350</v>
      </c>
      <c r="AH29" s="27"/>
      <c r="AI29" s="28" t="s">
        <v>350</v>
      </c>
      <c r="AJ29" s="27"/>
      <c r="AK29" s="28" t="s">
        <v>350</v>
      </c>
      <c r="AL29" s="27"/>
      <c r="AM29" s="28" t="s">
        <v>350</v>
      </c>
      <c r="AN29" s="29">
        <v>123</v>
      </c>
      <c r="AO29" s="30">
        <v>13</v>
      </c>
    </row>
    <row r="30" spans="1:41" x14ac:dyDescent="0.2">
      <c r="A30" s="164">
        <v>9</v>
      </c>
      <c r="B30" s="15" t="s">
        <v>50</v>
      </c>
      <c r="C30" s="16">
        <v>11</v>
      </c>
      <c r="D30" s="17">
        <v>93</v>
      </c>
      <c r="E30" s="18">
        <v>10.5</v>
      </c>
      <c r="F30" s="17"/>
      <c r="G30" s="18" t="s">
        <v>350</v>
      </c>
      <c r="H30" s="17">
        <v>101</v>
      </c>
      <c r="I30" s="18">
        <v>14.5</v>
      </c>
      <c r="J30" s="17"/>
      <c r="K30" s="18" t="s">
        <v>350</v>
      </c>
      <c r="L30" s="17">
        <v>92</v>
      </c>
      <c r="M30" s="18">
        <v>25</v>
      </c>
      <c r="N30" s="17">
        <v>96</v>
      </c>
      <c r="O30" s="18">
        <v>24.5</v>
      </c>
      <c r="P30" s="17">
        <v>87</v>
      </c>
      <c r="Q30" s="18">
        <v>15.5</v>
      </c>
      <c r="R30" s="17">
        <v>90</v>
      </c>
      <c r="S30" s="18">
        <v>18.5</v>
      </c>
      <c r="T30" s="17">
        <v>89</v>
      </c>
      <c r="U30" s="18">
        <v>17</v>
      </c>
      <c r="V30" s="17">
        <v>92</v>
      </c>
      <c r="W30" s="18">
        <v>10</v>
      </c>
      <c r="X30" s="17">
        <v>80</v>
      </c>
      <c r="Y30" s="18">
        <v>29.5</v>
      </c>
      <c r="Z30" s="17">
        <v>89</v>
      </c>
      <c r="AA30" s="18">
        <v>19</v>
      </c>
      <c r="AB30" s="17">
        <v>83</v>
      </c>
      <c r="AC30" s="18">
        <v>25</v>
      </c>
      <c r="AD30" s="17"/>
      <c r="AE30" s="18" t="s">
        <v>350</v>
      </c>
      <c r="AF30" s="17"/>
      <c r="AG30" s="18" t="s">
        <v>350</v>
      </c>
      <c r="AH30" s="17"/>
      <c r="AI30" s="18" t="s">
        <v>350</v>
      </c>
      <c r="AJ30" s="17"/>
      <c r="AK30" s="18" t="s">
        <v>350</v>
      </c>
      <c r="AL30" s="17"/>
      <c r="AM30" s="18" t="s">
        <v>350</v>
      </c>
      <c r="AN30" s="12">
        <v>199</v>
      </c>
      <c r="AO30" s="19">
        <v>19</v>
      </c>
    </row>
    <row r="31" spans="1:41" x14ac:dyDescent="0.2">
      <c r="A31" s="20">
        <v>9.1129999999999995</v>
      </c>
      <c r="B31" s="21" t="s">
        <v>41</v>
      </c>
      <c r="C31" s="21"/>
      <c r="D31" s="17">
        <v>30</v>
      </c>
      <c r="E31" s="22">
        <v>7.5</v>
      </c>
      <c r="F31" s="17"/>
      <c r="G31" s="22" t="s">
        <v>350</v>
      </c>
      <c r="H31" s="17">
        <v>24</v>
      </c>
      <c r="I31" s="22">
        <v>6</v>
      </c>
      <c r="J31" s="17"/>
      <c r="K31" s="22" t="s">
        <v>350</v>
      </c>
      <c r="L31" s="17">
        <v>31</v>
      </c>
      <c r="M31" s="22">
        <v>11</v>
      </c>
      <c r="N31" s="17">
        <v>29</v>
      </c>
      <c r="O31" s="22">
        <v>7.5</v>
      </c>
      <c r="P31" s="17">
        <v>31</v>
      </c>
      <c r="Q31" s="22">
        <v>6.5</v>
      </c>
      <c r="R31" s="17">
        <v>30</v>
      </c>
      <c r="S31" s="22">
        <v>8</v>
      </c>
      <c r="T31" s="17">
        <v>34</v>
      </c>
      <c r="U31" s="22">
        <v>11</v>
      </c>
      <c r="V31" s="17">
        <v>25</v>
      </c>
      <c r="W31" s="22">
        <v>5</v>
      </c>
      <c r="X31" s="17">
        <v>39</v>
      </c>
      <c r="Y31" s="22">
        <v>16.5</v>
      </c>
      <c r="Z31" s="17">
        <v>32</v>
      </c>
      <c r="AA31" s="22">
        <v>9.5</v>
      </c>
      <c r="AB31" s="17">
        <v>33</v>
      </c>
      <c r="AC31" s="22">
        <v>13</v>
      </c>
      <c r="AD31" s="17"/>
      <c r="AE31" s="22" t="s">
        <v>350</v>
      </c>
      <c r="AF31" s="17"/>
      <c r="AG31" s="22" t="s">
        <v>350</v>
      </c>
      <c r="AH31" s="17"/>
      <c r="AI31" s="22" t="s">
        <v>350</v>
      </c>
      <c r="AJ31" s="17"/>
      <c r="AK31" s="22" t="s">
        <v>350</v>
      </c>
      <c r="AL31" s="17"/>
      <c r="AM31" s="22" t="s">
        <v>350</v>
      </c>
      <c r="AN31" s="23">
        <v>30.727272727272727</v>
      </c>
      <c r="AO31" s="19">
        <v>9.2272727272727266</v>
      </c>
    </row>
    <row r="32" spans="1:41" x14ac:dyDescent="0.2">
      <c r="A32" s="24">
        <v>9.0213000000000001</v>
      </c>
      <c r="B32" s="132" t="s">
        <v>42</v>
      </c>
      <c r="C32" s="26">
        <v>10.5</v>
      </c>
      <c r="D32" s="27">
        <v>-27</v>
      </c>
      <c r="E32" s="28">
        <v>3</v>
      </c>
      <c r="F32" s="27"/>
      <c r="G32" s="28" t="s">
        <v>350</v>
      </c>
      <c r="H32" s="27">
        <v>-9</v>
      </c>
      <c r="I32" s="28">
        <v>8.5</v>
      </c>
      <c r="J32" s="27"/>
      <c r="K32" s="28" t="s">
        <v>350</v>
      </c>
      <c r="L32" s="27">
        <v>18</v>
      </c>
      <c r="M32" s="28">
        <v>14</v>
      </c>
      <c r="N32" s="27">
        <v>21</v>
      </c>
      <c r="O32" s="28">
        <v>17</v>
      </c>
      <c r="P32" s="27">
        <v>-2</v>
      </c>
      <c r="Q32" s="28">
        <v>9</v>
      </c>
      <c r="R32" s="27">
        <v>-1E-4</v>
      </c>
      <c r="S32" s="28">
        <v>10.5</v>
      </c>
      <c r="T32" s="27">
        <v>-13</v>
      </c>
      <c r="U32" s="28">
        <v>6</v>
      </c>
      <c r="V32" s="27">
        <v>-50</v>
      </c>
      <c r="W32" s="28">
        <v>5</v>
      </c>
      <c r="X32" s="27">
        <v>9</v>
      </c>
      <c r="Y32" s="28">
        <v>13</v>
      </c>
      <c r="Z32" s="27">
        <v>-1</v>
      </c>
      <c r="AA32" s="28">
        <v>9.5</v>
      </c>
      <c r="AB32" s="27">
        <v>6</v>
      </c>
      <c r="AC32" s="28">
        <v>12</v>
      </c>
      <c r="AD32" s="27"/>
      <c r="AE32" s="28" t="s">
        <v>350</v>
      </c>
      <c r="AF32" s="27"/>
      <c r="AG32" s="28" t="s">
        <v>350</v>
      </c>
      <c r="AH32" s="27"/>
      <c r="AI32" s="28" t="s">
        <v>350</v>
      </c>
      <c r="AJ32" s="27"/>
      <c r="AK32" s="28" t="s">
        <v>350</v>
      </c>
      <c r="AL32" s="27"/>
      <c r="AM32" s="28" t="s">
        <v>350</v>
      </c>
      <c r="AN32" s="29">
        <v>-48.000100000000003</v>
      </c>
      <c r="AO32" s="30">
        <v>9.7727272727272734</v>
      </c>
    </row>
    <row r="33" spans="1:41" x14ac:dyDescent="0.2">
      <c r="A33" s="164">
        <v>10</v>
      </c>
      <c r="B33" s="15" t="s">
        <v>53</v>
      </c>
      <c r="C33" s="16">
        <v>10</v>
      </c>
      <c r="D33" s="17">
        <v>96</v>
      </c>
      <c r="E33" s="18">
        <v>24.5</v>
      </c>
      <c r="F33" s="17"/>
      <c r="G33" s="18" t="s">
        <v>350</v>
      </c>
      <c r="H33" s="17">
        <v>95</v>
      </c>
      <c r="I33" s="18">
        <v>27</v>
      </c>
      <c r="J33" s="17"/>
      <c r="K33" s="18" t="s">
        <v>350</v>
      </c>
      <c r="L33" s="17">
        <v>102</v>
      </c>
      <c r="M33" s="18">
        <v>9</v>
      </c>
      <c r="N33" s="17">
        <v>98</v>
      </c>
      <c r="O33" s="18">
        <v>18.5</v>
      </c>
      <c r="P33" s="17"/>
      <c r="Q33" s="18" t="s">
        <v>350</v>
      </c>
      <c r="R33" s="17">
        <v>99</v>
      </c>
      <c r="S33" s="18">
        <v>9.5</v>
      </c>
      <c r="T33" s="17">
        <v>87</v>
      </c>
      <c r="U33" s="18">
        <v>30.5</v>
      </c>
      <c r="V33" s="17">
        <v>89</v>
      </c>
      <c r="W33" s="18">
        <v>23.5</v>
      </c>
      <c r="X33" s="17">
        <v>93</v>
      </c>
      <c r="Y33" s="18">
        <v>12</v>
      </c>
      <c r="Z33" s="17">
        <v>96</v>
      </c>
      <c r="AA33" s="18">
        <v>23.5</v>
      </c>
      <c r="AB33" s="17">
        <v>92</v>
      </c>
      <c r="AC33" s="18">
        <v>20</v>
      </c>
      <c r="AD33" s="17"/>
      <c r="AE33" s="18" t="s">
        <v>350</v>
      </c>
      <c r="AF33" s="17"/>
      <c r="AG33" s="18" t="s">
        <v>350</v>
      </c>
      <c r="AH33" s="17"/>
      <c r="AI33" s="18" t="s">
        <v>350</v>
      </c>
      <c r="AJ33" s="17"/>
      <c r="AK33" s="18" t="s">
        <v>350</v>
      </c>
      <c r="AL33" s="17"/>
      <c r="AM33" s="18" t="s">
        <v>350</v>
      </c>
      <c r="AN33" s="12">
        <v>198</v>
      </c>
      <c r="AO33" s="19">
        <v>19.8</v>
      </c>
    </row>
    <row r="34" spans="1:41" x14ac:dyDescent="0.2">
      <c r="A34" s="20">
        <v>10.19</v>
      </c>
      <c r="B34" s="21" t="s">
        <v>41</v>
      </c>
      <c r="C34" s="21"/>
      <c r="D34" s="17">
        <v>31</v>
      </c>
      <c r="E34" s="22">
        <v>10</v>
      </c>
      <c r="F34" s="17"/>
      <c r="G34" s="22" t="s">
        <v>350</v>
      </c>
      <c r="H34" s="17">
        <v>35</v>
      </c>
      <c r="I34" s="22">
        <v>13</v>
      </c>
      <c r="J34" s="17"/>
      <c r="K34" s="22" t="s">
        <v>350</v>
      </c>
      <c r="L34" s="17">
        <v>23</v>
      </c>
      <c r="M34" s="22">
        <v>6</v>
      </c>
      <c r="N34" s="17">
        <v>30</v>
      </c>
      <c r="O34" s="22">
        <v>9</v>
      </c>
      <c r="P34" s="17"/>
      <c r="Q34" s="22" t="s">
        <v>350</v>
      </c>
      <c r="R34" s="17">
        <v>25</v>
      </c>
      <c r="S34" s="22">
        <v>3</v>
      </c>
      <c r="T34" s="17">
        <v>40</v>
      </c>
      <c r="U34" s="22">
        <v>17</v>
      </c>
      <c r="V34" s="17">
        <v>34</v>
      </c>
      <c r="W34" s="22">
        <v>11.5</v>
      </c>
      <c r="X34" s="17">
        <v>31</v>
      </c>
      <c r="Y34" s="22">
        <v>7</v>
      </c>
      <c r="Z34" s="17">
        <v>31</v>
      </c>
      <c r="AA34" s="22">
        <v>7.5</v>
      </c>
      <c r="AB34" s="17">
        <v>30</v>
      </c>
      <c r="AC34" s="22">
        <v>11</v>
      </c>
      <c r="AD34" s="17"/>
      <c r="AE34" s="22" t="s">
        <v>350</v>
      </c>
      <c r="AF34" s="17"/>
      <c r="AG34" s="22" t="s">
        <v>350</v>
      </c>
      <c r="AH34" s="17"/>
      <c r="AI34" s="22" t="s">
        <v>350</v>
      </c>
      <c r="AJ34" s="17"/>
      <c r="AK34" s="22" t="s">
        <v>350</v>
      </c>
      <c r="AL34" s="17"/>
      <c r="AM34" s="22" t="s">
        <v>350</v>
      </c>
      <c r="AN34" s="23">
        <v>31</v>
      </c>
      <c r="AO34" s="19">
        <v>9.5</v>
      </c>
    </row>
    <row r="35" spans="1:41" x14ac:dyDescent="0.2">
      <c r="A35" s="24">
        <v>10.029</v>
      </c>
      <c r="B35" s="132" t="s">
        <v>42</v>
      </c>
      <c r="C35" s="26">
        <v>9</v>
      </c>
      <c r="D35" s="27">
        <v>10</v>
      </c>
      <c r="E35" s="28">
        <v>14.5</v>
      </c>
      <c r="F35" s="27"/>
      <c r="G35" s="28" t="s">
        <v>350</v>
      </c>
      <c r="H35" s="27">
        <v>17</v>
      </c>
      <c r="I35" s="28">
        <v>14</v>
      </c>
      <c r="J35" s="27"/>
      <c r="K35" s="28" t="s">
        <v>350</v>
      </c>
      <c r="L35" s="27">
        <v>-74</v>
      </c>
      <c r="M35" s="28">
        <v>3</v>
      </c>
      <c r="N35" s="27">
        <v>-1E-3</v>
      </c>
      <c r="O35" s="28">
        <v>9.5</v>
      </c>
      <c r="P35" s="27"/>
      <c r="Q35" s="28" t="s">
        <v>350</v>
      </c>
      <c r="R35" s="27">
        <v>-10</v>
      </c>
      <c r="S35" s="28">
        <v>6.5</v>
      </c>
      <c r="T35" s="27">
        <v>5</v>
      </c>
      <c r="U35" s="28">
        <v>13.5</v>
      </c>
      <c r="V35" s="27">
        <v>12</v>
      </c>
      <c r="W35" s="28">
        <v>12</v>
      </c>
      <c r="X35" s="27">
        <v>-12</v>
      </c>
      <c r="Y35" s="28">
        <v>5</v>
      </c>
      <c r="Z35" s="27">
        <v>18</v>
      </c>
      <c r="AA35" s="28">
        <v>16</v>
      </c>
      <c r="AB35" s="27">
        <v>-2</v>
      </c>
      <c r="AC35" s="28">
        <v>9</v>
      </c>
      <c r="AD35" s="27"/>
      <c r="AE35" s="28" t="s">
        <v>350</v>
      </c>
      <c r="AF35" s="27"/>
      <c r="AG35" s="28" t="s">
        <v>350</v>
      </c>
      <c r="AH35" s="27"/>
      <c r="AI35" s="28" t="s">
        <v>350</v>
      </c>
      <c r="AJ35" s="27"/>
      <c r="AK35" s="28" t="s">
        <v>350</v>
      </c>
      <c r="AL35" s="27"/>
      <c r="AM35" s="28" t="s">
        <v>350</v>
      </c>
      <c r="AN35" s="29">
        <v>-36.000999999999998</v>
      </c>
      <c r="AO35" s="30">
        <v>10.3</v>
      </c>
    </row>
    <row r="36" spans="1:41" x14ac:dyDescent="0.2">
      <c r="A36" s="164">
        <v>11</v>
      </c>
      <c r="B36" s="31" t="s">
        <v>51</v>
      </c>
      <c r="C36" s="16">
        <v>10</v>
      </c>
      <c r="D36" s="17">
        <v>87</v>
      </c>
      <c r="E36" s="18">
        <v>9.5</v>
      </c>
      <c r="F36" s="17"/>
      <c r="G36" s="18" t="s">
        <v>350</v>
      </c>
      <c r="H36" s="17"/>
      <c r="I36" s="18" t="s">
        <v>350</v>
      </c>
      <c r="J36" s="17">
        <v>84</v>
      </c>
      <c r="K36" s="18">
        <v>16.5</v>
      </c>
      <c r="L36" s="17">
        <v>85</v>
      </c>
      <c r="M36" s="18">
        <v>17.5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350</v>
      </c>
      <c r="X36" s="17"/>
      <c r="Y36" s="18" t="s">
        <v>350</v>
      </c>
      <c r="Z36" s="17">
        <v>83</v>
      </c>
      <c r="AA36" s="18">
        <v>23.5</v>
      </c>
      <c r="AB36" s="17">
        <v>74</v>
      </c>
      <c r="AC36" s="18">
        <v>31</v>
      </c>
      <c r="AD36" s="17">
        <v>81</v>
      </c>
      <c r="AE36" s="18">
        <v>20</v>
      </c>
      <c r="AF36" s="17"/>
      <c r="AG36" s="18" t="s">
        <v>350</v>
      </c>
      <c r="AH36" s="17"/>
      <c r="AI36" s="18" t="s">
        <v>350</v>
      </c>
      <c r="AJ36" s="17"/>
      <c r="AK36" s="18" t="s">
        <v>350</v>
      </c>
      <c r="AL36" s="17"/>
      <c r="AM36" s="18" t="s">
        <v>350</v>
      </c>
      <c r="AN36" s="12">
        <v>190</v>
      </c>
      <c r="AO36" s="19">
        <v>19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350</v>
      </c>
      <c r="H37" s="17"/>
      <c r="I37" s="22" t="s">
        <v>350</v>
      </c>
      <c r="J37" s="17">
        <v>28</v>
      </c>
      <c r="K37" s="22">
        <v>8.5</v>
      </c>
      <c r="L37" s="17">
        <v>30</v>
      </c>
      <c r="M37" s="22">
        <v>8.5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350</v>
      </c>
      <c r="X37" s="17"/>
      <c r="Y37" s="22" t="s">
        <v>350</v>
      </c>
      <c r="Z37" s="17">
        <v>35</v>
      </c>
      <c r="AA37" s="22">
        <v>15.5</v>
      </c>
      <c r="AB37" s="17">
        <v>39</v>
      </c>
      <c r="AC37" s="22">
        <v>15</v>
      </c>
      <c r="AD37" s="17">
        <v>34</v>
      </c>
      <c r="AE37" s="22">
        <v>13</v>
      </c>
      <c r="AF37" s="17"/>
      <c r="AG37" s="22" t="s">
        <v>350</v>
      </c>
      <c r="AH37" s="17"/>
      <c r="AI37" s="22" t="s">
        <v>350</v>
      </c>
      <c r="AJ37" s="17"/>
      <c r="AK37" s="22" t="s">
        <v>350</v>
      </c>
      <c r="AL37" s="17"/>
      <c r="AM37" s="22" t="s">
        <v>350</v>
      </c>
      <c r="AN37" s="23">
        <v>32.1</v>
      </c>
      <c r="AO37" s="19">
        <v>10.35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350</v>
      </c>
      <c r="H38" s="27"/>
      <c r="I38" s="28" t="s">
        <v>350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350</v>
      </c>
      <c r="X38" s="27"/>
      <c r="Y38" s="28" t="s">
        <v>350</v>
      </c>
      <c r="Z38" s="27">
        <v>-4</v>
      </c>
      <c r="AA38" s="28">
        <v>8</v>
      </c>
      <c r="AB38" s="27">
        <v>18</v>
      </c>
      <c r="AC38" s="28">
        <v>16</v>
      </c>
      <c r="AD38" s="27">
        <v>-9</v>
      </c>
      <c r="AE38" s="28">
        <v>7</v>
      </c>
      <c r="AF38" s="27"/>
      <c r="AG38" s="28" t="s">
        <v>350</v>
      </c>
      <c r="AH38" s="27"/>
      <c r="AI38" s="28" t="s">
        <v>350</v>
      </c>
      <c r="AJ38" s="27"/>
      <c r="AK38" s="28" t="s">
        <v>350</v>
      </c>
      <c r="AL38" s="27"/>
      <c r="AM38" s="28" t="s">
        <v>350</v>
      </c>
      <c r="AN38" s="29">
        <v>-37</v>
      </c>
      <c r="AO38" s="30">
        <v>8.65</v>
      </c>
    </row>
    <row r="39" spans="1:41" x14ac:dyDescent="0.2">
      <c r="A39" s="164">
        <v>12</v>
      </c>
      <c r="B39" s="31" t="s">
        <v>49</v>
      </c>
      <c r="C39" s="16">
        <v>9</v>
      </c>
      <c r="D39" s="17">
        <v>77</v>
      </c>
      <c r="E39" s="18">
        <v>31.5</v>
      </c>
      <c r="F39" s="17"/>
      <c r="G39" s="18" t="s">
        <v>350</v>
      </c>
      <c r="H39" s="17">
        <v>87</v>
      </c>
      <c r="I39" s="18">
        <v>15</v>
      </c>
      <c r="J39" s="17"/>
      <c r="K39" s="18" t="s">
        <v>350</v>
      </c>
      <c r="L39" s="17">
        <v>81</v>
      </c>
      <c r="M39" s="18">
        <v>23.5</v>
      </c>
      <c r="N39" s="17">
        <v>84</v>
      </c>
      <c r="O39" s="18">
        <v>23</v>
      </c>
      <c r="P39" s="17">
        <v>82</v>
      </c>
      <c r="Q39" s="18">
        <v>16</v>
      </c>
      <c r="R39" s="17"/>
      <c r="S39" s="18" t="s">
        <v>350</v>
      </c>
      <c r="T39" s="17">
        <v>87</v>
      </c>
      <c r="U39" s="18">
        <v>10</v>
      </c>
      <c r="V39" s="17">
        <v>76</v>
      </c>
      <c r="W39" s="18">
        <v>29.5</v>
      </c>
      <c r="X39" s="17">
        <v>87</v>
      </c>
      <c r="Y39" s="18">
        <v>7.5</v>
      </c>
      <c r="Z39" s="17"/>
      <c r="AA39" s="18" t="s">
        <v>350</v>
      </c>
      <c r="AB39" s="17"/>
      <c r="AC39" s="18" t="s">
        <v>350</v>
      </c>
      <c r="AD39" s="17">
        <v>83</v>
      </c>
      <c r="AE39" s="18">
        <v>22</v>
      </c>
      <c r="AF39" s="17"/>
      <c r="AG39" s="18" t="s">
        <v>350</v>
      </c>
      <c r="AH39" s="17"/>
      <c r="AI39" s="18" t="s">
        <v>350</v>
      </c>
      <c r="AJ39" s="17"/>
      <c r="AK39" s="18" t="s">
        <v>350</v>
      </c>
      <c r="AL39" s="17"/>
      <c r="AM39" s="18" t="s">
        <v>350</v>
      </c>
      <c r="AN39" s="12">
        <v>178</v>
      </c>
      <c r="AO39" s="19">
        <v>19.777777777777779</v>
      </c>
    </row>
    <row r="40" spans="1:41" x14ac:dyDescent="0.2">
      <c r="A40" s="20">
        <v>12.17</v>
      </c>
      <c r="B40" s="21" t="s">
        <v>41</v>
      </c>
      <c r="C40" s="33"/>
      <c r="D40" s="17">
        <v>39</v>
      </c>
      <c r="E40" s="22">
        <v>17</v>
      </c>
      <c r="F40" s="17"/>
      <c r="G40" s="22" t="s">
        <v>350</v>
      </c>
      <c r="H40" s="17">
        <v>31</v>
      </c>
      <c r="I40" s="22">
        <v>10</v>
      </c>
      <c r="J40" s="17"/>
      <c r="K40" s="22" t="s">
        <v>350</v>
      </c>
      <c r="L40" s="17">
        <v>34</v>
      </c>
      <c r="M40" s="22">
        <v>16.5</v>
      </c>
      <c r="N40" s="17">
        <v>33</v>
      </c>
      <c r="O40" s="22">
        <v>10</v>
      </c>
      <c r="P40" s="17">
        <v>30</v>
      </c>
      <c r="Q40" s="22">
        <v>5</v>
      </c>
      <c r="R40" s="17"/>
      <c r="S40" s="22" t="s">
        <v>350</v>
      </c>
      <c r="T40" s="17">
        <v>30</v>
      </c>
      <c r="U40" s="22">
        <v>7</v>
      </c>
      <c r="V40" s="17">
        <v>36</v>
      </c>
      <c r="W40" s="22">
        <v>13.5</v>
      </c>
      <c r="X40" s="17">
        <v>28</v>
      </c>
      <c r="Y40" s="22">
        <v>4.5</v>
      </c>
      <c r="Z40" s="17"/>
      <c r="AA40" s="22" t="s">
        <v>350</v>
      </c>
      <c r="AB40" s="17"/>
      <c r="AC40" s="22" t="s">
        <v>350</v>
      </c>
      <c r="AD40" s="17">
        <v>32</v>
      </c>
      <c r="AE40" s="22">
        <v>10</v>
      </c>
      <c r="AF40" s="17"/>
      <c r="AG40" s="22" t="s">
        <v>350</v>
      </c>
      <c r="AH40" s="17"/>
      <c r="AI40" s="22" t="s">
        <v>350</v>
      </c>
      <c r="AJ40" s="17"/>
      <c r="AK40" s="22" t="s">
        <v>350</v>
      </c>
      <c r="AL40" s="17"/>
      <c r="AM40" s="22" t="s">
        <v>350</v>
      </c>
      <c r="AN40" s="23">
        <v>32.555555555555557</v>
      </c>
      <c r="AO40" s="19">
        <v>10.388888888888889</v>
      </c>
    </row>
    <row r="41" spans="1:41" x14ac:dyDescent="0.2">
      <c r="A41" s="24">
        <v>12.026999999999999</v>
      </c>
      <c r="B41" s="132" t="s">
        <v>42</v>
      </c>
      <c r="C41" s="26">
        <v>7.5</v>
      </c>
      <c r="D41" s="27">
        <v>10</v>
      </c>
      <c r="E41" s="28">
        <v>14.5</v>
      </c>
      <c r="F41" s="27"/>
      <c r="G41" s="28" t="s">
        <v>350</v>
      </c>
      <c r="H41" s="27">
        <v>-32</v>
      </c>
      <c r="I41" s="28">
        <v>5</v>
      </c>
      <c r="J41" s="27"/>
      <c r="K41" s="28" t="s">
        <v>350</v>
      </c>
      <c r="L41" s="27">
        <v>-8</v>
      </c>
      <c r="M41" s="28">
        <v>7</v>
      </c>
      <c r="N41" s="27">
        <v>10</v>
      </c>
      <c r="O41" s="28">
        <v>13</v>
      </c>
      <c r="P41" s="27">
        <v>2</v>
      </c>
      <c r="Q41" s="28">
        <v>11</v>
      </c>
      <c r="R41" s="27"/>
      <c r="S41" s="28" t="s">
        <v>350</v>
      </c>
      <c r="T41" s="27">
        <v>-33</v>
      </c>
      <c r="U41" s="28">
        <v>3</v>
      </c>
      <c r="V41" s="27">
        <v>28</v>
      </c>
      <c r="W41" s="28">
        <v>16</v>
      </c>
      <c r="X41" s="27">
        <v>-46</v>
      </c>
      <c r="Y41" s="28">
        <v>3</v>
      </c>
      <c r="Z41" s="27"/>
      <c r="AA41" s="28" t="s">
        <v>350</v>
      </c>
      <c r="AB41" s="27"/>
      <c r="AC41" s="28" t="s">
        <v>350</v>
      </c>
      <c r="AD41" s="27">
        <v>3</v>
      </c>
      <c r="AE41" s="28">
        <v>12</v>
      </c>
      <c r="AF41" s="27"/>
      <c r="AG41" s="28" t="s">
        <v>350</v>
      </c>
      <c r="AH41" s="27"/>
      <c r="AI41" s="28" t="s">
        <v>350</v>
      </c>
      <c r="AJ41" s="27"/>
      <c r="AK41" s="28" t="s">
        <v>350</v>
      </c>
      <c r="AL41" s="27"/>
      <c r="AM41" s="28" t="s">
        <v>350</v>
      </c>
      <c r="AN41" s="29">
        <v>-66</v>
      </c>
      <c r="AO41" s="30">
        <v>9.3888888888888893</v>
      </c>
    </row>
    <row r="42" spans="1:41" x14ac:dyDescent="0.2">
      <c r="A42" s="164">
        <v>13</v>
      </c>
      <c r="B42" s="15" t="s">
        <v>52</v>
      </c>
      <c r="C42" s="16">
        <v>8</v>
      </c>
      <c r="D42" s="17">
        <v>90</v>
      </c>
      <c r="E42" s="18">
        <v>23</v>
      </c>
      <c r="F42" s="17"/>
      <c r="G42" s="18" t="s">
        <v>350</v>
      </c>
      <c r="H42" s="17"/>
      <c r="I42" s="18" t="s">
        <v>350</v>
      </c>
      <c r="J42" s="17">
        <v>91</v>
      </c>
      <c r="K42" s="18">
        <v>19.5</v>
      </c>
      <c r="L42" s="17">
        <v>94</v>
      </c>
      <c r="M42" s="18">
        <v>23</v>
      </c>
      <c r="N42" s="17"/>
      <c r="O42" s="18" t="s">
        <v>350</v>
      </c>
      <c r="P42" s="17"/>
      <c r="Q42" s="18" t="s">
        <v>350</v>
      </c>
      <c r="R42" s="17">
        <v>87</v>
      </c>
      <c r="S42" s="18">
        <v>29.5</v>
      </c>
      <c r="T42" s="17"/>
      <c r="U42" s="18" t="s">
        <v>350</v>
      </c>
      <c r="V42" s="17">
        <v>93</v>
      </c>
      <c r="W42" s="18">
        <v>17</v>
      </c>
      <c r="X42" s="17"/>
      <c r="Y42" s="18" t="s">
        <v>350</v>
      </c>
      <c r="Z42" s="17">
        <v>90</v>
      </c>
      <c r="AA42" s="18">
        <v>20.5</v>
      </c>
      <c r="AB42" s="17">
        <v>93</v>
      </c>
      <c r="AC42" s="18">
        <v>21.5</v>
      </c>
      <c r="AD42" s="17">
        <v>89</v>
      </c>
      <c r="AE42" s="18">
        <v>23.5</v>
      </c>
      <c r="AF42" s="17"/>
      <c r="AG42" s="18" t="s">
        <v>350</v>
      </c>
      <c r="AH42" s="17"/>
      <c r="AI42" s="18" t="s">
        <v>350</v>
      </c>
      <c r="AJ42" s="17"/>
      <c r="AK42" s="18" t="s">
        <v>350</v>
      </c>
      <c r="AL42" s="17"/>
      <c r="AM42" s="18" t="s">
        <v>350</v>
      </c>
      <c r="AN42" s="12">
        <v>177.5</v>
      </c>
      <c r="AO42" s="19">
        <v>22.1875</v>
      </c>
    </row>
    <row r="43" spans="1:41" x14ac:dyDescent="0.2">
      <c r="A43" s="20">
        <v>13.18</v>
      </c>
      <c r="B43" s="21" t="s">
        <v>41</v>
      </c>
      <c r="C43" s="21"/>
      <c r="D43" s="17">
        <v>31</v>
      </c>
      <c r="E43" s="22">
        <v>10</v>
      </c>
      <c r="F43" s="17"/>
      <c r="G43" s="22" t="s">
        <v>350</v>
      </c>
      <c r="H43" s="17"/>
      <c r="I43" s="22" t="s">
        <v>350</v>
      </c>
      <c r="J43" s="17">
        <v>28</v>
      </c>
      <c r="K43" s="22">
        <v>8.5</v>
      </c>
      <c r="L43" s="17">
        <v>31</v>
      </c>
      <c r="M43" s="22">
        <v>11</v>
      </c>
      <c r="N43" s="17"/>
      <c r="O43" s="22" t="s">
        <v>350</v>
      </c>
      <c r="P43" s="17"/>
      <c r="Q43" s="22" t="s">
        <v>350</v>
      </c>
      <c r="R43" s="17">
        <v>36</v>
      </c>
      <c r="S43" s="22">
        <v>15.5</v>
      </c>
      <c r="T43" s="17"/>
      <c r="U43" s="22" t="s">
        <v>350</v>
      </c>
      <c r="V43" s="17">
        <v>28</v>
      </c>
      <c r="W43" s="22">
        <v>7</v>
      </c>
      <c r="X43" s="17"/>
      <c r="Y43" s="22" t="s">
        <v>350</v>
      </c>
      <c r="Z43" s="17">
        <v>35</v>
      </c>
      <c r="AA43" s="22">
        <v>15.5</v>
      </c>
      <c r="AB43" s="17">
        <v>28</v>
      </c>
      <c r="AC43" s="22">
        <v>7.5</v>
      </c>
      <c r="AD43" s="17">
        <v>35</v>
      </c>
      <c r="AE43" s="22">
        <v>14</v>
      </c>
      <c r="AF43" s="17"/>
      <c r="AG43" s="22" t="s">
        <v>350</v>
      </c>
      <c r="AH43" s="17"/>
      <c r="AI43" s="22" t="s">
        <v>350</v>
      </c>
      <c r="AJ43" s="17"/>
      <c r="AK43" s="22" t="s">
        <v>350</v>
      </c>
      <c r="AL43" s="17"/>
      <c r="AM43" s="22" t="s">
        <v>350</v>
      </c>
      <c r="AN43" s="23">
        <v>31.5</v>
      </c>
      <c r="AO43" s="19">
        <v>11.125</v>
      </c>
    </row>
    <row r="44" spans="1:41" x14ac:dyDescent="0.2">
      <c r="A44" s="24">
        <v>13.028</v>
      </c>
      <c r="B44" s="132" t="s">
        <v>42</v>
      </c>
      <c r="C44" s="26">
        <v>17</v>
      </c>
      <c r="D44" s="27">
        <v>6</v>
      </c>
      <c r="E44" s="28">
        <v>13</v>
      </c>
      <c r="F44" s="27"/>
      <c r="G44" s="28" t="s">
        <v>350</v>
      </c>
      <c r="H44" s="27"/>
      <c r="I44" s="28" t="s">
        <v>350</v>
      </c>
      <c r="J44" s="27">
        <v>-11</v>
      </c>
      <c r="K44" s="28">
        <v>11</v>
      </c>
      <c r="L44" s="27">
        <v>8</v>
      </c>
      <c r="M44" s="28">
        <v>12</v>
      </c>
      <c r="N44" s="27"/>
      <c r="O44" s="28" t="s">
        <v>350</v>
      </c>
      <c r="P44" s="27"/>
      <c r="Q44" s="28" t="s">
        <v>350</v>
      </c>
      <c r="R44" s="27">
        <v>12</v>
      </c>
      <c r="S44" s="28">
        <v>14</v>
      </c>
      <c r="T44" s="27"/>
      <c r="U44" s="28" t="s">
        <v>350</v>
      </c>
      <c r="V44" s="27">
        <v>6</v>
      </c>
      <c r="W44" s="28">
        <v>10</v>
      </c>
      <c r="X44" s="27"/>
      <c r="Y44" s="28" t="s">
        <v>350</v>
      </c>
      <c r="Z44" s="27">
        <v>-12</v>
      </c>
      <c r="AA44" s="28">
        <v>5</v>
      </c>
      <c r="AB44" s="27">
        <v>14</v>
      </c>
      <c r="AC44" s="28">
        <v>14</v>
      </c>
      <c r="AD44" s="27">
        <v>-1</v>
      </c>
      <c r="AE44" s="28">
        <v>9.5</v>
      </c>
      <c r="AF44" s="27"/>
      <c r="AG44" s="28" t="s">
        <v>350</v>
      </c>
      <c r="AH44" s="27"/>
      <c r="AI44" s="28" t="s">
        <v>350</v>
      </c>
      <c r="AJ44" s="27"/>
      <c r="AK44" s="28" t="s">
        <v>350</v>
      </c>
      <c r="AL44" s="27"/>
      <c r="AM44" s="28" t="s">
        <v>350</v>
      </c>
      <c r="AN44" s="29">
        <v>22</v>
      </c>
      <c r="AO44" s="30">
        <v>11.0625</v>
      </c>
    </row>
    <row r="45" spans="1:41" x14ac:dyDescent="0.2">
      <c r="A45" s="164">
        <v>14</v>
      </c>
      <c r="B45" s="15" t="s">
        <v>58</v>
      </c>
      <c r="C45" s="16">
        <v>7</v>
      </c>
      <c r="D45" s="17">
        <v>99</v>
      </c>
      <c r="E45" s="18">
        <v>15.5</v>
      </c>
      <c r="F45" s="17"/>
      <c r="G45" s="18" t="s">
        <v>350</v>
      </c>
      <c r="H45" s="17">
        <v>103</v>
      </c>
      <c r="I45" s="18">
        <v>18</v>
      </c>
      <c r="J45" s="17"/>
      <c r="K45" s="18" t="s">
        <v>350</v>
      </c>
      <c r="L45" s="17"/>
      <c r="M45" s="18" t="s">
        <v>350</v>
      </c>
      <c r="N45" s="17">
        <v>85</v>
      </c>
      <c r="O45" s="18">
        <v>27.5</v>
      </c>
      <c r="P45" s="17"/>
      <c r="Q45" s="18" t="s">
        <v>350</v>
      </c>
      <c r="R45" s="17"/>
      <c r="S45" s="18" t="s">
        <v>350</v>
      </c>
      <c r="T45" s="17">
        <v>93</v>
      </c>
      <c r="U45" s="18">
        <v>29</v>
      </c>
      <c r="V45" s="17"/>
      <c r="W45" s="18" t="s">
        <v>350</v>
      </c>
      <c r="X45" s="17">
        <v>89</v>
      </c>
      <c r="Y45" s="18">
        <v>29.5</v>
      </c>
      <c r="Z45" s="17">
        <v>96</v>
      </c>
      <c r="AA45" s="18">
        <v>23.5</v>
      </c>
      <c r="AB45" s="17"/>
      <c r="AC45" s="18" t="s">
        <v>350</v>
      </c>
      <c r="AD45" s="17">
        <v>94</v>
      </c>
      <c r="AE45" s="18">
        <v>17.5</v>
      </c>
      <c r="AF45" s="17"/>
      <c r="AG45" s="18" t="s">
        <v>350</v>
      </c>
      <c r="AH45" s="17"/>
      <c r="AI45" s="18" t="s">
        <v>350</v>
      </c>
      <c r="AJ45" s="17"/>
      <c r="AK45" s="18" t="s">
        <v>350</v>
      </c>
      <c r="AL45" s="17"/>
      <c r="AM45" s="18" t="s">
        <v>350</v>
      </c>
      <c r="AN45" s="12">
        <v>160.5</v>
      </c>
      <c r="AO45" s="19">
        <v>22.928571428571427</v>
      </c>
    </row>
    <row r="46" spans="1:41" x14ac:dyDescent="0.2">
      <c r="A46" s="20">
        <v>14.117000000000001</v>
      </c>
      <c r="B46" s="21" t="s">
        <v>41</v>
      </c>
      <c r="C46" s="21"/>
      <c r="D46" s="17">
        <v>28</v>
      </c>
      <c r="E46" s="22">
        <v>4.5</v>
      </c>
      <c r="F46" s="17"/>
      <c r="G46" s="22" t="s">
        <v>350</v>
      </c>
      <c r="H46" s="17">
        <v>26</v>
      </c>
      <c r="I46" s="22">
        <v>8</v>
      </c>
      <c r="J46" s="17"/>
      <c r="K46" s="22" t="s">
        <v>350</v>
      </c>
      <c r="L46" s="17"/>
      <c r="M46" s="22" t="s">
        <v>350</v>
      </c>
      <c r="N46" s="17">
        <v>43</v>
      </c>
      <c r="O46" s="22">
        <v>18</v>
      </c>
      <c r="P46" s="17"/>
      <c r="Q46" s="22" t="s">
        <v>350</v>
      </c>
      <c r="R46" s="17"/>
      <c r="S46" s="22" t="s">
        <v>350</v>
      </c>
      <c r="T46" s="17">
        <v>35</v>
      </c>
      <c r="U46" s="22">
        <v>13</v>
      </c>
      <c r="V46" s="17"/>
      <c r="W46" s="22" t="s">
        <v>350</v>
      </c>
      <c r="X46" s="17">
        <v>36</v>
      </c>
      <c r="Y46" s="22">
        <v>11.5</v>
      </c>
      <c r="Z46" s="17">
        <v>32</v>
      </c>
      <c r="AA46" s="22">
        <v>9.5</v>
      </c>
      <c r="AB46" s="17"/>
      <c r="AC46" s="22" t="s">
        <v>350</v>
      </c>
      <c r="AD46" s="17">
        <v>31</v>
      </c>
      <c r="AE46" s="22">
        <v>8</v>
      </c>
      <c r="AF46" s="17"/>
      <c r="AG46" s="22" t="s">
        <v>350</v>
      </c>
      <c r="AH46" s="17"/>
      <c r="AI46" s="22" t="s">
        <v>350</v>
      </c>
      <c r="AJ46" s="17"/>
      <c r="AK46" s="22" t="s">
        <v>350</v>
      </c>
      <c r="AL46" s="17"/>
      <c r="AM46" s="22" t="s">
        <v>350</v>
      </c>
      <c r="AN46" s="23">
        <v>33</v>
      </c>
      <c r="AO46" s="19">
        <v>10.357142857142858</v>
      </c>
    </row>
    <row r="47" spans="1:41" x14ac:dyDescent="0.2">
      <c r="A47" s="24">
        <v>14.021699999999999</v>
      </c>
      <c r="B47" s="132" t="s">
        <v>42</v>
      </c>
      <c r="C47" s="26">
        <v>15.5</v>
      </c>
      <c r="D47" s="27">
        <v>-5</v>
      </c>
      <c r="E47" s="28">
        <v>11</v>
      </c>
      <c r="F47" s="27"/>
      <c r="G47" s="28" t="s">
        <v>350</v>
      </c>
      <c r="H47" s="27">
        <v>-2</v>
      </c>
      <c r="I47" s="28">
        <v>10</v>
      </c>
      <c r="J47" s="27"/>
      <c r="K47" s="28" t="s">
        <v>350</v>
      </c>
      <c r="L47" s="27"/>
      <c r="M47" s="28" t="s">
        <v>350</v>
      </c>
      <c r="N47" s="27">
        <v>-1E-3</v>
      </c>
      <c r="O47" s="28">
        <v>9.5</v>
      </c>
      <c r="P47" s="27"/>
      <c r="Q47" s="28" t="s">
        <v>350</v>
      </c>
      <c r="R47" s="27"/>
      <c r="S47" s="28" t="s">
        <v>350</v>
      </c>
      <c r="T47" s="27">
        <v>21</v>
      </c>
      <c r="U47" s="28">
        <v>16</v>
      </c>
      <c r="V47" s="27"/>
      <c r="W47" s="28" t="s">
        <v>350</v>
      </c>
      <c r="X47" s="27">
        <v>30</v>
      </c>
      <c r="Y47" s="28">
        <v>18</v>
      </c>
      <c r="Z47" s="27">
        <v>10</v>
      </c>
      <c r="AA47" s="28">
        <v>14</v>
      </c>
      <c r="AB47" s="27"/>
      <c r="AC47" s="28" t="s">
        <v>350</v>
      </c>
      <c r="AD47" s="27">
        <v>-1</v>
      </c>
      <c r="AE47" s="28">
        <v>9.5</v>
      </c>
      <c r="AF47" s="27"/>
      <c r="AG47" s="28" t="s">
        <v>350</v>
      </c>
      <c r="AH47" s="27"/>
      <c r="AI47" s="28" t="s">
        <v>350</v>
      </c>
      <c r="AJ47" s="27"/>
      <c r="AK47" s="28" t="s">
        <v>350</v>
      </c>
      <c r="AL47" s="27"/>
      <c r="AM47" s="28" t="s">
        <v>350</v>
      </c>
      <c r="AN47" s="29">
        <v>52.998999999999995</v>
      </c>
      <c r="AO47" s="30">
        <v>12.571428571428571</v>
      </c>
    </row>
    <row r="48" spans="1:41" x14ac:dyDescent="0.2">
      <c r="A48" s="164">
        <v>15</v>
      </c>
      <c r="B48" s="32" t="s">
        <v>55</v>
      </c>
      <c r="C48" s="16">
        <v>10</v>
      </c>
      <c r="D48" s="17">
        <v>99</v>
      </c>
      <c r="E48" s="18">
        <v>17</v>
      </c>
      <c r="F48" s="17"/>
      <c r="G48" s="18" t="s">
        <v>350</v>
      </c>
      <c r="H48" s="17">
        <v>103</v>
      </c>
      <c r="I48" s="18">
        <v>17.5</v>
      </c>
      <c r="J48" s="17"/>
      <c r="K48" s="18" t="s">
        <v>350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350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350</v>
      </c>
      <c r="X48" s="17">
        <v>91</v>
      </c>
      <c r="Y48" s="18">
        <v>19.5</v>
      </c>
      <c r="Z48" s="17">
        <v>111</v>
      </c>
      <c r="AA48" s="18">
        <v>14</v>
      </c>
      <c r="AB48" s="17">
        <v>104</v>
      </c>
      <c r="AC48" s="18">
        <v>11</v>
      </c>
      <c r="AD48" s="17">
        <v>107</v>
      </c>
      <c r="AE48" s="18">
        <v>10</v>
      </c>
      <c r="AF48" s="17"/>
      <c r="AG48" s="18" t="s">
        <v>350</v>
      </c>
      <c r="AH48" s="17"/>
      <c r="AI48" s="18" t="s">
        <v>350</v>
      </c>
      <c r="AJ48" s="17"/>
      <c r="AK48" s="18" t="s">
        <v>350</v>
      </c>
      <c r="AL48" s="17"/>
      <c r="AM48" s="18" t="s">
        <v>350</v>
      </c>
      <c r="AN48" s="12">
        <v>137</v>
      </c>
      <c r="AO48" s="19">
        <v>13.7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350</v>
      </c>
      <c r="H49" s="17">
        <v>27</v>
      </c>
      <c r="I49" s="22">
        <v>9</v>
      </c>
      <c r="J49" s="17"/>
      <c r="K49" s="22" t="s">
        <v>350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350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350</v>
      </c>
      <c r="X49" s="17">
        <v>36</v>
      </c>
      <c r="Y49" s="22">
        <v>11.5</v>
      </c>
      <c r="Z49" s="17">
        <v>19</v>
      </c>
      <c r="AA49" s="22">
        <v>3</v>
      </c>
      <c r="AB49" s="17">
        <v>21</v>
      </c>
      <c r="AC49" s="22">
        <v>5</v>
      </c>
      <c r="AD49" s="17">
        <v>21</v>
      </c>
      <c r="AE49" s="22">
        <v>5</v>
      </c>
      <c r="AF49" s="17"/>
      <c r="AG49" s="22" t="s">
        <v>350</v>
      </c>
      <c r="AH49" s="17"/>
      <c r="AI49" s="22" t="s">
        <v>350</v>
      </c>
      <c r="AJ49" s="17"/>
      <c r="AK49" s="22" t="s">
        <v>350</v>
      </c>
      <c r="AL49" s="17"/>
      <c r="AM49" s="22" t="s">
        <v>350</v>
      </c>
      <c r="AN49" s="23">
        <v>25.1</v>
      </c>
      <c r="AO49" s="19">
        <v>5.9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350</v>
      </c>
      <c r="H50" s="27">
        <v>-9</v>
      </c>
      <c r="I50" s="28">
        <v>8.5</v>
      </c>
      <c r="J50" s="27"/>
      <c r="K50" s="28" t="s">
        <v>350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350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350</v>
      </c>
      <c r="X50" s="27">
        <v>-8</v>
      </c>
      <c r="Y50" s="28">
        <v>8</v>
      </c>
      <c r="Z50" s="27">
        <v>1</v>
      </c>
      <c r="AA50" s="28">
        <v>11</v>
      </c>
      <c r="AB50" s="27">
        <v>-20</v>
      </c>
      <c r="AC50" s="28">
        <v>6</v>
      </c>
      <c r="AD50" s="27">
        <v>-22</v>
      </c>
      <c r="AE50" s="28">
        <v>5</v>
      </c>
      <c r="AF50" s="27"/>
      <c r="AG50" s="28" t="s">
        <v>350</v>
      </c>
      <c r="AH50" s="27"/>
      <c r="AI50" s="28" t="s">
        <v>350</v>
      </c>
      <c r="AJ50" s="27"/>
      <c r="AK50" s="28" t="s">
        <v>350</v>
      </c>
      <c r="AL50" s="27"/>
      <c r="AM50" s="28" t="s">
        <v>350</v>
      </c>
      <c r="AN50" s="29">
        <v>-146</v>
      </c>
      <c r="AO50" s="30">
        <v>7.8</v>
      </c>
    </row>
    <row r="51" spans="1:41" x14ac:dyDescent="0.2">
      <c r="A51" s="164">
        <v>16</v>
      </c>
      <c r="B51" s="15" t="s">
        <v>59</v>
      </c>
      <c r="C51" s="16">
        <v>6</v>
      </c>
      <c r="D51" s="17"/>
      <c r="E51" s="18" t="s">
        <v>350</v>
      </c>
      <c r="F51" s="17"/>
      <c r="G51" s="18" t="s">
        <v>350</v>
      </c>
      <c r="H51" s="17"/>
      <c r="I51" s="18" t="s">
        <v>350</v>
      </c>
      <c r="J51" s="17">
        <v>91</v>
      </c>
      <c r="K51" s="18">
        <v>17</v>
      </c>
      <c r="L51" s="17"/>
      <c r="M51" s="18" t="s">
        <v>350</v>
      </c>
      <c r="N51" s="17"/>
      <c r="O51" s="18" t="s">
        <v>350</v>
      </c>
      <c r="P51" s="17"/>
      <c r="Q51" s="18" t="s">
        <v>350</v>
      </c>
      <c r="R51" s="17"/>
      <c r="S51" s="18" t="s">
        <v>350</v>
      </c>
      <c r="T51" s="17">
        <v>88</v>
      </c>
      <c r="U51" s="18">
        <v>26</v>
      </c>
      <c r="V51" s="17"/>
      <c r="W51" s="18" t="s">
        <v>350</v>
      </c>
      <c r="X51" s="17">
        <v>86</v>
      </c>
      <c r="Y51" s="18">
        <v>23.5</v>
      </c>
      <c r="Z51" s="17">
        <v>95</v>
      </c>
      <c r="AA51" s="18">
        <v>9</v>
      </c>
      <c r="AB51" s="17">
        <v>92</v>
      </c>
      <c r="AC51" s="18">
        <v>13</v>
      </c>
      <c r="AD51" s="17">
        <v>90</v>
      </c>
      <c r="AE51" s="18">
        <v>16</v>
      </c>
      <c r="AF51" s="17"/>
      <c r="AG51" s="18" t="s">
        <v>350</v>
      </c>
      <c r="AH51" s="17"/>
      <c r="AI51" s="18" t="s">
        <v>350</v>
      </c>
      <c r="AJ51" s="17"/>
      <c r="AK51" s="18" t="s">
        <v>350</v>
      </c>
      <c r="AL51" s="17"/>
      <c r="AM51" s="18" t="s">
        <v>350</v>
      </c>
      <c r="AN51" s="12">
        <v>104.5</v>
      </c>
      <c r="AO51" s="19">
        <v>17.416666666666668</v>
      </c>
    </row>
    <row r="52" spans="1:41" x14ac:dyDescent="0.2">
      <c r="A52" s="20">
        <v>16.190000000000001</v>
      </c>
      <c r="B52" s="21" t="s">
        <v>41</v>
      </c>
      <c r="C52" s="21"/>
      <c r="D52" s="17"/>
      <c r="E52" s="22" t="s">
        <v>350</v>
      </c>
      <c r="F52" s="17"/>
      <c r="G52" s="22" t="s">
        <v>350</v>
      </c>
      <c r="H52" s="17"/>
      <c r="I52" s="22" t="s">
        <v>350</v>
      </c>
      <c r="J52" s="17">
        <v>29</v>
      </c>
      <c r="K52" s="22">
        <v>10</v>
      </c>
      <c r="L52" s="17"/>
      <c r="M52" s="22" t="s">
        <v>350</v>
      </c>
      <c r="N52" s="17"/>
      <c r="O52" s="22" t="s">
        <v>350</v>
      </c>
      <c r="P52" s="17"/>
      <c r="Q52" s="22" t="s">
        <v>350</v>
      </c>
      <c r="R52" s="17"/>
      <c r="S52" s="22" t="s">
        <v>350</v>
      </c>
      <c r="T52" s="17">
        <v>38</v>
      </c>
      <c r="U52" s="22">
        <v>15</v>
      </c>
      <c r="V52" s="17"/>
      <c r="W52" s="22" t="s">
        <v>350</v>
      </c>
      <c r="X52" s="17">
        <v>36</v>
      </c>
      <c r="Y52" s="22">
        <v>11.5</v>
      </c>
      <c r="Z52" s="17">
        <v>29</v>
      </c>
      <c r="AA52" s="22">
        <v>5</v>
      </c>
      <c r="AB52" s="17">
        <v>27</v>
      </c>
      <c r="AC52" s="22">
        <v>6</v>
      </c>
      <c r="AD52" s="17">
        <v>32</v>
      </c>
      <c r="AE52" s="22">
        <v>10</v>
      </c>
      <c r="AF52" s="17"/>
      <c r="AG52" s="22" t="s">
        <v>350</v>
      </c>
      <c r="AH52" s="17"/>
      <c r="AI52" s="22" t="s">
        <v>350</v>
      </c>
      <c r="AJ52" s="17"/>
      <c r="AK52" s="22" t="s">
        <v>350</v>
      </c>
      <c r="AL52" s="17"/>
      <c r="AM52" s="22" t="s">
        <v>350</v>
      </c>
      <c r="AN52" s="23">
        <v>31.833333333333332</v>
      </c>
      <c r="AO52" s="19">
        <v>9.5833333333333339</v>
      </c>
    </row>
    <row r="53" spans="1:41" x14ac:dyDescent="0.2">
      <c r="A53" s="24">
        <v>16.021899999999999</v>
      </c>
      <c r="B53" s="132" t="s">
        <v>42</v>
      </c>
      <c r="C53" s="26">
        <v>9</v>
      </c>
      <c r="D53" s="27"/>
      <c r="E53" s="28" t="s">
        <v>350</v>
      </c>
      <c r="F53" s="27"/>
      <c r="G53" s="28" t="s">
        <v>350</v>
      </c>
      <c r="H53" s="27"/>
      <c r="I53" s="28" t="s">
        <v>350</v>
      </c>
      <c r="J53" s="27">
        <v>-41</v>
      </c>
      <c r="K53" s="28">
        <v>7</v>
      </c>
      <c r="L53" s="27"/>
      <c r="M53" s="28" t="s">
        <v>350</v>
      </c>
      <c r="N53" s="27"/>
      <c r="O53" s="28" t="s">
        <v>350</v>
      </c>
      <c r="P53" s="27"/>
      <c r="Q53" s="28" t="s">
        <v>350</v>
      </c>
      <c r="R53" s="27"/>
      <c r="S53" s="28" t="s">
        <v>350</v>
      </c>
      <c r="T53" s="27">
        <v>3</v>
      </c>
      <c r="U53" s="28">
        <v>11</v>
      </c>
      <c r="V53" s="27"/>
      <c r="W53" s="28" t="s">
        <v>350</v>
      </c>
      <c r="X53" s="27">
        <v>7</v>
      </c>
      <c r="Y53" s="28">
        <v>12</v>
      </c>
      <c r="Z53" s="27">
        <v>-28</v>
      </c>
      <c r="AA53" s="28">
        <v>4</v>
      </c>
      <c r="AB53" s="27">
        <v>-18</v>
      </c>
      <c r="AC53" s="28">
        <v>7</v>
      </c>
      <c r="AD53" s="27">
        <v>-14</v>
      </c>
      <c r="AE53" s="28">
        <v>6</v>
      </c>
      <c r="AF53" s="27"/>
      <c r="AG53" s="28" t="s">
        <v>350</v>
      </c>
      <c r="AH53" s="27"/>
      <c r="AI53" s="28" t="s">
        <v>350</v>
      </c>
      <c r="AJ53" s="27"/>
      <c r="AK53" s="28" t="s">
        <v>350</v>
      </c>
      <c r="AL53" s="27"/>
      <c r="AM53" s="28" t="s">
        <v>350</v>
      </c>
      <c r="AN53" s="29">
        <v>-91</v>
      </c>
      <c r="AO53" s="30">
        <v>7.833333333333333</v>
      </c>
    </row>
    <row r="54" spans="1:41" x14ac:dyDescent="0.2">
      <c r="A54" s="164">
        <v>17</v>
      </c>
      <c r="B54" s="31" t="s">
        <v>57</v>
      </c>
      <c r="C54" s="16">
        <v>7</v>
      </c>
      <c r="D54" s="17">
        <v>97</v>
      </c>
      <c r="E54" s="18">
        <v>9</v>
      </c>
      <c r="F54" s="17"/>
      <c r="G54" s="18" t="s">
        <v>350</v>
      </c>
      <c r="H54" s="17">
        <v>125</v>
      </c>
      <c r="I54" s="18">
        <v>11</v>
      </c>
      <c r="J54" s="17"/>
      <c r="K54" s="18" t="s">
        <v>350</v>
      </c>
      <c r="L54" s="17">
        <v>107</v>
      </c>
      <c r="M54" s="18">
        <v>14</v>
      </c>
      <c r="N54" s="17">
        <v>112</v>
      </c>
      <c r="O54" s="18">
        <v>8</v>
      </c>
      <c r="P54" s="17"/>
      <c r="Q54" s="18" t="s">
        <v>350</v>
      </c>
      <c r="R54" s="17">
        <v>98</v>
      </c>
      <c r="S54" s="18">
        <v>23.5</v>
      </c>
      <c r="T54" s="17">
        <v>105</v>
      </c>
      <c r="U54" s="18">
        <v>15</v>
      </c>
      <c r="V54" s="17">
        <v>98</v>
      </c>
      <c r="W54" s="18">
        <v>17</v>
      </c>
      <c r="X54" s="17"/>
      <c r="Y54" s="18" t="s">
        <v>350</v>
      </c>
      <c r="Z54" s="17"/>
      <c r="AA54" s="18" t="s">
        <v>350</v>
      </c>
      <c r="AB54" s="17"/>
      <c r="AC54" s="18" t="s">
        <v>350</v>
      </c>
      <c r="AD54" s="17"/>
      <c r="AE54" s="18" t="s">
        <v>350</v>
      </c>
      <c r="AF54" s="17"/>
      <c r="AG54" s="18" t="s">
        <v>350</v>
      </c>
      <c r="AH54" s="17"/>
      <c r="AI54" s="18" t="s">
        <v>350</v>
      </c>
      <c r="AJ54" s="17"/>
      <c r="AK54" s="18" t="s">
        <v>350</v>
      </c>
      <c r="AL54" s="17"/>
      <c r="AM54" s="18" t="s">
        <v>350</v>
      </c>
      <c r="AN54" s="12">
        <v>97.5</v>
      </c>
      <c r="AO54" s="19">
        <v>13.928571428571429</v>
      </c>
    </row>
    <row r="55" spans="1:41" x14ac:dyDescent="0.2">
      <c r="A55" s="20">
        <v>17.116</v>
      </c>
      <c r="B55" s="21" t="s">
        <v>41</v>
      </c>
      <c r="C55" s="21"/>
      <c r="D55" s="17">
        <v>26</v>
      </c>
      <c r="E55" s="22">
        <v>3</v>
      </c>
      <c r="F55" s="17"/>
      <c r="G55" s="22" t="s">
        <v>350</v>
      </c>
      <c r="H55" s="35">
        <v>8</v>
      </c>
      <c r="I55" s="22">
        <v>5</v>
      </c>
      <c r="J55" s="17"/>
      <c r="K55" s="22" t="s">
        <v>350</v>
      </c>
      <c r="L55" s="17">
        <v>19</v>
      </c>
      <c r="M55" s="22">
        <v>4</v>
      </c>
      <c r="N55" s="17">
        <v>18</v>
      </c>
      <c r="O55" s="22">
        <v>3</v>
      </c>
      <c r="P55" s="17"/>
      <c r="Q55" s="22" t="s">
        <v>350</v>
      </c>
      <c r="R55" s="17">
        <v>29</v>
      </c>
      <c r="S55" s="22">
        <v>6.5</v>
      </c>
      <c r="T55" s="17">
        <v>26</v>
      </c>
      <c r="U55" s="22">
        <v>4</v>
      </c>
      <c r="V55" s="17">
        <v>27</v>
      </c>
      <c r="W55" s="22">
        <v>6</v>
      </c>
      <c r="X55" s="17"/>
      <c r="Y55" s="22" t="s">
        <v>350</v>
      </c>
      <c r="Z55" s="17"/>
      <c r="AA55" s="22" t="s">
        <v>350</v>
      </c>
      <c r="AB55" s="17"/>
      <c r="AC55" s="22" t="s">
        <v>350</v>
      </c>
      <c r="AD55" s="17"/>
      <c r="AE55" s="22" t="s">
        <v>350</v>
      </c>
      <c r="AF55" s="17"/>
      <c r="AG55" s="22" t="s">
        <v>350</v>
      </c>
      <c r="AH55" s="17"/>
      <c r="AI55" s="22" t="s">
        <v>350</v>
      </c>
      <c r="AJ55" s="17"/>
      <c r="AK55" s="22" t="s">
        <v>350</v>
      </c>
      <c r="AL55" s="17"/>
      <c r="AM55" s="22" t="s">
        <v>350</v>
      </c>
      <c r="AN55" s="23">
        <v>21.857142857142858</v>
      </c>
      <c r="AO55" s="19">
        <v>4.583333333333333</v>
      </c>
    </row>
    <row r="56" spans="1:41" x14ac:dyDescent="0.2">
      <c r="A56" s="24">
        <v>17.021599999999999</v>
      </c>
      <c r="B56" s="34" t="s">
        <v>42</v>
      </c>
      <c r="C56" s="26">
        <v>8</v>
      </c>
      <c r="D56" s="27">
        <v>-11</v>
      </c>
      <c r="E56" s="28">
        <v>6</v>
      </c>
      <c r="F56" s="27"/>
      <c r="G56" s="28" t="s">
        <v>350</v>
      </c>
      <c r="H56" s="27">
        <v>-15</v>
      </c>
      <c r="I56" s="28">
        <v>6</v>
      </c>
      <c r="J56" s="27"/>
      <c r="K56" s="28" t="s">
        <v>350</v>
      </c>
      <c r="L56" s="27">
        <v>6</v>
      </c>
      <c r="M56" s="28">
        <v>10</v>
      </c>
      <c r="N56" s="27">
        <v>-18</v>
      </c>
      <c r="O56" s="28">
        <v>5</v>
      </c>
      <c r="P56" s="27"/>
      <c r="Q56" s="28" t="s">
        <v>350</v>
      </c>
      <c r="R56" s="27">
        <v>24</v>
      </c>
      <c r="S56" s="28">
        <v>17</v>
      </c>
      <c r="T56" s="27">
        <v>3</v>
      </c>
      <c r="U56" s="28">
        <v>11</v>
      </c>
      <c r="V56" s="27">
        <v>10</v>
      </c>
      <c r="W56" s="28">
        <v>11</v>
      </c>
      <c r="X56" s="27"/>
      <c r="Y56" s="28" t="s">
        <v>350</v>
      </c>
      <c r="Z56" s="27"/>
      <c r="AA56" s="28" t="s">
        <v>350</v>
      </c>
      <c r="AB56" s="27"/>
      <c r="AC56" s="28" t="s">
        <v>350</v>
      </c>
      <c r="AD56" s="27"/>
      <c r="AE56" s="28" t="s">
        <v>350</v>
      </c>
      <c r="AF56" s="27"/>
      <c r="AG56" s="28" t="s">
        <v>350</v>
      </c>
      <c r="AH56" s="27"/>
      <c r="AI56" s="28" t="s">
        <v>350</v>
      </c>
      <c r="AJ56" s="27"/>
      <c r="AK56" s="28" t="s">
        <v>350</v>
      </c>
      <c r="AL56" s="27"/>
      <c r="AM56" s="28" t="s">
        <v>350</v>
      </c>
      <c r="AN56" s="29">
        <v>-1</v>
      </c>
      <c r="AO56" s="30">
        <v>9.4285714285714288</v>
      </c>
    </row>
    <row r="57" spans="1:41" x14ac:dyDescent="0.2">
      <c r="A57" s="164">
        <v>18</v>
      </c>
      <c r="B57" s="15" t="s">
        <v>56</v>
      </c>
      <c r="C57" s="16">
        <v>5</v>
      </c>
      <c r="D57" s="17"/>
      <c r="E57" s="18" t="s">
        <v>350</v>
      </c>
      <c r="F57" s="17"/>
      <c r="G57" s="18" t="s">
        <v>350</v>
      </c>
      <c r="H57" s="17">
        <v>101</v>
      </c>
      <c r="I57" s="18">
        <v>18</v>
      </c>
      <c r="J57" s="17"/>
      <c r="K57" s="18" t="s">
        <v>350</v>
      </c>
      <c r="L57" s="17">
        <v>107</v>
      </c>
      <c r="M57" s="18">
        <v>9</v>
      </c>
      <c r="N57" s="17">
        <v>100</v>
      </c>
      <c r="O57" s="18">
        <v>21</v>
      </c>
      <c r="P57" s="17">
        <v>91</v>
      </c>
      <c r="Q57" s="18">
        <v>20.5</v>
      </c>
      <c r="R57" s="17"/>
      <c r="S57" s="18" t="s">
        <v>350</v>
      </c>
      <c r="T57" s="17">
        <v>99</v>
      </c>
      <c r="U57" s="18">
        <v>13</v>
      </c>
      <c r="V57" s="17"/>
      <c r="W57" s="18" t="s">
        <v>350</v>
      </c>
      <c r="X57" s="17"/>
      <c r="Y57" s="18" t="s">
        <v>350</v>
      </c>
      <c r="Z57" s="17"/>
      <c r="AA57" s="18" t="s">
        <v>350</v>
      </c>
      <c r="AB57" s="17"/>
      <c r="AC57" s="18" t="s">
        <v>350</v>
      </c>
      <c r="AD57" s="17"/>
      <c r="AE57" s="18" t="s">
        <v>350</v>
      </c>
      <c r="AF57" s="17"/>
      <c r="AG57" s="18" t="s">
        <v>350</v>
      </c>
      <c r="AH57" s="17"/>
      <c r="AI57" s="18" t="s">
        <v>350</v>
      </c>
      <c r="AJ57" s="17"/>
      <c r="AK57" s="18" t="s">
        <v>350</v>
      </c>
      <c r="AL57" s="17"/>
      <c r="AM57" s="18" t="s">
        <v>350</v>
      </c>
      <c r="AN57" s="12">
        <v>81.5</v>
      </c>
      <c r="AO57" s="19">
        <v>16.3</v>
      </c>
    </row>
    <row r="58" spans="1:41" x14ac:dyDescent="0.2">
      <c r="A58" s="20">
        <v>18.117999999999999</v>
      </c>
      <c r="B58" s="21" t="s">
        <v>41</v>
      </c>
      <c r="C58" s="21"/>
      <c r="D58" s="17"/>
      <c r="E58" s="22" t="s">
        <v>350</v>
      </c>
      <c r="F58" s="17"/>
      <c r="G58" s="22" t="s">
        <v>350</v>
      </c>
      <c r="H58" s="17">
        <v>25</v>
      </c>
      <c r="I58" s="22">
        <v>7</v>
      </c>
      <c r="J58" s="17"/>
      <c r="K58" s="22" t="s">
        <v>350</v>
      </c>
      <c r="L58" s="17">
        <v>17</v>
      </c>
      <c r="M58" s="22">
        <v>3</v>
      </c>
      <c r="N58" s="17">
        <v>27</v>
      </c>
      <c r="O58" s="22">
        <v>6</v>
      </c>
      <c r="P58" s="17">
        <v>31</v>
      </c>
      <c r="Q58" s="22">
        <v>6.5</v>
      </c>
      <c r="R58" s="17"/>
      <c r="S58" s="22" t="s">
        <v>350</v>
      </c>
      <c r="T58" s="17">
        <v>28</v>
      </c>
      <c r="U58" s="22">
        <v>6</v>
      </c>
      <c r="V58" s="17"/>
      <c r="W58" s="22" t="s">
        <v>350</v>
      </c>
      <c r="X58" s="17"/>
      <c r="Y58" s="22" t="s">
        <v>350</v>
      </c>
      <c r="Z58" s="17"/>
      <c r="AA58" s="22" t="s">
        <v>350</v>
      </c>
      <c r="AB58" s="17"/>
      <c r="AC58" s="22" t="s">
        <v>350</v>
      </c>
      <c r="AD58" s="17"/>
      <c r="AE58" s="22" t="s">
        <v>350</v>
      </c>
      <c r="AF58" s="17"/>
      <c r="AG58" s="22" t="s">
        <v>350</v>
      </c>
      <c r="AH58" s="17"/>
      <c r="AI58" s="22" t="s">
        <v>350</v>
      </c>
      <c r="AJ58" s="17"/>
      <c r="AK58" s="22" t="s">
        <v>350</v>
      </c>
      <c r="AL58" s="17"/>
      <c r="AM58" s="22" t="s">
        <v>350</v>
      </c>
      <c r="AN58" s="23">
        <v>25.6</v>
      </c>
      <c r="AO58" s="19">
        <v>5.7</v>
      </c>
    </row>
    <row r="59" spans="1:41" x14ac:dyDescent="0.2">
      <c r="A59" s="24">
        <v>18.021799999999999</v>
      </c>
      <c r="B59" s="132" t="s">
        <v>42</v>
      </c>
      <c r="C59" s="26">
        <v>9</v>
      </c>
      <c r="D59" s="27"/>
      <c r="E59" s="28" t="s">
        <v>350</v>
      </c>
      <c r="F59" s="27"/>
      <c r="G59" s="28" t="s">
        <v>350</v>
      </c>
      <c r="H59" s="27">
        <v>3</v>
      </c>
      <c r="I59" s="28">
        <v>11</v>
      </c>
      <c r="J59" s="27"/>
      <c r="K59" s="28" t="s">
        <v>350</v>
      </c>
      <c r="L59" s="27">
        <v>-16</v>
      </c>
      <c r="M59" s="28">
        <v>6</v>
      </c>
      <c r="N59" s="27">
        <v>16</v>
      </c>
      <c r="O59" s="28">
        <v>15</v>
      </c>
      <c r="P59" s="27">
        <v>6</v>
      </c>
      <c r="Q59" s="28">
        <v>14</v>
      </c>
      <c r="R59" s="27"/>
      <c r="S59" s="28" t="s">
        <v>350</v>
      </c>
      <c r="T59" s="27">
        <v>-11</v>
      </c>
      <c r="U59" s="28">
        <v>7</v>
      </c>
      <c r="V59" s="27"/>
      <c r="W59" s="28" t="s">
        <v>350</v>
      </c>
      <c r="X59" s="27"/>
      <c r="Y59" s="28" t="s">
        <v>350</v>
      </c>
      <c r="Z59" s="27"/>
      <c r="AA59" s="28" t="s">
        <v>350</v>
      </c>
      <c r="AB59" s="27"/>
      <c r="AC59" s="28" t="s">
        <v>350</v>
      </c>
      <c r="AD59" s="27"/>
      <c r="AE59" s="28" t="s">
        <v>350</v>
      </c>
      <c r="AF59" s="27"/>
      <c r="AG59" s="28" t="s">
        <v>350</v>
      </c>
      <c r="AH59" s="27"/>
      <c r="AI59" s="28" t="s">
        <v>350</v>
      </c>
      <c r="AJ59" s="27"/>
      <c r="AK59" s="28" t="s">
        <v>350</v>
      </c>
      <c r="AL59" s="27"/>
      <c r="AM59" s="28" t="s">
        <v>350</v>
      </c>
      <c r="AN59" s="29">
        <v>-2</v>
      </c>
      <c r="AO59" s="30">
        <v>10.6</v>
      </c>
    </row>
    <row r="60" spans="1:41" x14ac:dyDescent="0.2">
      <c r="A60" s="164">
        <v>19</v>
      </c>
      <c r="B60" s="15" t="s">
        <v>60</v>
      </c>
      <c r="C60" s="16">
        <v>3</v>
      </c>
      <c r="D60" s="17"/>
      <c r="E60" s="18" t="s">
        <v>350</v>
      </c>
      <c r="F60" s="17"/>
      <c r="G60" s="18" t="s">
        <v>350</v>
      </c>
      <c r="H60" s="17"/>
      <c r="I60" s="18" t="s">
        <v>350</v>
      </c>
      <c r="J60" s="17"/>
      <c r="K60" s="18" t="s">
        <v>350</v>
      </c>
      <c r="L60" s="17"/>
      <c r="M60" s="18" t="s">
        <v>350</v>
      </c>
      <c r="N60" s="17"/>
      <c r="O60" s="18" t="s">
        <v>350</v>
      </c>
      <c r="P60" s="17"/>
      <c r="Q60" s="18" t="s">
        <v>350</v>
      </c>
      <c r="R60" s="17"/>
      <c r="S60" s="18" t="s">
        <v>350</v>
      </c>
      <c r="T60" s="17"/>
      <c r="U60" s="18" t="s">
        <v>350</v>
      </c>
      <c r="V60" s="17"/>
      <c r="W60" s="18" t="s">
        <v>350</v>
      </c>
      <c r="X60" s="17">
        <v>72</v>
      </c>
      <c r="Y60" s="18">
        <v>34.5</v>
      </c>
      <c r="Z60" s="17">
        <v>78</v>
      </c>
      <c r="AA60" s="18">
        <v>25</v>
      </c>
      <c r="AB60" s="17">
        <v>77</v>
      </c>
      <c r="AC60" s="18">
        <v>21</v>
      </c>
      <c r="AD60" s="17"/>
      <c r="AE60" s="18" t="s">
        <v>350</v>
      </c>
      <c r="AF60" s="17"/>
      <c r="AG60" s="18" t="s">
        <v>350</v>
      </c>
      <c r="AH60" s="17"/>
      <c r="AI60" s="18" t="s">
        <v>350</v>
      </c>
      <c r="AJ60" s="17"/>
      <c r="AK60" s="18" t="s">
        <v>350</v>
      </c>
      <c r="AL60" s="17"/>
      <c r="AM60" s="18" t="s">
        <v>350</v>
      </c>
      <c r="AN60" s="12">
        <v>80.5</v>
      </c>
      <c r="AO60" s="19">
        <v>26.833333333333332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350</v>
      </c>
      <c r="F61" s="17"/>
      <c r="G61" s="22" t="s">
        <v>350</v>
      </c>
      <c r="H61" s="17"/>
      <c r="I61" s="22" t="s">
        <v>350</v>
      </c>
      <c r="J61" s="17"/>
      <c r="K61" s="22" t="s">
        <v>350</v>
      </c>
      <c r="L61" s="17"/>
      <c r="M61" s="22" t="s">
        <v>350</v>
      </c>
      <c r="N61" s="17"/>
      <c r="O61" s="22" t="s">
        <v>350</v>
      </c>
      <c r="P61" s="17"/>
      <c r="Q61" s="22" t="s">
        <v>350</v>
      </c>
      <c r="R61" s="17"/>
      <c r="S61" s="22" t="s">
        <v>350</v>
      </c>
      <c r="T61" s="17"/>
      <c r="U61" s="22" t="s">
        <v>350</v>
      </c>
      <c r="V61" s="17"/>
      <c r="W61" s="22" t="s">
        <v>350</v>
      </c>
      <c r="X61" s="17">
        <v>40</v>
      </c>
      <c r="Y61" s="22">
        <v>18</v>
      </c>
      <c r="Z61" s="17">
        <v>33</v>
      </c>
      <c r="AA61" s="22">
        <v>12</v>
      </c>
      <c r="AB61" s="17">
        <v>30</v>
      </c>
      <c r="AC61" s="22">
        <v>11</v>
      </c>
      <c r="AD61" s="17"/>
      <c r="AE61" s="22" t="s">
        <v>350</v>
      </c>
      <c r="AF61" s="17"/>
      <c r="AG61" s="22" t="s">
        <v>350</v>
      </c>
      <c r="AH61" s="17"/>
      <c r="AI61" s="22" t="s">
        <v>350</v>
      </c>
      <c r="AJ61" s="17"/>
      <c r="AK61" s="22" t="s">
        <v>350</v>
      </c>
      <c r="AL61" s="17"/>
      <c r="AM61" s="22" t="s">
        <v>350</v>
      </c>
      <c r="AN61" s="23">
        <v>34.333333333333336</v>
      </c>
      <c r="AO61" s="19">
        <v>13.666666666666666</v>
      </c>
    </row>
    <row r="62" spans="1:41" x14ac:dyDescent="0.2">
      <c r="A62" s="24">
        <v>19.022099999999998</v>
      </c>
      <c r="B62" s="132" t="s">
        <v>42</v>
      </c>
      <c r="C62" s="26">
        <v>21</v>
      </c>
      <c r="D62" s="27"/>
      <c r="E62" s="28" t="s">
        <v>350</v>
      </c>
      <c r="F62" s="27"/>
      <c r="G62" s="28" t="s">
        <v>350</v>
      </c>
      <c r="H62" s="27"/>
      <c r="I62" s="28" t="s">
        <v>350</v>
      </c>
      <c r="J62" s="27"/>
      <c r="K62" s="28" t="s">
        <v>350</v>
      </c>
      <c r="L62" s="27"/>
      <c r="M62" s="28" t="s">
        <v>350</v>
      </c>
      <c r="N62" s="27"/>
      <c r="O62" s="28" t="s">
        <v>350</v>
      </c>
      <c r="P62" s="27"/>
      <c r="Q62" s="28" t="s">
        <v>350</v>
      </c>
      <c r="R62" s="27"/>
      <c r="S62" s="28" t="s">
        <v>350</v>
      </c>
      <c r="T62" s="27"/>
      <c r="U62" s="28" t="s">
        <v>350</v>
      </c>
      <c r="V62" s="27"/>
      <c r="W62" s="28" t="s">
        <v>350</v>
      </c>
      <c r="X62" s="27">
        <v>18</v>
      </c>
      <c r="Y62" s="28">
        <v>16.5</v>
      </c>
      <c r="Z62" s="27">
        <v>9</v>
      </c>
      <c r="AA62" s="28">
        <v>13</v>
      </c>
      <c r="AB62" s="27">
        <v>0.1</v>
      </c>
      <c r="AC62" s="28">
        <v>10</v>
      </c>
      <c r="AD62" s="27"/>
      <c r="AE62" s="28" t="s">
        <v>350</v>
      </c>
      <c r="AF62" s="27"/>
      <c r="AG62" s="28" t="s">
        <v>350</v>
      </c>
      <c r="AH62" s="27"/>
      <c r="AI62" s="28" t="s">
        <v>350</v>
      </c>
      <c r="AJ62" s="27"/>
      <c r="AK62" s="28" t="s">
        <v>350</v>
      </c>
      <c r="AL62" s="27"/>
      <c r="AM62" s="28" t="s">
        <v>350</v>
      </c>
      <c r="AN62" s="29">
        <v>27.1</v>
      </c>
      <c r="AO62" s="30">
        <v>13.166666666666666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>
        <f>AVERAGE(W6,W9,W12,W15,W18,W21,W24,W27,W30,W33,W36,W39,W42,W45,W48,W51,W54,W57,W60)</f>
        <v>21</v>
      </c>
      <c r="W65" s="38"/>
      <c r="X65" s="37">
        <f>AVERAGE(Y6,Y9,Y12,Y15,Y18,Y21,Y24,Y27,Y30,Y33,Y36,Y39,Y42,Y45,Y48,Y51,Y54,Y57,Y60)</f>
        <v>20.285714285714285</v>
      </c>
      <c r="Y65" s="38"/>
      <c r="Z65" s="37">
        <f>AVERAGE(AA6,AA9,AA12,AA15,AA18,AA21,AA24,AA27,AA30,AA33,AA36,AA39,AA42,AA45,AA48,AA51,AA54,AA57,AA60)</f>
        <v>21.076923076923077</v>
      </c>
      <c r="AA65" s="38"/>
      <c r="AB65" s="37">
        <f>AVERAGE(AC6,AC9,AC12,AC15,AC18,AC21,AC24,AC27,AC30,AC33,AC36,AC39,AC42,AC45,AC48,AC51,AC54,AC57,AC60)</f>
        <v>21</v>
      </c>
      <c r="AC65" s="38"/>
      <c r="AD65" s="37">
        <f>AVERAGE(AE6,AE9,AE12,AE15,AE18,AE21,AE24,AE27,AE30,AE33,AE36,AE39,AE42,AE45,AE48,AE51,AE54,AE57,AE60)</f>
        <v>21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181.91666666666666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3464.5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zoomScaleNormal="100" zoomScalePageLayoutView="60" workbookViewId="0">
      <selection activeCell="E84" sqref="E84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4.88671875" style="1" customWidth="1"/>
    <col min="99" max="100" width="4.88671875" style="1" hidden="1" customWidth="1"/>
    <col min="101" max="132" width="4.8867187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76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7">
        <v>1</v>
      </c>
      <c r="CT1" s="177"/>
      <c r="CU1" s="177">
        <f>CS1+1</f>
        <v>2</v>
      </c>
      <c r="CV1" s="177"/>
      <c r="CW1" s="177">
        <f>CU1+1</f>
        <v>3</v>
      </c>
      <c r="CX1" s="177"/>
      <c r="CY1" s="177">
        <f>CW1+1</f>
        <v>4</v>
      </c>
      <c r="CZ1" s="177"/>
      <c r="DA1" s="177">
        <f>CY1+1</f>
        <v>5</v>
      </c>
      <c r="DB1" s="177"/>
      <c r="DC1" s="177">
        <f>DA1+1</f>
        <v>6</v>
      </c>
      <c r="DD1" s="177"/>
      <c r="DE1" s="177">
        <f>DC1+1</f>
        <v>7</v>
      </c>
      <c r="DF1" s="177"/>
      <c r="DG1" s="177">
        <f>DE1+1</f>
        <v>8</v>
      </c>
      <c r="DH1" s="177"/>
      <c r="DI1" s="177">
        <f>DG1+1</f>
        <v>9</v>
      </c>
      <c r="DJ1" s="177"/>
      <c r="DK1" s="177">
        <f>DI1+1</f>
        <v>10</v>
      </c>
      <c r="DL1" s="177"/>
      <c r="DM1" s="177">
        <f>DK1+1</f>
        <v>11</v>
      </c>
      <c r="DN1" s="177"/>
      <c r="DO1" s="177">
        <f>DM1+1</f>
        <v>12</v>
      </c>
      <c r="DP1" s="177"/>
      <c r="DQ1" s="177">
        <f>DO1+1</f>
        <v>13</v>
      </c>
      <c r="DR1" s="177"/>
      <c r="DS1" s="177">
        <f>DQ1+1</f>
        <v>14</v>
      </c>
      <c r="DT1" s="177"/>
      <c r="DU1" s="177">
        <f>DS1+1</f>
        <v>15</v>
      </c>
      <c r="DV1" s="177"/>
      <c r="DW1" s="177">
        <f>DU1+1</f>
        <v>16</v>
      </c>
      <c r="DX1" s="177"/>
      <c r="DY1" s="177">
        <f>DW1+1</f>
        <v>17</v>
      </c>
      <c r="DZ1" s="177"/>
      <c r="EA1" s="177">
        <f>DY1+1</f>
        <v>18</v>
      </c>
      <c r="EB1" s="177"/>
      <c r="EC1" s="3"/>
      <c r="ED1" s="5"/>
    </row>
    <row r="2" spans="2:151" x14ac:dyDescent="0.2">
      <c r="E2" s="6" t="s">
        <v>1</v>
      </c>
      <c r="F2" s="176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78" t="s">
        <v>2</v>
      </c>
      <c r="CT2" s="178"/>
      <c r="CU2" s="178" t="s">
        <v>3</v>
      </c>
      <c r="CV2" s="178"/>
      <c r="CW2" s="178" t="s">
        <v>4</v>
      </c>
      <c r="CX2" s="178"/>
      <c r="CY2" s="178" t="s">
        <v>5</v>
      </c>
      <c r="CZ2" s="178"/>
      <c r="DA2" s="178" t="s">
        <v>6</v>
      </c>
      <c r="DB2" s="178"/>
      <c r="DC2" s="178" t="s">
        <v>7</v>
      </c>
      <c r="DD2" s="178"/>
      <c r="DE2" s="178" t="s">
        <v>8</v>
      </c>
      <c r="DF2" s="178"/>
      <c r="DG2" s="178" t="s">
        <v>9</v>
      </c>
      <c r="DH2" s="178"/>
      <c r="DI2" s="178" t="s">
        <v>10</v>
      </c>
      <c r="DJ2" s="178"/>
      <c r="DK2" s="178" t="s">
        <v>11</v>
      </c>
      <c r="DL2" s="178"/>
      <c r="DM2" s="178" t="s">
        <v>12</v>
      </c>
      <c r="DN2" s="178"/>
      <c r="DO2" s="178" t="s">
        <v>13</v>
      </c>
      <c r="DP2" s="178"/>
      <c r="DQ2" s="178" t="s">
        <v>14</v>
      </c>
      <c r="DR2" s="178"/>
      <c r="DS2" s="178" t="s">
        <v>15</v>
      </c>
      <c r="DT2" s="178"/>
      <c r="DU2" s="178" t="s">
        <v>16</v>
      </c>
      <c r="DV2" s="178"/>
      <c r="DW2" s="178" t="s">
        <v>17</v>
      </c>
      <c r="DX2" s="178"/>
      <c r="DY2" s="178" t="s">
        <v>18</v>
      </c>
      <c r="DZ2" s="178"/>
      <c r="EA2" s="178" t="s">
        <v>19</v>
      </c>
      <c r="EB2" s="178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76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79" t="s">
        <v>23</v>
      </c>
      <c r="CT3" s="179"/>
      <c r="CU3" s="179" t="s">
        <v>24</v>
      </c>
      <c r="CV3" s="179"/>
      <c r="CW3" s="179" t="s">
        <v>25</v>
      </c>
      <c r="CX3" s="179"/>
      <c r="CY3" s="179" t="s">
        <v>26</v>
      </c>
      <c r="CZ3" s="179"/>
      <c r="DA3" s="179" t="s">
        <v>24</v>
      </c>
      <c r="DB3" s="179"/>
      <c r="DC3" s="179" t="s">
        <v>23</v>
      </c>
      <c r="DD3" s="179"/>
      <c r="DE3" s="179" t="s">
        <v>25</v>
      </c>
      <c r="DF3" s="179"/>
      <c r="DG3" s="179" t="s">
        <v>26</v>
      </c>
      <c r="DH3" s="179"/>
      <c r="DI3" s="179" t="s">
        <v>24</v>
      </c>
      <c r="DJ3" s="179"/>
      <c r="DK3" s="179" t="s">
        <v>23</v>
      </c>
      <c r="DL3" s="179"/>
      <c r="DM3" s="179" t="s">
        <v>25</v>
      </c>
      <c r="DN3" s="179"/>
      <c r="DO3" s="179" t="s">
        <v>26</v>
      </c>
      <c r="DP3" s="179"/>
      <c r="DQ3" s="179" t="s">
        <v>23</v>
      </c>
      <c r="DR3" s="179"/>
      <c r="DS3" s="179" t="s">
        <v>24</v>
      </c>
      <c r="DT3" s="179"/>
      <c r="DU3" s="179" t="s">
        <v>25</v>
      </c>
      <c r="DV3" s="179"/>
      <c r="DW3" s="179" t="s">
        <v>26</v>
      </c>
      <c r="DX3" s="179"/>
      <c r="DY3" s="179" t="s">
        <v>24</v>
      </c>
      <c r="DZ3" s="179"/>
      <c r="EA3" s="179" t="s">
        <v>23</v>
      </c>
      <c r="EB3" s="179"/>
      <c r="EC3" s="179"/>
      <c r="ED3" s="179"/>
      <c r="EE3" s="179"/>
      <c r="EF3" s="179"/>
    </row>
    <row r="4" spans="2:151" s="9" customFormat="1" ht="39" customHeight="1" x14ac:dyDescent="0.2">
      <c r="B4" s="7"/>
      <c r="C4" s="7"/>
      <c r="D4" s="7"/>
      <c r="E4" s="10" t="s">
        <v>27</v>
      </c>
      <c r="F4" s="176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80" t="s">
        <v>28</v>
      </c>
      <c r="CT4" s="180"/>
      <c r="CU4" s="180"/>
      <c r="CV4" s="180"/>
      <c r="CW4" s="181" t="s">
        <v>29</v>
      </c>
      <c r="CX4" s="181"/>
      <c r="CY4" s="181" t="s">
        <v>30</v>
      </c>
      <c r="CZ4" s="181"/>
      <c r="DA4" s="181" t="s">
        <v>31</v>
      </c>
      <c r="DB4" s="181"/>
      <c r="DC4" s="181" t="s">
        <v>32</v>
      </c>
      <c r="DD4" s="181"/>
      <c r="DE4" s="180" t="s">
        <v>33</v>
      </c>
      <c r="DF4" s="180"/>
      <c r="DG4" s="182" t="s">
        <v>34</v>
      </c>
      <c r="DH4" s="182"/>
      <c r="DI4" s="181" t="s">
        <v>235</v>
      </c>
      <c r="DJ4" s="181"/>
      <c r="DK4" s="180" t="s">
        <v>351</v>
      </c>
      <c r="DL4" s="180"/>
      <c r="DM4" s="180" t="s">
        <v>60</v>
      </c>
      <c r="DN4" s="180"/>
      <c r="DO4" s="181" t="s">
        <v>357</v>
      </c>
      <c r="DP4" s="181"/>
      <c r="DQ4" s="180" t="s">
        <v>360</v>
      </c>
      <c r="DR4" s="180"/>
      <c r="DS4" s="180" t="s">
        <v>245</v>
      </c>
      <c r="DT4" s="180"/>
      <c r="DU4" s="183"/>
      <c r="DV4" s="183"/>
      <c r="DW4" s="183"/>
      <c r="DX4" s="183"/>
      <c r="DY4" s="180"/>
      <c r="DZ4" s="180"/>
      <c r="EA4" s="180"/>
      <c r="EB4" s="180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80" t="s">
        <v>36</v>
      </c>
      <c r="CT5" s="180"/>
      <c r="CU5" s="9" t="s">
        <v>37</v>
      </c>
      <c r="CW5" s="180" t="s">
        <v>38</v>
      </c>
      <c r="CX5" s="180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281.5</v>
      </c>
      <c r="D6" s="41" t="s">
        <v>75</v>
      </c>
      <c r="E6" s="31" t="s">
        <v>43</v>
      </c>
      <c r="F6" s="16">
        <f ca="1">COUNT(CT6,CV6,CX6,CZ6,DB6,DD6,DF6,DH6,DJ6,DL6,DN6,DP6,DR6,DT6,DV6,DX6,DZ6,EB6)</f>
        <v>11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>
        <f ca="1">IF(DL6=0,"",DL6)</f>
        <v>29.5</v>
      </c>
      <c r="BA6" s="47"/>
      <c r="BB6" s="47"/>
      <c r="BD6" s="47"/>
      <c r="BE6" s="47">
        <f ca="1">IF(DN6=0,"",DN6)</f>
        <v>24</v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>
        <f ca="1">IF(DR6=0,"",DR6)</f>
        <v>25</v>
      </c>
      <c r="BP6" s="47"/>
      <c r="BQ6" s="47"/>
      <c r="BS6" s="47"/>
      <c r="BT6" s="47">
        <f ca="1">IF(DT6=0,"",DT6)</f>
        <v>29</v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>
        <v>75</v>
      </c>
      <c r="DL6" s="18">
        <f ca="1">IFERROR(DL7+DL8,"")</f>
        <v>29.5</v>
      </c>
      <c r="DM6" s="17">
        <v>76</v>
      </c>
      <c r="DN6" s="18">
        <f ca="1">IFERROR(DN7+DN8,"")</f>
        <v>24</v>
      </c>
      <c r="DO6" s="17"/>
      <c r="DP6" s="18" t="str">
        <f ca="1">IFERROR(DP7+DP8,"")</f>
        <v/>
      </c>
      <c r="DQ6" s="17">
        <v>75</v>
      </c>
      <c r="DR6" s="18">
        <f ca="1">IFERROR(DR7+DR8,"")</f>
        <v>25</v>
      </c>
      <c r="DS6" s="17">
        <v>77</v>
      </c>
      <c r="DT6" s="18">
        <f ca="1">IFERROR(DT7+DT8,"")</f>
        <v>29</v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281.5</v>
      </c>
      <c r="ED6" s="19">
        <f ca="1">AVERAGE(CT6,CV6,CX6,CZ6,DB6,DD6,DF6,DH6,DJ6,DL6,DN6,DP6,DR6,DT6,DV6,DX6,DZ6,EB6)</f>
        <v>27.681818181818183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>
        <f>IF(DK7=0,"",DK7)</f>
        <v>37</v>
      </c>
      <c r="BB7" s="21"/>
      <c r="BC7" s="47">
        <f>IFERROR(RANK(BA7,BA$6:BA$116,0),"")</f>
        <v>1</v>
      </c>
      <c r="BD7" s="21"/>
      <c r="BE7" s="21"/>
      <c r="BF7" s="21">
        <f>IF(DM7=0,"",DM7)</f>
        <v>37</v>
      </c>
      <c r="BG7" s="21"/>
      <c r="BH7" s="47">
        <f>IFERROR(RANK(BF7,BF$6:BF$116,0),"")</f>
        <v>5</v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>
        <f>IF(DQ7=0,"",DQ7)</f>
        <v>35</v>
      </c>
      <c r="BQ7" s="21"/>
      <c r="BR7" s="47">
        <f>IFERROR(RANK(BP7,BP$6:BP$116,0),"")</f>
        <v>3</v>
      </c>
      <c r="BS7" s="21"/>
      <c r="BT7" s="21"/>
      <c r="BU7" s="21">
        <f>IF(DS7=0,"",DS7)</f>
        <v>36</v>
      </c>
      <c r="BV7" s="21"/>
      <c r="BW7" s="47">
        <f>IFERROR(RANK(BU7,BU$6:BU$116,0),"")</f>
        <v>2</v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>
        <v>37</v>
      </c>
      <c r="DL7" s="22">
        <f ca="1">IFERROR(AVERAGE(OFFSET('Data - For Rank'!$K$2,BC7,0,COUNTIF(BC$7:BC$116,BC7)))+IFERROR(VLOOKUP((COUNT(BA$6:BA$116)/4),$ER$9:$ES$13,2,FALSE()),0),"")</f>
        <v>15.5</v>
      </c>
      <c r="DM7" s="17">
        <v>37</v>
      </c>
      <c r="DN7" s="22">
        <f ca="1">IFERROR(AVERAGE(OFFSET('Data - For Rank'!$L$2,BH7,0,COUNTIF(BH$7:BH$116,BH7)))+IFERROR(VLOOKUP((COUNT(BF$6:BF$116)/4),$ER$9:$ES$13,2,FALSE()),0),"")</f>
        <v>14</v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>
        <v>35</v>
      </c>
      <c r="DR7" s="22">
        <f ca="1">IFERROR(AVERAGE(OFFSET('Data - For Rank'!$N$2,BR7,0,COUNTIF(BR$7:BR$116,BR7)))+IFERROR(VLOOKUP((COUNT(BP$6:BP$116)/4),$ER$9:$ES$13,2,FALSE()),0),"")</f>
        <v>14</v>
      </c>
      <c r="DS7" s="17">
        <v>36</v>
      </c>
      <c r="DT7" s="22">
        <f ca="1">IFERROR(AVERAGE(OFFSET('Data - For Rank'!$O$2,BW7,0,COUNTIF(BW$7:BW$116,BW7)))+IFERROR(VLOOKUP((COUNT(BU$6:BU$116)/4),$ER$9:$ES$13,2,FALSE()),0),"")</f>
        <v>15</v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36.272727272727273</v>
      </c>
      <c r="ED7" s="19">
        <f ca="1">AVERAGE(CX7,CT7,CV7,CZ7,DB7,DD7,DF7,DH7,DJ7,DL7,DN7,DP7,DR7,DT7,DV7,DX7,DZ7,EB7)</f>
        <v>14.590909090909092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IF(COUNT(G6:CN6)&gt;10,SMALL(G6:CN6,COUNT(G6:CN6)-9),MIN(G6:CN6))</f>
        <v>24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>
        <f>IF(DK8=0,"",DK8)</f>
        <v>16</v>
      </c>
      <c r="BC8" s="50"/>
      <c r="BD8" s="51">
        <f>IFERROR(_xlfn.RANK.EQ(BB8,BB$6:BB$116,0),"")</f>
        <v>2</v>
      </c>
      <c r="BE8" s="26"/>
      <c r="BF8" s="26"/>
      <c r="BG8" s="50">
        <f>IF(DM8=0,"",DM8)</f>
        <v>2</v>
      </c>
      <c r="BH8" s="50"/>
      <c r="BI8" s="51">
        <f>IFERROR(_xlfn.RANK.EQ(BG8,BG$6:BG$116,0),"")</f>
        <v>9</v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>
        <f>IF(DQ8=0,"",DQ8)</f>
        <v>2</v>
      </c>
      <c r="BR8" s="50"/>
      <c r="BS8" s="51">
        <f>IFERROR(_xlfn.RANK.EQ(BQ8,BQ$6:BQ$116,0),"")</f>
        <v>6</v>
      </c>
      <c r="BT8" s="26"/>
      <c r="BU8" s="26"/>
      <c r="BV8" s="50">
        <f>IF(DS8=0,"",DS8)</f>
        <v>9</v>
      </c>
      <c r="BW8" s="50"/>
      <c r="BX8" s="51">
        <f>IFERROR(_xlfn.RANK.EQ(BV8,BV$6:BV$116,0),"")</f>
        <v>3</v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>
        <v>16</v>
      </c>
      <c r="DL8" s="28">
        <f ca="1">IFERROR(AVERAGE(OFFSET('Data - For Rank'!$K$2,BD8,0,COUNTIF(BD$6:BD$116,BD8)))+IFERROR(VLOOKUP((COUNT(BB$6:BB$116)/4),$ER$9:$ES$13,2,FALSE()),0),"")</f>
        <v>14</v>
      </c>
      <c r="DM8" s="27">
        <v>2</v>
      </c>
      <c r="DN8" s="28">
        <f ca="1">IFERROR(AVERAGE(OFFSET('Data - For Rank'!$L$2,BI8,0,COUNTIF(BI$6:BI$116,BI8)))+IFERROR(VLOOKUP((COUNT(BG$6:BG$116)/4),$ER$9:$ES$13,2,FALSE()),0),"")</f>
        <v>10</v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>
        <v>2</v>
      </c>
      <c r="DR8" s="28">
        <f ca="1">IFERROR(AVERAGE(OFFSET('Data - For Rank'!$N$2,BS8,0,COUNTIF(BS$6:BS$116,BS8)))+IFERROR(VLOOKUP((COUNT(BQ$6:BQ$116)/4),$ER$9:$ES$13,2,FALSE()),0),"")</f>
        <v>11</v>
      </c>
      <c r="DS8" s="27">
        <v>9</v>
      </c>
      <c r="DT8" s="28">
        <f ca="1">IFERROR(AVERAGE(OFFSET('Data - For Rank'!$O$2,BX8,0,COUNTIF(BX$6:BX$116,BX8)))+IFERROR(VLOOKUP((COUNT(BV$6:BV$116)/4),$ER$9:$ES$13,2,FALSE()),0),"")</f>
        <v>14</v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124.999</v>
      </c>
      <c r="ED8" s="30">
        <f t="shared" ref="ED8:ED50" ca="1" si="0">AVERAGE(CT8,CV8,CX8,CZ8,DB8,DD8,DF8,DH8,DJ8,DL8,DN8,DP8,DR8,DT8,DV8,DX8,DZ8,EB8)</f>
        <v>13.090909090909092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263</v>
      </c>
      <c r="D9" s="41" t="s">
        <v>89</v>
      </c>
      <c r="E9" s="15" t="s">
        <v>46</v>
      </c>
      <c r="F9" s="16">
        <f ca="1">COUNT(CT9,CV9,CX9,CZ9,DB9,DD9,DF9,DH9,DJ9,DL9,DN9,DP9,DR9,DT9,DV9,DX9,DZ9,EB9)</f>
        <v>11</v>
      </c>
      <c r="G9" s="47">
        <f ca="1">IF(CT9=0,"",CT9)</f>
        <v>23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 t="str">
        <f ca="1">IF(CX9=0,"",CX9)</f>
        <v/>
      </c>
      <c r="R9" s="47"/>
      <c r="S9" s="47"/>
      <c r="U9" s="47"/>
      <c r="V9" s="47">
        <f ca="1">IF(CZ9=0,"",CZ9)</f>
        <v>21.5</v>
      </c>
      <c r="W9" s="47"/>
      <c r="X9" s="47"/>
      <c r="Z9" s="47"/>
      <c r="AA9" s="47">
        <f ca="1">IF(DB9=0,"",DB9)</f>
        <v>29</v>
      </c>
      <c r="AB9" s="47"/>
      <c r="AC9" s="47"/>
      <c r="AE9" s="47"/>
      <c r="AF9" s="47">
        <f ca="1">IF(DD9=0,"",DD9)</f>
        <v>17.5</v>
      </c>
      <c r="AG9" s="47"/>
      <c r="AH9" s="47"/>
      <c r="AJ9" s="47"/>
      <c r="AK9" s="47">
        <f ca="1">IF(DF9=0,"",DF9)</f>
        <v>21.5</v>
      </c>
      <c r="AL9" s="47"/>
      <c r="AM9" s="47"/>
      <c r="AO9" s="47"/>
      <c r="AP9" s="47">
        <f ca="1">IF(DH9=0,"",DH9)</f>
        <v>29.5</v>
      </c>
      <c r="AQ9" s="47"/>
      <c r="AR9" s="47"/>
      <c r="AT9" s="47"/>
      <c r="AU9" s="47">
        <f ca="1">IF(DJ9=0,"",DJ9)</f>
        <v>35</v>
      </c>
      <c r="AV9" s="47"/>
      <c r="AW9" s="47"/>
      <c r="AY9" s="47"/>
      <c r="AZ9" s="47">
        <f ca="1">IF(DL9=0,"",DL9)</f>
        <v>18</v>
      </c>
      <c r="BA9" s="47"/>
      <c r="BB9" s="47"/>
      <c r="BD9" s="47"/>
      <c r="BE9" s="47">
        <f ca="1">IF(DN9=0,"",DN9)</f>
        <v>31</v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>
        <f ca="1">IF(DR9=0,"",DR9)</f>
        <v>22.5</v>
      </c>
      <c r="BP9" s="47"/>
      <c r="BQ9" s="47"/>
      <c r="BS9" s="47"/>
      <c r="BT9" s="47">
        <f ca="1">IF(DT9=0,"",DT9)</f>
        <v>32</v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80</v>
      </c>
      <c r="CT9" s="18">
        <f ca="1">IFERROR(CT10+CT11,"")</f>
        <v>23</v>
      </c>
      <c r="CU9" s="17"/>
      <c r="CV9" s="18" t="str">
        <f ca="1">IFERROR(CV10+CV11,"")</f>
        <v/>
      </c>
      <c r="CW9" s="17"/>
      <c r="CX9" s="18" t="str">
        <f ca="1">IFERROR(CX10+CX11,"")</f>
        <v/>
      </c>
      <c r="CY9" s="17">
        <v>81</v>
      </c>
      <c r="CZ9" s="18">
        <f ca="1">IFERROR(CZ10+CZ11,"")</f>
        <v>21.5</v>
      </c>
      <c r="DA9" s="17">
        <v>83</v>
      </c>
      <c r="DB9" s="18">
        <f ca="1">IFERROR(DB10+DB11,"")</f>
        <v>29</v>
      </c>
      <c r="DC9" s="17">
        <v>84</v>
      </c>
      <c r="DD9" s="18">
        <f ca="1">IFERROR(DD10+DD11,"")</f>
        <v>17.5</v>
      </c>
      <c r="DE9" s="17">
        <v>79</v>
      </c>
      <c r="DF9" s="18">
        <f ca="1">IFERROR(DF10+DF11,"")</f>
        <v>21.5</v>
      </c>
      <c r="DG9" s="17">
        <v>79</v>
      </c>
      <c r="DH9" s="18">
        <f ca="1">IFERROR(DH10+DH11,"")</f>
        <v>29.5</v>
      </c>
      <c r="DI9" s="17">
        <v>76</v>
      </c>
      <c r="DJ9" s="18">
        <f ca="1">IFERROR(DJ10+DJ11,"")</f>
        <v>35</v>
      </c>
      <c r="DK9" s="17">
        <v>81</v>
      </c>
      <c r="DL9" s="18">
        <f ca="1">IFERROR(DL10+DL11,"")</f>
        <v>18</v>
      </c>
      <c r="DM9" s="17">
        <v>75</v>
      </c>
      <c r="DN9" s="18">
        <f ca="1">IFERROR(DN10+DN11,"")</f>
        <v>31</v>
      </c>
      <c r="DO9" s="17"/>
      <c r="DP9" s="18" t="str">
        <f ca="1">IFERROR(DP10+DP11,"")</f>
        <v/>
      </c>
      <c r="DQ9" s="17">
        <v>82</v>
      </c>
      <c r="DR9" s="18">
        <f ca="1">IFERROR(DR10+DR11,"")</f>
        <v>22.5</v>
      </c>
      <c r="DS9" s="17">
        <v>75</v>
      </c>
      <c r="DT9" s="18">
        <f ca="1">IFERROR(DT10+DT11,"")</f>
        <v>32</v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263</v>
      </c>
      <c r="ED9" s="19">
        <f t="shared" ca="1" si="0"/>
        <v>25.5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B9+0.15</f>
        <v>2.15</v>
      </c>
      <c r="D10" s="54" t="s">
        <v>90</v>
      </c>
      <c r="E10" s="21" t="s">
        <v>41</v>
      </c>
      <c r="F10" s="21"/>
      <c r="G10" s="21"/>
      <c r="H10" s="21">
        <f>IF(CS10=0,"",CS10)</f>
        <v>34</v>
      </c>
      <c r="I10" s="21"/>
      <c r="J10" s="47">
        <f>IFERROR(RANK(H10,H$6:H$116,0),"")</f>
        <v>3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 t="str">
        <f>IF(CW10=0,"",CW10)</f>
        <v/>
      </c>
      <c r="S10" s="21"/>
      <c r="T10" s="47" t="str">
        <f>IFERROR(RANK(R10,R$6:R$116,0),"")</f>
        <v/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33</v>
      </c>
      <c r="AC10" s="21"/>
      <c r="AD10" s="47">
        <f>IFERROR(RANK(AB10,AB$6:AB$116,0),"")</f>
        <v>4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36</v>
      </c>
      <c r="AM10" s="21"/>
      <c r="AN10" s="47">
        <f>IFERROR(RANK(AL10,AL$6:AL$116,0),"")</f>
        <v>3</v>
      </c>
      <c r="AO10" s="21"/>
      <c r="AP10" s="21"/>
      <c r="AQ10" s="21">
        <f>IF(DG10=0,"",DG10)</f>
        <v>36</v>
      </c>
      <c r="AR10" s="21"/>
      <c r="AS10" s="47">
        <f>IFERROR(RANK(AQ10,AQ$6:AQ$116,0),"")</f>
        <v>3</v>
      </c>
      <c r="AT10" s="21"/>
      <c r="AU10" s="21"/>
      <c r="AV10" s="21">
        <f>IF(DI10=0,"",DI10)</f>
        <v>41</v>
      </c>
      <c r="AW10" s="21"/>
      <c r="AX10" s="47">
        <f>IFERROR(RANK(AV10,AV$6:AV$116,0),"")</f>
        <v>1</v>
      </c>
      <c r="AY10" s="21"/>
      <c r="AZ10" s="21"/>
      <c r="BA10" s="21">
        <f>IF(DK10=0,"",DK10)</f>
        <v>33</v>
      </c>
      <c r="BB10" s="21"/>
      <c r="BC10" s="47">
        <f>IFERROR(RANK(BA10,BA$6:BA$116,0),"")</f>
        <v>7</v>
      </c>
      <c r="BD10" s="21"/>
      <c r="BE10" s="21"/>
      <c r="BF10" s="21">
        <f>IF(DM10=0,"",DM10)</f>
        <v>39</v>
      </c>
      <c r="BG10" s="21"/>
      <c r="BH10" s="47">
        <f>IFERROR(RANK(BF10,BF$6:BF$116,0),"")</f>
        <v>2</v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>
        <f>IF(DQ10=0,"",DQ10)</f>
        <v>28</v>
      </c>
      <c r="BQ10" s="21"/>
      <c r="BR10" s="47">
        <f>IFERROR(RANK(BP10,BP$6:BP$116,0),"")</f>
        <v>9</v>
      </c>
      <c r="BS10" s="21"/>
      <c r="BT10" s="21"/>
      <c r="BU10" s="21">
        <f>IF(DS10=0,"",DS10)</f>
        <v>38</v>
      </c>
      <c r="BV10" s="21"/>
      <c r="BW10" s="47">
        <f>IFERROR(RANK(BU10,BU$6:BU$116,0),"")</f>
        <v>1</v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34</v>
      </c>
      <c r="CT10" s="22">
        <f ca="1">IFERROR(AVERAGE(OFFSET('Data - For Rank'!B$2,J10,0,COUNTIF($J$7:J$116,J10)))+IFERROR(VLOOKUP((COUNT($H$6:$H$116)/4),$ER$9:$ES$13,2,FALSE()),0),"")</f>
        <v>16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/>
      <c r="CX10" s="22" t="str">
        <f ca="1">IFERROR(AVERAGE(OFFSET('Data - For Rank'!D$2,T10,0,COUNTIF(T$7:T$116,T10)))+IFERROR(VLOOKUP((COUNT(R$6:R$116)/4),$ER$9:$ES$13,2,FALSE()),0),"")</f>
        <v/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36</v>
      </c>
      <c r="DF10" s="22">
        <f ca="1">IFERROR(AVERAGE(OFFSET('Data - For Rank'!$H$2,AN10,0,COUNTIF(AN$7:AN$116,AN10)))+IFERROR(VLOOKUP((COUNT(AL$6:AL$116)/4),$ER$9:$ES$13,2,FALSE()),0),"")</f>
        <v>13.5</v>
      </c>
      <c r="DG10" s="17">
        <v>36</v>
      </c>
      <c r="DH10" s="22">
        <f ca="1">IFERROR(AVERAGE(OFFSET('Data - For Rank'!$I$2,AS10,0,COUNTIF(AS$7:AS$116,AS10)))+IFERROR(VLOOKUP((COUNT(AQ$6:AQ$116)/4),$ER$9:$ES$13,2,FALSE()),0),"")</f>
        <v>15.5</v>
      </c>
      <c r="DI10" s="17">
        <v>41</v>
      </c>
      <c r="DJ10" s="22">
        <f ca="1">IFERROR(AVERAGE(OFFSET('Data - For Rank'!$J$2,AX10,0,COUNTIF(AX$7:AX$116,AX10)))+IFERROR(VLOOKUP((COUNT(AV$6:AV$116)/4),$ER$9:$ES$13,2,FALSE()),0),"")</f>
        <v>18</v>
      </c>
      <c r="DK10" s="17">
        <v>33</v>
      </c>
      <c r="DL10" s="22">
        <f ca="1">IFERROR(AVERAGE(OFFSET('Data - For Rank'!$K$2,BC10,0,COUNTIF(BC$7:BC$116,BC10)))+IFERROR(VLOOKUP((COUNT(BA$6:BA$116)/4),$ER$9:$ES$13,2,FALSE()),0),"")</f>
        <v>9.5</v>
      </c>
      <c r="DM10" s="17">
        <v>39</v>
      </c>
      <c r="DN10" s="22">
        <f ca="1">IFERROR(AVERAGE(OFFSET('Data - For Rank'!$L$2,BH10,0,COUNTIF(BH$7:BH$116,BH10)))+IFERROR(VLOOKUP((COUNT(BF$6:BF$116)/4),$ER$9:$ES$13,2,FALSE()),0),"")</f>
        <v>16.5</v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>
        <v>28</v>
      </c>
      <c r="DR10" s="22">
        <f ca="1">IFERROR(AVERAGE(OFFSET('Data - For Rank'!$N$2,BR10,0,COUNTIF(BR$7:BR$116,BR10)))+IFERROR(VLOOKUP((COUNT(BP$6:BP$116)/4),$ER$9:$ES$13,2,FALSE()),0),"")</f>
        <v>7.5</v>
      </c>
      <c r="DS10" s="17">
        <v>38</v>
      </c>
      <c r="DT10" s="22">
        <f ca="1">IFERROR(AVERAGE(OFFSET('Data - For Rank'!$O$2,BW10,0,COUNTIF(BW$7:BW$116,BW10)))+IFERROR(VLOOKUP((COUNT(BU$6:BU$116)/4),$ER$9:$ES$13,2,FALSE()),0),"")</f>
        <v>16</v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34.909090909090907</v>
      </c>
      <c r="ED10" s="19">
        <f t="shared" ca="1" si="0"/>
        <v>13.681818181818182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B9+0.025</f>
        <v>2.0249999999999999</v>
      </c>
      <c r="D11" s="54" t="s">
        <v>91</v>
      </c>
      <c r="E11" s="25" t="s">
        <v>42</v>
      </c>
      <c r="F11" s="26">
        <f ca="1">IF(COUNT(G9:CN9)&gt;10,SMALL(G9:CN9,COUNT(G9:CN9)-9),MIN(G9:CN9))</f>
        <v>18</v>
      </c>
      <c r="G11" s="26"/>
      <c r="H11" s="26"/>
      <c r="I11" s="50">
        <f>IF(CS11=0,"",CS11)</f>
        <v>-10</v>
      </c>
      <c r="J11" s="50"/>
      <c r="K11" s="51">
        <f>IFERROR(_xlfn.RANK.EQ(I11,I$6:I$116,0),"")</f>
        <v>12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 t="str">
        <f>IF(CW11=0,"",CW11)</f>
        <v/>
      </c>
      <c r="T11" s="50"/>
      <c r="U11" s="51" t="str">
        <f>IFERROR(_xlfn.RANK.EQ(S11,S$6:S$116,0),"")</f>
        <v/>
      </c>
      <c r="V11" s="26"/>
      <c r="W11" s="26"/>
      <c r="X11" s="50">
        <f>IF(CY11=0,"",CY11)</f>
        <v>-15</v>
      </c>
      <c r="Y11" s="50"/>
      <c r="Z11" s="51">
        <f>IFERROR(_xlfn.RANK.EQ(X11,X$6:X$116,0),"")</f>
        <v>6</v>
      </c>
      <c r="AA11" s="26"/>
      <c r="AB11" s="26"/>
      <c r="AC11" s="50">
        <f>IF(DA11=0,"",DA11)</f>
        <v>20</v>
      </c>
      <c r="AD11" s="50"/>
      <c r="AE11" s="51">
        <f>IFERROR(_xlfn.RANK.EQ(AC11,AC$6:AC$116,0),"")</f>
        <v>4</v>
      </c>
      <c r="AF11" s="26"/>
      <c r="AG11" s="26"/>
      <c r="AH11" s="50">
        <f>IF(DC11=0,"",DC11)</f>
        <v>-16</v>
      </c>
      <c r="AI11" s="50"/>
      <c r="AJ11" s="51">
        <f>IFERROR(_xlfn.RANK.EQ(AH11,AH$6:AH$116,0),"")</f>
        <v>13</v>
      </c>
      <c r="AK11" s="26"/>
      <c r="AL11" s="26"/>
      <c r="AM11" s="50">
        <f>IF(DE11=0,"",DE11)</f>
        <v>-4</v>
      </c>
      <c r="AN11" s="50"/>
      <c r="AO11" s="51">
        <f>IFERROR(_xlfn.RANK.EQ(AM11,AM$6:AM$116,0),"")</f>
        <v>9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25</v>
      </c>
      <c r="AX11" s="50"/>
      <c r="AY11" s="51">
        <f>IFERROR(_xlfn.RANK.EQ(AW11,AW$6:AW$116,0),"")</f>
        <v>2</v>
      </c>
      <c r="AZ11" s="26"/>
      <c r="BA11" s="26"/>
      <c r="BB11" s="50">
        <f>IF(DK11=0,"",DK11)</f>
        <v>-8</v>
      </c>
      <c r="BC11" s="50"/>
      <c r="BD11" s="51">
        <f>IFERROR(_xlfn.RANK.EQ(BB11,BB$6:BB$116,0),"")</f>
        <v>8</v>
      </c>
      <c r="BE11" s="26"/>
      <c r="BF11" s="26"/>
      <c r="BG11" s="50">
        <f>IF(DM11=0,"",DM11)</f>
        <v>14</v>
      </c>
      <c r="BH11" s="50"/>
      <c r="BI11" s="51">
        <f>IFERROR(_xlfn.RANK.EQ(BG11,BG$6:BG$116,0),"")</f>
        <v>4</v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>
        <f>IF(DQ11=0,"",DQ11)</f>
        <v>16</v>
      </c>
      <c r="BR11" s="50"/>
      <c r="BS11" s="51">
        <f>IFERROR(_xlfn.RANK.EQ(BQ11,BQ$6:BQ$116,0),"")</f>
        <v>2</v>
      </c>
      <c r="BT11" s="26"/>
      <c r="BU11" s="26"/>
      <c r="BV11" s="50">
        <f>IF(DS11=0,"",DS11)</f>
        <v>24</v>
      </c>
      <c r="BW11" s="50"/>
      <c r="BX11" s="51">
        <f>IFERROR(_xlfn.RANK.EQ(BV11,BV$6:BV$116,0),"")</f>
        <v>1</v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-10</v>
      </c>
      <c r="CT11" s="28">
        <f ca="1">IFERROR(AVERAGE(OFFSET('Data - For Rank'!B$2,K11,0,COUNTIF(K$6:K$116,K11)))+IFERROR(VLOOKUP((COUNT($I$6:$I$116)/4),$ER$9:$ES$13,2,FALSE()),0),"")</f>
        <v>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/>
      <c r="CX11" s="28" t="str">
        <f ca="1">IFERROR(AVERAGE(OFFSET('Data - For Rank'!D$2,U11,0,COUNTIF(U$6:$U119,U11)))+IFERROR(VLOOKUP((COUNT(S$6:S$116)/4),$ER$9:$ES$13,2,FALSE()),0),"")</f>
        <v/>
      </c>
      <c r="CY11" s="27">
        <v>-15</v>
      </c>
      <c r="CZ11" s="28">
        <f ca="1">IFERROR(AVERAGE(OFFSET('Data - For Rank'!E$2,Z11,0,COUNTIF(Z$6:Z$116,Z11)))+IFERROR(VLOOKUP((COUNT(W$6:W$116)/4),$ER$9:$ES$13,2,FALSE()),0),"")</f>
        <v>9</v>
      </c>
      <c r="DA11" s="27">
        <v>20</v>
      </c>
      <c r="DB11" s="28">
        <f ca="1">IFERROR(AVERAGE(OFFSET('Data - For Rank'!F$2,AE11,0,COUNTIF(AE$6:AE$116,AE11)))+IFERROR(VLOOKUP((COUNT(AC$6:AC$116)/4),$ER$9:$ES$13,2,FALSE()),0),"")</f>
        <v>15</v>
      </c>
      <c r="DC11" s="27">
        <v>-16</v>
      </c>
      <c r="DD11" s="28">
        <f ca="1">IFERROR(AVERAGE(OFFSET('Data - For Rank'!G$2,AJ11,0,COUNTIF(AJ$6:AJ$116,AJ11)))+IFERROR(VLOOKUP((COUNT(AH$6:AH$116)/4),$ER$9:$ES$13,2,FALSE()),0),"")</f>
        <v>6</v>
      </c>
      <c r="DE11" s="27">
        <v>-4</v>
      </c>
      <c r="DF11" s="28">
        <f ca="1">IFERROR(AVERAGE(OFFSET('Data - For Rank'!$H$2,AO11,0,COUNTIF(AO$6:AO$116,AO11)))+IFERROR(VLOOKUP((COUNT(AM$6:AM$116)/4),$ER$9:$ES$13,2,FALSE()),0),"")</f>
        <v>8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25</v>
      </c>
      <c r="DJ11" s="28">
        <f ca="1">IFERROR(AVERAGE(OFFSET('Data - For Rank'!$J$2,AY11,0,COUNTIF(AY$6:AY$116,AY11)))+IFERROR(VLOOKUP((COUNT(AW$6:AW$116)/4),$ER$9:$ES$13,2,FALSE()),0),"")</f>
        <v>17</v>
      </c>
      <c r="DK11" s="27">
        <v>-8</v>
      </c>
      <c r="DL11" s="28">
        <f ca="1">IFERROR(AVERAGE(OFFSET('Data - For Rank'!$K$2,BD11,0,COUNTIF(BD$6:BD$116,BD11)))+IFERROR(VLOOKUP((COUNT(BB$6:BB$116)/4),$ER$9:$ES$13,2,FALSE()),0),"")</f>
        <v>8.5</v>
      </c>
      <c r="DM11" s="27">
        <v>14</v>
      </c>
      <c r="DN11" s="28">
        <f ca="1">IFERROR(AVERAGE(OFFSET('Data - For Rank'!$L$2,BI11,0,COUNTIF(BI$6:BI$116,BI11)))+IFERROR(VLOOKUP((COUNT(BG$6:BG$116)/4),$ER$9:$ES$13,2,FALSE()),0),"")</f>
        <v>14.5</v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>
        <v>16</v>
      </c>
      <c r="DR11" s="28">
        <f ca="1">IFERROR(AVERAGE(OFFSET('Data - For Rank'!$N$2,BS11,0,COUNTIF(BS$6:BS$116,BS11)))+IFERROR(VLOOKUP((COUNT(BQ$6:BQ$116)/4),$ER$9:$ES$13,2,FALSE()),0),"")</f>
        <v>15</v>
      </c>
      <c r="DS11" s="27">
        <v>24</v>
      </c>
      <c r="DT11" s="28">
        <f ca="1">IFERROR(AVERAGE(OFFSET('Data - For Rank'!$O$2,BX11,0,COUNTIF(BX$6:BX$116,BX11)))+IFERROR(VLOOKUP((COUNT(BV$6:BV$116)/4),$ER$9:$ES$13,2,FALSE()),0),"")</f>
        <v>16</v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58</v>
      </c>
      <c r="ED11" s="30">
        <f t="shared" ca="1" si="0"/>
        <v>11.818181818181818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233.5</v>
      </c>
      <c r="D12" s="41" t="s">
        <v>97</v>
      </c>
      <c r="E12" s="31" t="s">
        <v>48</v>
      </c>
      <c r="F12" s="16">
        <f ca="1">COUNT(CT12,CV12,CX12,CZ12,DB12,DD12,DF12,DH12,DJ12,DL12,DN12,DP12,DR12,DT12,DV12,DX12,DZ12,EB12)</f>
        <v>10</v>
      </c>
      <c r="G12" s="47">
        <f ca="1">IF(CT12=0,"",CT12)</f>
        <v>26.5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 t="str">
        <f ca="1">IF(CX12=0,"",CX12)</f>
        <v/>
      </c>
      <c r="R12" s="47"/>
      <c r="S12" s="47"/>
      <c r="U12" s="47"/>
      <c r="V12" s="47">
        <f ca="1">IF(CZ12=0,"",CZ12)</f>
        <v>24</v>
      </c>
      <c r="W12" s="47"/>
      <c r="X12" s="47"/>
      <c r="Z12" s="47"/>
      <c r="AA12" s="47">
        <f ca="1">IF(DB12=0,"",DB12)</f>
        <v>23</v>
      </c>
      <c r="AB12" s="47"/>
      <c r="AC12" s="47"/>
      <c r="AE12" s="47"/>
      <c r="AF12" s="47">
        <f ca="1">IF(DD12=0,"",DD12)</f>
        <v>29</v>
      </c>
      <c r="AG12" s="47"/>
      <c r="AH12" s="47"/>
      <c r="AJ12" s="47"/>
      <c r="AK12" s="47" t="str">
        <f ca="1">IF(DF12=0,"",DF12)</f>
        <v/>
      </c>
      <c r="AL12" s="47"/>
      <c r="AM12" s="47"/>
      <c r="AO12" s="47"/>
      <c r="AP12" s="47">
        <f ca="1">IF(DH12=0,"",DH12)</f>
        <v>10.5</v>
      </c>
      <c r="AQ12" s="47"/>
      <c r="AR12" s="47"/>
      <c r="AT12" s="47"/>
      <c r="AU12" s="47">
        <f ca="1">IF(DJ12=0,"",DJ12)</f>
        <v>33</v>
      </c>
      <c r="AV12" s="47"/>
      <c r="AW12" s="47"/>
      <c r="AY12" s="47"/>
      <c r="AZ12" s="47">
        <f ca="1">IF(DL12=0,"",DL12)</f>
        <v>22</v>
      </c>
      <c r="BA12" s="47"/>
      <c r="BB12" s="47"/>
      <c r="BD12" s="47"/>
      <c r="BE12" s="47">
        <f ca="1">IF(DN12=0,"",DN12)</f>
        <v>24.5</v>
      </c>
      <c r="BF12" s="47"/>
      <c r="BG12" s="47"/>
      <c r="BI12" s="47"/>
      <c r="BJ12" s="47">
        <f ca="1">IF(DP12=0,"",DP12)</f>
        <v>20</v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>
        <f ca="1">IF(DT12=0,"",DT12)</f>
        <v>21</v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83</v>
      </c>
      <c r="CT12" s="18">
        <f ca="1">IFERROR(CT13+CT14,"")</f>
        <v>26.5</v>
      </c>
      <c r="CU12" s="17"/>
      <c r="CV12" s="18" t="str">
        <f ca="1">IFERROR(CV13+CV14,"")</f>
        <v/>
      </c>
      <c r="CW12" s="17"/>
      <c r="CX12" s="18" t="str">
        <f ca="1">IFERROR(CX13+CX14,"")</f>
        <v/>
      </c>
      <c r="CY12" s="17">
        <v>84</v>
      </c>
      <c r="CZ12" s="18">
        <f ca="1">IFERROR(CZ13+CZ14,"")</f>
        <v>24</v>
      </c>
      <c r="DA12" s="17">
        <v>87</v>
      </c>
      <c r="DB12" s="18">
        <f ca="1">IFERROR(DB13+DB14,"")</f>
        <v>23</v>
      </c>
      <c r="DC12" s="17">
        <v>83</v>
      </c>
      <c r="DD12" s="18">
        <f ca="1">IFERROR(DD13+DD14,"")</f>
        <v>29</v>
      </c>
      <c r="DE12" s="17"/>
      <c r="DF12" s="18" t="str">
        <f ca="1">IFERROR(DF13+DF14,"")</f>
        <v/>
      </c>
      <c r="DG12" s="17">
        <v>88</v>
      </c>
      <c r="DH12" s="18">
        <f ca="1">IFERROR(DH13+DH14,"")</f>
        <v>10.5</v>
      </c>
      <c r="DI12" s="17">
        <v>81</v>
      </c>
      <c r="DJ12" s="18">
        <f ca="1">IFERROR(DJ13+DJ14,"")</f>
        <v>33</v>
      </c>
      <c r="DK12" s="17">
        <v>84</v>
      </c>
      <c r="DL12" s="18">
        <f ca="1">IFERROR(DL13+DL14,"")</f>
        <v>22</v>
      </c>
      <c r="DM12" s="17">
        <v>85</v>
      </c>
      <c r="DN12" s="18">
        <f ca="1">IFERROR(DN13+DN14,"")</f>
        <v>24.5</v>
      </c>
      <c r="DO12" s="17">
        <v>82</v>
      </c>
      <c r="DP12" s="18">
        <f ca="1">IFERROR(DP13+DP14,"")</f>
        <v>20</v>
      </c>
      <c r="DQ12" s="17"/>
      <c r="DR12" s="18" t="str">
        <f ca="1">IFERROR(DR13+DR14,"")</f>
        <v/>
      </c>
      <c r="DS12" s="17">
        <v>86</v>
      </c>
      <c r="DT12" s="18">
        <f ca="1">IFERROR(DT13+DT14,"")</f>
        <v>21</v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233.5</v>
      </c>
      <c r="ED12" s="19">
        <f t="shared" ca="1" si="0"/>
        <v>23.35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B12+0.14</f>
        <v>3.14</v>
      </c>
      <c r="D13" s="54" t="s">
        <v>99</v>
      </c>
      <c r="E13" s="21" t="s">
        <v>41</v>
      </c>
      <c r="F13" s="21"/>
      <c r="G13" s="21"/>
      <c r="H13" s="21">
        <f>IF(CS13=0,"",CS13)</f>
        <v>33</v>
      </c>
      <c r="I13" s="21"/>
      <c r="J13" s="47">
        <f>IFERROR(RANK(H13,H$6:H$116,0),"")</f>
        <v>4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 t="str">
        <f>IF(CW13=0,"",CW13)</f>
        <v/>
      </c>
      <c r="S13" s="21"/>
      <c r="T13" s="47" t="str">
        <f>IFERROR(RANK(R13,R$6:R$116,0),"")</f>
        <v/>
      </c>
      <c r="U13" s="21"/>
      <c r="V13" s="21"/>
      <c r="W13" s="21">
        <f>IF(CY13=0,"",CY13)</f>
        <v>30</v>
      </c>
      <c r="X13" s="21"/>
      <c r="Y13" s="47">
        <f>IFERROR(RANK(W13,W$6:W$116,0),"")</f>
        <v>4</v>
      </c>
      <c r="Z13" s="21"/>
      <c r="AA13" s="21"/>
      <c r="AB13" s="21">
        <f>IF(DA13=0,"",DA13)</f>
        <v>31</v>
      </c>
      <c r="AC13" s="21"/>
      <c r="AD13" s="47">
        <f>IFERROR(RANK(AB13,AB$6:AB$116,0),"")</f>
        <v>7</v>
      </c>
      <c r="AE13" s="21"/>
      <c r="AF13" s="21"/>
      <c r="AG13" s="21">
        <f>IF(DC13=0,"",DC13)</f>
        <v>36</v>
      </c>
      <c r="AH13" s="21"/>
      <c r="AI13" s="47">
        <f>IFERROR(RANK(AG13,AG$6:AG$116,0),"")</f>
        <v>4</v>
      </c>
      <c r="AJ13" s="21"/>
      <c r="AK13" s="21"/>
      <c r="AL13" s="21" t="str">
        <f>IF(DE13=0,"",DE13)</f>
        <v/>
      </c>
      <c r="AM13" s="21"/>
      <c r="AN13" s="47" t="str">
        <f>IFERROR(RANK(AL13,AL$6:AL$116,0),"")</f>
        <v/>
      </c>
      <c r="AO13" s="21"/>
      <c r="AP13" s="21"/>
      <c r="AQ13" s="21">
        <f>IF(DG13=0,"",DG13)</f>
        <v>29</v>
      </c>
      <c r="AR13" s="21"/>
      <c r="AS13" s="47">
        <f>IFERROR(RANK(AQ13,AQ$6:AQ$116,0),"")</f>
        <v>12</v>
      </c>
      <c r="AT13" s="21"/>
      <c r="AU13" s="21"/>
      <c r="AV13" s="21">
        <f>IF(DI13=0,"",DI13)</f>
        <v>38</v>
      </c>
      <c r="AW13" s="21"/>
      <c r="AX13" s="47">
        <f>IFERROR(RANK(AV13,AV$6:AV$116,0),"")</f>
        <v>3</v>
      </c>
      <c r="AY13" s="21"/>
      <c r="AZ13" s="21"/>
      <c r="BA13" s="21">
        <f>IF(DK13=0,"",DK13)</f>
        <v>30</v>
      </c>
      <c r="BB13" s="21"/>
      <c r="BC13" s="47">
        <f>IFERROR(RANK(BA13,BA$6:BA$116,0),"")</f>
        <v>9</v>
      </c>
      <c r="BD13" s="21"/>
      <c r="BE13" s="21"/>
      <c r="BF13" s="21">
        <f>IF(DM13=0,"",DM13)</f>
        <v>32</v>
      </c>
      <c r="BG13" s="21"/>
      <c r="BH13" s="47">
        <f>IFERROR(RANK(BF13,BF$6:BF$116,0),"")</f>
        <v>11</v>
      </c>
      <c r="BI13" s="21"/>
      <c r="BJ13" s="21"/>
      <c r="BK13" s="21">
        <f>IF(DO13=0,"",DO13)</f>
        <v>37</v>
      </c>
      <c r="BL13" s="21"/>
      <c r="BM13" s="47">
        <f>IFERROR(RANK(BK13,BK$6:BK$116,0),"")</f>
        <v>2</v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>
        <f>IF(DS13=0,"",DS13)</f>
        <v>32</v>
      </c>
      <c r="BV13" s="21"/>
      <c r="BW13" s="47">
        <f>IFERROR(RANK(BU13,BU$6:BU$116,0),"")</f>
        <v>6</v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33</v>
      </c>
      <c r="CT13" s="22">
        <f ca="1">IFERROR(AVERAGE(OFFSET('Data - For Rank'!B$2,J13,0,COUNTIF($J$7:J$116,J13)))+IFERROR(VLOOKUP((COUNT($H$6:$H$116)/4),$ER$9:$ES$13,2,FALSE()),0),"")</f>
        <v>14.5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/>
      <c r="CX13" s="22" t="str">
        <f ca="1">IFERROR(AVERAGE(OFFSET('Data - For Rank'!D$2,T13,0,COUNTIF(T$7:T$116,T13)))+IFERROR(VLOOKUP((COUNT(R$6:R$116)/4),$ER$9:$ES$13,2,FALSE()),0),"")</f>
        <v/>
      </c>
      <c r="CY13" s="17">
        <v>30</v>
      </c>
      <c r="CZ13" s="22">
        <f ca="1">IFERROR(AVERAGE(OFFSET('Data - For Rank'!E$2,Y13,0,COUNTIF(Y$7:Y$116,Y13)))+IFERROR(VLOOKUP((COUNT(W$6:W$116)/4),$ER$9:$ES$13,2,FALSE()),0),"")</f>
        <v>11</v>
      </c>
      <c r="DA13" s="17">
        <v>31</v>
      </c>
      <c r="DB13" s="22">
        <f ca="1">IFERROR(AVERAGE(OFFSET('Data - For Rank'!F$2,AD13,0,COUNTIF(AD$7:AD$116,AD13)))+IFERROR(VLOOKUP((COUNT(AB$6:AB$116)/4),$ER$9:$ES$13,2,FALSE()),0),"")</f>
        <v>11</v>
      </c>
      <c r="DC13" s="17">
        <v>36</v>
      </c>
      <c r="DD13" s="22">
        <f ca="1">IFERROR(AVERAGE(OFFSET('Data - For Rank'!G$2,AI13,0,COUNTIF(AI$7:AI$116,AI13)))+IFERROR(VLOOKUP((COUNT(AG$6:AG$116)/4),$ER$9:$ES$13,2,FALSE()),0),"")</f>
        <v>15</v>
      </c>
      <c r="DE13" s="17"/>
      <c r="DF13" s="22" t="str">
        <f ca="1">IFERROR(AVERAGE(OFFSET('Data - For Rank'!$H$2,AN13,0,COUNTIF(AN$7:AN$116,AN13)))+IFERROR(VLOOKUP((COUNT(AL$6:AL$116)/4),$ER$9:$ES$13,2,FALSE()),0),"")</f>
        <v/>
      </c>
      <c r="DG13" s="17">
        <v>29</v>
      </c>
      <c r="DH13" s="22">
        <f ca="1">IFERROR(AVERAGE(OFFSET('Data - For Rank'!$I$2,AS13,0,COUNTIF(AS$7:AS$116,AS13)))+IFERROR(VLOOKUP((COUNT(AQ$6:AQ$116)/4),$ER$9:$ES$13,2,FALSE()),0),"")</f>
        <v>6.5</v>
      </c>
      <c r="DI13" s="17">
        <v>38</v>
      </c>
      <c r="DJ13" s="22">
        <f ca="1">IFERROR(AVERAGE(OFFSET('Data - For Rank'!$J$2,AX13,0,COUNTIF(AX$7:AX$116,AX13)))+IFERROR(VLOOKUP((COUNT(AV$6:AV$116)/4),$ER$9:$ES$13,2,FALSE()),0),"")</f>
        <v>15</v>
      </c>
      <c r="DK13" s="17">
        <v>30</v>
      </c>
      <c r="DL13" s="22">
        <f ca="1">IFERROR(AVERAGE(OFFSET('Data - For Rank'!$K$2,BC13,0,COUNTIF(BC$7:BC$116,BC13)))+IFERROR(VLOOKUP((COUNT(BA$6:BA$116)/4),$ER$9:$ES$13,2,FALSE()),0),"")</f>
        <v>8</v>
      </c>
      <c r="DM13" s="17">
        <v>32</v>
      </c>
      <c r="DN13" s="22">
        <f ca="1">IFERROR(AVERAGE(OFFSET('Data - For Rank'!$L$2,BH13,0,COUNTIF(BH$7:BH$116,BH13)))+IFERROR(VLOOKUP((COUNT(BF$6:BF$116)/4),$ER$9:$ES$13,2,FALSE()),0),"")</f>
        <v>8</v>
      </c>
      <c r="DO13" s="17">
        <v>37</v>
      </c>
      <c r="DP13" s="22">
        <f ca="1">IFERROR(AVERAGE(OFFSET('Data - For Rank'!$M$2,BM13,0,COUNTIF(BM$7:BM$116,BM13)))+IFERROR(VLOOKUP((COUNT(BK$6:BK$116)/4),$ER$9:$ES$13,2,FALSE()),0),"")</f>
        <v>17</v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>
        <v>32</v>
      </c>
      <c r="DT13" s="22">
        <f ca="1">IFERROR(AVERAGE(OFFSET('Data - For Rank'!$O$2,BW13,0,COUNTIF(BW$7:BW$116,BW13)))+IFERROR(VLOOKUP((COUNT(BU$6:BU$116)/4),$ER$9:$ES$13,2,FALSE()),0),"")</f>
        <v>10</v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32.799999999999997</v>
      </c>
      <c r="ED13" s="19">
        <f t="shared" ca="1" si="0"/>
        <v>11.6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B12+0.024</f>
        <v>3.024</v>
      </c>
      <c r="D14" s="54" t="s">
        <v>100</v>
      </c>
      <c r="E14" s="25" t="s">
        <v>42</v>
      </c>
      <c r="F14" s="26">
        <f ca="1">IF(COUNT(G12:CN12)&gt;10,SMALL(G12:CN12,COUNT(G12:CN12)-9),MIN(G12:CN12))</f>
        <v>10.5</v>
      </c>
      <c r="G14" s="26"/>
      <c r="H14" s="26"/>
      <c r="I14" s="50">
        <f>IF(CS14=0,"",CS14)</f>
        <v>5</v>
      </c>
      <c r="J14" s="50"/>
      <c r="K14" s="51">
        <f>IFERROR(_xlfn.RANK.EQ(I14,I$6:I$116,0),"")</f>
        <v>7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 t="str">
        <f>IF(CW14=0,"",CW14)</f>
        <v/>
      </c>
      <c r="T14" s="50"/>
      <c r="U14" s="51" t="str">
        <f>IFERROR(_xlfn.RANK.EQ(S14,S$6:S$116,0),"")</f>
        <v/>
      </c>
      <c r="V14" s="26"/>
      <c r="W14" s="26"/>
      <c r="X14" s="50">
        <f>IF(CY14=0,"",CY14)</f>
        <v>41</v>
      </c>
      <c r="Y14" s="50"/>
      <c r="Z14" s="51">
        <f>IFERROR(_xlfn.RANK.EQ(X14,X$6:X$116,0),"")</f>
        <v>2</v>
      </c>
      <c r="AA14" s="26"/>
      <c r="AB14" s="26"/>
      <c r="AC14" s="50">
        <f>IF(DA14=0,"",DA14)</f>
        <v>8</v>
      </c>
      <c r="AD14" s="50"/>
      <c r="AE14" s="51">
        <f>IFERROR(_xlfn.RANK.EQ(AC14,AC$6:AC$116,0),"")</f>
        <v>6</v>
      </c>
      <c r="AF14" s="26"/>
      <c r="AG14" s="26"/>
      <c r="AH14" s="50">
        <f>IF(DC14=0,"",DC14)</f>
        <v>12</v>
      </c>
      <c r="AI14" s="50"/>
      <c r="AJ14" s="51">
        <f>IFERROR(_xlfn.RANK.EQ(AH14,AH$6:AH$116,0),"")</f>
        <v>5</v>
      </c>
      <c r="AK14" s="26"/>
      <c r="AL14" s="26"/>
      <c r="AM14" s="50" t="str">
        <f>IF(DE14=0,"",DE14)</f>
        <v/>
      </c>
      <c r="AN14" s="50"/>
      <c r="AO14" s="51" t="str">
        <f>IFERROR(_xlfn.RANK.EQ(AM14,AM$6:AM$116,0),"")</f>
        <v/>
      </c>
      <c r="AP14" s="26"/>
      <c r="AQ14" s="26"/>
      <c r="AR14" s="50">
        <f>IF(DG14=0,"",DG14)</f>
        <v>-32</v>
      </c>
      <c r="AS14" s="50"/>
      <c r="AT14" s="51">
        <f>IFERROR(_xlfn.RANK.EQ(AR14,AR$6:AR$116,0),"")</f>
        <v>15</v>
      </c>
      <c r="AU14" s="26"/>
      <c r="AV14" s="26"/>
      <c r="AW14" s="50">
        <f>IF(DI14=0,"",DI14)</f>
        <v>29</v>
      </c>
      <c r="AX14" s="50"/>
      <c r="AY14" s="51">
        <f>IFERROR(_xlfn.RANK.EQ(AW14,AW$6:AW$116,0),"")</f>
        <v>1</v>
      </c>
      <c r="AZ14" s="26"/>
      <c r="BA14" s="26"/>
      <c r="BB14" s="50">
        <f>IF(DK14=0,"",DK14)</f>
        <v>16</v>
      </c>
      <c r="BC14" s="50"/>
      <c r="BD14" s="51">
        <f>IFERROR(_xlfn.RANK.EQ(BB14,BB$6:BB$116,0),"")</f>
        <v>2</v>
      </c>
      <c r="BE14" s="26"/>
      <c r="BF14" s="26"/>
      <c r="BG14" s="50">
        <f>IF(DM14=0,"",DM14)</f>
        <v>18</v>
      </c>
      <c r="BH14" s="50"/>
      <c r="BI14" s="51">
        <f>IFERROR(_xlfn.RANK.EQ(BG14,BG$6:BG$116,0),"")</f>
        <v>2</v>
      </c>
      <c r="BJ14" s="26"/>
      <c r="BK14" s="26"/>
      <c r="BL14" s="50">
        <f>IF(DO14=0,"",DO14)</f>
        <v>-57</v>
      </c>
      <c r="BM14" s="50"/>
      <c r="BN14" s="51">
        <f>IFERROR(_xlfn.RANK.EQ(BL14,BL$6:BL$116,0),"")</f>
        <v>16</v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>
        <f>IF(DS14=0,"",DS14)</f>
        <v>1</v>
      </c>
      <c r="BW14" s="50"/>
      <c r="BX14" s="51">
        <f>IFERROR(_xlfn.RANK.EQ(BV14,BV$6:BV$116,0),"")</f>
        <v>6</v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5</v>
      </c>
      <c r="CT14" s="28">
        <f ca="1">IFERROR(AVERAGE(OFFSET('Data - For Rank'!B$2,K14,0,COUNTIF(K$6:K$116,K14)))+IFERROR(VLOOKUP((COUNT($I$6:$I$116)/4),$ER$9:$ES$13,2,FALSE()),0),"")</f>
        <v>12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/>
      <c r="CX14" s="28" t="str">
        <f ca="1">IFERROR(AVERAGE(OFFSET('Data - For Rank'!D$2,U14,0,COUNTIF(U$6:$U122,U14)))+IFERROR(VLOOKUP((COUNT(S$6:S$116)/4),$ER$9:$ES$13,2,FALSE()),0),"")</f>
        <v/>
      </c>
      <c r="CY14" s="27">
        <v>41</v>
      </c>
      <c r="CZ14" s="28">
        <f ca="1">IFERROR(AVERAGE(OFFSET('Data - For Rank'!E$2,Z14,0,COUNTIF(Z$6:Z$116,Z14)))+IFERROR(VLOOKUP((COUNT(W$6:W$116)/4),$ER$9:$ES$13,2,FALSE()),0),"")</f>
        <v>13</v>
      </c>
      <c r="DA14" s="27">
        <v>8</v>
      </c>
      <c r="DB14" s="28">
        <f ca="1">IFERROR(AVERAGE(OFFSET('Data - For Rank'!F$2,AE14,0,COUNTIF(AE$6:AE$116,AE14)))+IFERROR(VLOOKUP((COUNT(AC$6:AC$116)/4),$ER$9:$ES$13,2,FALSE()),0),"")</f>
        <v>12</v>
      </c>
      <c r="DC14" s="27">
        <v>12</v>
      </c>
      <c r="DD14" s="28">
        <f ca="1">IFERROR(AVERAGE(OFFSET('Data - For Rank'!G$2,AJ14,0,COUNTIF(AJ$6:AJ$116,AJ14)))+IFERROR(VLOOKUP((COUNT(AH$6:AH$116)/4),$ER$9:$ES$13,2,FALSE()),0),"")</f>
        <v>14</v>
      </c>
      <c r="DE14" s="27"/>
      <c r="DF14" s="28" t="str">
        <f ca="1">IFERROR(AVERAGE(OFFSET('Data - For Rank'!$H$2,AO14,0,COUNTIF(AO$6:AO$116,AO14)))+IFERROR(VLOOKUP((COUNT(AM$6:AM$116)/4),$ER$9:$ES$13,2,FALSE()),0),"")</f>
        <v/>
      </c>
      <c r="DG14" s="27">
        <v>-32</v>
      </c>
      <c r="DH14" s="28">
        <f ca="1">IFERROR(AVERAGE(OFFSET('Data - For Rank'!$I$2,AT14,0,COUNTIF(AT$6:AT$116,AT14)))+IFERROR(VLOOKUP((COUNT(AR$6:AR$116)/4),$ER$9:$ES$13,2,FALSE()),0),"")</f>
        <v>4</v>
      </c>
      <c r="DI14" s="27">
        <v>29</v>
      </c>
      <c r="DJ14" s="28">
        <f ca="1">IFERROR(AVERAGE(OFFSET('Data - For Rank'!$J$2,AY14,0,COUNTIF(AY$6:AY$116,AY14)))+IFERROR(VLOOKUP((COUNT(AW$6:AW$116)/4),$ER$9:$ES$13,2,FALSE()),0),"")</f>
        <v>18</v>
      </c>
      <c r="DK14" s="27">
        <v>16</v>
      </c>
      <c r="DL14" s="28">
        <f ca="1">IFERROR(AVERAGE(OFFSET('Data - For Rank'!$K$2,BD14,0,COUNTIF(BD$6:BD$116,BD14)))+IFERROR(VLOOKUP((COUNT(BB$6:BB$116)/4),$ER$9:$ES$13,2,FALSE()),0),"")</f>
        <v>14</v>
      </c>
      <c r="DM14" s="27">
        <v>18</v>
      </c>
      <c r="DN14" s="28">
        <f ca="1">IFERROR(AVERAGE(OFFSET('Data - For Rank'!$L$2,BI14,0,COUNTIF(BI$6:BI$116,BI14)))+IFERROR(VLOOKUP((COUNT(BG$6:BG$116)/4),$ER$9:$ES$13,2,FALSE()),0),"")</f>
        <v>16.5</v>
      </c>
      <c r="DO14" s="27">
        <v>-57</v>
      </c>
      <c r="DP14" s="28">
        <f ca="1">IFERROR(AVERAGE(OFFSET('Data - For Rank'!$M$2,BN14,0,COUNTIF(BN$6:BN$116,BN14)))+IFERROR(VLOOKUP((COUNT(BL$6:BL$116)/4),$ER$9:$ES$13,2,FALSE()),0),"")</f>
        <v>3</v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>
        <v>1</v>
      </c>
      <c r="DT14" s="28">
        <f ca="1">IFERROR(AVERAGE(OFFSET('Data - For Rank'!$O$2,BX14,0,COUNTIF(BX$6:BX$116,BX14)))+IFERROR(VLOOKUP((COUNT(BV$6:BV$116)/4),$ER$9:$ES$13,2,FALSE()),0),"")</f>
        <v>11</v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41</v>
      </c>
      <c r="ED14" s="30">
        <f t="shared" ca="1" si="0"/>
        <v>11.75</v>
      </c>
      <c r="EM14" s="53"/>
    </row>
    <row r="15" spans="2:151" x14ac:dyDescent="0.2">
      <c r="B15" s="7">
        <f ca="1">_xlfn.RANK.EQ(C15,$C$6:$C$63,)</f>
        <v>4</v>
      </c>
      <c r="C15" s="41">
        <f ca="1">EC15</f>
        <v>223.5</v>
      </c>
      <c r="D15" s="41" t="s">
        <v>93</v>
      </c>
      <c r="E15" s="15" t="s">
        <v>47</v>
      </c>
      <c r="F15" s="16">
        <f ca="1">COUNT(CT15,CV15,CX15,CZ15,DB15,DD15,DF15,DH15,DJ15,DL15,DN15,DP15,DR15,DT15,DV15,DX15,DZ15,EB15)</f>
        <v>9</v>
      </c>
      <c r="G15" s="47">
        <f ca="1">IF(CT15=0,"",CT15)</f>
        <v>22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 t="str">
        <f ca="1">IF(CX15=0,"",CX15)</f>
        <v/>
      </c>
      <c r="R15" s="47"/>
      <c r="S15" s="47"/>
      <c r="U15" s="47"/>
      <c r="V15" s="47" t="str">
        <f ca="1">IF(CZ15=0,"",CZ15)</f>
        <v/>
      </c>
      <c r="W15" s="47"/>
      <c r="X15" s="47"/>
      <c r="Z15" s="47"/>
      <c r="AA15" s="47">
        <f ca="1">IF(DB15=0,"",DB15)</f>
        <v>34</v>
      </c>
      <c r="AB15" s="47"/>
      <c r="AC15" s="47"/>
      <c r="AE15" s="47"/>
      <c r="AF15" s="47">
        <f ca="1">IF(DD15=0,"",DD15)</f>
        <v>32.5</v>
      </c>
      <c r="AG15" s="47"/>
      <c r="AH15" s="47"/>
      <c r="AJ15" s="47"/>
      <c r="AK15" s="47">
        <f ca="1">IF(DF15=0,"",DF15)</f>
        <v>22</v>
      </c>
      <c r="AL15" s="47"/>
      <c r="AM15" s="47"/>
      <c r="AO15" s="47"/>
      <c r="AP15" s="47">
        <f ca="1">IF(DH15=0,"",DH15)</f>
        <v>21.5</v>
      </c>
      <c r="AQ15" s="47"/>
      <c r="AR15" s="47"/>
      <c r="AT15" s="47"/>
      <c r="AU15" s="47">
        <f ca="1">IF(DJ15=0,"",DJ15)</f>
        <v>23.5</v>
      </c>
      <c r="AV15" s="47"/>
      <c r="AW15" s="47"/>
      <c r="AY15" s="47"/>
      <c r="AZ15" s="47">
        <f ca="1">IF(DL15=0,"",DL15)</f>
        <v>18</v>
      </c>
      <c r="BA15" s="47"/>
      <c r="BB15" s="47"/>
      <c r="BD15" s="47"/>
      <c r="BE15" s="47" t="str">
        <f ca="1">IF(DN15=0,"",DN15)</f>
        <v/>
      </c>
      <c r="BF15" s="47"/>
      <c r="BG15" s="47"/>
      <c r="BI15" s="47"/>
      <c r="BJ15" s="47">
        <f ca="1">IF(DP15=0,"",DP15)</f>
        <v>36</v>
      </c>
      <c r="BK15" s="47"/>
      <c r="BL15" s="47"/>
      <c r="BN15" s="47"/>
      <c r="BO15" s="47">
        <f ca="1">IF(DR15=0,"",DR15)</f>
        <v>14</v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85</v>
      </c>
      <c r="CT15" s="18">
        <f ca="1">IFERROR(CT16+CT17,"")</f>
        <v>22</v>
      </c>
      <c r="CU15" s="17"/>
      <c r="CV15" s="18" t="str">
        <f ca="1">IFERROR(CV16+CV17,"")</f>
        <v/>
      </c>
      <c r="CW15" s="17"/>
      <c r="CX15" s="18" t="str">
        <f ca="1">IFERROR(CX16+CX17,"")</f>
        <v/>
      </c>
      <c r="CY15" s="17"/>
      <c r="CZ15" s="18" t="str">
        <f ca="1">IFERROR(CZ16+CZ17,"")</f>
        <v/>
      </c>
      <c r="DA15" s="17">
        <v>80</v>
      </c>
      <c r="DB15" s="18">
        <f ca="1">IFERROR(DB16+DB17,"")</f>
        <v>34</v>
      </c>
      <c r="DC15" s="17">
        <v>80</v>
      </c>
      <c r="DD15" s="18">
        <f ca="1">IFERROR(DD16+DD17,"")</f>
        <v>32.5</v>
      </c>
      <c r="DE15" s="17">
        <v>74</v>
      </c>
      <c r="DF15" s="18">
        <f ca="1">IFERROR(DF16+DF17,"")</f>
        <v>22</v>
      </c>
      <c r="DG15" s="17">
        <v>81</v>
      </c>
      <c r="DH15" s="18">
        <f ca="1">IFERROR(DH16+DH17,"")</f>
        <v>21.5</v>
      </c>
      <c r="DI15" s="17">
        <v>83</v>
      </c>
      <c r="DJ15" s="18">
        <f ca="1">IFERROR(DJ16+DJ17,"")</f>
        <v>23.5</v>
      </c>
      <c r="DK15" s="17">
        <v>77</v>
      </c>
      <c r="DL15" s="18">
        <f ca="1">IFERROR(DL16+DL17,"")</f>
        <v>18</v>
      </c>
      <c r="DM15" s="17"/>
      <c r="DN15" s="18" t="str">
        <f ca="1">IFERROR(DN16+DN17,"")</f>
        <v/>
      </c>
      <c r="DO15" s="17">
        <v>76</v>
      </c>
      <c r="DP15" s="18">
        <f ca="1">IFERROR(DP16+DP17,"")</f>
        <v>36</v>
      </c>
      <c r="DQ15" s="17">
        <v>80</v>
      </c>
      <c r="DR15" s="18">
        <f ca="1">IFERROR(DR16+DR17,"")</f>
        <v>14</v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223.5</v>
      </c>
      <c r="ED15" s="19">
        <f t="shared" ca="1" si="0"/>
        <v>24.833333333333332</v>
      </c>
    </row>
    <row r="16" spans="2:151" s="1" customFormat="1" ht="15" outlineLevel="1" x14ac:dyDescent="0.2">
      <c r="B16" s="20">
        <f ca="1">B15+0.111</f>
        <v>4.1109999999999998</v>
      </c>
      <c r="D16" s="54" t="s">
        <v>95</v>
      </c>
      <c r="E16" s="21" t="s">
        <v>41</v>
      </c>
      <c r="F16" s="21"/>
      <c r="G16" s="21"/>
      <c r="H16" s="21">
        <f>IF(CS16=0,"",CS16)</f>
        <v>32</v>
      </c>
      <c r="I16" s="21"/>
      <c r="J16" s="47">
        <f>IFERROR(RANK(H16,H$6:H$116,0),"")</f>
        <v>6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 t="str">
        <f>IF(CW16=0,"",CW16)</f>
        <v/>
      </c>
      <c r="S16" s="21"/>
      <c r="T16" s="47" t="str">
        <f>IFERROR(RANK(R16,R$6:R$116,0),"")</f>
        <v/>
      </c>
      <c r="U16" s="21"/>
      <c r="V16" s="21"/>
      <c r="W16" s="21" t="str">
        <f>IF(CY16=0,"",CY16)</f>
        <v/>
      </c>
      <c r="X16" s="21"/>
      <c r="Y16" s="47" t="str">
        <f>IFERROR(RANK(W16,W$6:W$116,0),"")</f>
        <v/>
      </c>
      <c r="Z16" s="21"/>
      <c r="AA16" s="21"/>
      <c r="AB16" s="21">
        <f>IF(DA16=0,"",DA16)</f>
        <v>37</v>
      </c>
      <c r="AC16" s="21"/>
      <c r="AD16" s="47">
        <f>IFERROR(RANK(AB16,AB$6:AB$116,0),"")</f>
        <v>1</v>
      </c>
      <c r="AE16" s="21"/>
      <c r="AF16" s="21"/>
      <c r="AG16" s="21">
        <f>IF(DC16=0,"",DC16)</f>
        <v>37</v>
      </c>
      <c r="AH16" s="21"/>
      <c r="AI16" s="47">
        <f>IFERROR(RANK(AG16,AG$6:AG$116,0),"")</f>
        <v>2</v>
      </c>
      <c r="AJ16" s="21"/>
      <c r="AK16" s="21"/>
      <c r="AL16" s="21">
        <f>IF(DE16=0,"",DE16)</f>
        <v>39</v>
      </c>
      <c r="AM16" s="21"/>
      <c r="AN16" s="47">
        <f>IFERROR(RANK(AL16,AL$6:AL$116,0),"")</f>
        <v>1</v>
      </c>
      <c r="AO16" s="21"/>
      <c r="AP16" s="21"/>
      <c r="AQ16" s="21">
        <f>IF(DG16=0,"",DG16)</f>
        <v>34</v>
      </c>
      <c r="AR16" s="21"/>
      <c r="AS16" s="47">
        <f>IFERROR(RANK(AQ16,AQ$6:AQ$116,0),"")</f>
        <v>6</v>
      </c>
      <c r="AT16" s="21"/>
      <c r="AU16" s="21"/>
      <c r="AV16" s="21">
        <f>IF(DI16=0,"",DI16)</f>
        <v>33</v>
      </c>
      <c r="AW16" s="21"/>
      <c r="AX16" s="47">
        <f>IFERROR(RANK(AV16,AV$6:AV$116,0),"")</f>
        <v>10</v>
      </c>
      <c r="AY16" s="21"/>
      <c r="AZ16" s="21"/>
      <c r="BA16" s="21">
        <f>IF(DK16=0,"",DK16)</f>
        <v>33</v>
      </c>
      <c r="BB16" s="21"/>
      <c r="BC16" s="47">
        <f>IFERROR(RANK(BA16,BA$6:BA$116,0),"")</f>
        <v>7</v>
      </c>
      <c r="BD16" s="21"/>
      <c r="BE16" s="21"/>
      <c r="BF16" s="21" t="str">
        <f>IF(DM16=0,"",DM16)</f>
        <v/>
      </c>
      <c r="BG16" s="21"/>
      <c r="BH16" s="47" t="str">
        <f>IFERROR(RANK(BF16,BF$6:BF$116,0),"")</f>
        <v/>
      </c>
      <c r="BI16" s="21"/>
      <c r="BJ16" s="21"/>
      <c r="BK16" s="21">
        <f>IF(DO16=0,"",DO16)</f>
        <v>38</v>
      </c>
      <c r="BL16" s="21"/>
      <c r="BM16" s="47">
        <f>IFERROR(RANK(BK16,BK$6:BK$116,0),"")</f>
        <v>1</v>
      </c>
      <c r="BN16" s="21"/>
      <c r="BO16" s="21"/>
      <c r="BP16" s="21">
        <f>IF(DQ16=0,"",DQ16)</f>
        <v>29</v>
      </c>
      <c r="BQ16" s="21"/>
      <c r="BR16" s="47">
        <f>IFERROR(RANK(BP16,BP$6:BP$116,0),"")</f>
        <v>8</v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32</v>
      </c>
      <c r="CT16" s="22">
        <f ca="1">IFERROR(AVERAGE(OFFSET('Data - For Rank'!B$2,J16,0,COUNTIF($J$7:J$116,J16)))+IFERROR(VLOOKUP((COUNT($H$6:$H$116)/4),$ER$9:$ES$13,2,FALSE()),0),"")</f>
        <v>12.5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/>
      <c r="CX16" s="22" t="str">
        <f ca="1">IFERROR(AVERAGE(OFFSET('Data - For Rank'!D$2,T16,0,COUNTIF(T$7:T$116,T16)))+IFERROR(VLOOKUP((COUNT(R$6:R$116)/4),$ER$9:$ES$13,2,FALSE()),0),"")</f>
        <v/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37</v>
      </c>
      <c r="DB16" s="22">
        <f ca="1">IFERROR(AVERAGE(OFFSET('Data - For Rank'!F$2,AD16,0,COUNTIF(AD$7:AD$116,AD16)))+IFERROR(VLOOKUP((COUNT(AB$6:AB$116)/4),$ER$9:$ES$13,2,FALSE()),0),"")</f>
        <v>18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39</v>
      </c>
      <c r="DF16" s="22">
        <f ca="1">IFERROR(AVERAGE(OFFSET('Data - For Rank'!$H$2,AN16,0,COUNTIF(AN$7:AN$116,AN16)))+IFERROR(VLOOKUP((COUNT(AL$6:AL$116)/4),$ER$9:$ES$13,2,FALSE()),0),"")</f>
        <v>15.5</v>
      </c>
      <c r="DG16" s="17">
        <v>34</v>
      </c>
      <c r="DH16" s="22">
        <f ca="1">IFERROR(AVERAGE(OFFSET('Data - For Rank'!$I$2,AS16,0,COUNTIF(AS$7:AS$116,AS16)))+IFERROR(VLOOKUP((COUNT(AQ$6:AQ$116)/4),$ER$9:$ES$13,2,FALSE()),0),"")</f>
        <v>13</v>
      </c>
      <c r="DI16" s="17">
        <v>33</v>
      </c>
      <c r="DJ16" s="22">
        <f ca="1">IFERROR(AVERAGE(OFFSET('Data - For Rank'!$J$2,AX16,0,COUNTIF(AX$7:AX$116,AX16)))+IFERROR(VLOOKUP((COUNT(AV$6:AV$116)/4),$ER$9:$ES$13,2,FALSE()),0),"")</f>
        <v>8.5</v>
      </c>
      <c r="DK16" s="17">
        <v>33</v>
      </c>
      <c r="DL16" s="22">
        <f ca="1">IFERROR(AVERAGE(OFFSET('Data - For Rank'!$K$2,BC16,0,COUNTIF(BC$7:BC$116,BC16)))+IFERROR(VLOOKUP((COUNT(BA$6:BA$116)/4),$ER$9:$ES$13,2,FALSE()),0),"")</f>
        <v>9.5</v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>
        <v>38</v>
      </c>
      <c r="DP16" s="22">
        <f ca="1">IFERROR(AVERAGE(OFFSET('Data - For Rank'!$M$2,BM16,0,COUNTIF(BM$7:BM$116,BM16)))+IFERROR(VLOOKUP((COUNT(BK$6:BK$116)/4),$ER$9:$ES$13,2,FALSE()),0),"")</f>
        <v>18</v>
      </c>
      <c r="DQ16" s="17">
        <v>29</v>
      </c>
      <c r="DR16" s="22">
        <f ca="1">IFERROR(AVERAGE(OFFSET('Data - For Rank'!$N$2,BR16,0,COUNTIF(BR$7:BR$116,BR16)))+IFERROR(VLOOKUP((COUNT(BP$6:BP$116)/4),$ER$9:$ES$13,2,FALSE()),0),"")</f>
        <v>9</v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34.666666666666664</v>
      </c>
      <c r="ED16" s="19">
        <f t="shared" ca="1" si="0"/>
        <v>13.388888888888889</v>
      </c>
      <c r="EM16" s="53" t="s">
        <v>87</v>
      </c>
    </row>
    <row r="17" spans="2:151" s="1" customFormat="1" outlineLevel="1" x14ac:dyDescent="0.2">
      <c r="B17" s="24">
        <f ca="1">B15+0.0211</f>
        <v>4.0210999999999997</v>
      </c>
      <c r="D17" s="54" t="s">
        <v>96</v>
      </c>
      <c r="E17" s="25" t="s">
        <v>42</v>
      </c>
      <c r="F17" s="26">
        <f ca="1">IF(COUNT(G15:CN15)&gt;10,SMALL(G15:CN15,COUNT(G15:CN15)-9),MIN(G15:CN15))</f>
        <v>14</v>
      </c>
      <c r="G17" s="26"/>
      <c r="H17" s="26"/>
      <c r="I17" s="50">
        <f>IF(CS17=0,"",CS17)</f>
        <v>-8</v>
      </c>
      <c r="J17" s="50"/>
      <c r="K17" s="51">
        <f>IFERROR(_xlfn.RANK.EQ(I17,I$6:I$116,0),"")</f>
        <v>9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 t="str">
        <f>IF(CW17=0,"",CW17)</f>
        <v/>
      </c>
      <c r="T17" s="50"/>
      <c r="U17" s="51" t="str">
        <f>IFERROR(_xlfn.RANK.EQ(S17,S$6:S$116,0),"")</f>
        <v/>
      </c>
      <c r="V17" s="26"/>
      <c r="W17" s="26"/>
      <c r="X17" s="50" t="str">
        <f>IF(CY17=0,"",CY17)</f>
        <v/>
      </c>
      <c r="Y17" s="50"/>
      <c r="Z17" s="51" t="str">
        <f>IFERROR(_xlfn.RANK.EQ(X17,X$6:X$116,0),"")</f>
        <v/>
      </c>
      <c r="AA17" s="26"/>
      <c r="AB17" s="26"/>
      <c r="AC17" s="50">
        <f>IF(DA17=0,"",DA17)</f>
        <v>28</v>
      </c>
      <c r="AD17" s="50"/>
      <c r="AE17" s="51">
        <f>IFERROR(_xlfn.RANK.EQ(AC17,AC$6:AC$116,0),"")</f>
        <v>3</v>
      </c>
      <c r="AF17" s="26"/>
      <c r="AG17" s="26"/>
      <c r="AH17" s="50">
        <f>IF(DC17=0,"",DC17)</f>
        <v>17</v>
      </c>
      <c r="AI17" s="50"/>
      <c r="AJ17" s="51">
        <f>IFERROR(_xlfn.RANK.EQ(AH17,AH$6:AH$116,0),"")</f>
        <v>3</v>
      </c>
      <c r="AK17" s="26"/>
      <c r="AL17" s="26"/>
      <c r="AM17" s="50">
        <f>IF(DE17=0,"",DE17)</f>
        <v>-8</v>
      </c>
      <c r="AN17" s="50"/>
      <c r="AO17" s="51">
        <f>IFERROR(_xlfn.RANK.EQ(AM17,AM$6:AM$116,0),"")</f>
        <v>10</v>
      </c>
      <c r="AP17" s="26"/>
      <c r="AQ17" s="26"/>
      <c r="AR17" s="50">
        <f>IF(DG17=0,"",DG17)</f>
        <v>-2</v>
      </c>
      <c r="AS17" s="50"/>
      <c r="AT17" s="51">
        <f>IFERROR(_xlfn.RANK.EQ(AR17,AR$6:AR$116,0),"")</f>
        <v>10</v>
      </c>
      <c r="AU17" s="26"/>
      <c r="AV17" s="26"/>
      <c r="AW17" s="50">
        <f>IF(DI17=0,"",DI17)</f>
        <v>13</v>
      </c>
      <c r="AX17" s="50"/>
      <c r="AY17" s="51">
        <f>IFERROR(_xlfn.RANK.EQ(AW17,AW$6:AW$116,0),"")</f>
        <v>4</v>
      </c>
      <c r="AZ17" s="26"/>
      <c r="BA17" s="26"/>
      <c r="BB17" s="50">
        <f>IF(DK17=0,"",DK17)</f>
        <v>-8</v>
      </c>
      <c r="BC17" s="50"/>
      <c r="BD17" s="51">
        <f>IFERROR(_xlfn.RANK.EQ(BB17,BB$6:BB$116,0),"")</f>
        <v>8</v>
      </c>
      <c r="BE17" s="26"/>
      <c r="BF17" s="26"/>
      <c r="BG17" s="50" t="str">
        <f>IF(DM17=0,"",DM17)</f>
        <v/>
      </c>
      <c r="BH17" s="50"/>
      <c r="BI17" s="51" t="str">
        <f>IFERROR(_xlfn.RANK.EQ(BG17,BG$6:BG$116,0),"")</f>
        <v/>
      </c>
      <c r="BJ17" s="26"/>
      <c r="BK17" s="26"/>
      <c r="BL17" s="50">
        <f>IF(DO17=0,"",DO17)</f>
        <v>45</v>
      </c>
      <c r="BM17" s="50"/>
      <c r="BN17" s="51">
        <f>IFERROR(_xlfn.RANK.EQ(BL17,BL$6:BL$116,0),"")</f>
        <v>1</v>
      </c>
      <c r="BO17" s="26"/>
      <c r="BP17" s="26"/>
      <c r="BQ17" s="50">
        <f>IF(DQ17=0,"",DQ17)</f>
        <v>-22</v>
      </c>
      <c r="BR17" s="50"/>
      <c r="BS17" s="51">
        <f>IFERROR(_xlfn.RANK.EQ(BQ17,BQ$6:BQ$116,0),"")</f>
        <v>12</v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-8</v>
      </c>
      <c r="CT17" s="28">
        <f ca="1">IFERROR(AVERAGE(OFFSET('Data - For Rank'!B$2,K17,0,COUNTIF(K$6:K$116,K17)))+IFERROR(VLOOKUP((COUNT($I$6:$I$116)/4),$ER$9:$ES$13,2,FALSE()),0),"")</f>
        <v>9.5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/>
      <c r="CX17" s="28" t="str">
        <f ca="1">IFERROR(AVERAGE(OFFSET('Data - For Rank'!D$2,U17,0,COUNTIF(U$6:$U125,U17)))+IFERROR(VLOOKUP((COUNT(S$6:S$116)/4),$ER$9:$ES$13,2,FALSE()),0),"")</f>
        <v/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28</v>
      </c>
      <c r="DB17" s="28">
        <f ca="1">IFERROR(AVERAGE(OFFSET('Data - For Rank'!F$2,AE17,0,COUNTIF(AE$6:AE$116,AE17)))+IFERROR(VLOOKUP((COUNT(AC$6:AC$116)/4),$ER$9:$ES$13,2,FALSE()),0),"")</f>
        <v>16</v>
      </c>
      <c r="DC17" s="27">
        <v>17</v>
      </c>
      <c r="DD17" s="28">
        <f ca="1">IFERROR(AVERAGE(OFFSET('Data - For Rank'!G$2,AJ17,0,COUNTIF(AJ$6:AJ$116,AJ17)))+IFERROR(VLOOKUP((COUNT(AH$6:AH$116)/4),$ER$9:$ES$13,2,FALSE()),0),"")</f>
        <v>16</v>
      </c>
      <c r="DE17" s="27">
        <v>-8</v>
      </c>
      <c r="DF17" s="28">
        <f ca="1">IFERROR(AVERAGE(OFFSET('Data - For Rank'!$H$2,AO17,0,COUNTIF(AO$6:AO$116,AO17)))+IFERROR(VLOOKUP((COUNT(AM$6:AM$116)/4),$ER$9:$ES$13,2,FALSE()),0),"")</f>
        <v>6.5</v>
      </c>
      <c r="DG17" s="27">
        <v>-2</v>
      </c>
      <c r="DH17" s="28">
        <f ca="1">IFERROR(AVERAGE(OFFSET('Data - For Rank'!$I$2,AT17,0,COUNTIF(AT$6:AT$116,AT17)))+IFERROR(VLOOKUP((COUNT(AR$6:AR$116)/4),$ER$9:$ES$13,2,FALSE()),0),"")</f>
        <v>8.5</v>
      </c>
      <c r="DI17" s="27">
        <v>13</v>
      </c>
      <c r="DJ17" s="28">
        <f ca="1">IFERROR(AVERAGE(OFFSET('Data - For Rank'!$J$2,AY17,0,COUNTIF(AY$6:AY$116,AY17)))+IFERROR(VLOOKUP((COUNT(AW$6:AW$116)/4),$ER$9:$ES$13,2,FALSE()),0),"")</f>
        <v>15</v>
      </c>
      <c r="DK17" s="27">
        <v>-8</v>
      </c>
      <c r="DL17" s="28">
        <f ca="1">IFERROR(AVERAGE(OFFSET('Data - For Rank'!$K$2,BD17,0,COUNTIF(BD$6:BD$116,BD17)))+IFERROR(VLOOKUP((COUNT(BB$6:BB$116)/4),$ER$9:$ES$13,2,FALSE()),0),"")</f>
        <v>8.5</v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>
        <v>45</v>
      </c>
      <c r="DP17" s="28">
        <f ca="1">IFERROR(AVERAGE(OFFSET('Data - For Rank'!$M$2,BN17,0,COUNTIF(BN$6:BN$116,BN17)))+IFERROR(VLOOKUP((COUNT(BL$6:BL$116)/4),$ER$9:$ES$13,2,FALSE()),0),"")</f>
        <v>18</v>
      </c>
      <c r="DQ17" s="27">
        <v>-22</v>
      </c>
      <c r="DR17" s="28">
        <f ca="1">IFERROR(AVERAGE(OFFSET('Data - For Rank'!$N$2,BS17,0,COUNTIF(BS$6:BS$116,BS17)))+IFERROR(VLOOKUP((COUNT(BQ$6:BQ$116)/4),$ER$9:$ES$13,2,FALSE()),0),"")</f>
        <v>5</v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55</v>
      </c>
      <c r="ED17" s="30">
        <f t="shared" ca="1" si="0"/>
        <v>11.444444444444445</v>
      </c>
    </row>
    <row r="18" spans="2:151" x14ac:dyDescent="0.2">
      <c r="B18" s="7">
        <f ca="1">_xlfn.RANK.EQ(C18,$C$6:$C$63,)</f>
        <v>5</v>
      </c>
      <c r="C18" s="41">
        <f ca="1">EC18</f>
        <v>220.5</v>
      </c>
      <c r="D18" s="41" t="s">
        <v>31</v>
      </c>
      <c r="E18" s="15" t="s">
        <v>44</v>
      </c>
      <c r="F18" s="16">
        <f ca="1">COUNT(CT18,CV18,CX18,CZ18,DB18,DD18,DF18,DH18,DJ18,DL18,DN18,DP18,DR18,DT18,DV18,DX18,DZ18,EB18)</f>
        <v>12</v>
      </c>
      <c r="G18" s="47">
        <f ca="1">IF(CT18=0,"",CT18)</f>
        <v>22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>
        <f ca="1">IF(CX18=0,"",CX18)</f>
        <v>23.5</v>
      </c>
      <c r="R18" s="47"/>
      <c r="S18" s="47"/>
      <c r="U18" s="47"/>
      <c r="V18" s="47">
        <f ca="1">IF(CZ18=0,"",CZ18)</f>
        <v>26</v>
      </c>
      <c r="W18" s="47"/>
      <c r="X18" s="47"/>
      <c r="Z18" s="47"/>
      <c r="AA18" s="47">
        <f ca="1">IF(DB18=0,"",DB18)</f>
        <v>22</v>
      </c>
      <c r="AB18" s="47"/>
      <c r="AC18" s="47"/>
      <c r="AE18" s="47"/>
      <c r="AF18" s="47">
        <f ca="1">IF(DD18=0,"",DD18)</f>
        <v>11.5</v>
      </c>
      <c r="AG18" s="47"/>
      <c r="AH18" s="47"/>
      <c r="AJ18" s="47"/>
      <c r="AK18" s="47">
        <f ca="1">IF(DF18=0,"",DF18)</f>
        <v>23.5</v>
      </c>
      <c r="AL18" s="47"/>
      <c r="AM18" s="47"/>
      <c r="AO18" s="47"/>
      <c r="AP18" s="47">
        <f ca="1">IF(DH18=0,"",DH18)</f>
        <v>28.5</v>
      </c>
      <c r="AQ18" s="47"/>
      <c r="AR18" s="47"/>
      <c r="AT18" s="47"/>
      <c r="AU18" s="47">
        <f ca="1">IF(DJ18=0,"",DJ18)</f>
        <v>16.5</v>
      </c>
      <c r="AV18" s="47"/>
      <c r="AW18" s="47"/>
      <c r="AY18" s="47"/>
      <c r="AZ18" s="47">
        <f ca="1">IF(DL18=0,"",DL18)</f>
        <v>18.5</v>
      </c>
      <c r="BA18" s="47"/>
      <c r="BB18" s="47"/>
      <c r="BD18" s="47"/>
      <c r="BE18" s="47">
        <f ca="1">IF(DN18=0,"",DN18)</f>
        <v>8.5</v>
      </c>
      <c r="BF18" s="47"/>
      <c r="BG18" s="47"/>
      <c r="BI18" s="47"/>
      <c r="BJ18" s="47">
        <f ca="1">IF(DP18=0,"",DP18)</f>
        <v>13</v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>
        <f ca="1">IF(DT18=0,"",DT18)</f>
        <v>27</v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82</v>
      </c>
      <c r="CT18" s="18">
        <f ca="1">IFERROR(CT19+CT20,"")</f>
        <v>22</v>
      </c>
      <c r="CU18" s="17"/>
      <c r="CV18" s="18" t="str">
        <f ca="1">IFERROR(CV19+CV20,"")</f>
        <v/>
      </c>
      <c r="CW18" s="17">
        <v>81</v>
      </c>
      <c r="CX18" s="18">
        <f ca="1">IFERROR(CX19+CX20,"")</f>
        <v>23.5</v>
      </c>
      <c r="CY18" s="17">
        <v>76</v>
      </c>
      <c r="CZ18" s="18">
        <f ca="1">IFERROR(CZ19+CZ20,"")</f>
        <v>26</v>
      </c>
      <c r="DA18" s="17">
        <v>80</v>
      </c>
      <c r="DB18" s="18">
        <f ca="1">IFERROR(DB19+DB20,"")</f>
        <v>22</v>
      </c>
      <c r="DC18" s="17">
        <v>85</v>
      </c>
      <c r="DD18" s="18">
        <f ca="1">IFERROR(DD19+DD20,"")</f>
        <v>11.5</v>
      </c>
      <c r="DE18" s="17">
        <v>76</v>
      </c>
      <c r="DF18" s="18">
        <f ca="1">IFERROR(DF19+DF20,"")</f>
        <v>23.5</v>
      </c>
      <c r="DG18" s="17">
        <v>74</v>
      </c>
      <c r="DH18" s="18">
        <f ca="1">IFERROR(DH19+DH20,"")</f>
        <v>28.5</v>
      </c>
      <c r="DI18" s="17">
        <v>80</v>
      </c>
      <c r="DJ18" s="18">
        <f ca="1">IFERROR(DJ19+DJ20,"")</f>
        <v>16.5</v>
      </c>
      <c r="DK18" s="17">
        <v>74</v>
      </c>
      <c r="DL18" s="18">
        <f ca="1">IFERROR(DL19+DL20,"")</f>
        <v>18.5</v>
      </c>
      <c r="DM18" s="17">
        <v>82</v>
      </c>
      <c r="DN18" s="18">
        <f ca="1">IFERROR(DN19+DN20,"")</f>
        <v>8.5</v>
      </c>
      <c r="DO18" s="17">
        <v>82</v>
      </c>
      <c r="DP18" s="18">
        <f ca="1">IFERROR(DP19+DP20,"")</f>
        <v>13</v>
      </c>
      <c r="DQ18" s="17"/>
      <c r="DR18" s="18" t="str">
        <f ca="1">IFERROR(DR19+DR20,"")</f>
        <v/>
      </c>
      <c r="DS18" s="17">
        <v>76</v>
      </c>
      <c r="DT18" s="18">
        <f ca="1">IFERROR(DT19+DT20,"")</f>
        <v>27</v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220.5</v>
      </c>
      <c r="ED18" s="19">
        <f t="shared" ca="1" si="0"/>
        <v>20.041666666666668</v>
      </c>
    </row>
    <row r="19" spans="2:151" s="1" customFormat="1" outlineLevel="1" x14ac:dyDescent="0.2">
      <c r="B19" s="20">
        <f ca="1">B18+0.12</f>
        <v>5.12</v>
      </c>
      <c r="D19" s="61" t="s">
        <v>82</v>
      </c>
      <c r="E19" s="21" t="s">
        <v>41</v>
      </c>
      <c r="F19" s="21"/>
      <c r="G19" s="21"/>
      <c r="H19" s="21">
        <f>IF(CS19=0,"",CS19)</f>
        <v>29</v>
      </c>
      <c r="I19" s="21"/>
      <c r="J19" s="47">
        <f>IFERROR(RANK(H19,H$6:H$116,0),"")</f>
        <v>13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>
        <f>IF(CW19=0,"",CW19)</f>
        <v>32</v>
      </c>
      <c r="S19" s="21"/>
      <c r="T19" s="47">
        <f>IFERROR(RANK(R19,R$6:R$116,0),"")</f>
        <v>6</v>
      </c>
      <c r="U19" s="21"/>
      <c r="V19" s="21"/>
      <c r="W19" s="21">
        <f>IF(CY19=0,"",CY19)</f>
        <v>33</v>
      </c>
      <c r="X19" s="21"/>
      <c r="Y19" s="47">
        <f>IFERROR(RANK(W19,W$6:W$116,0),"")</f>
        <v>1</v>
      </c>
      <c r="Z19" s="21"/>
      <c r="AA19" s="21"/>
      <c r="AB19" s="21">
        <f>IF(DA19=0,"",DA19)</f>
        <v>33</v>
      </c>
      <c r="AC19" s="21"/>
      <c r="AD19" s="47">
        <f>IFERROR(RANK(AB19,AB$6:AB$116,0),"")</f>
        <v>4</v>
      </c>
      <c r="AE19" s="21"/>
      <c r="AF19" s="21"/>
      <c r="AG19" s="21">
        <f>IF(DC19=0,"",DC19)</f>
        <v>29</v>
      </c>
      <c r="AH19" s="21"/>
      <c r="AI19" s="47">
        <f>IFERROR(RANK(AG19,AG$6:AG$116,0),"")</f>
        <v>11</v>
      </c>
      <c r="AJ19" s="21"/>
      <c r="AK19" s="21"/>
      <c r="AL19" s="21">
        <f>IF(DE19=0,"",DE19)</f>
        <v>34</v>
      </c>
      <c r="AM19" s="21"/>
      <c r="AN19" s="47">
        <f>IFERROR(RANK(AL19,AL$6:AL$116,0),"")</f>
        <v>5</v>
      </c>
      <c r="AO19" s="21"/>
      <c r="AP19" s="21"/>
      <c r="AQ19" s="21">
        <f>IF(DG19=0,"",DG19)</f>
        <v>38</v>
      </c>
      <c r="AR19" s="21"/>
      <c r="AS19" s="47">
        <f>IFERROR(RANK(AQ19,AQ$6:AQ$116,0),"")</f>
        <v>1</v>
      </c>
      <c r="AT19" s="21"/>
      <c r="AU19" s="21"/>
      <c r="AV19" s="21">
        <f>IF(DI19=0,"",DI19)</f>
        <v>33</v>
      </c>
      <c r="AW19" s="21"/>
      <c r="AX19" s="47">
        <f>IFERROR(RANK(AV19,AV$6:AV$116,0),"")</f>
        <v>10</v>
      </c>
      <c r="AY19" s="21"/>
      <c r="AZ19" s="21"/>
      <c r="BA19" s="21">
        <f>IF(DK19=0,"",DK19)</f>
        <v>34</v>
      </c>
      <c r="BB19" s="21"/>
      <c r="BC19" s="47">
        <f>IFERROR(RANK(BA19,BA$6:BA$116,0),"")</f>
        <v>5</v>
      </c>
      <c r="BD19" s="21"/>
      <c r="BE19" s="21"/>
      <c r="BF19" s="21">
        <f>IF(DM19=0,"",DM19)</f>
        <v>28</v>
      </c>
      <c r="BG19" s="21"/>
      <c r="BH19" s="47">
        <f>IFERROR(RANK(BF19,BF$6:BF$116,0),"")</f>
        <v>14</v>
      </c>
      <c r="BI19" s="21"/>
      <c r="BJ19" s="21"/>
      <c r="BK19" s="21">
        <f>IF(DO19=0,"",DO19)</f>
        <v>30</v>
      </c>
      <c r="BL19" s="21"/>
      <c r="BM19" s="47">
        <f>IFERROR(RANK(BK19,BK$6:BK$116,0),"")</f>
        <v>13</v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>
        <f>IF(DS19=0,"",DS19)</f>
        <v>33</v>
      </c>
      <c r="BV19" s="21"/>
      <c r="BW19" s="47">
        <f>IFERROR(RANK(BU19,BU$6:BU$116,0),"")</f>
        <v>5</v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29</v>
      </c>
      <c r="CT19" s="22">
        <f ca="1">IFERROR(AVERAGE(OFFSET('Data - For Rank'!B$2,J19,0,COUNTIF($J$7:J$116,J19)))+IFERROR(VLOOKUP((COUNT($H$6:$H$116)/4),$ER$9:$ES$13,2,FALSE()),0),"")</f>
        <v>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>
        <v>32</v>
      </c>
      <c r="CX19" s="22">
        <f ca="1">IFERROR(AVERAGE(OFFSET('Data - For Rank'!D$2,T19,0,COUNTIF(T$7:T$116,T19)))+IFERROR(VLOOKUP((COUNT(R$6:R$116)/4),$ER$9:$ES$13,2,FALSE()),0),"")</f>
        <v>11</v>
      </c>
      <c r="CY19" s="17">
        <v>33</v>
      </c>
      <c r="CZ19" s="22">
        <f ca="1">IFERROR(AVERAGE(OFFSET('Data - For Rank'!E$2,Y19,0,COUNTIF(Y$7:Y$116,Y19)))+IFERROR(VLOOKUP((COUNT(W$6:W$116)/4),$ER$9:$ES$13,2,FALSE()),0),"")</f>
        <v>14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29</v>
      </c>
      <c r="DD19" s="22">
        <f ca="1">IFERROR(AVERAGE(OFFSET('Data - For Rank'!G$2,AI19,0,COUNTIF(AI$7:AI$116,AI19)))+IFERROR(VLOOKUP((COUNT(AG$6:AG$116)/4),$ER$9:$ES$13,2,FALSE()),0),"")</f>
        <v>7.5</v>
      </c>
      <c r="DE19" s="17">
        <v>34</v>
      </c>
      <c r="DF19" s="22">
        <f ca="1">IFERROR(AVERAGE(OFFSET('Data - For Rank'!$H$2,AN19,0,COUNTIF(AN$7:AN$116,AN19)))+IFERROR(VLOOKUP((COUNT(AL$6:AL$116)/4),$ER$9:$ES$13,2,FALSE()),0),"")</f>
        <v>10.5</v>
      </c>
      <c r="DG19" s="17">
        <v>38</v>
      </c>
      <c r="DH19" s="22">
        <f ca="1">IFERROR(AVERAGE(OFFSET('Data - For Rank'!$I$2,AS19,0,COUNTIF(AS$7:AS$116,AS19)))+IFERROR(VLOOKUP((COUNT(AQ$6:AQ$116)/4),$ER$9:$ES$13,2,FALSE()),0),"")</f>
        <v>18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>
        <v>34</v>
      </c>
      <c r="DL19" s="22">
        <f ca="1">IFERROR(AVERAGE(OFFSET('Data - For Rank'!$K$2,BC19,0,COUNTIF(BC$7:BC$116,BC19)))+IFERROR(VLOOKUP((COUNT(BA$6:BA$116)/4),$ER$9:$ES$13,2,FALSE()),0),"")</f>
        <v>11.5</v>
      </c>
      <c r="DM19" s="17">
        <v>28</v>
      </c>
      <c r="DN19" s="22">
        <f ca="1">IFERROR(AVERAGE(OFFSET('Data - For Rank'!$L$2,BH19,0,COUNTIF(BH$7:BH$116,BH19)))+IFERROR(VLOOKUP((COUNT(BF$6:BF$116)/4),$ER$9:$ES$13,2,FALSE()),0),"")</f>
        <v>4.5</v>
      </c>
      <c r="DO19" s="17">
        <v>30</v>
      </c>
      <c r="DP19" s="22">
        <f ca="1">IFERROR(AVERAGE(OFFSET('Data - For Rank'!$M$2,BM19,0,COUNTIF(BM$7:BM$116,BM19)))+IFERROR(VLOOKUP((COUNT(BK$6:BK$116)/4),$ER$9:$ES$13,2,FALSE()),0),"")</f>
        <v>6</v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>
        <v>33</v>
      </c>
      <c r="DT19" s="22">
        <f ca="1">IFERROR(AVERAGE(OFFSET('Data - For Rank'!$O$2,BW19,0,COUNTIF(BW$7:BW$116,BW19)))+IFERROR(VLOOKUP((COUNT(BU$6:BU$116)/4),$ER$9:$ES$13,2,FALSE()),0),"")</f>
        <v>12</v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32.166666666666664</v>
      </c>
      <c r="ED19" s="19">
        <f t="shared" ca="1" si="0"/>
        <v>10.291666666666666</v>
      </c>
    </row>
    <row r="20" spans="2:151" s="1" customFormat="1" outlineLevel="1" x14ac:dyDescent="0.2">
      <c r="B20" s="24">
        <f ca="1">B18+0.022</f>
        <v>5.0220000000000002</v>
      </c>
      <c r="D20" s="54" t="s">
        <v>84</v>
      </c>
      <c r="E20" s="25" t="s">
        <v>42</v>
      </c>
      <c r="F20" s="26">
        <f ca="1">IF(COUNT(G18:CN18)&gt;10,SMALL(G18:CN18,COUNT(G18:CN18)-9),MIN(G18:CN18))</f>
        <v>13</v>
      </c>
      <c r="G20" s="26"/>
      <c r="H20" s="26"/>
      <c r="I20" s="50">
        <f>IF(CS20=0,"",CS20)</f>
        <v>12</v>
      </c>
      <c r="J20" s="50"/>
      <c r="K20" s="51">
        <f>IFERROR(_xlfn.RANK.EQ(I20,I$6:I$116,0),"")</f>
        <v>3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>
        <f>IF(CW20=0,"",CW20)</f>
        <v>4</v>
      </c>
      <c r="T20" s="50"/>
      <c r="U20" s="51">
        <f>IFERROR(_xlfn.RANK.EQ(S20,S$6:S$116,0),"")</f>
        <v>4</v>
      </c>
      <c r="V20" s="26"/>
      <c r="W20" s="26"/>
      <c r="X20" s="50">
        <f>IF(CY20=0,"",CY20)</f>
        <v>13</v>
      </c>
      <c r="Y20" s="50"/>
      <c r="Z20" s="51">
        <f>IFERROR(_xlfn.RANK.EQ(X20,X$6:X$116,0),"")</f>
        <v>3</v>
      </c>
      <c r="AA20" s="26"/>
      <c r="AB20" s="26"/>
      <c r="AC20" s="50">
        <f>IF(DA20=0,"",DA20)</f>
        <v>-6</v>
      </c>
      <c r="AD20" s="50"/>
      <c r="AE20" s="51">
        <f>IFERROR(_xlfn.RANK.EQ(AC20,AC$6:AC$116,0),"")</f>
        <v>11</v>
      </c>
      <c r="AF20" s="26"/>
      <c r="AG20" s="26"/>
      <c r="AH20" s="50">
        <f>IF(DC20=0,"",DC20)</f>
        <v>-28</v>
      </c>
      <c r="AI20" s="50"/>
      <c r="AJ20" s="51">
        <f>IFERROR(_xlfn.RANK.EQ(AH20,AH$6:AH$116,0),"")</f>
        <v>15</v>
      </c>
      <c r="AK20" s="26"/>
      <c r="AL20" s="26"/>
      <c r="AM20" s="50">
        <f>IF(DE20=0,"",DE20)</f>
        <v>4</v>
      </c>
      <c r="AN20" s="50"/>
      <c r="AO20" s="51">
        <f>IFERROR(_xlfn.RANK.EQ(AM20,AM$6:AM$116,0),"")</f>
        <v>4</v>
      </c>
      <c r="AP20" s="26"/>
      <c r="AQ20" s="26"/>
      <c r="AR20" s="50">
        <f>IF(DG20=0,"",DG20)</f>
        <v>-1E-4</v>
      </c>
      <c r="AS20" s="50"/>
      <c r="AT20" s="51">
        <f>IFERROR(_xlfn.RANK.EQ(AR20,AR$6:AR$116,0),"")</f>
        <v>8</v>
      </c>
      <c r="AU20" s="26"/>
      <c r="AV20" s="26"/>
      <c r="AW20" s="50">
        <f>IF(DI20=0,"",DI20)</f>
        <v>-9</v>
      </c>
      <c r="AX20" s="50"/>
      <c r="AY20" s="51">
        <f>IFERROR(_xlfn.RANK.EQ(AW20,AW$6:AW$116,0),"")</f>
        <v>11</v>
      </c>
      <c r="AZ20" s="26"/>
      <c r="BA20" s="26"/>
      <c r="BB20" s="50">
        <f>IF(DK20=0,"",DK20)</f>
        <v>-18</v>
      </c>
      <c r="BC20" s="50"/>
      <c r="BD20" s="51">
        <f>IFERROR(_xlfn.RANK.EQ(BB20,BB$6:BB$116,0),"")</f>
        <v>10</v>
      </c>
      <c r="BE20" s="26"/>
      <c r="BF20" s="26"/>
      <c r="BG20" s="50">
        <f>IF(DM20=0,"",DM20)</f>
        <v>-24</v>
      </c>
      <c r="BH20" s="50"/>
      <c r="BI20" s="51">
        <f>IFERROR(_xlfn.RANK.EQ(BG20,BG$6:BG$116,0),"")</f>
        <v>15</v>
      </c>
      <c r="BJ20" s="26"/>
      <c r="BK20" s="26"/>
      <c r="BL20" s="50">
        <f>IF(DO20=0,"",DO20)</f>
        <v>-7</v>
      </c>
      <c r="BM20" s="50"/>
      <c r="BN20" s="51">
        <f>IFERROR(_xlfn.RANK.EQ(BL20,BL$6:BL$116,0),"")</f>
        <v>12</v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>
        <f>IF(DS20=0,"",DS20)</f>
        <v>12</v>
      </c>
      <c r="BW20" s="50"/>
      <c r="BX20" s="51">
        <f>IFERROR(_xlfn.RANK.EQ(BV20,BV$6:BV$116,0),"")</f>
        <v>2</v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12</v>
      </c>
      <c r="CT20" s="28">
        <f ca="1">IFERROR(AVERAGE(OFFSET('Data - For Rank'!B$2,K20,0,COUNTIF(K$6:K$116,K20)))+IFERROR(VLOOKUP((COUNT($I$6:$I$116)/4),$ER$9:$ES$13,2,FALSE()),0),"")</f>
        <v>16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>
        <v>4</v>
      </c>
      <c r="CX20" s="28">
        <f ca="1">IFERROR(AVERAGE(OFFSET('Data - For Rank'!D$2,U20,0,COUNTIF(U$6:$U128,U20)))+IFERROR(VLOOKUP((COUNT(S$6:S$116)/4),$ER$9:$ES$13,2,FALSE()),0),"")</f>
        <v>12.5</v>
      </c>
      <c r="CY20" s="27">
        <v>13</v>
      </c>
      <c r="CZ20" s="28">
        <f ca="1">IFERROR(AVERAGE(OFFSET('Data - For Rank'!E$2,Z20,0,COUNTIF(Z$6:Z$116,Z20)))+IFERROR(VLOOKUP((COUNT(W$6:W$116)/4),$ER$9:$ES$13,2,FALSE()),0),"")</f>
        <v>12</v>
      </c>
      <c r="DA20" s="27">
        <v>-6</v>
      </c>
      <c r="DB20" s="28">
        <f ca="1">IFERROR(AVERAGE(OFFSET('Data - For Rank'!F$2,AE20,0,COUNTIF(AE$6:AE$116,AE20)))+IFERROR(VLOOKUP((COUNT(AC$6:AC$116)/4),$ER$9:$ES$13,2,FALSE()),0),"")</f>
        <v>8</v>
      </c>
      <c r="DC20" s="27">
        <v>-28</v>
      </c>
      <c r="DD20" s="28">
        <f ca="1">IFERROR(AVERAGE(OFFSET('Data - For Rank'!G$2,AJ20,0,COUNTIF(AJ$6:AJ$116,AJ20)))+IFERROR(VLOOKUP((COUNT(AH$6:AH$116)/4),$ER$9:$ES$13,2,FALSE()),0),"")</f>
        <v>4</v>
      </c>
      <c r="DE20" s="27">
        <v>4</v>
      </c>
      <c r="DF20" s="28">
        <f ca="1">IFERROR(AVERAGE(OFFSET('Data - For Rank'!$H$2,AO20,0,COUNTIF(AO$6:AO$116,AO20)))+IFERROR(VLOOKUP((COUNT(AM$6:AM$116)/4),$ER$9:$ES$13,2,FALSE()),0),"")</f>
        <v>13</v>
      </c>
      <c r="DG20" s="27">
        <v>-1E-4</v>
      </c>
      <c r="DH20" s="28">
        <f ca="1">IFERROR(AVERAGE(OFFSET('Data - For Rank'!$I$2,AT20,0,COUNTIF(AT$6:AT$116,AT20)))+IFERROR(VLOOKUP((COUNT(AR$6:AR$116)/4),$ER$9:$ES$13,2,FALSE()),0),"")</f>
        <v>10.5</v>
      </c>
      <c r="DI20" s="27">
        <v>-9</v>
      </c>
      <c r="DJ20" s="28">
        <f ca="1">IFERROR(AVERAGE(OFFSET('Data - For Rank'!$J$2,AY20,0,COUNTIF(AY$6:AY$116,AY20)))+IFERROR(VLOOKUP((COUNT(AW$6:AW$116)/4),$ER$9:$ES$13,2,FALSE()),0),"")</f>
        <v>8</v>
      </c>
      <c r="DK20" s="27">
        <v>-18</v>
      </c>
      <c r="DL20" s="28">
        <f ca="1">IFERROR(AVERAGE(OFFSET('Data - For Rank'!$K$2,BD20,0,COUNTIF(BD$6:BD$116,BD20)))+IFERROR(VLOOKUP((COUNT(BB$6:BB$116)/4),$ER$9:$ES$13,2,FALSE()),0),"")</f>
        <v>7</v>
      </c>
      <c r="DM20" s="27">
        <v>-24</v>
      </c>
      <c r="DN20" s="28">
        <f ca="1">IFERROR(AVERAGE(OFFSET('Data - For Rank'!$L$2,BI20,0,COUNTIF(BI$6:BI$116,BI20)))+IFERROR(VLOOKUP((COUNT(BG$6:BG$116)/4),$ER$9:$ES$13,2,FALSE()),0),"")</f>
        <v>4</v>
      </c>
      <c r="DO20" s="27">
        <v>-7</v>
      </c>
      <c r="DP20" s="28">
        <f ca="1">IFERROR(AVERAGE(OFFSET('Data - For Rank'!$M$2,BN20,0,COUNTIF(BN$6:BN$116,BN20)))+IFERROR(VLOOKUP((COUNT(BL$6:BL$116)/4),$ER$9:$ES$13,2,FALSE()),0),"")</f>
        <v>7</v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>
        <v>12</v>
      </c>
      <c r="DT20" s="28">
        <f ca="1">IFERROR(AVERAGE(OFFSET('Data - For Rank'!$O$2,BX20,0,COUNTIF(BX$6:BX$116,BX20)))+IFERROR(VLOOKUP((COUNT(BV$6:BV$116)/4),$ER$9:$ES$13,2,FALSE()),0),"")</f>
        <v>15</v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-47.000100000000003</v>
      </c>
      <c r="ED20" s="30">
        <f t="shared" ca="1" si="0"/>
        <v>9.75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217.5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11</v>
      </c>
      <c r="G21" s="47">
        <f ca="1">IF(CT21=0,"",CT21)</f>
        <v>27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12</v>
      </c>
      <c r="AB21" s="47"/>
      <c r="AC21" s="47"/>
      <c r="AE21" s="47"/>
      <c r="AF21" s="47">
        <f ca="1">IF(DD21=0,"",DD21)</f>
        <v>34.5</v>
      </c>
      <c r="AG21" s="47"/>
      <c r="AH21" s="47"/>
      <c r="AJ21" s="47"/>
      <c r="AK21" s="47">
        <f ca="1">IF(DF21=0,"",DF21)</f>
        <v>21.5</v>
      </c>
      <c r="AL21" s="47"/>
      <c r="AM21" s="47"/>
      <c r="AO21" s="47"/>
      <c r="AP21" s="47">
        <f ca="1">IF(DH21=0,"",DH21)</f>
        <v>22</v>
      </c>
      <c r="AQ21" s="47"/>
      <c r="AR21" s="47"/>
      <c r="AT21" s="47"/>
      <c r="AU21" s="47" t="str">
        <f ca="1">IF(DJ21=0,"",DJ21)</f>
        <v/>
      </c>
      <c r="AV21" s="47"/>
      <c r="AW21" s="47"/>
      <c r="AY21" s="47"/>
      <c r="AZ21" s="47">
        <f ca="1">IF(DL21=0,"",DL21)</f>
        <v>19.5</v>
      </c>
      <c r="BA21" s="47"/>
      <c r="BB21" s="47"/>
      <c r="BD21" s="47"/>
      <c r="BE21" s="47">
        <f ca="1">IF(DN21=0,"",DN21)</f>
        <v>12</v>
      </c>
      <c r="BF21" s="47"/>
      <c r="BG21" s="47"/>
      <c r="BI21" s="47"/>
      <c r="BJ21" s="47">
        <f ca="1">IF(DP21=0,"",DP21)</f>
        <v>16</v>
      </c>
      <c r="BK21" s="47"/>
      <c r="BL21" s="47"/>
      <c r="BN21" s="47"/>
      <c r="BO21" s="47">
        <f ca="1">IF(DR21=0,"",DR21)</f>
        <v>19</v>
      </c>
      <c r="BP21" s="47"/>
      <c r="BQ21" s="47"/>
      <c r="BS21" s="47"/>
      <c r="BT21" s="47">
        <f ca="1">IF(DT21=0,"",DT21)</f>
        <v>15</v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27</v>
      </c>
      <c r="CU21" s="17"/>
      <c r="CV21" s="18" t="str">
        <f ca="1">IFERROR(CV22+CV23,"")</f>
        <v/>
      </c>
      <c r="CW21" s="17">
        <v>89</v>
      </c>
      <c r="CX21" s="18">
        <f ca="1">IFERROR(CX22+CX23,"")</f>
        <v>31</v>
      </c>
      <c r="CY21" s="17"/>
      <c r="CZ21" s="18" t="str">
        <f ca="1">IFERROR(CZ22+CZ23,"")</f>
        <v/>
      </c>
      <c r="DA21" s="17">
        <v>100</v>
      </c>
      <c r="DB21" s="18">
        <f ca="1">IFERROR(DB22+DB23,"")</f>
        <v>12</v>
      </c>
      <c r="DC21" s="17">
        <v>92</v>
      </c>
      <c r="DD21" s="18">
        <f ca="1">IFERROR(DD22+DD23,"")</f>
        <v>34.5</v>
      </c>
      <c r="DE21" s="17">
        <v>89</v>
      </c>
      <c r="DF21" s="18">
        <f ca="1">IFERROR(DF22+DF23,"")</f>
        <v>21.5</v>
      </c>
      <c r="DG21" s="17">
        <v>93</v>
      </c>
      <c r="DH21" s="18">
        <f ca="1">IFERROR(DH22+DH23,"")</f>
        <v>22</v>
      </c>
      <c r="DI21" s="17"/>
      <c r="DJ21" s="18" t="str">
        <f ca="1">IFERROR(DJ22+DJ23,"")</f>
        <v/>
      </c>
      <c r="DK21" s="17">
        <v>86</v>
      </c>
      <c r="DL21" s="18">
        <f ca="1">IFERROR(DL22+DL23,"")</f>
        <v>19.5</v>
      </c>
      <c r="DM21" s="17">
        <v>92</v>
      </c>
      <c r="DN21" s="18">
        <f ca="1">IFERROR(DN22+DN23,"")</f>
        <v>12</v>
      </c>
      <c r="DO21" s="17">
        <v>104</v>
      </c>
      <c r="DP21" s="18">
        <f ca="1">IFERROR(DP22+DP23,"")</f>
        <v>16</v>
      </c>
      <c r="DQ21" s="17">
        <v>91</v>
      </c>
      <c r="DR21" s="18">
        <f ca="1">IFERROR(DR22+DR23,"")</f>
        <v>19</v>
      </c>
      <c r="DS21" s="17">
        <v>92</v>
      </c>
      <c r="DT21" s="18">
        <f ca="1">IFERROR(DT22+DT23,"")</f>
        <v>15</v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217.5</v>
      </c>
      <c r="ED21" s="19">
        <f t="shared" ca="1" si="0"/>
        <v>20.863636363636363</v>
      </c>
      <c r="EM21" s="1" t="s">
        <v>94</v>
      </c>
    </row>
    <row r="22" spans="2:151" s="1" customFormat="1" outlineLevel="1" x14ac:dyDescent="0.2">
      <c r="B22" s="20">
        <f ca="1">B21+0.16</f>
        <v>6.16</v>
      </c>
      <c r="D22" s="54" t="s">
        <v>86</v>
      </c>
      <c r="E22" s="21" t="s">
        <v>41</v>
      </c>
      <c r="F22" s="21"/>
      <c r="G22" s="21"/>
      <c r="H22" s="21">
        <f>IF(CS22=0,"",CS22)</f>
        <v>31</v>
      </c>
      <c r="I22" s="21"/>
      <c r="J22" s="47">
        <f>IFERROR(RANK(H22,H$6:H$116,0),"")</f>
        <v>8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40</v>
      </c>
      <c r="S22" s="21"/>
      <c r="T22" s="47">
        <f>IFERROR(RANK(R22,R$6:R$116,0),"")</f>
        <v>1</v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27</v>
      </c>
      <c r="AC22" s="21"/>
      <c r="AD22" s="47">
        <f>IFERROR(RANK(AB22,AB$6:AB$116,0),"")</f>
        <v>12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32</v>
      </c>
      <c r="AR22" s="21"/>
      <c r="AS22" s="47">
        <f>IFERROR(RANK(AQ22,AQ$6:AQ$116,0),"")</f>
        <v>9</v>
      </c>
      <c r="AT22" s="21"/>
      <c r="AU22" s="21"/>
      <c r="AV22" s="21" t="str">
        <f>IF(DI22=0,"",DI22)</f>
        <v/>
      </c>
      <c r="AW22" s="21"/>
      <c r="AX22" s="47" t="str">
        <f>IFERROR(RANK(AV22,AV$6:AV$116,0),"")</f>
        <v/>
      </c>
      <c r="AY22" s="21"/>
      <c r="AZ22" s="21"/>
      <c r="BA22" s="21">
        <f>IF(DK22=0,"",DK22)</f>
        <v>36</v>
      </c>
      <c r="BB22" s="21"/>
      <c r="BC22" s="47">
        <f>IFERROR(RANK(BA22,BA$6:BA$116,0),"")</f>
        <v>3</v>
      </c>
      <c r="BD22" s="21"/>
      <c r="BE22" s="21"/>
      <c r="BF22" s="21">
        <f>IF(DM22=0,"",DM22)</f>
        <v>30</v>
      </c>
      <c r="BG22" s="21"/>
      <c r="BH22" s="47">
        <f>IFERROR(RANK(BF22,BF$6:BF$116,0),"")</f>
        <v>13</v>
      </c>
      <c r="BI22" s="21"/>
      <c r="BJ22" s="21"/>
      <c r="BK22" s="21">
        <f>IF(DO22=0,"",DO22)</f>
        <v>21</v>
      </c>
      <c r="BL22" s="21"/>
      <c r="BM22" s="47">
        <f>IFERROR(RANK(BK22,BK$6:BK$116,0),"")</f>
        <v>15</v>
      </c>
      <c r="BN22" s="21"/>
      <c r="BO22" s="21"/>
      <c r="BP22" s="21">
        <f>IF(DQ22=0,"",DQ22)</f>
        <v>30</v>
      </c>
      <c r="BQ22" s="21"/>
      <c r="BR22" s="47">
        <f>IFERROR(RANK(BP22,BP$6:BP$116,0),"")</f>
        <v>5</v>
      </c>
      <c r="BS22" s="21"/>
      <c r="BT22" s="21"/>
      <c r="BU22" s="21">
        <f>IF(DS22=0,"",DS22)</f>
        <v>30</v>
      </c>
      <c r="BV22" s="21"/>
      <c r="BW22" s="47">
        <f>IFERROR(RANK(BU22,BU$6:BU$116,0),"")</f>
        <v>10</v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31</v>
      </c>
      <c r="CT22" s="22">
        <f ca="1">IFERROR(AVERAGE(OFFSET('Data - For Rank'!B$2,J22,0,COUNTIF($J$7:J$116,J22)))+IFERROR(VLOOKUP((COUNT($H$6:$H$116)/4),$ER$9:$ES$13,2,FALSE()),0),"")</f>
        <v>10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40</v>
      </c>
      <c r="CX22" s="22">
        <f ca="1">IFERROR(AVERAGE(OFFSET('Data - For Rank'!D$2,T22,0,COUNTIF(T$7:T$116,T22)))+IFERROR(VLOOKUP((COUNT(R$6:R$116)/4),$ER$9:$ES$13,2,FALSE()),0),"")</f>
        <v>16</v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27</v>
      </c>
      <c r="DB22" s="22">
        <f ca="1">IFERROR(AVERAGE(OFFSET('Data - For Rank'!F$2,AD22,0,COUNTIF(AD$7:AD$116,AD22)))+IFERROR(VLOOKUP((COUNT(AB$6:AB$116)/4),$ER$9:$ES$13,2,FALSE()),0),"")</f>
        <v>7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32</v>
      </c>
      <c r="DH22" s="22">
        <f ca="1">IFERROR(AVERAGE(OFFSET('Data - For Rank'!$I$2,AS22,0,COUNTIF(AS$7:AS$116,AS22)))+IFERROR(VLOOKUP((COUNT(AQ$6:AQ$116)/4),$ER$9:$ES$13,2,FALSE()),0),"")</f>
        <v>10</v>
      </c>
      <c r="DI22" s="17"/>
      <c r="DJ22" s="22" t="str">
        <f ca="1">IFERROR(AVERAGE(OFFSET('Data - For Rank'!$J$2,AX22,0,COUNTIF(AX$7:AX$116,AX22)))+IFERROR(VLOOKUP((COUNT(AV$6:AV$116)/4),$ER$9:$ES$13,2,FALSE()),0),"")</f>
        <v/>
      </c>
      <c r="DK22" s="17">
        <v>36</v>
      </c>
      <c r="DL22" s="22">
        <f ca="1">IFERROR(AVERAGE(OFFSET('Data - For Rank'!$K$2,BC22,0,COUNTIF(BC$7:BC$116,BC22)))+IFERROR(VLOOKUP((COUNT(BA$6:BA$116)/4),$ER$9:$ES$13,2,FALSE()),0),"")</f>
        <v>13.5</v>
      </c>
      <c r="DM22" s="17">
        <v>30</v>
      </c>
      <c r="DN22" s="22">
        <f ca="1">IFERROR(AVERAGE(OFFSET('Data - For Rank'!$L$2,BH22,0,COUNTIF(BH$7:BH$116,BH22)))+IFERROR(VLOOKUP((COUNT(BF$6:BF$116)/4),$ER$9:$ES$13,2,FALSE()),0),"")</f>
        <v>6</v>
      </c>
      <c r="DO22" s="17">
        <v>21</v>
      </c>
      <c r="DP22" s="22">
        <f ca="1">IFERROR(AVERAGE(OFFSET('Data - For Rank'!$M$2,BM22,0,COUNTIF(BM$7:BM$116,BM22)))+IFERROR(VLOOKUP((COUNT(BK$6:BK$116)/4),$ER$9:$ES$13,2,FALSE()),0),"")</f>
        <v>4</v>
      </c>
      <c r="DQ22" s="17">
        <v>30</v>
      </c>
      <c r="DR22" s="22">
        <f ca="1">IFERROR(AVERAGE(OFFSET('Data - For Rank'!$N$2,BR22,0,COUNTIF(BR$7:BR$116,BR22)))+IFERROR(VLOOKUP((COUNT(BP$6:BP$116)/4),$ER$9:$ES$13,2,FALSE()),0),"")</f>
        <v>11</v>
      </c>
      <c r="DS22" s="17">
        <v>30</v>
      </c>
      <c r="DT22" s="22">
        <f ca="1">IFERROR(AVERAGE(OFFSET('Data - For Rank'!$O$2,BW22,0,COUNTIF(BW$7:BW$116,BW22)))+IFERROR(VLOOKUP((COUNT(BU$6:BU$116)/4),$ER$9:$ES$13,2,FALSE()),0),"")</f>
        <v>7</v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31.636363636363637</v>
      </c>
      <c r="ED22" s="19">
        <f t="shared" ca="1" si="0"/>
        <v>10.136363636363637</v>
      </c>
    </row>
    <row r="23" spans="2:151" s="1" customFormat="1" outlineLevel="1" x14ac:dyDescent="0.2">
      <c r="B23" s="24">
        <f ca="1">B21+0.026</f>
        <v>6.0259999999999998</v>
      </c>
      <c r="D23" s="54" t="s">
        <v>88</v>
      </c>
      <c r="E23" s="25" t="s">
        <v>42</v>
      </c>
      <c r="F23" s="26">
        <f ca="1">IF(COUNT(G21:CN21)&gt;10,SMALL(G21:CN21,COUNT(G21:CN21)-9),MIN(G21:CN21))</f>
        <v>12</v>
      </c>
      <c r="G23" s="26"/>
      <c r="H23" s="26"/>
      <c r="I23" s="50">
        <f>IF(CS23=0,"",CS23)</f>
        <v>27</v>
      </c>
      <c r="J23" s="50"/>
      <c r="K23" s="51">
        <f>IFERROR(_xlfn.RANK.EQ(I23,I$6:I$116,0),"")</f>
        <v>2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21</v>
      </c>
      <c r="T23" s="50"/>
      <c r="U23" s="51">
        <f>IFERROR(_xlfn.RANK.EQ(S23,S$6:S$116,0),"")</f>
        <v>2</v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-20</v>
      </c>
      <c r="AD23" s="50"/>
      <c r="AE23" s="51">
        <f>IFERROR(_xlfn.RANK.EQ(AC23,AC$6:AC$116,0),"")</f>
        <v>14</v>
      </c>
      <c r="AF23" s="26"/>
      <c r="AG23" s="26"/>
      <c r="AH23" s="50">
        <f>IF(DC23=0,"",DC23)</f>
        <v>28</v>
      </c>
      <c r="AI23" s="50"/>
      <c r="AJ23" s="51">
        <f>IFERROR(_xlfn.RANK.EQ(AH23,AH$6:AH$116,0),"")</f>
        <v>1</v>
      </c>
      <c r="AK23" s="26"/>
      <c r="AL23" s="26"/>
      <c r="AM23" s="50">
        <f>IF(DE23=0,"",DE23)</f>
        <v>2</v>
      </c>
      <c r="AN23" s="50"/>
      <c r="AO23" s="51">
        <f>IFERROR(_xlfn.RANK.EQ(AM23,AM$6:AM$116,0),"")</f>
        <v>5</v>
      </c>
      <c r="AP23" s="26"/>
      <c r="AQ23" s="26"/>
      <c r="AR23" s="50">
        <f>IF(DG23=0,"",DG23)</f>
        <v>8</v>
      </c>
      <c r="AS23" s="50"/>
      <c r="AT23" s="51">
        <f>IFERROR(_xlfn.RANK.EQ(AR23,AR$6:AR$116,0),"")</f>
        <v>7</v>
      </c>
      <c r="AU23" s="26"/>
      <c r="AV23" s="26"/>
      <c r="AW23" s="50" t="str">
        <f>IF(DI23=0,"",DI23)</f>
        <v/>
      </c>
      <c r="AX23" s="50"/>
      <c r="AY23" s="51" t="str">
        <f>IFERROR(_xlfn.RANK.EQ(AW23,AW$6:AW$116,0),"")</f>
        <v/>
      </c>
      <c r="AZ23" s="26"/>
      <c r="BA23" s="26"/>
      <c r="BB23" s="50">
        <f>IF(DK23=0,"",DK23)</f>
        <v>-20</v>
      </c>
      <c r="BC23" s="50"/>
      <c r="BD23" s="51">
        <f>IFERROR(_xlfn.RANK.EQ(BB23,BB$6:BB$116,0),"")</f>
        <v>11</v>
      </c>
      <c r="BE23" s="26"/>
      <c r="BF23" s="26"/>
      <c r="BG23" s="50">
        <f>IF(DM23=0,"",DM23)</f>
        <v>-11</v>
      </c>
      <c r="BH23" s="50"/>
      <c r="BI23" s="51">
        <f>IFERROR(_xlfn.RANK.EQ(BG23,BG$6:BG$116,0),"")</f>
        <v>13</v>
      </c>
      <c r="BJ23" s="26"/>
      <c r="BK23" s="26"/>
      <c r="BL23" s="50">
        <f>IF(DO23=0,"",DO23)</f>
        <v>2</v>
      </c>
      <c r="BM23" s="50"/>
      <c r="BN23" s="51">
        <f>IFERROR(_xlfn.RANK.EQ(BL23,BL$6:BL$116,0),"")</f>
        <v>7</v>
      </c>
      <c r="BO23" s="26"/>
      <c r="BP23" s="26"/>
      <c r="BQ23" s="50">
        <f>IF(DQ23=0,"",DQ23)</f>
        <v>-6</v>
      </c>
      <c r="BR23" s="50"/>
      <c r="BS23" s="51">
        <f>IFERROR(_xlfn.RANK.EQ(BQ23,BQ$6:BQ$116,0),"")</f>
        <v>9</v>
      </c>
      <c r="BT23" s="26"/>
      <c r="BU23" s="26"/>
      <c r="BV23" s="50">
        <f>IF(DS23=0,"",DS23)</f>
        <v>-7</v>
      </c>
      <c r="BW23" s="50"/>
      <c r="BX23" s="51">
        <f>IFERROR(_xlfn.RANK.EQ(BV23,BV$6:BV$116,0),"")</f>
        <v>9</v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27</v>
      </c>
      <c r="CT23" s="28">
        <f ca="1">IFERROR(AVERAGE(OFFSET('Data - For Rank'!B$2,K23,0,COUNTIF(K$6:K$116,K23)))+IFERROR(VLOOKUP((COUNT($I$6:$I$116)/4),$ER$9:$ES$13,2,FALSE()),0),"")</f>
        <v>17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21</v>
      </c>
      <c r="CX23" s="28">
        <f ca="1">IFERROR(AVERAGE(OFFSET('Data - For Rank'!D$2,U23,0,COUNTIF(U$6:$U131,U23)))+IFERROR(VLOOKUP((COUNT(S$6:S$116)/4),$ER$9:$ES$13,2,FALSE()),0),"")</f>
        <v>15</v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-20</v>
      </c>
      <c r="DB23" s="28">
        <f ca="1">IFERROR(AVERAGE(OFFSET('Data - For Rank'!F$2,AE23,0,COUNTIF(AE$6:AE$116,AE23)))+IFERROR(VLOOKUP((COUNT(AC$6:AC$116)/4),$ER$9:$ES$13,2,FALSE()),0),"")</f>
        <v>5</v>
      </c>
      <c r="DC23" s="27">
        <v>28</v>
      </c>
      <c r="DD23" s="28">
        <f ca="1">IFERROR(AVERAGE(OFFSET('Data - For Rank'!G$2,AJ23,0,COUNTIF(AJ$6:AJ$116,AJ23)))+IFERROR(VLOOKUP((COUNT(AH$6:AH$116)/4),$ER$9:$ES$13,2,FALSE()),0),"")</f>
        <v>18</v>
      </c>
      <c r="DE23" s="27">
        <v>2</v>
      </c>
      <c r="DF23" s="28">
        <f ca="1">IFERROR(AVERAGE(OFFSET('Data - For Rank'!$H$2,AO23,0,COUNTIF(AO$6:AO$116,AO23)))+IFERROR(VLOOKUP((COUNT(AM$6:AM$116)/4),$ER$9:$ES$13,2,FALSE()),0),"")</f>
        <v>11</v>
      </c>
      <c r="DG23" s="27">
        <v>8</v>
      </c>
      <c r="DH23" s="28">
        <f ca="1">IFERROR(AVERAGE(OFFSET('Data - For Rank'!$I$2,AT23,0,COUNTIF(AT$6:AT$116,AT23)))+IFERROR(VLOOKUP((COUNT(AR$6:AR$116)/4),$ER$9:$ES$13,2,FALSE()),0),"")</f>
        <v>12</v>
      </c>
      <c r="DI23" s="27"/>
      <c r="DJ23" s="28" t="str">
        <f ca="1">IFERROR(AVERAGE(OFFSET('Data - For Rank'!$J$2,AY23,0,COUNTIF(AY$6:AY$116,AY23)))+IFERROR(VLOOKUP((COUNT(AW$6:AW$116)/4),$ER$9:$ES$13,2,FALSE()),0),"")</f>
        <v/>
      </c>
      <c r="DK23" s="27">
        <v>-20</v>
      </c>
      <c r="DL23" s="28">
        <f ca="1">IFERROR(AVERAGE(OFFSET('Data - For Rank'!$K$2,BD23,0,COUNTIF(BD$6:BD$116,BD23)))+IFERROR(VLOOKUP((COUNT(BB$6:BB$116)/4),$ER$9:$ES$13,2,FALSE()),0),"")</f>
        <v>6</v>
      </c>
      <c r="DM23" s="27">
        <v>-11</v>
      </c>
      <c r="DN23" s="28">
        <f ca="1">IFERROR(AVERAGE(OFFSET('Data - For Rank'!$L$2,BI23,0,COUNTIF(BI$6:BI$116,BI23)))+IFERROR(VLOOKUP((COUNT(BG$6:BG$116)/4),$ER$9:$ES$13,2,FALSE()),0),"")</f>
        <v>6</v>
      </c>
      <c r="DO23" s="27">
        <v>2</v>
      </c>
      <c r="DP23" s="28">
        <f ca="1">IFERROR(AVERAGE(OFFSET('Data - For Rank'!$M$2,BN23,0,COUNTIF(BN$6:BN$116,BN23)))+IFERROR(VLOOKUP((COUNT(BL$6:BL$116)/4),$ER$9:$ES$13,2,FALSE()),0),"")</f>
        <v>12</v>
      </c>
      <c r="DQ23" s="27">
        <v>-6</v>
      </c>
      <c r="DR23" s="28">
        <f ca="1">IFERROR(AVERAGE(OFFSET('Data - For Rank'!$N$2,BS23,0,COUNTIF(BS$6:BS$116,BS23)))+IFERROR(VLOOKUP((COUNT(BQ$6:BQ$116)/4),$ER$9:$ES$13,2,FALSE()),0),"")</f>
        <v>8</v>
      </c>
      <c r="DS23" s="27">
        <v>-7</v>
      </c>
      <c r="DT23" s="28">
        <f ca="1">IFERROR(AVERAGE(OFFSET('Data - For Rank'!$O$2,BX23,0,COUNTIF(BX$6:BX$116,BX23)))+IFERROR(VLOOKUP((COUNT(BV$6:BV$116)/4),$ER$9:$ES$13,2,FALSE()),0),"")</f>
        <v>8</v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24</v>
      </c>
      <c r="ED23" s="30">
        <f t="shared" ca="1" si="0"/>
        <v>10.727272727272727</v>
      </c>
    </row>
    <row r="24" spans="2:151" x14ac:dyDescent="0.2">
      <c r="B24" s="7">
        <f ca="1">_xlfn.RANK.EQ(C24,$C$6:$C$63,)</f>
        <v>7</v>
      </c>
      <c r="C24" s="41">
        <f ca="1">EC24</f>
        <v>216</v>
      </c>
      <c r="D24" s="41" t="s">
        <v>116</v>
      </c>
      <c r="E24" s="31" t="s">
        <v>54</v>
      </c>
      <c r="F24" s="16">
        <f ca="1">COUNT(CT24,CV24,CX24,CZ24,DB24,DD24,DF24,DH24,DJ24,DL24,DN24,DP24,DR24,DT24,DV24,DX24,DZ24,EB24)</f>
        <v>10</v>
      </c>
      <c r="G24" s="47">
        <f ca="1">IF(CT24=0,"",CT24)</f>
        <v>18.5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>
        <f ca="1">IF(CX24=0,"",CX24)</f>
        <v>19</v>
      </c>
      <c r="R24" s="47"/>
      <c r="S24" s="47"/>
      <c r="U24" s="47"/>
      <c r="V24" s="47">
        <f ca="1">IF(CZ24=0,"",CZ24)</f>
        <v>17</v>
      </c>
      <c r="W24" s="47"/>
      <c r="X24" s="47"/>
      <c r="Z24" s="47"/>
      <c r="AA24" s="47" t="str">
        <f ca="1">IF(DB24=0,"",DB24)</f>
        <v/>
      </c>
      <c r="AB24" s="47"/>
      <c r="AC24" s="47"/>
      <c r="AE24" s="47"/>
      <c r="AF24" s="47" t="str">
        <f ca="1">IF(DD24=0,"",DD24)</f>
        <v/>
      </c>
      <c r="AG24" s="47"/>
      <c r="AH24" s="47"/>
      <c r="AJ24" s="47"/>
      <c r="AK24" s="47">
        <f ca="1">IF(DF24=0,"",DF24)</f>
        <v>22</v>
      </c>
      <c r="AL24" s="47"/>
      <c r="AM24" s="47"/>
      <c r="AO24" s="47"/>
      <c r="AP24" s="47" t="str">
        <f ca="1">IF(DH24=0,"",DH24)</f>
        <v/>
      </c>
      <c r="AQ24" s="47"/>
      <c r="AR24" s="47"/>
      <c r="AT24" s="47"/>
      <c r="AU24" s="47">
        <f ca="1">IF(DJ24=0,"",DJ24)</f>
        <v>15</v>
      </c>
      <c r="AV24" s="47"/>
      <c r="AW24" s="47"/>
      <c r="AY24" s="47"/>
      <c r="AZ24" s="47">
        <f ca="1">IF(DL24=0,"",DL24)</f>
        <v>29.5</v>
      </c>
      <c r="BA24" s="47"/>
      <c r="BB24" s="47"/>
      <c r="BD24" s="47"/>
      <c r="BE24" s="47">
        <f ca="1">IF(DN24=0,"",DN24)</f>
        <v>16</v>
      </c>
      <c r="BF24" s="47"/>
      <c r="BG24" s="47"/>
      <c r="BI24" s="47"/>
      <c r="BJ24" s="47">
        <f ca="1">IF(DP24=0,"",DP24)</f>
        <v>31</v>
      </c>
      <c r="BK24" s="47"/>
      <c r="BL24" s="47"/>
      <c r="BN24" s="47"/>
      <c r="BO24" s="47">
        <f ca="1">IF(DR24=0,"",DR24)</f>
        <v>29</v>
      </c>
      <c r="BP24" s="47"/>
      <c r="BQ24" s="47"/>
      <c r="BS24" s="47"/>
      <c r="BT24" s="47">
        <f ca="1">IF(DT24=0,"",DT24)</f>
        <v>19</v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89</v>
      </c>
      <c r="CT24" s="18">
        <f ca="1">IFERROR(CT25+CT26,"")</f>
        <v>18.5</v>
      </c>
      <c r="CU24" s="17"/>
      <c r="CV24" s="18" t="str">
        <f ca="1">IFERROR(CV25+CV26,"")</f>
        <v/>
      </c>
      <c r="CW24" s="17">
        <v>91</v>
      </c>
      <c r="CX24" s="18">
        <f ca="1">IFERROR(CX25+CX26,"")</f>
        <v>19</v>
      </c>
      <c r="CY24" s="17">
        <v>93</v>
      </c>
      <c r="CZ24" s="18">
        <f ca="1">IFERROR(CZ25+CZ26,"")</f>
        <v>17</v>
      </c>
      <c r="DA24" s="17"/>
      <c r="DB24" s="18" t="str">
        <f ca="1">IFERROR(DB25+DB26,"")</f>
        <v/>
      </c>
      <c r="DC24" s="17"/>
      <c r="DD24" s="18" t="str">
        <f ca="1">IFERROR(DD25+DD26,"")</f>
        <v/>
      </c>
      <c r="DE24" s="17">
        <v>80</v>
      </c>
      <c r="DF24" s="18">
        <f ca="1">IFERROR(DF25+DF26,"")</f>
        <v>22</v>
      </c>
      <c r="DG24" s="17"/>
      <c r="DH24" s="18" t="str">
        <f ca="1">IFERROR(DH25+DH26,"")</f>
        <v/>
      </c>
      <c r="DI24" s="17">
        <v>89</v>
      </c>
      <c r="DJ24" s="18">
        <f ca="1">IFERROR(DJ25+DJ26,"")</f>
        <v>15</v>
      </c>
      <c r="DK24" s="17">
        <v>81</v>
      </c>
      <c r="DL24" s="18">
        <f ca="1">IFERROR(DL25+DL26,"")</f>
        <v>29.5</v>
      </c>
      <c r="DM24" s="17">
        <v>87</v>
      </c>
      <c r="DN24" s="18">
        <f ca="1">IFERROR(DN25+DN26,"")</f>
        <v>16</v>
      </c>
      <c r="DO24" s="17">
        <v>89</v>
      </c>
      <c r="DP24" s="18">
        <f ca="1">IFERROR(DP25+DP26,"")</f>
        <v>31</v>
      </c>
      <c r="DQ24" s="17">
        <v>76</v>
      </c>
      <c r="DR24" s="18">
        <f ca="1">IFERROR(DR25+DR26,"")</f>
        <v>29</v>
      </c>
      <c r="DS24" s="17">
        <v>90</v>
      </c>
      <c r="DT24" s="18">
        <f ca="1">IFERROR(DT25+DT26,"")</f>
        <v>19</v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216</v>
      </c>
      <c r="ED24" s="19">
        <f t="shared" ca="1" si="0"/>
        <v>21.6</v>
      </c>
      <c r="EM24" s="55" t="s">
        <v>98</v>
      </c>
    </row>
    <row r="25" spans="2:151" s="1" customFormat="1" outlineLevel="1" x14ac:dyDescent="0.2">
      <c r="B25" s="20">
        <f ca="1">B24+0.112</f>
        <v>7.1120000000000001</v>
      </c>
      <c r="D25" s="54" t="s">
        <v>117</v>
      </c>
      <c r="E25" s="21" t="s">
        <v>41</v>
      </c>
      <c r="F25" s="21"/>
      <c r="G25" s="21"/>
      <c r="H25" s="21">
        <f>IF(CS25=0,"",CS25)</f>
        <v>33</v>
      </c>
      <c r="I25" s="21"/>
      <c r="J25" s="47">
        <f>IFERROR(RANK(H25,H$6:H$116,0),"")</f>
        <v>4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>
        <f>IF(CW25=0,"",CW25)</f>
        <v>33</v>
      </c>
      <c r="S25" s="21"/>
      <c r="T25" s="47">
        <f>IFERROR(RANK(R25,R$6:R$116,0),"")</f>
        <v>5</v>
      </c>
      <c r="U25" s="21"/>
      <c r="V25" s="21"/>
      <c r="W25" s="21">
        <f>IF(CY25=0,"",CY25)</f>
        <v>26</v>
      </c>
      <c r="X25" s="21"/>
      <c r="Y25" s="47">
        <f>IFERROR(RANK(W25,W$6:W$116,0),"")</f>
        <v>8</v>
      </c>
      <c r="Z25" s="21"/>
      <c r="AA25" s="21"/>
      <c r="AB25" s="21" t="str">
        <f>IF(DA25=0,"",DA25)</f>
        <v/>
      </c>
      <c r="AC25" s="21"/>
      <c r="AD25" s="47" t="str">
        <f>IFERROR(RANK(AB25,AB$6:AB$116,0),"")</f>
        <v/>
      </c>
      <c r="AE25" s="21"/>
      <c r="AF25" s="21"/>
      <c r="AG25" s="21" t="str">
        <f>IF(DC25=0,"",DC25)</f>
        <v/>
      </c>
      <c r="AH25" s="21"/>
      <c r="AI25" s="47" t="str">
        <f>IFERROR(RANK(AG25,AG$6:AG$116,0),"")</f>
        <v/>
      </c>
      <c r="AJ25" s="21"/>
      <c r="AK25" s="21"/>
      <c r="AL25" s="21">
        <f>IF(DE25=0,"",DE25)</f>
        <v>39</v>
      </c>
      <c r="AM25" s="21"/>
      <c r="AN25" s="47">
        <f>IFERROR(RANK(AL25,AL$6:AL$116,0),"")</f>
        <v>1</v>
      </c>
      <c r="AO25" s="21"/>
      <c r="AP25" s="21"/>
      <c r="AQ25" s="21" t="str">
        <f>IF(DG25=0,"",DG25)</f>
        <v/>
      </c>
      <c r="AR25" s="21"/>
      <c r="AS25" s="47" t="str">
        <f>IFERROR(RANK(AQ25,AQ$6:AQ$116,0),"")</f>
        <v/>
      </c>
      <c r="AT25" s="21"/>
      <c r="AU25" s="21"/>
      <c r="AV25" s="21">
        <f>IF(DI25=0,"",DI25)</f>
        <v>34</v>
      </c>
      <c r="AW25" s="21"/>
      <c r="AX25" s="47">
        <f>IFERROR(RANK(AV25,AV$6:AV$116,0),"")</f>
        <v>7</v>
      </c>
      <c r="AY25" s="21"/>
      <c r="AZ25" s="21"/>
      <c r="BA25" s="21">
        <f>IF(DK25=0,"",DK25)</f>
        <v>37</v>
      </c>
      <c r="BB25" s="21"/>
      <c r="BC25" s="47">
        <f>IFERROR(RANK(BA25,BA$6:BA$116,0),"")</f>
        <v>1</v>
      </c>
      <c r="BD25" s="21"/>
      <c r="BE25" s="21"/>
      <c r="BF25" s="21">
        <f>IF(DM25=0,"",DM25)</f>
        <v>35</v>
      </c>
      <c r="BG25" s="21"/>
      <c r="BH25" s="47">
        <f>IFERROR(RANK(BF25,BF$6:BF$116,0),"")</f>
        <v>10</v>
      </c>
      <c r="BI25" s="21"/>
      <c r="BJ25" s="21"/>
      <c r="BK25" s="21">
        <f>IF(DO25=0,"",DO25)</f>
        <v>34</v>
      </c>
      <c r="BL25" s="21"/>
      <c r="BM25" s="47">
        <f>IFERROR(RANK(BK25,BK$6:BK$116,0),"")</f>
        <v>5</v>
      </c>
      <c r="BN25" s="21"/>
      <c r="BO25" s="21"/>
      <c r="BP25" s="21">
        <f>IF(DQ25=0,"",DQ25)</f>
        <v>42</v>
      </c>
      <c r="BQ25" s="21"/>
      <c r="BR25" s="47">
        <f>IFERROR(RANK(BP25,BP$6:BP$116,0),"")</f>
        <v>1</v>
      </c>
      <c r="BS25" s="21"/>
      <c r="BT25" s="21"/>
      <c r="BU25" s="21">
        <f>IF(DS25=0,"",DS25)</f>
        <v>29</v>
      </c>
      <c r="BV25" s="21"/>
      <c r="BW25" s="47">
        <f>IFERROR(RANK(BU25,BU$6:BU$116,0),"")</f>
        <v>11</v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33</v>
      </c>
      <c r="CX25" s="22">
        <f ca="1">IFERROR(AVERAGE(OFFSET('Data - For Rank'!D$2,T25,0,COUNTIF(T$7:T$116,T25)))+IFERROR(VLOOKUP((COUNT(R$6:R$116)/4),$ER$9:$ES$13,2,FALSE()),0),"")</f>
        <v>12</v>
      </c>
      <c r="CY25" s="17">
        <v>26</v>
      </c>
      <c r="CZ25" s="22">
        <f ca="1">IFERROR(AVERAGE(OFFSET('Data - For Rank'!E$2,Y25,0,COUNTIF(Y$7:Y$116,Y25)))+IFERROR(VLOOKUP((COUNT(W$6:W$116)/4),$ER$9:$ES$13,2,FALSE()),0),"")</f>
        <v>7</v>
      </c>
      <c r="DA25" s="17"/>
      <c r="DB25" s="22" t="str">
        <f ca="1">IFERROR(AVERAGE(OFFSET('Data - For Rank'!F$2,AD25,0,COUNTIF(AD$7:AD$116,AD25)))+IFERROR(VLOOKUP((COUNT(AB$6:AB$116)/4),$ER$9:$ES$13,2,FALSE()),0),"")</f>
        <v/>
      </c>
      <c r="DC25" s="17"/>
      <c r="DD25" s="22" t="str">
        <f ca="1">IFERROR(AVERAGE(OFFSET('Data - For Rank'!G$2,AI25,0,COUNTIF(AI$7:AI$116,AI25)))+IFERROR(VLOOKUP((COUNT(AG$6:AG$116)/4),$ER$9:$ES$13,2,FALSE()),0),"")</f>
        <v/>
      </c>
      <c r="DE25" s="17">
        <v>39</v>
      </c>
      <c r="DF25" s="22">
        <f ca="1">IFERROR(AVERAGE(OFFSET('Data - For Rank'!$H$2,AN25,0,COUNTIF(AN$7:AN$116,AN25)))+IFERROR(VLOOKUP((COUNT(AL$6:AL$116)/4),$ER$9:$ES$13,2,FALSE()),0),"")</f>
        <v>15.5</v>
      </c>
      <c r="DG25" s="17"/>
      <c r="DH25" s="22" t="str">
        <f ca="1">IFERROR(AVERAGE(OFFSET('Data - For Rank'!$I$2,AS25,0,COUNTIF(AS$7:AS$116,AS25)))+IFERROR(VLOOKUP((COUNT(AQ$6:AQ$116)/4),$ER$9:$ES$13,2,FALSE()),0),"")</f>
        <v/>
      </c>
      <c r="DI25" s="17">
        <v>34</v>
      </c>
      <c r="DJ25" s="22">
        <f ca="1">IFERROR(AVERAGE(OFFSET('Data - For Rank'!$J$2,AX25,0,COUNTIF(AX$7:AX$116,AX25)))+IFERROR(VLOOKUP((COUNT(AV$6:AV$116)/4),$ER$9:$ES$13,2,FALSE()),0),"")</f>
        <v>11</v>
      </c>
      <c r="DK25" s="17">
        <v>37</v>
      </c>
      <c r="DL25" s="22">
        <f ca="1">IFERROR(AVERAGE(OFFSET('Data - For Rank'!$K$2,BC25,0,COUNTIF(BC$7:BC$116,BC25)))+IFERROR(VLOOKUP((COUNT(BA$6:BA$116)/4),$ER$9:$ES$13,2,FALSE()),0),"")</f>
        <v>15.5</v>
      </c>
      <c r="DM25" s="17">
        <v>35</v>
      </c>
      <c r="DN25" s="22">
        <f ca="1">IFERROR(AVERAGE(OFFSET('Data - For Rank'!$L$2,BH25,0,COUNTIF(BH$7:BH$116,BH25)))+IFERROR(VLOOKUP((COUNT(BF$6:BF$116)/4),$ER$9:$ES$13,2,FALSE()),0),"")</f>
        <v>9</v>
      </c>
      <c r="DO25" s="17">
        <v>34</v>
      </c>
      <c r="DP25" s="22">
        <f ca="1">IFERROR(AVERAGE(OFFSET('Data - For Rank'!$M$2,BM25,0,COUNTIF(BM$7:BM$116,BM25)))+IFERROR(VLOOKUP((COUNT(BK$6:BK$116)/4),$ER$9:$ES$13,2,FALSE()),0),"")</f>
        <v>14</v>
      </c>
      <c r="DQ25" s="17">
        <v>42</v>
      </c>
      <c r="DR25" s="22">
        <f ca="1">IFERROR(AVERAGE(OFFSET('Data - For Rank'!$N$2,BR25,0,COUNTIF(BR$7:BR$116,BR25)))+IFERROR(VLOOKUP((COUNT(BP$6:BP$116)/4),$ER$9:$ES$13,2,FALSE()),0),"")</f>
        <v>16</v>
      </c>
      <c r="DS25" s="17">
        <v>29</v>
      </c>
      <c r="DT25" s="22">
        <f ca="1">IFERROR(AVERAGE(OFFSET('Data - For Rank'!$O$2,BW25,0,COUNTIF(BW$7:BW$116,BW25)))+IFERROR(VLOOKUP((COUNT(BU$6:BU$116)/4),$ER$9:$ES$13,2,FALSE()),0),"")</f>
        <v>6</v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34.200000000000003</v>
      </c>
      <c r="ED25" s="19">
        <f t="shared" ca="1" si="0"/>
        <v>12.05</v>
      </c>
      <c r="EF25" s="22"/>
    </row>
    <row r="26" spans="2:151" s="1" customFormat="1" outlineLevel="1" x14ac:dyDescent="0.2">
      <c r="B26" s="24">
        <f ca="1">B24+0.0212</f>
        <v>7.0212000000000003</v>
      </c>
      <c r="D26" s="54" t="s">
        <v>118</v>
      </c>
      <c r="E26" s="34" t="s">
        <v>42</v>
      </c>
      <c r="F26" s="26">
        <f ca="1">IF(COUNT(G24:CN24)&gt;10,SMALL(G24:CN24,COUNT(G24:CN24)-9),MIN(G24:CN24))</f>
        <v>15</v>
      </c>
      <c r="G26" s="26"/>
      <c r="H26" s="26"/>
      <c r="I26" s="50">
        <f>IF(CS26=0,"",CS26)</f>
        <v>-15</v>
      </c>
      <c r="J26" s="50"/>
      <c r="K26" s="51">
        <f>IFERROR(_xlfn.RANK.EQ(I26,I$6:I$116,0),"")</f>
        <v>15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>
        <f>IF(CW26=0,"",CW26)</f>
        <v>-12</v>
      </c>
      <c r="T26" s="50"/>
      <c r="U26" s="51">
        <f>IFERROR(_xlfn.RANK.EQ(S26,S$6:S$116,0),"")</f>
        <v>10</v>
      </c>
      <c r="V26" s="26"/>
      <c r="W26" s="26"/>
      <c r="X26" s="50">
        <f>IF(CY26=0,"",CY26)</f>
        <v>-13</v>
      </c>
      <c r="Y26" s="50"/>
      <c r="Z26" s="51">
        <f>IFERROR(_xlfn.RANK.EQ(X26,X$6:X$116,0),"")</f>
        <v>5</v>
      </c>
      <c r="AA26" s="26"/>
      <c r="AB26" s="26"/>
      <c r="AC26" s="50" t="str">
        <f>IF(DA26=0,"",DA26)</f>
        <v/>
      </c>
      <c r="AD26" s="50"/>
      <c r="AE26" s="51" t="str">
        <f>IFERROR(_xlfn.RANK.EQ(AC26,AC$6:AC$116,0),"")</f>
        <v/>
      </c>
      <c r="AF26" s="26"/>
      <c r="AG26" s="26"/>
      <c r="AH26" s="50" t="str">
        <f>IF(DC26=0,"",DC26)</f>
        <v/>
      </c>
      <c r="AI26" s="50"/>
      <c r="AJ26" s="51" t="str">
        <f>IFERROR(_xlfn.RANK.EQ(AH26,AH$6:AH$116,0),"")</f>
        <v/>
      </c>
      <c r="AK26" s="26"/>
      <c r="AL26" s="26"/>
      <c r="AM26" s="50">
        <f>IF(DE26=0,"",DE26)</f>
        <v>-8</v>
      </c>
      <c r="AN26" s="50"/>
      <c r="AO26" s="51">
        <f>IFERROR(_xlfn.RANK.EQ(AM26,AM$6:AM$116,0),"")</f>
        <v>10</v>
      </c>
      <c r="AP26" s="26"/>
      <c r="AQ26" s="26"/>
      <c r="AR26" s="50" t="str">
        <f>IF(DG26=0,"",DG26)</f>
        <v/>
      </c>
      <c r="AS26" s="50"/>
      <c r="AT26" s="51" t="str">
        <f>IFERROR(_xlfn.RANK.EQ(AR26,AR$6:AR$116,0),"")</f>
        <v/>
      </c>
      <c r="AU26" s="26"/>
      <c r="AV26" s="26"/>
      <c r="AW26" s="50">
        <f>IF(DI26=0,"",DI26)</f>
        <v>-21</v>
      </c>
      <c r="AX26" s="50"/>
      <c r="AY26" s="51">
        <f>IFERROR(_xlfn.RANK.EQ(AW26,AW$6:AW$116,0),"")</f>
        <v>15</v>
      </c>
      <c r="AZ26" s="26"/>
      <c r="BA26" s="26"/>
      <c r="BB26" s="50">
        <f>IF(DK26=0,"",DK26)</f>
        <v>16</v>
      </c>
      <c r="BC26" s="50"/>
      <c r="BD26" s="51">
        <f>IFERROR(_xlfn.RANK.EQ(BB26,BB$6:BB$116,0),"")</f>
        <v>2</v>
      </c>
      <c r="BE26" s="26"/>
      <c r="BF26" s="26"/>
      <c r="BG26" s="50">
        <f>IF(DM26=0,"",DM26)</f>
        <v>-10</v>
      </c>
      <c r="BH26" s="50"/>
      <c r="BI26" s="51">
        <f>IFERROR(_xlfn.RANK.EQ(BG26,BG$6:BG$116,0),"")</f>
        <v>12</v>
      </c>
      <c r="BJ26" s="26"/>
      <c r="BK26" s="26"/>
      <c r="BL26" s="50">
        <f>IF(DO26=0,"",DO26)</f>
        <v>22</v>
      </c>
      <c r="BM26" s="50"/>
      <c r="BN26" s="51">
        <f>IFERROR(_xlfn.RANK.EQ(BL26,BL$6:BL$116,0),"")</f>
        <v>2</v>
      </c>
      <c r="BO26" s="26"/>
      <c r="BP26" s="26"/>
      <c r="BQ26" s="50">
        <f>IF(DQ26=0,"",DQ26)</f>
        <v>12</v>
      </c>
      <c r="BR26" s="50"/>
      <c r="BS26" s="51">
        <f>IFERROR(_xlfn.RANK.EQ(BQ26,BQ$6:BQ$116,0),"")</f>
        <v>4</v>
      </c>
      <c r="BT26" s="26"/>
      <c r="BU26" s="26"/>
      <c r="BV26" s="50">
        <f>IF(DS26=0,"",DS26)</f>
        <v>5</v>
      </c>
      <c r="BW26" s="50"/>
      <c r="BX26" s="51">
        <f>IFERROR(_xlfn.RANK.EQ(BV26,BV$6:BV$116,0),"")</f>
        <v>4</v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-15</v>
      </c>
      <c r="CT26" s="28">
        <f ca="1">IFERROR(AVERAGE(OFFSET('Data - For Rank'!B$2,K26,0,COUNTIF(K$6:K$116,K26)))+IFERROR(VLOOKUP((COUNT($I$6:$I$116)/4),$ER$9:$ES$13,2,FALSE()),0),"")</f>
        <v>4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-12</v>
      </c>
      <c r="CX26" s="28">
        <f ca="1">IFERROR(AVERAGE(OFFSET('Data - For Rank'!D$2,U26,0,COUNTIF(U$6:$U134,U26)))+IFERROR(VLOOKUP((COUNT(S$6:S$116)/4),$ER$9:$ES$13,2,FALSE()),0),"")</f>
        <v>7</v>
      </c>
      <c r="CY26" s="27">
        <v>-13</v>
      </c>
      <c r="CZ26" s="28">
        <f ca="1">IFERROR(AVERAGE(OFFSET('Data - For Rank'!E$2,Z26,0,COUNTIF(Z$6:Z$116,Z26)))+IFERROR(VLOOKUP((COUNT(W$6:W$116)/4),$ER$9:$ES$13,2,FALSE()),0),"")</f>
        <v>10</v>
      </c>
      <c r="DA26" s="27"/>
      <c r="DB26" s="28" t="str">
        <f ca="1">IFERROR(AVERAGE(OFFSET('Data - For Rank'!F$2,AE26,0,COUNTIF(AE$6:AE$116,AE26)))+IFERROR(VLOOKUP((COUNT(AC$6:AC$116)/4),$ER$9:$ES$13,2,FALSE()),0),"")</f>
        <v/>
      </c>
      <c r="DC26" s="27"/>
      <c r="DD26" s="28" t="str">
        <f ca="1">IFERROR(AVERAGE(OFFSET('Data - For Rank'!G$2,AJ26,0,COUNTIF(AJ$6:AJ$116,AJ26)))+IFERROR(VLOOKUP((COUNT(AH$6:AH$116)/4),$ER$9:$ES$13,2,FALSE()),0),"")</f>
        <v/>
      </c>
      <c r="DE26" s="27">
        <v>-8</v>
      </c>
      <c r="DF26" s="28">
        <f ca="1">IFERROR(AVERAGE(OFFSET('Data - For Rank'!$H$2,AO26,0,COUNTIF(AO$6:AO$116,AO26)))+IFERROR(VLOOKUP((COUNT(AM$6:AM$116)/4),$ER$9:$ES$13,2,FALSE()),0),"")</f>
        <v>6.5</v>
      </c>
      <c r="DG26" s="27"/>
      <c r="DH26" s="28" t="str">
        <f ca="1">IFERROR(AVERAGE(OFFSET('Data - For Rank'!$I$2,AT26,0,COUNTIF(AT$6:AT$116,AT26)))+IFERROR(VLOOKUP((COUNT(AR$6:AR$116)/4),$ER$9:$ES$13,2,FALSE()),0),"")</f>
        <v/>
      </c>
      <c r="DI26" s="27">
        <v>-21</v>
      </c>
      <c r="DJ26" s="28">
        <f ca="1">IFERROR(AVERAGE(OFFSET('Data - For Rank'!$J$2,AY26,0,COUNTIF(AY$6:AY$116,AY26)))+IFERROR(VLOOKUP((COUNT(AW$6:AW$116)/4),$ER$9:$ES$13,2,FALSE()),0),"")</f>
        <v>4</v>
      </c>
      <c r="DK26" s="27">
        <v>16</v>
      </c>
      <c r="DL26" s="28">
        <f ca="1">IFERROR(AVERAGE(OFFSET('Data - For Rank'!$K$2,BD26,0,COUNTIF(BD$6:BD$116,BD26)))+IFERROR(VLOOKUP((COUNT(BB$6:BB$116)/4),$ER$9:$ES$13,2,FALSE()),0),"")</f>
        <v>14</v>
      </c>
      <c r="DM26" s="27">
        <v>-10</v>
      </c>
      <c r="DN26" s="28">
        <f ca="1">IFERROR(AVERAGE(OFFSET('Data - For Rank'!$L$2,BI26,0,COUNTIF(BI$6:BI$116,BI26)))+IFERROR(VLOOKUP((COUNT(BG$6:BG$116)/4),$ER$9:$ES$13,2,FALSE()),0),"")</f>
        <v>7</v>
      </c>
      <c r="DO26" s="27">
        <v>22</v>
      </c>
      <c r="DP26" s="28">
        <f ca="1">IFERROR(AVERAGE(OFFSET('Data - For Rank'!$M$2,BN26,0,COUNTIF(BN$6:BN$116,BN26)))+IFERROR(VLOOKUP((COUNT(BL$6:BL$116)/4),$ER$9:$ES$13,2,FALSE()),0),"")</f>
        <v>17</v>
      </c>
      <c r="DQ26" s="27">
        <v>12</v>
      </c>
      <c r="DR26" s="28">
        <f ca="1">IFERROR(AVERAGE(OFFSET('Data - For Rank'!$N$2,BS26,0,COUNTIF(BS$6:BS$116,BS26)))+IFERROR(VLOOKUP((COUNT(BQ$6:BQ$116)/4),$ER$9:$ES$13,2,FALSE()),0),"")</f>
        <v>13</v>
      </c>
      <c r="DS26" s="27">
        <v>5</v>
      </c>
      <c r="DT26" s="28">
        <f ca="1">IFERROR(AVERAGE(OFFSET('Data - For Rank'!$O$2,BX26,0,COUNTIF(BX$6:BX$116,BX26)))+IFERROR(VLOOKUP((COUNT(BV$6:BV$116)/4),$ER$9:$ES$13,2,FALSE()),0),"")</f>
        <v>13</v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-24</v>
      </c>
      <c r="ED26" s="30">
        <f t="shared" ca="1" si="0"/>
        <v>9.5500000000000007</v>
      </c>
    </row>
    <row r="27" spans="2:151" x14ac:dyDescent="0.2">
      <c r="B27" s="7">
        <f ca="1">_xlfn.RANK.EQ(C27,$C$6:$C$63,)</f>
        <v>8</v>
      </c>
      <c r="C27" s="41">
        <f ca="1">EC27</f>
        <v>205</v>
      </c>
      <c r="D27" s="41" t="s">
        <v>67</v>
      </c>
      <c r="E27" s="15" t="s">
        <v>40</v>
      </c>
      <c r="F27" s="16">
        <f ca="1">COUNT(CT27,CV27,CX27,CZ27,DB27,DD27,DF27,DH27,DJ27,DL27,DN27,DP27,DR27,DT27,DV27,DX27,DZ27,EB27)</f>
        <v>9</v>
      </c>
      <c r="G27" s="47">
        <f ca="1">IF(CT27=0,"",CT27)</f>
        <v>20.5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31</v>
      </c>
      <c r="R27" s="47"/>
      <c r="S27" s="47"/>
      <c r="U27" s="47"/>
      <c r="V27" s="47">
        <f ca="1">IF(CZ27=0,"",CZ27)</f>
        <v>26.5</v>
      </c>
      <c r="W27" s="47"/>
      <c r="X27" s="47"/>
      <c r="Z27" s="47"/>
      <c r="AA27" s="47">
        <f ca="1">IF(DB27=0,"",DB27)</f>
        <v>26.5</v>
      </c>
      <c r="AB27" s="47"/>
      <c r="AC27" s="47"/>
      <c r="AE27" s="47"/>
      <c r="AF27" s="47">
        <f ca="1">IF(DD27=0,"",DD27)</f>
        <v>23.5</v>
      </c>
      <c r="AG27" s="47"/>
      <c r="AH27" s="47"/>
      <c r="AJ27" s="47"/>
      <c r="AK27" s="47">
        <f ca="1">IF(DF27=0,"",DF27)</f>
        <v>25.5</v>
      </c>
      <c r="AL27" s="47"/>
      <c r="AM27" s="47"/>
      <c r="AO27" s="47"/>
      <c r="AP27" s="47">
        <f ca="1">IF(DH27=0,"",DH27)</f>
        <v>25.5</v>
      </c>
      <c r="AQ27" s="47"/>
      <c r="AR27" s="47"/>
      <c r="AT27" s="47"/>
      <c r="AU27" s="47">
        <f ca="1">IF(DJ27=0,"",DJ27)</f>
        <v>14</v>
      </c>
      <c r="AV27" s="47"/>
      <c r="AW27" s="47"/>
      <c r="AY27" s="47"/>
      <c r="AZ27" s="47" t="str">
        <f ca="1">IF(DL27=0,"",DL27)</f>
        <v/>
      </c>
      <c r="BA27" s="47"/>
      <c r="BB27" s="47"/>
      <c r="BD27" s="47"/>
      <c r="BE27" s="47">
        <f ca="1">IF(DN27=0,"",DN27)</f>
        <v>12</v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84</v>
      </c>
      <c r="CT27" s="18">
        <f ca="1">IFERROR(CT28+CT29,"")</f>
        <v>20.5</v>
      </c>
      <c r="CU27" s="17"/>
      <c r="CV27" s="18" t="str">
        <f ca="1">IFERROR(CV28+CV29,"")</f>
        <v/>
      </c>
      <c r="CW27" s="17">
        <v>79</v>
      </c>
      <c r="CX27" s="18">
        <f ca="1">IFERROR(CX28+CX29,"")</f>
        <v>31</v>
      </c>
      <c r="CY27" s="17">
        <v>82</v>
      </c>
      <c r="CZ27" s="18">
        <f ca="1">IFERROR(CZ28+CZ29,"")</f>
        <v>26.5</v>
      </c>
      <c r="DA27" s="17">
        <v>86</v>
      </c>
      <c r="DB27" s="18">
        <f ca="1">IFERROR(DB28+DB29,"")</f>
        <v>26.5</v>
      </c>
      <c r="DC27" s="17">
        <v>84</v>
      </c>
      <c r="DD27" s="18">
        <f ca="1">IFERROR(DD28+DD29,"")</f>
        <v>23.5</v>
      </c>
      <c r="DE27" s="17">
        <v>80</v>
      </c>
      <c r="DF27" s="18">
        <f ca="1">IFERROR(DF28+DF29,"")</f>
        <v>25.5</v>
      </c>
      <c r="DG27" s="17">
        <v>83</v>
      </c>
      <c r="DH27" s="18">
        <f ca="1">IFERROR(DH28+DH29,"")</f>
        <v>25.5</v>
      </c>
      <c r="DI27" s="17">
        <v>96</v>
      </c>
      <c r="DJ27" s="18">
        <f ca="1">IFERROR(DJ28+DJ29,"")</f>
        <v>14</v>
      </c>
      <c r="DK27" s="17"/>
      <c r="DL27" s="18" t="str">
        <f ca="1">IFERROR(DL28+DL29,"")</f>
        <v/>
      </c>
      <c r="DM27" s="17">
        <v>89</v>
      </c>
      <c r="DN27" s="18">
        <f ca="1">IFERROR(DN28+DN29,"")</f>
        <v>12</v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205</v>
      </c>
      <c r="ED27" s="19">
        <f t="shared" ca="1" si="0"/>
        <v>22.777777777777779</v>
      </c>
      <c r="ET27" s="54"/>
      <c r="EU27" s="54"/>
    </row>
    <row r="28" spans="2:151" s="1" customFormat="1" outlineLevel="1" x14ac:dyDescent="0.2">
      <c r="B28" s="20">
        <f ca="1">B27+0.11</f>
        <v>8.11</v>
      </c>
      <c r="D28" s="61" t="s">
        <v>68</v>
      </c>
      <c r="E28" s="21" t="s">
        <v>41</v>
      </c>
      <c r="F28" s="21"/>
      <c r="G28" s="21"/>
      <c r="H28" s="21">
        <f>IF(CS28=0,"",CS28)</f>
        <v>32</v>
      </c>
      <c r="I28" s="21"/>
      <c r="J28" s="47">
        <f>IFERROR(RANK(H28,H$6:H$116,0),"")</f>
        <v>6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39</v>
      </c>
      <c r="S28" s="21"/>
      <c r="T28" s="47">
        <f>IFERROR(RANK(R28,R$6:R$116,0),"")</f>
        <v>2</v>
      </c>
      <c r="U28" s="21"/>
      <c r="V28" s="21"/>
      <c r="W28" s="21">
        <f>IF(CY28=0,"",CY28)</f>
        <v>32</v>
      </c>
      <c r="X28" s="21"/>
      <c r="Y28" s="47">
        <f>IFERROR(RANK(W28,W$6:W$116,0),"")</f>
        <v>2</v>
      </c>
      <c r="Z28" s="21"/>
      <c r="AA28" s="21"/>
      <c r="AB28" s="21">
        <f>IF(DA28=0,"",DA28)</f>
        <v>30</v>
      </c>
      <c r="AC28" s="21"/>
      <c r="AD28" s="47">
        <f>IFERROR(RANK(AB28,AB$6:AB$116,0),"")</f>
        <v>10</v>
      </c>
      <c r="AE28" s="21"/>
      <c r="AF28" s="21"/>
      <c r="AG28" s="21">
        <f>IF(DC28=0,"",DC28)</f>
        <v>34</v>
      </c>
      <c r="AH28" s="21"/>
      <c r="AI28" s="47">
        <f>IFERROR(RANK(AG28,AG$6:AG$116,0),"")</f>
        <v>7</v>
      </c>
      <c r="AJ28" s="21"/>
      <c r="AK28" s="21"/>
      <c r="AL28" s="21">
        <f>IF(DE28=0,"",DE28)</f>
        <v>34</v>
      </c>
      <c r="AM28" s="21"/>
      <c r="AN28" s="47">
        <f>IFERROR(RANK(AL28,AL$6:AL$116,0),"")</f>
        <v>5</v>
      </c>
      <c r="AO28" s="21"/>
      <c r="AP28" s="21"/>
      <c r="AQ28" s="21">
        <f>IF(DG28=0,"",DG28)</f>
        <v>33</v>
      </c>
      <c r="AR28" s="21"/>
      <c r="AS28" s="47">
        <f>IFERROR(RANK(AQ28,AQ$6:AQ$116,0),"")</f>
        <v>7</v>
      </c>
      <c r="AT28" s="21"/>
      <c r="AU28" s="21"/>
      <c r="AV28" s="21">
        <f>IF(DI28=0,"",DI28)</f>
        <v>23</v>
      </c>
      <c r="AW28" s="21"/>
      <c r="AX28" s="47">
        <f>IFERROR(RANK(AV28,AV$6:AV$116,0),"")</f>
        <v>16</v>
      </c>
      <c r="AY28" s="21"/>
      <c r="AZ28" s="21"/>
      <c r="BA28" s="21" t="str">
        <f>IF(DK28=0,"",DK28)</f>
        <v/>
      </c>
      <c r="BB28" s="21"/>
      <c r="BC28" s="47" t="str">
        <f>IFERROR(RANK(BA28,BA$6:BA$116,0),"")</f>
        <v/>
      </c>
      <c r="BD28" s="21"/>
      <c r="BE28" s="21"/>
      <c r="BF28" s="21">
        <f>IF(DM28=0,"",DM28)</f>
        <v>27</v>
      </c>
      <c r="BG28" s="21"/>
      <c r="BH28" s="47">
        <f>IFERROR(RANK(BF28,BF$6:BF$116,0),"")</f>
        <v>16</v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32</v>
      </c>
      <c r="CT28" s="22">
        <f ca="1">IFERROR(AVERAGE(OFFSET('Data - For Rank'!B$2,J28,0,COUNTIF($J$7:J$116,J28)))+IFERROR(VLOOKUP((COUNT($H$6:$H$116)/4),$ER$9:$ES$13,2,FALSE()),0),"")</f>
        <v>12.5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39</v>
      </c>
      <c r="CX28" s="22">
        <f ca="1">IFERROR(AVERAGE(OFFSET('Data - For Rank'!D$2,T28,0,COUNTIF(T$7:T$116,T28)))+IFERROR(VLOOKUP((COUNT(R$6:R$116)/4),$ER$9:$ES$13,2,FALSE()),0),"")</f>
        <v>15</v>
      </c>
      <c r="CY28" s="17">
        <v>32</v>
      </c>
      <c r="CZ28" s="22">
        <f ca="1">IFERROR(AVERAGE(OFFSET('Data - For Rank'!E$2,Y28,0,COUNTIF(Y$7:Y$116,Y28)))+IFERROR(VLOOKUP((COUNT(W$6:W$116)/4),$ER$9:$ES$13,2,FALSE()),0),"")</f>
        <v>12.5</v>
      </c>
      <c r="DA28" s="17">
        <v>30</v>
      </c>
      <c r="DB28" s="22">
        <f ca="1">IFERROR(AVERAGE(OFFSET('Data - For Rank'!F$2,AD28,0,COUNTIF(AD$7:AD$116,AD28)))+IFERROR(VLOOKUP((COUNT(AB$6:AB$116)/4),$ER$9:$ES$13,2,FALSE()),0),"")</f>
        <v>8.5</v>
      </c>
      <c r="DC28" s="17">
        <v>34</v>
      </c>
      <c r="DD28" s="22">
        <f ca="1">IFERROR(AVERAGE(OFFSET('Data - For Rank'!G$2,AI28,0,COUNTIF(AI$7:AI$116,AI28)))+IFERROR(VLOOKUP((COUNT(AG$6:AG$116)/4),$ER$9:$ES$13,2,FALSE()),0),"")</f>
        <v>11.5</v>
      </c>
      <c r="DE28" s="17">
        <v>34</v>
      </c>
      <c r="DF28" s="22">
        <f ca="1">IFERROR(AVERAGE(OFFSET('Data - For Rank'!$H$2,AN28,0,COUNTIF(AN$7:AN$116,AN28)))+IFERROR(VLOOKUP((COUNT(AL$6:AL$116)/4),$ER$9:$ES$13,2,FALSE()),0),"")</f>
        <v>10.5</v>
      </c>
      <c r="DG28" s="17">
        <v>33</v>
      </c>
      <c r="DH28" s="22">
        <f ca="1">IFERROR(AVERAGE(OFFSET('Data - For Rank'!$I$2,AS28,0,COUNTIF(AS$7:AS$116,AS28)))+IFERROR(VLOOKUP((COUNT(AQ$6:AQ$116)/4),$ER$9:$ES$13,2,FALSE()),0),"")</f>
        <v>11.5</v>
      </c>
      <c r="DI28" s="17">
        <v>23</v>
      </c>
      <c r="DJ28" s="22">
        <f ca="1">IFERROR(AVERAGE(OFFSET('Data - For Rank'!$J$2,AX28,0,COUNTIF(AX$7:AX$116,AX28)))+IFERROR(VLOOKUP((COUNT(AV$6:AV$116)/4),$ER$9:$ES$13,2,FALSE()),0),"")</f>
        <v>3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>
        <v>27</v>
      </c>
      <c r="DN28" s="22">
        <f ca="1">IFERROR(AVERAGE(OFFSET('Data - For Rank'!$L$2,BH28,0,COUNTIF(BH$7:BH$116,BH28)))+IFERROR(VLOOKUP((COUNT(BF$6:BF$116)/4),$ER$9:$ES$13,2,FALSE()),0),"")</f>
        <v>3</v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31.555555555555557</v>
      </c>
      <c r="ED28" s="19">
        <f t="shared" ca="1" si="0"/>
        <v>9.7777777777777786</v>
      </c>
      <c r="EP28" s="54"/>
    </row>
    <row r="29" spans="2:151" s="1" customFormat="1" outlineLevel="1" x14ac:dyDescent="0.2">
      <c r="B29" s="24">
        <f ca="1">B27+0.021</f>
        <v>8.0210000000000008</v>
      </c>
      <c r="D29" s="61" t="s">
        <v>69</v>
      </c>
      <c r="E29" s="25" t="s">
        <v>42</v>
      </c>
      <c r="F29" s="26">
        <f ca="1">IF(COUNT(G27:CN27)&gt;10,SMALL(G27:CN27,COUNT(G27:CN27)-9),MIN(G27:CN27))</f>
        <v>12</v>
      </c>
      <c r="G29" s="26"/>
      <c r="H29" s="26"/>
      <c r="I29" s="50">
        <f>IF(CS29=0,"",CS29)</f>
        <v>-9</v>
      </c>
      <c r="J29" s="50"/>
      <c r="K29" s="51">
        <f>IFERROR(_xlfn.RANK.EQ(I29,I$6:I$116,0),"")</f>
        <v>11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30</v>
      </c>
      <c r="T29" s="50"/>
      <c r="U29" s="51">
        <f>IFERROR(_xlfn.RANK.EQ(S29,S$6:S$116,0),"")</f>
        <v>1</v>
      </c>
      <c r="V29" s="26"/>
      <c r="W29" s="26"/>
      <c r="X29" s="50">
        <f>IF(CY29=0,"",CY29)</f>
        <v>43</v>
      </c>
      <c r="Y29" s="50"/>
      <c r="Z29" s="51">
        <f>IFERROR(_xlfn.RANK.EQ(X29,X$6:X$116,0),"")</f>
        <v>1</v>
      </c>
      <c r="AA29" s="26"/>
      <c r="AB29" s="26"/>
      <c r="AC29" s="50">
        <f>IF(DA29=0,"",DA29)</f>
        <v>40</v>
      </c>
      <c r="AD29" s="50"/>
      <c r="AE29" s="51">
        <f>IFERROR(_xlfn.RANK.EQ(AC29,AC$6:AC$116,0),"")</f>
        <v>1</v>
      </c>
      <c r="AF29" s="26"/>
      <c r="AG29" s="26"/>
      <c r="AH29" s="50">
        <f>IF(DC29=0,"",DC29)</f>
        <v>1</v>
      </c>
      <c r="AI29" s="50"/>
      <c r="AJ29" s="51">
        <f>IFERROR(_xlfn.RANK.EQ(AH29,AH$6:AH$116,0),"")</f>
        <v>7</v>
      </c>
      <c r="AK29" s="26"/>
      <c r="AL29" s="26"/>
      <c r="AM29" s="50">
        <f>IF(DE29=0,"",DE29)</f>
        <v>8</v>
      </c>
      <c r="AN29" s="50"/>
      <c r="AO29" s="51">
        <f>IFERROR(_xlfn.RANK.EQ(AM29,AM$6:AM$116,0),"")</f>
        <v>2</v>
      </c>
      <c r="AP29" s="26"/>
      <c r="AQ29" s="26"/>
      <c r="AR29" s="50">
        <f>IF(DG29=0,"",DG29)</f>
        <v>12</v>
      </c>
      <c r="AS29" s="50"/>
      <c r="AT29" s="51">
        <f>IFERROR(_xlfn.RANK.EQ(AR29,AR$6:AR$116,0),"")</f>
        <v>4</v>
      </c>
      <c r="AU29" s="26"/>
      <c r="AV29" s="26"/>
      <c r="AW29" s="50">
        <f>IF(DI29=0,"",DI29)</f>
        <v>3</v>
      </c>
      <c r="AX29" s="50"/>
      <c r="AY29" s="51">
        <f>IFERROR(_xlfn.RANK.EQ(AW29,AW$6:AW$116,0),"")</f>
        <v>7</v>
      </c>
      <c r="AZ29" s="26"/>
      <c r="BA29" s="26"/>
      <c r="BB29" s="50" t="str">
        <f>IF(DK29=0,"",DK29)</f>
        <v/>
      </c>
      <c r="BC29" s="50"/>
      <c r="BD29" s="51" t="str">
        <f>IFERROR(_xlfn.RANK.EQ(BB29,BB$6:BB$116,0),"")</f>
        <v/>
      </c>
      <c r="BE29" s="26"/>
      <c r="BF29" s="26"/>
      <c r="BG29" s="50">
        <f>IF(DM29=0,"",DM29)</f>
        <v>-5</v>
      </c>
      <c r="BH29" s="50"/>
      <c r="BI29" s="51">
        <f>IFERROR(_xlfn.RANK.EQ(BG29,BG$6:BG$116,0),"")</f>
        <v>10</v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-9</v>
      </c>
      <c r="CT29" s="28">
        <f ca="1">IFERROR(AVERAGE(OFFSET('Data - For Rank'!B$2,K29,0,COUNTIF(K$6:K$116,K29)))+IFERROR(VLOOKUP((COUNT($I$6:$I$116)/4),$ER$9:$ES$13,2,FALSE()),0),"")</f>
        <v>8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30</v>
      </c>
      <c r="CX29" s="28">
        <f ca="1">IFERROR(AVERAGE(OFFSET('Data - For Rank'!D$2,U29,0,COUNTIF(U$6:$U137,U29)))+IFERROR(VLOOKUP((COUNT(S$6:S$116)/4),$ER$9:$ES$13,2,FALSE()),0),"")</f>
        <v>16</v>
      </c>
      <c r="CY29" s="27">
        <v>43</v>
      </c>
      <c r="CZ29" s="28">
        <f ca="1">IFERROR(AVERAGE(OFFSET('Data - For Rank'!E$2,Z29,0,COUNTIF(Z$6:Z$116,Z29)))+IFERROR(VLOOKUP((COUNT(W$6:W$116)/4),$ER$9:$ES$13,2,FALSE()),0),"")</f>
        <v>14</v>
      </c>
      <c r="DA29" s="27">
        <v>40</v>
      </c>
      <c r="DB29" s="28">
        <f ca="1">IFERROR(AVERAGE(OFFSET('Data - For Rank'!F$2,AE29,0,COUNTIF(AE$6:AE$116,AE29)))+IFERROR(VLOOKUP((COUNT(AC$6:AC$116)/4),$ER$9:$ES$13,2,FALSE()),0),"")</f>
        <v>18</v>
      </c>
      <c r="DC29" s="27">
        <v>1</v>
      </c>
      <c r="DD29" s="28">
        <f ca="1">IFERROR(AVERAGE(OFFSET('Data - For Rank'!G$2,AJ29,0,COUNTIF(AJ$6:AJ$116,AJ29)))+IFERROR(VLOOKUP((COUNT(AH$6:AH$116)/4),$ER$9:$ES$13,2,FALSE()),0),"")</f>
        <v>12</v>
      </c>
      <c r="DE29" s="27">
        <v>8</v>
      </c>
      <c r="DF29" s="28">
        <f ca="1">IFERROR(AVERAGE(OFFSET('Data - For Rank'!$H$2,AO29,0,COUNTIF(AO$6:AO$116,AO29)))+IFERROR(VLOOKUP((COUNT(AM$6:AM$116)/4),$ER$9:$ES$13,2,FALSE()),0),"")</f>
        <v>15</v>
      </c>
      <c r="DG29" s="27">
        <v>12</v>
      </c>
      <c r="DH29" s="28">
        <f ca="1">IFERROR(AVERAGE(OFFSET('Data - For Rank'!$I$2,AT29,0,COUNTIF(AT$6:AT$116,AT29)))+IFERROR(VLOOKUP((COUNT(AR$6:AR$116)/4),$ER$9:$ES$13,2,FALSE()),0),"")</f>
        <v>14</v>
      </c>
      <c r="DI29" s="27">
        <v>3</v>
      </c>
      <c r="DJ29" s="28">
        <f ca="1">IFERROR(AVERAGE(OFFSET('Data - For Rank'!$J$2,AY29,0,COUNTIF(AY$6:AY$116,AY29)))+IFERROR(VLOOKUP((COUNT(AW$6:AW$116)/4),$ER$9:$ES$13,2,FALSE()),0),"")</f>
        <v>11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>
        <v>-5</v>
      </c>
      <c r="DN29" s="28">
        <f ca="1">IFERROR(AVERAGE(OFFSET('Data - For Rank'!$L$2,BI29,0,COUNTIF(BI$6:BI$116,BI29)))+IFERROR(VLOOKUP((COUNT(BG$6:BG$116)/4),$ER$9:$ES$13,2,FALSE()),0),"")</f>
        <v>9</v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123</v>
      </c>
      <c r="ED29" s="30">
        <f t="shared" ca="1" si="0"/>
        <v>13</v>
      </c>
      <c r="EP29" s="54"/>
    </row>
    <row r="30" spans="2:151" x14ac:dyDescent="0.2">
      <c r="B30" s="7">
        <f ca="1">_xlfn.RANK.EQ(C30,$C$6:$C$63,)</f>
        <v>9</v>
      </c>
      <c r="C30" s="41">
        <f ca="1">EC30</f>
        <v>199</v>
      </c>
      <c r="D30" s="41" t="s">
        <v>104</v>
      </c>
      <c r="E30" s="15" t="s">
        <v>50</v>
      </c>
      <c r="F30" s="16">
        <f ca="1">COUNT(CT30,CV30,CX30,CZ30,DB30,DD30,DF30,DH30,DJ30,DL30,DN30,DP30,DR30,DT30,DV30,DX30,DZ30,EB30)</f>
        <v>11</v>
      </c>
      <c r="G30" s="47">
        <f ca="1">IF(CT30=0,"",CT30)</f>
        <v>10.5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14.5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25</v>
      </c>
      <c r="AB30" s="47"/>
      <c r="AC30" s="47"/>
      <c r="AE30" s="47"/>
      <c r="AF30" s="47">
        <f ca="1">IF(DD30=0,"",DD30)</f>
        <v>24.5</v>
      </c>
      <c r="AG30" s="47"/>
      <c r="AH30" s="47"/>
      <c r="AJ30" s="47"/>
      <c r="AK30" s="47">
        <f ca="1">IF(DF30=0,"",DF30)</f>
        <v>15.5</v>
      </c>
      <c r="AL30" s="47"/>
      <c r="AM30" s="47"/>
      <c r="AO30" s="47"/>
      <c r="AP30" s="47">
        <f ca="1">IF(DH30=0,"",DH30)</f>
        <v>18.5</v>
      </c>
      <c r="AQ30" s="47"/>
      <c r="AR30" s="47"/>
      <c r="AT30" s="47"/>
      <c r="AU30" s="47">
        <f ca="1">IF(DJ30=0,"",DJ30)</f>
        <v>17</v>
      </c>
      <c r="AV30" s="47"/>
      <c r="AW30" s="47"/>
      <c r="AY30" s="47"/>
      <c r="AZ30" s="47">
        <f ca="1">IF(DL30=0,"",DL30)</f>
        <v>10</v>
      </c>
      <c r="BA30" s="47"/>
      <c r="BB30" s="47"/>
      <c r="BD30" s="47"/>
      <c r="BE30" s="47">
        <f ca="1">IF(DN30=0,"",DN30)</f>
        <v>29.5</v>
      </c>
      <c r="BF30" s="47"/>
      <c r="BG30" s="47"/>
      <c r="BI30" s="47"/>
      <c r="BJ30" s="47">
        <f ca="1">IF(DP30=0,"",DP30)</f>
        <v>19</v>
      </c>
      <c r="BK30" s="47"/>
      <c r="BL30" s="47"/>
      <c r="BN30" s="47"/>
      <c r="BO30" s="47">
        <f ca="1">IF(DR30=0,"",DR30)</f>
        <v>25</v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93</v>
      </c>
      <c r="CT30" s="18">
        <f ca="1">IFERROR(CT31+CT32,"")</f>
        <v>10.5</v>
      </c>
      <c r="CU30" s="17"/>
      <c r="CV30" s="18" t="str">
        <f ca="1">IFERROR(CV31+CV32,"")</f>
        <v/>
      </c>
      <c r="CW30" s="17">
        <v>101</v>
      </c>
      <c r="CX30" s="18">
        <f ca="1">IFERROR(CX31+CX32,"")</f>
        <v>14.5</v>
      </c>
      <c r="CY30" s="17"/>
      <c r="CZ30" s="18" t="str">
        <f ca="1">IFERROR(CZ31+CZ32,"")</f>
        <v/>
      </c>
      <c r="DA30" s="17">
        <v>92</v>
      </c>
      <c r="DB30" s="18">
        <f ca="1">IFERROR(DB31+DB32,"")</f>
        <v>25</v>
      </c>
      <c r="DC30" s="17">
        <v>96</v>
      </c>
      <c r="DD30" s="18">
        <f ca="1">IFERROR(DD31+DD32,"")</f>
        <v>24.5</v>
      </c>
      <c r="DE30" s="17">
        <v>87</v>
      </c>
      <c r="DF30" s="18">
        <f ca="1">IFERROR(DF31+DF32,"")</f>
        <v>15.5</v>
      </c>
      <c r="DG30" s="17">
        <v>90</v>
      </c>
      <c r="DH30" s="18">
        <f ca="1">IFERROR(DH31+DH32,"")</f>
        <v>18.5</v>
      </c>
      <c r="DI30" s="17">
        <v>89</v>
      </c>
      <c r="DJ30" s="18">
        <f ca="1">IFERROR(DJ31+DJ32,"")</f>
        <v>17</v>
      </c>
      <c r="DK30" s="17">
        <v>92</v>
      </c>
      <c r="DL30" s="18">
        <f ca="1">IFERROR(DL31+DL32,"")</f>
        <v>10</v>
      </c>
      <c r="DM30" s="17">
        <v>80</v>
      </c>
      <c r="DN30" s="18">
        <f ca="1">IFERROR(DN31+DN32,"")</f>
        <v>29.5</v>
      </c>
      <c r="DO30" s="17">
        <v>89</v>
      </c>
      <c r="DP30" s="18">
        <f ca="1">IFERROR(DP31+DP32,"")</f>
        <v>19</v>
      </c>
      <c r="DQ30" s="17">
        <v>83</v>
      </c>
      <c r="DR30" s="18">
        <f ca="1">IFERROR(DR31+DR32,"")</f>
        <v>25</v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199</v>
      </c>
      <c r="ED30" s="19">
        <f t="shared" ca="1" si="0"/>
        <v>19</v>
      </c>
      <c r="EP30" s="54"/>
    </row>
    <row r="31" spans="2:151" s="1" customFormat="1" outlineLevel="1" x14ac:dyDescent="0.2">
      <c r="B31" s="20">
        <f ca="1">B30+0.113</f>
        <v>9.1129999999999995</v>
      </c>
      <c r="D31" s="54" t="s">
        <v>105</v>
      </c>
      <c r="E31" s="21" t="s">
        <v>41</v>
      </c>
      <c r="F31" s="21"/>
      <c r="G31" s="21"/>
      <c r="H31" s="21">
        <f>IF(CS31=0,"",CS31)</f>
        <v>30</v>
      </c>
      <c r="I31" s="21"/>
      <c r="J31" s="47">
        <f>IFERROR(RANK(H31,H$6:H$116,0),"")</f>
        <v>11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24</v>
      </c>
      <c r="S31" s="21"/>
      <c r="T31" s="47">
        <f>IFERROR(RANK(R31,R$6:R$116,0),"")</f>
        <v>11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31</v>
      </c>
      <c r="AC31" s="21"/>
      <c r="AD31" s="47">
        <f>IFERROR(RANK(AB31,AB$6:AB$116,0),"")</f>
        <v>7</v>
      </c>
      <c r="AE31" s="21"/>
      <c r="AF31" s="21"/>
      <c r="AG31" s="21">
        <f>IF(DC31=0,"",DC31)</f>
        <v>29</v>
      </c>
      <c r="AH31" s="21"/>
      <c r="AI31" s="47">
        <f>IFERROR(RANK(AG31,AG$6:AG$116,0),"")</f>
        <v>11</v>
      </c>
      <c r="AJ31" s="21"/>
      <c r="AK31" s="21"/>
      <c r="AL31" s="21">
        <f>IF(DE31=0,"",DE31)</f>
        <v>31</v>
      </c>
      <c r="AM31" s="21"/>
      <c r="AN31" s="47">
        <f>IFERROR(RANK(AL31,AL$6:AL$116,0),"")</f>
        <v>10</v>
      </c>
      <c r="AO31" s="21"/>
      <c r="AP31" s="21"/>
      <c r="AQ31" s="21">
        <f>IF(DG31=0,"",DG31)</f>
        <v>30</v>
      </c>
      <c r="AR31" s="21"/>
      <c r="AS31" s="47">
        <f>IFERROR(RANK(AQ31,AQ$6:AQ$116,0),"")</f>
        <v>11</v>
      </c>
      <c r="AT31" s="21"/>
      <c r="AU31" s="21"/>
      <c r="AV31" s="21">
        <f>IF(DI31=0,"",DI31)</f>
        <v>34</v>
      </c>
      <c r="AW31" s="21"/>
      <c r="AX31" s="47">
        <f>IFERROR(RANK(AV31,AV$6:AV$116,0),"")</f>
        <v>7</v>
      </c>
      <c r="AY31" s="21"/>
      <c r="AZ31" s="21"/>
      <c r="BA31" s="21">
        <f>IF(DK31=0,"",DK31)</f>
        <v>25</v>
      </c>
      <c r="BB31" s="21"/>
      <c r="BC31" s="47">
        <f>IFERROR(RANK(BA31,BA$6:BA$116,0),"")</f>
        <v>12</v>
      </c>
      <c r="BD31" s="21"/>
      <c r="BE31" s="21"/>
      <c r="BF31" s="21">
        <f>IF(DM31=0,"",DM31)</f>
        <v>39</v>
      </c>
      <c r="BG31" s="21"/>
      <c r="BH31" s="47">
        <f>IFERROR(RANK(BF31,BF$6:BF$116,0),"")</f>
        <v>2</v>
      </c>
      <c r="BI31" s="21"/>
      <c r="BJ31" s="21"/>
      <c r="BK31" s="21">
        <f>IF(DO31=0,"",DO31)</f>
        <v>32</v>
      </c>
      <c r="BL31" s="21"/>
      <c r="BM31" s="47">
        <f>IFERROR(RANK(BK31,BK$6:BK$116,0),"")</f>
        <v>9</v>
      </c>
      <c r="BN31" s="21"/>
      <c r="BO31" s="21"/>
      <c r="BP31" s="21">
        <f>IF(DQ31=0,"",DQ31)</f>
        <v>33</v>
      </c>
      <c r="BQ31" s="21"/>
      <c r="BR31" s="47">
        <f>IFERROR(RANK(BP31,BP$6:BP$116,0),"")</f>
        <v>4</v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30</v>
      </c>
      <c r="CT31" s="22">
        <f ca="1">IFERROR(AVERAGE(OFFSET('Data - For Rank'!B$2,J31,0,COUNTIF($J$7:J$116,J31)))+IFERROR(VLOOKUP((COUNT($H$6:$H$116)/4),$ER$9:$ES$13,2,FALSE()),0),"")</f>
        <v>7.5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24</v>
      </c>
      <c r="CX31" s="22">
        <f ca="1">IFERROR(AVERAGE(OFFSET('Data - For Rank'!D$2,T31,0,COUNTIF(T$7:T$116,T31)))+IFERROR(VLOOKUP((COUNT(R$6:R$116)/4),$ER$9:$ES$13,2,FALSE()),0),"")</f>
        <v>6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>
        <v>29</v>
      </c>
      <c r="DD31" s="22">
        <f ca="1">IFERROR(AVERAGE(OFFSET('Data - For Rank'!G$2,AI31,0,COUNTIF(AI$7:AI$116,AI31)))+IFERROR(VLOOKUP((COUNT(AG$6:AG$116)/4),$ER$9:$ES$13,2,FALSE()),0),"")</f>
        <v>7.5</v>
      </c>
      <c r="DE31" s="17">
        <v>31</v>
      </c>
      <c r="DF31" s="22">
        <f ca="1">IFERROR(AVERAGE(OFFSET('Data - For Rank'!$H$2,AN31,0,COUNTIF(AN$7:AN$116,AN31)))+IFERROR(VLOOKUP((COUNT(AL$6:AL$116)/4),$ER$9:$ES$13,2,FALSE()),0),"")</f>
        <v>6.5</v>
      </c>
      <c r="DG31" s="17">
        <v>30</v>
      </c>
      <c r="DH31" s="22">
        <f ca="1">IFERROR(AVERAGE(OFFSET('Data - For Rank'!$I$2,AS31,0,COUNTIF(AS$7:AS$116,AS31)))+IFERROR(VLOOKUP((COUNT(AQ$6:AQ$116)/4),$ER$9:$ES$13,2,FALSE()),0),"")</f>
        <v>8</v>
      </c>
      <c r="DI31" s="17">
        <v>34</v>
      </c>
      <c r="DJ31" s="22">
        <f ca="1">IFERROR(AVERAGE(OFFSET('Data - For Rank'!$J$2,AX31,0,COUNTIF(AX$7:AX$116,AX31)))+IFERROR(VLOOKUP((COUNT(AV$6:AV$116)/4),$ER$9:$ES$13,2,FALSE()),0),"")</f>
        <v>11</v>
      </c>
      <c r="DK31" s="17">
        <v>25</v>
      </c>
      <c r="DL31" s="22">
        <f ca="1">IFERROR(AVERAGE(OFFSET('Data - For Rank'!$K$2,BC31,0,COUNTIF(BC$7:BC$116,BC31)))+IFERROR(VLOOKUP((COUNT(BA$6:BA$116)/4),$ER$9:$ES$13,2,FALSE()),0),"")</f>
        <v>5</v>
      </c>
      <c r="DM31" s="17">
        <v>39</v>
      </c>
      <c r="DN31" s="22">
        <f ca="1">IFERROR(AVERAGE(OFFSET('Data - For Rank'!$L$2,BH31,0,COUNTIF(BH$7:BH$116,BH31)))+IFERROR(VLOOKUP((COUNT(BF$6:BF$116)/4),$ER$9:$ES$13,2,FALSE()),0),"")</f>
        <v>16.5</v>
      </c>
      <c r="DO31" s="17">
        <v>32</v>
      </c>
      <c r="DP31" s="22">
        <f ca="1">IFERROR(AVERAGE(OFFSET('Data - For Rank'!$M$2,BM31,0,COUNTIF(BM$7:BM$116,BM31)))+IFERROR(VLOOKUP((COUNT(BK$6:BK$116)/4),$ER$9:$ES$13,2,FALSE()),0),"")</f>
        <v>9.5</v>
      </c>
      <c r="DQ31" s="17">
        <v>33</v>
      </c>
      <c r="DR31" s="22">
        <f ca="1">IFERROR(AVERAGE(OFFSET('Data - For Rank'!$N$2,BR31,0,COUNTIF(BR$7:BR$116,BR31)))+IFERROR(VLOOKUP((COUNT(BP$6:BP$116)/4),$ER$9:$ES$13,2,FALSE()),0),"")</f>
        <v>13</v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30.727272727272727</v>
      </c>
      <c r="ED31" s="19">
        <f t="shared" ca="1" si="0"/>
        <v>9.2272727272727266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B30+0.0213</f>
        <v>9.0213000000000001</v>
      </c>
      <c r="D32" s="54" t="s">
        <v>106</v>
      </c>
      <c r="E32" s="25" t="s">
        <v>42</v>
      </c>
      <c r="F32" s="26">
        <f ca="1">IF(COUNT(G30:CN30)&gt;10,SMALL(G30:CN30,COUNT(G30:CN30)-9),MIN(G30:CN30))</f>
        <v>10.5</v>
      </c>
      <c r="G32" s="26"/>
      <c r="H32" s="26"/>
      <c r="I32" s="50">
        <f>IF(CS32=0,"",CS32)</f>
        <v>-27</v>
      </c>
      <c r="J32" s="50"/>
      <c r="K32" s="51">
        <f>IFERROR(_xlfn.RANK.EQ(I32,I$6:I$116,0),"")</f>
        <v>16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-9</v>
      </c>
      <c r="T32" s="50"/>
      <c r="U32" s="51">
        <f>IFERROR(_xlfn.RANK.EQ(S32,S$6:S$116,0),"")</f>
        <v>8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18</v>
      </c>
      <c r="AD32" s="50"/>
      <c r="AE32" s="51">
        <f>IFERROR(_xlfn.RANK.EQ(AC32,AC$6:AC$116,0),"")</f>
        <v>5</v>
      </c>
      <c r="AF32" s="26"/>
      <c r="AG32" s="26"/>
      <c r="AH32" s="50">
        <f>IF(DC32=0,"",DC32)</f>
        <v>21</v>
      </c>
      <c r="AI32" s="50"/>
      <c r="AJ32" s="51">
        <f>IFERROR(_xlfn.RANK.EQ(AH32,AH$6:AH$116,0),"")</f>
        <v>2</v>
      </c>
      <c r="AK32" s="26"/>
      <c r="AL32" s="26"/>
      <c r="AM32" s="50">
        <f>IF(DE32=0,"",DE32)</f>
        <v>-2</v>
      </c>
      <c r="AN32" s="50"/>
      <c r="AO32" s="51">
        <f>IFERROR(_xlfn.RANK.EQ(AM32,AM$6:AM$116,0),"")</f>
        <v>8</v>
      </c>
      <c r="AP32" s="26"/>
      <c r="AQ32" s="26"/>
      <c r="AR32" s="50">
        <f>IF(DG32=0,"",DG32)</f>
        <v>-1E-4</v>
      </c>
      <c r="AS32" s="50"/>
      <c r="AT32" s="51">
        <f>IFERROR(_xlfn.RANK.EQ(AR32,AR$6:AR$116,0),"")</f>
        <v>8</v>
      </c>
      <c r="AU32" s="26"/>
      <c r="AV32" s="26"/>
      <c r="AW32" s="50">
        <f>IF(DI32=0,"",DI32)</f>
        <v>-13</v>
      </c>
      <c r="AX32" s="50"/>
      <c r="AY32" s="51">
        <f>IFERROR(_xlfn.RANK.EQ(AW32,AW$6:AW$116,0),"")</f>
        <v>13</v>
      </c>
      <c r="AZ32" s="26"/>
      <c r="BA32" s="26"/>
      <c r="BB32" s="50">
        <f>IF(DK32=0,"",DK32)</f>
        <v>-50</v>
      </c>
      <c r="BC32" s="50"/>
      <c r="BD32" s="51">
        <f>IFERROR(_xlfn.RANK.EQ(BB32,BB$6:BB$116,0),"")</f>
        <v>12</v>
      </c>
      <c r="BE32" s="26"/>
      <c r="BF32" s="26"/>
      <c r="BG32" s="50">
        <f>IF(DM32=0,"",DM32)</f>
        <v>9</v>
      </c>
      <c r="BH32" s="50"/>
      <c r="BI32" s="51">
        <f>IFERROR(_xlfn.RANK.EQ(BG32,BG$6:BG$116,0),"")</f>
        <v>6</v>
      </c>
      <c r="BJ32" s="26"/>
      <c r="BK32" s="26"/>
      <c r="BL32" s="50">
        <f>IF(DO32=0,"",DO32)</f>
        <v>-1</v>
      </c>
      <c r="BM32" s="50"/>
      <c r="BN32" s="51">
        <f>IFERROR(_xlfn.RANK.EQ(BL32,BL$6:BL$116,0),"")</f>
        <v>9</v>
      </c>
      <c r="BO32" s="26"/>
      <c r="BP32" s="26"/>
      <c r="BQ32" s="50">
        <f>IF(DQ32=0,"",DQ32)</f>
        <v>6</v>
      </c>
      <c r="BR32" s="50"/>
      <c r="BS32" s="51">
        <f>IFERROR(_xlfn.RANK.EQ(BQ32,BQ$6:BQ$116,0),"")</f>
        <v>5</v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-27</v>
      </c>
      <c r="CT32" s="28">
        <f ca="1">IFERROR(AVERAGE(OFFSET('Data - For Rank'!B$2,K32,0,COUNTIF(K$6:K$116,K32)))+IFERROR(VLOOKUP((COUNT($I$6:$I$116)/4),$ER$9:$ES$13,2,FALSE()),0),"")</f>
        <v>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-9</v>
      </c>
      <c r="CX32" s="28">
        <f ca="1">IFERROR(AVERAGE(OFFSET('Data - For Rank'!D$2,U32,0,COUNTIF(U$6:$U140,U32)))+IFERROR(VLOOKUP((COUNT(S$6:S$116)/4),$ER$9:$ES$13,2,FALSE()),0),"")</f>
        <v>8.5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18</v>
      </c>
      <c r="DB32" s="28">
        <f ca="1">IFERROR(AVERAGE(OFFSET('Data - For Rank'!F$2,AE32,0,COUNTIF(AE$6:AE$116,AE32)))+IFERROR(VLOOKUP((COUNT(AC$6:AC$116)/4),$ER$9:$ES$13,2,FALSE()),0),"")</f>
        <v>14</v>
      </c>
      <c r="DC32" s="27">
        <v>21</v>
      </c>
      <c r="DD32" s="28">
        <f ca="1">IFERROR(AVERAGE(OFFSET('Data - For Rank'!G$2,AJ32,0,COUNTIF(AJ$6:AJ$116,AJ32)))+IFERROR(VLOOKUP((COUNT(AH$6:AH$116)/4),$ER$9:$ES$13,2,FALSE()),0),"")</f>
        <v>17</v>
      </c>
      <c r="DE32" s="27">
        <v>-2</v>
      </c>
      <c r="DF32" s="28">
        <f ca="1">IFERROR(AVERAGE(OFFSET('Data - For Rank'!$H$2,AO32,0,COUNTIF(AO$6:AO$116,AO32)))+IFERROR(VLOOKUP((COUNT(AM$6:AM$116)/4),$ER$9:$ES$13,2,FALSE()),0),"")</f>
        <v>9</v>
      </c>
      <c r="DG32" s="27">
        <v>-1E-4</v>
      </c>
      <c r="DH32" s="28">
        <f ca="1">IFERROR(AVERAGE(OFFSET('Data - For Rank'!$I$2,AT32,0,COUNTIF(AT$6:AT$116,AT32)))+IFERROR(VLOOKUP((COUNT(AR$6:AR$116)/4),$ER$9:$ES$13,2,FALSE()),0),"")</f>
        <v>10.5</v>
      </c>
      <c r="DI32" s="27">
        <v>-13</v>
      </c>
      <c r="DJ32" s="28">
        <f ca="1">IFERROR(AVERAGE(OFFSET('Data - For Rank'!$J$2,AY32,0,COUNTIF(AY$6:AY$116,AY32)))+IFERROR(VLOOKUP((COUNT(AW$6:AW$116)/4),$ER$9:$ES$13,2,FALSE()),0),"")</f>
        <v>6</v>
      </c>
      <c r="DK32" s="27">
        <v>-50</v>
      </c>
      <c r="DL32" s="28">
        <f ca="1">IFERROR(AVERAGE(OFFSET('Data - For Rank'!$K$2,BD32,0,COUNTIF(BD$6:BD$116,BD32)))+IFERROR(VLOOKUP((COUNT(BB$6:BB$116)/4),$ER$9:$ES$13,2,FALSE()),0),"")</f>
        <v>5</v>
      </c>
      <c r="DM32" s="27">
        <v>9</v>
      </c>
      <c r="DN32" s="28">
        <f ca="1">IFERROR(AVERAGE(OFFSET('Data - For Rank'!$L$2,BI32,0,COUNTIF(BI$6:BI$116,BI32)))+IFERROR(VLOOKUP((COUNT(BG$6:BG$116)/4),$ER$9:$ES$13,2,FALSE()),0),"")</f>
        <v>13</v>
      </c>
      <c r="DO32" s="27">
        <v>-1</v>
      </c>
      <c r="DP32" s="28">
        <f ca="1">IFERROR(AVERAGE(OFFSET('Data - For Rank'!$M$2,BN32,0,COUNTIF(BN$6:BN$116,BN32)))+IFERROR(VLOOKUP((COUNT(BL$6:BL$116)/4),$ER$9:$ES$13,2,FALSE()),0),"")</f>
        <v>9.5</v>
      </c>
      <c r="DQ32" s="27">
        <v>6</v>
      </c>
      <c r="DR32" s="28">
        <f ca="1">IFERROR(AVERAGE(OFFSET('Data - For Rank'!$N$2,BS32,0,COUNTIF(BS$6:BS$116,BS32)))+IFERROR(VLOOKUP((COUNT(BQ$6:BQ$116)/4),$ER$9:$ES$13,2,FALSE()),0),"")</f>
        <v>12</v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-48.000100000000003</v>
      </c>
      <c r="ED32" s="30">
        <f t="shared" ca="1" si="0"/>
        <v>9.7727272727272734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10</v>
      </c>
      <c r="C33" s="41">
        <f ca="1">EC33</f>
        <v>198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10</v>
      </c>
      <c r="G33" s="47">
        <f ca="1">IF(CT33=0,"",CT33)</f>
        <v>24.5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27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9</v>
      </c>
      <c r="AB33" s="47"/>
      <c r="AC33" s="47"/>
      <c r="AE33" s="47"/>
      <c r="AF33" s="47">
        <f ca="1">IF(DD33=0,"",DD33)</f>
        <v>18.5</v>
      </c>
      <c r="AG33" s="47"/>
      <c r="AH33" s="47"/>
      <c r="AJ33" s="47"/>
      <c r="AK33" s="47" t="str">
        <f ca="1">IF(DF33=0,"",DF33)</f>
        <v/>
      </c>
      <c r="AL33" s="47"/>
      <c r="AM33" s="47"/>
      <c r="AO33" s="47"/>
      <c r="AP33" s="47">
        <f ca="1">IF(DH33=0,"",DH33)</f>
        <v>9.5</v>
      </c>
      <c r="AQ33" s="47"/>
      <c r="AR33" s="47"/>
      <c r="AT33" s="47"/>
      <c r="AU33" s="47">
        <f ca="1">IF(DJ33=0,"",DJ33)</f>
        <v>30.5</v>
      </c>
      <c r="AV33" s="47"/>
      <c r="AW33" s="47"/>
      <c r="AY33" s="47"/>
      <c r="AZ33" s="47">
        <f ca="1">IF(DL33=0,"",DL33)</f>
        <v>23.5</v>
      </c>
      <c r="BA33" s="47"/>
      <c r="BB33" s="47"/>
      <c r="BD33" s="47"/>
      <c r="BE33" s="47">
        <f ca="1">IF(DN33=0,"",DN33)</f>
        <v>12</v>
      </c>
      <c r="BF33" s="47"/>
      <c r="BG33" s="47"/>
      <c r="BI33" s="47"/>
      <c r="BJ33" s="47">
        <f ca="1">IF(DP33=0,"",DP33)</f>
        <v>23.5</v>
      </c>
      <c r="BK33" s="47"/>
      <c r="BL33" s="47"/>
      <c r="BN33" s="47"/>
      <c r="BO33" s="47">
        <f ca="1">IF(DR33=0,"",DR33)</f>
        <v>20</v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24.5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27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9</v>
      </c>
      <c r="DC33" s="17">
        <v>98</v>
      </c>
      <c r="DD33" s="18">
        <f ca="1">IFERROR(DD34+DD35,"")</f>
        <v>18.5</v>
      </c>
      <c r="DE33" s="17"/>
      <c r="DF33" s="18" t="str">
        <f ca="1">IFERROR(DF34+DF35,"")</f>
        <v/>
      </c>
      <c r="DG33" s="17">
        <v>99</v>
      </c>
      <c r="DH33" s="18">
        <f ca="1">IFERROR(DH34+DH35,"")</f>
        <v>9.5</v>
      </c>
      <c r="DI33" s="17">
        <v>87</v>
      </c>
      <c r="DJ33" s="18">
        <f ca="1">IFERROR(DJ34+DJ35,"")</f>
        <v>30.5</v>
      </c>
      <c r="DK33" s="17">
        <v>89</v>
      </c>
      <c r="DL33" s="18">
        <f ca="1">IFERROR(DL34+DL35,"")</f>
        <v>23.5</v>
      </c>
      <c r="DM33" s="17">
        <v>93</v>
      </c>
      <c r="DN33" s="18">
        <f ca="1">IFERROR(DN34+DN35,"")</f>
        <v>12</v>
      </c>
      <c r="DO33" s="17">
        <v>96</v>
      </c>
      <c r="DP33" s="18">
        <f ca="1">IFERROR(DP34+DP35,"")</f>
        <v>23.5</v>
      </c>
      <c r="DQ33" s="17">
        <v>92</v>
      </c>
      <c r="DR33" s="18">
        <f ca="1">IFERROR(DR34+DR35,"")</f>
        <v>20</v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198</v>
      </c>
      <c r="ED33" s="19">
        <f t="shared" ca="1" si="0"/>
        <v>19.8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B33+0.19</f>
        <v>10.19</v>
      </c>
      <c r="D34" s="54" t="s">
        <v>114</v>
      </c>
      <c r="E34" s="21" t="s">
        <v>41</v>
      </c>
      <c r="F34" s="21"/>
      <c r="G34" s="21"/>
      <c r="H34" s="21">
        <f>IF(CS34=0,"",CS34)</f>
        <v>31</v>
      </c>
      <c r="I34" s="21"/>
      <c r="J34" s="47">
        <f>IFERROR(RANK(H34,H$6:H$116,0),"")</f>
        <v>8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35</v>
      </c>
      <c r="S34" s="21"/>
      <c r="T34" s="47">
        <f>IFERROR(RANK(R34,R$6:R$116,0),"")</f>
        <v>4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23</v>
      </c>
      <c r="AC34" s="21"/>
      <c r="AD34" s="47">
        <f>IFERROR(RANK(AB34,AB$6:AB$116,0),"")</f>
        <v>13</v>
      </c>
      <c r="AE34" s="21"/>
      <c r="AF34" s="21"/>
      <c r="AG34" s="21">
        <f>IF(DC34=0,"",DC34)</f>
        <v>30</v>
      </c>
      <c r="AH34" s="21"/>
      <c r="AI34" s="47">
        <f>IFERROR(RANK(AG34,AG$6:AG$116,0),"")</f>
        <v>10</v>
      </c>
      <c r="AJ34" s="21"/>
      <c r="AK34" s="21"/>
      <c r="AL34" s="21" t="str">
        <f>IF(DE34=0,"",DE34)</f>
        <v/>
      </c>
      <c r="AM34" s="21"/>
      <c r="AN34" s="47" t="str">
        <f>IFERROR(RANK(AL34,AL$6:AL$116,0),"")</f>
        <v/>
      </c>
      <c r="AO34" s="21"/>
      <c r="AP34" s="21"/>
      <c r="AQ34" s="21">
        <f>IF(DG34=0,"",DG34)</f>
        <v>25</v>
      </c>
      <c r="AR34" s="21"/>
      <c r="AS34" s="47">
        <f>IFERROR(RANK(AQ34,AQ$6:AQ$116,0),"")</f>
        <v>16</v>
      </c>
      <c r="AT34" s="21"/>
      <c r="AU34" s="21"/>
      <c r="AV34" s="21">
        <f>IF(DI34=0,"",DI34)</f>
        <v>40</v>
      </c>
      <c r="AW34" s="21"/>
      <c r="AX34" s="47">
        <f>IFERROR(RANK(AV34,AV$6:AV$116,0),"")</f>
        <v>2</v>
      </c>
      <c r="AY34" s="21"/>
      <c r="AZ34" s="21"/>
      <c r="BA34" s="21">
        <f>IF(DK34=0,"",DK34)</f>
        <v>34</v>
      </c>
      <c r="BB34" s="21"/>
      <c r="BC34" s="47">
        <f>IFERROR(RANK(BA34,BA$6:BA$116,0),"")</f>
        <v>5</v>
      </c>
      <c r="BD34" s="21"/>
      <c r="BE34" s="21"/>
      <c r="BF34" s="21">
        <f>IF(DM34=0,"",DM34)</f>
        <v>31</v>
      </c>
      <c r="BG34" s="21"/>
      <c r="BH34" s="47">
        <f>IFERROR(RANK(BF34,BF$6:BF$116,0),"")</f>
        <v>12</v>
      </c>
      <c r="BI34" s="21"/>
      <c r="BJ34" s="21"/>
      <c r="BK34" s="21">
        <f>IF(DO34=0,"",DO34)</f>
        <v>31</v>
      </c>
      <c r="BL34" s="21"/>
      <c r="BM34" s="47">
        <f>IFERROR(RANK(BK34,BK$6:BK$116,0),"")</f>
        <v>11</v>
      </c>
      <c r="BN34" s="21"/>
      <c r="BO34" s="21"/>
      <c r="BP34" s="21">
        <f>IF(DQ34=0,"",DQ34)</f>
        <v>30</v>
      </c>
      <c r="BQ34" s="21"/>
      <c r="BR34" s="47">
        <f>IFERROR(RANK(BP34,BP$6:BP$116,0),"")</f>
        <v>5</v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31</v>
      </c>
      <c r="CT34" s="22">
        <f ca="1">IFERROR(AVERAGE(OFFSET('Data - For Rank'!B$2,J34,0,COUNTIF($J$7:J$116,J34)))+IFERROR(VLOOKUP((COUNT($H$6:$H$116)/4),$ER$9:$ES$13,2,FALSE()),0),"")</f>
        <v>10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35</v>
      </c>
      <c r="CX34" s="22">
        <f ca="1">IFERROR(AVERAGE(OFFSET('Data - For Rank'!D$2,T34,0,COUNTIF(T$7:T$116,T34)))+IFERROR(VLOOKUP((COUNT(R$6:R$116)/4),$ER$9:$ES$13,2,FALSE()),0),"")</f>
        <v>13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23</v>
      </c>
      <c r="DB34" s="22">
        <f ca="1">IFERROR(AVERAGE(OFFSET('Data - For Rank'!F$2,AD34,0,COUNTIF(AD$7:AD$116,AD34)))+IFERROR(VLOOKUP((COUNT(AB$6:AB$116)/4),$ER$9:$ES$13,2,FALSE()),0),"")</f>
        <v>6</v>
      </c>
      <c r="DC34" s="17">
        <v>30</v>
      </c>
      <c r="DD34" s="22">
        <f ca="1">IFERROR(AVERAGE(OFFSET('Data - For Rank'!G$2,AI34,0,COUNTIF(AI$7:AI$116,AI34)))+IFERROR(VLOOKUP((COUNT(AG$6:AG$116)/4),$ER$9:$ES$13,2,FALSE()),0),"")</f>
        <v>9</v>
      </c>
      <c r="DE34" s="17"/>
      <c r="DF34" s="22" t="str">
        <f ca="1">IFERROR(AVERAGE(OFFSET('Data - For Rank'!$H$2,AN34,0,COUNTIF(AN$7:AN$116,AN34)))+IFERROR(VLOOKUP((COUNT(AL$6:AL$116)/4),$ER$9:$ES$13,2,FALSE()),0),"")</f>
        <v/>
      </c>
      <c r="DG34" s="17">
        <v>25</v>
      </c>
      <c r="DH34" s="22">
        <f ca="1">IFERROR(AVERAGE(OFFSET('Data - For Rank'!$I$2,AS34,0,COUNTIF(AS$7:AS$116,AS34)))+IFERROR(VLOOKUP((COUNT(AQ$6:AQ$116)/4),$ER$9:$ES$13,2,FALSE()),0),"")</f>
        <v>3</v>
      </c>
      <c r="DI34" s="17">
        <v>40</v>
      </c>
      <c r="DJ34" s="22">
        <f ca="1">IFERROR(AVERAGE(OFFSET('Data - For Rank'!$J$2,AX34,0,COUNTIF(AX$7:AX$116,AX34)))+IFERROR(VLOOKUP((COUNT(AV$6:AV$116)/4),$ER$9:$ES$13,2,FALSE()),0),"")</f>
        <v>17</v>
      </c>
      <c r="DK34" s="17">
        <v>34</v>
      </c>
      <c r="DL34" s="22">
        <f ca="1">IFERROR(AVERAGE(OFFSET('Data - For Rank'!$K$2,BC34,0,COUNTIF(BC$7:BC$116,BC34)))+IFERROR(VLOOKUP((COUNT(BA$6:BA$116)/4),$ER$9:$ES$13,2,FALSE()),0),"")</f>
        <v>11.5</v>
      </c>
      <c r="DM34" s="17">
        <v>31</v>
      </c>
      <c r="DN34" s="22">
        <f ca="1">IFERROR(AVERAGE(OFFSET('Data - For Rank'!$L$2,BH34,0,COUNTIF(BH$7:BH$116,BH34)))+IFERROR(VLOOKUP((COUNT(BF$6:BF$116)/4),$ER$9:$ES$13,2,FALSE()),0),"")</f>
        <v>7</v>
      </c>
      <c r="DO34" s="17">
        <v>31</v>
      </c>
      <c r="DP34" s="22">
        <f ca="1">IFERROR(AVERAGE(OFFSET('Data - For Rank'!$M$2,BM34,0,COUNTIF(BM$7:BM$116,BM34)))+IFERROR(VLOOKUP((COUNT(BK$6:BK$116)/4),$ER$9:$ES$13,2,FALSE()),0),"")</f>
        <v>7.5</v>
      </c>
      <c r="DQ34" s="17">
        <v>30</v>
      </c>
      <c r="DR34" s="22">
        <f ca="1">IFERROR(AVERAGE(OFFSET('Data - For Rank'!$N$2,BR34,0,COUNTIF(BR$7:BR$116,BR34)))+IFERROR(VLOOKUP((COUNT(BP$6:BP$116)/4),$ER$9:$ES$13,2,FALSE()),0),"")</f>
        <v>11</v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31</v>
      </c>
      <c r="ED34" s="19">
        <f t="shared" ca="1" si="0"/>
        <v>9.5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B33+0.029</f>
        <v>10.029</v>
      </c>
      <c r="D35" s="54" t="s">
        <v>115</v>
      </c>
      <c r="E35" s="132" t="s">
        <v>42</v>
      </c>
      <c r="F35" s="26">
        <f ca="1">IF(COUNT(G33:CN33)&gt;10,SMALL(G33:CN33,COUNT(G33:CN33)-9),MIN(G33:CN33))</f>
        <v>9</v>
      </c>
      <c r="G35" s="26"/>
      <c r="H35" s="26"/>
      <c r="I35" s="50">
        <f>IF(CS35=0,"",CS35)</f>
        <v>10</v>
      </c>
      <c r="J35" s="50"/>
      <c r="K35" s="51">
        <f>IFERROR(_xlfn.RANK.EQ(I35,I$6:I$116,0),"")</f>
        <v>4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17</v>
      </c>
      <c r="T35" s="50"/>
      <c r="U35" s="51">
        <f>IFERROR(_xlfn.RANK.EQ(S35,S$6:S$116,0),"")</f>
        <v>3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-74</v>
      </c>
      <c r="AD35" s="50"/>
      <c r="AE35" s="51">
        <f>IFERROR(_xlfn.RANK.EQ(AC35,AC$6:AC$116,0),"")</f>
        <v>16</v>
      </c>
      <c r="AF35" s="26"/>
      <c r="AG35" s="26"/>
      <c r="AH35" s="50">
        <f>IF(DC35=0,"",DC35)</f>
        <v>-1E-3</v>
      </c>
      <c r="AI35" s="50"/>
      <c r="AJ35" s="51">
        <f>IFERROR(_xlfn.RANK.EQ(AH35,AH$6:AH$116,0),"")</f>
        <v>8</v>
      </c>
      <c r="AK35" s="26"/>
      <c r="AL35" s="26"/>
      <c r="AM35" s="50" t="str">
        <f>IF(DE35=0,"",DE35)</f>
        <v/>
      </c>
      <c r="AN35" s="50"/>
      <c r="AO35" s="51" t="str">
        <f>IFERROR(_xlfn.RANK.EQ(AM35,AM$6:AM$116,0),"")</f>
        <v/>
      </c>
      <c r="AP35" s="26"/>
      <c r="AQ35" s="26"/>
      <c r="AR35" s="50">
        <f>IF(DG35=0,"",DG35)</f>
        <v>-10</v>
      </c>
      <c r="AS35" s="50"/>
      <c r="AT35" s="51">
        <f>IFERROR(_xlfn.RANK.EQ(AR35,AR$6:AR$116,0),"")</f>
        <v>12</v>
      </c>
      <c r="AU35" s="26"/>
      <c r="AV35" s="26"/>
      <c r="AW35" s="50">
        <f>IF(DI35=0,"",DI35)</f>
        <v>5</v>
      </c>
      <c r="AX35" s="50"/>
      <c r="AY35" s="51">
        <f>IFERROR(_xlfn.RANK.EQ(AW35,AW$6:AW$116,0),"")</f>
        <v>5</v>
      </c>
      <c r="AZ35" s="26"/>
      <c r="BA35" s="26"/>
      <c r="BB35" s="50">
        <f>IF(DK35=0,"",DK35)</f>
        <v>12</v>
      </c>
      <c r="BC35" s="50"/>
      <c r="BD35" s="51">
        <f>IFERROR(_xlfn.RANK.EQ(BB35,BB$6:BB$116,0),"")</f>
        <v>5</v>
      </c>
      <c r="BE35" s="26"/>
      <c r="BF35" s="26"/>
      <c r="BG35" s="50">
        <f>IF(DM35=0,"",DM35)</f>
        <v>-12</v>
      </c>
      <c r="BH35" s="50"/>
      <c r="BI35" s="51">
        <f>IFERROR(_xlfn.RANK.EQ(BG35,BG$6:BG$116,0),"")</f>
        <v>14</v>
      </c>
      <c r="BJ35" s="26"/>
      <c r="BK35" s="26"/>
      <c r="BL35" s="50">
        <f>IF(DO35=0,"",DO35)</f>
        <v>18</v>
      </c>
      <c r="BM35" s="50"/>
      <c r="BN35" s="51">
        <f>IFERROR(_xlfn.RANK.EQ(BL35,BL$6:BL$116,0),"")</f>
        <v>3</v>
      </c>
      <c r="BO35" s="26"/>
      <c r="BP35" s="26"/>
      <c r="BQ35" s="50">
        <f>IF(DQ35=0,"",DQ35)</f>
        <v>-2</v>
      </c>
      <c r="BR35" s="50"/>
      <c r="BS35" s="51">
        <f>IFERROR(_xlfn.RANK.EQ(BQ35,BQ$6:BQ$116,0),"")</f>
        <v>8</v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10</v>
      </c>
      <c r="CT35" s="28">
        <f ca="1">IFERROR(AVERAGE(OFFSET('Data - For Rank'!B$2,K35,0,COUNTIF(K$6:K$116,K35)))+IFERROR(VLOOKUP((COUNT($I$6:$I$116)/4),$ER$9:$ES$13,2,FALSE()),0),"")</f>
        <v>14.5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17</v>
      </c>
      <c r="CX35" s="28">
        <f ca="1">IFERROR(AVERAGE(OFFSET('Data - For Rank'!D$2,U35,0,COUNTIF(U$6:$U143,U35)))+IFERROR(VLOOKUP((COUNT(S$6:S$116)/4),$ER$9:$ES$13,2,FALSE()),0),"")</f>
        <v>14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-74</v>
      </c>
      <c r="DB35" s="28">
        <f ca="1">IFERROR(AVERAGE(OFFSET('Data - For Rank'!F$2,AE35,0,COUNTIF(AE$6:AE$116,AE35)))+IFERROR(VLOOKUP((COUNT(AC$6:AC$116)/4),$ER$9:$ES$13,2,FALSE()),0),"")</f>
        <v>3</v>
      </c>
      <c r="DC35" s="27">
        <v>-1E-3</v>
      </c>
      <c r="DD35" s="28">
        <f ca="1">IFERROR(AVERAGE(OFFSET('Data - For Rank'!G$2,AJ35,0,COUNTIF(AJ$6:AJ$116,AJ35)))+IFERROR(VLOOKUP((COUNT(AH$6:AH$116)/4),$ER$9:$ES$13,2,FALSE()),0),"")</f>
        <v>9.5</v>
      </c>
      <c r="DE35" s="27"/>
      <c r="DF35" s="28" t="str">
        <f ca="1">IFERROR(AVERAGE(OFFSET('Data - For Rank'!$H$2,AO35,0,COUNTIF(AO$6:AO$116,AO35)))+IFERROR(VLOOKUP((COUNT(AM$6:AM$116)/4),$ER$9:$ES$13,2,FALSE()),0),"")</f>
        <v/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5</v>
      </c>
      <c r="DJ35" s="28">
        <f ca="1">IFERROR(AVERAGE(OFFSET('Data - For Rank'!$J$2,AY35,0,COUNTIF(AY$6:AY$116,AY35)))+IFERROR(VLOOKUP((COUNT(AW$6:AW$116)/4),$ER$9:$ES$13,2,FALSE()),0),"")</f>
        <v>13.5</v>
      </c>
      <c r="DK35" s="27">
        <v>12</v>
      </c>
      <c r="DL35" s="28">
        <f ca="1">IFERROR(AVERAGE(OFFSET('Data - For Rank'!$K$2,BD35,0,COUNTIF(BD$6:BD$116,BD35)))+IFERROR(VLOOKUP((COUNT(BB$6:BB$116)/4),$ER$9:$ES$13,2,FALSE()),0),"")</f>
        <v>12</v>
      </c>
      <c r="DM35" s="27">
        <v>-12</v>
      </c>
      <c r="DN35" s="28">
        <f ca="1">IFERROR(AVERAGE(OFFSET('Data - For Rank'!$L$2,BI35,0,COUNTIF(BI$6:BI$116,BI35)))+IFERROR(VLOOKUP((COUNT(BG$6:BG$116)/4),$ER$9:$ES$13,2,FALSE()),0),"")</f>
        <v>5</v>
      </c>
      <c r="DO35" s="27">
        <v>18</v>
      </c>
      <c r="DP35" s="28">
        <f ca="1">IFERROR(AVERAGE(OFFSET('Data - For Rank'!$M$2,BN35,0,COUNTIF(BN$6:BN$116,BN35)))+IFERROR(VLOOKUP((COUNT(BL$6:BL$116)/4),$ER$9:$ES$13,2,FALSE()),0),"")</f>
        <v>16</v>
      </c>
      <c r="DQ35" s="27">
        <v>-2</v>
      </c>
      <c r="DR35" s="28">
        <f ca="1">IFERROR(AVERAGE(OFFSET('Data - For Rank'!$N$2,BS35,0,COUNTIF(BS$6:BS$116,BS35)))+IFERROR(VLOOKUP((COUNT(BQ$6:BQ$116)/4),$ER$9:$ES$13,2,FALSE()),0),"")</f>
        <v>9</v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-36.000999999999998</v>
      </c>
      <c r="ED35" s="30">
        <f t="shared" ca="1" si="0"/>
        <v>10.3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190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10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17.5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>
        <f ca="1">IF(DP36=0,"",DP36)</f>
        <v>23.5</v>
      </c>
      <c r="BK36" s="47"/>
      <c r="BL36" s="47"/>
      <c r="BN36" s="47"/>
      <c r="BO36" s="47">
        <f ca="1">IF(DR36=0,"",DR36)</f>
        <v>31</v>
      </c>
      <c r="BP36" s="47"/>
      <c r="BQ36" s="47"/>
      <c r="BS36" s="47"/>
      <c r="BT36" s="47">
        <f ca="1">IF(DT36=0,"",DT36)</f>
        <v>20</v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17.5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>
        <v>83</v>
      </c>
      <c r="DP36" s="18">
        <f ca="1">IFERROR(DP37+DP38,"")</f>
        <v>23.5</v>
      </c>
      <c r="DQ36" s="17">
        <v>74</v>
      </c>
      <c r="DR36" s="18">
        <f ca="1">IFERROR(DR37+DR38,"")</f>
        <v>31</v>
      </c>
      <c r="DS36" s="17">
        <v>81</v>
      </c>
      <c r="DT36" s="18">
        <f ca="1">IFERROR(DT37+DT38,"")</f>
        <v>20</v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190</v>
      </c>
      <c r="ED36" s="19">
        <f t="shared" ca="1" si="0"/>
        <v>19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>
        <f>IF(DO37=0,"",DO37)</f>
        <v>35</v>
      </c>
      <c r="BL37" s="21"/>
      <c r="BM37" s="47">
        <f>IFERROR(RANK(BK37,BK$6:BK$116,0),"")</f>
        <v>3</v>
      </c>
      <c r="BN37" s="21"/>
      <c r="BO37" s="21"/>
      <c r="BP37" s="21">
        <f>IF(DQ37=0,"",DQ37)</f>
        <v>39</v>
      </c>
      <c r="BQ37" s="21"/>
      <c r="BR37" s="47">
        <f>IFERROR(RANK(BP37,BP$6:BP$116,0),"")</f>
        <v>2</v>
      </c>
      <c r="BS37" s="21"/>
      <c r="BT37" s="21"/>
      <c r="BU37" s="21">
        <f>IF(DS37=0,"",DS37)</f>
        <v>34</v>
      </c>
      <c r="BV37" s="21"/>
      <c r="BW37" s="47">
        <f>IFERROR(RANK(BU37,BU$6:BU$116,0),"")</f>
        <v>4</v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8.5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>
        <v>35</v>
      </c>
      <c r="DP37" s="22">
        <f ca="1">IFERROR(AVERAGE(OFFSET('Data - For Rank'!$M$2,BM37,0,COUNTIF(BM$7:BM$116,BM37)))+IFERROR(VLOOKUP((COUNT(BK$6:BK$116)/4),$ER$9:$ES$13,2,FALSE()),0),"")</f>
        <v>15.5</v>
      </c>
      <c r="DQ37" s="17">
        <v>39</v>
      </c>
      <c r="DR37" s="22">
        <f ca="1">IFERROR(AVERAGE(OFFSET('Data - For Rank'!$N$2,BR37,0,COUNTIF(BR$7:BR$116,BR37)))+IFERROR(VLOOKUP((COUNT(BP$6:BP$116)/4),$ER$9:$ES$13,2,FALSE()),0),"")</f>
        <v>15</v>
      </c>
      <c r="DS37" s="17">
        <v>34</v>
      </c>
      <c r="DT37" s="22">
        <f ca="1">IFERROR(AVERAGE(OFFSET('Data - For Rank'!$O$2,BW37,0,COUNTIF(BW$7:BW$116,BW37)))+IFERROR(VLOOKUP((COUNT(BU$6:BU$116)/4),$ER$9:$ES$13,2,FALSE()),0),"")</f>
        <v>13</v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32.1</v>
      </c>
      <c r="ED37" s="19">
        <f t="shared" ca="1" si="0"/>
        <v>10.35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132" t="s">
        <v>42</v>
      </c>
      <c r="F38" s="26">
        <f ca="1">IF(COUNT(G36:CN36)&gt;10,SMALL(G36:CN36,COUNT(G36:CN36)-9),MIN(G36:CN36))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>
        <f>IF(DO38=0,"",DO38)</f>
        <v>-4</v>
      </c>
      <c r="BM38" s="50"/>
      <c r="BN38" s="51">
        <f>IFERROR(_xlfn.RANK.EQ(BL38,BL$6:BL$116,0),"")</f>
        <v>11</v>
      </c>
      <c r="BO38" s="26"/>
      <c r="BP38" s="26"/>
      <c r="BQ38" s="50">
        <f>IF(DQ38=0,"",DQ38)</f>
        <v>18</v>
      </c>
      <c r="BR38" s="50"/>
      <c r="BS38" s="51">
        <f>IFERROR(_xlfn.RANK.EQ(BQ38,BQ$6:BQ$116,0),"")</f>
        <v>1</v>
      </c>
      <c r="BT38" s="26"/>
      <c r="BU38" s="26"/>
      <c r="BV38" s="50">
        <f>IF(DS38=0,"",DS38)</f>
        <v>-9</v>
      </c>
      <c r="BW38" s="50"/>
      <c r="BX38" s="51">
        <f>IFERROR(_xlfn.RANK.EQ(BV38,BV$6:BV$116,0),"")</f>
        <v>10</v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>
        <v>-4</v>
      </c>
      <c r="DP38" s="28">
        <f ca="1">IFERROR(AVERAGE(OFFSET('Data - For Rank'!$M$2,BN38,0,COUNTIF(BN$6:BN$116,BN38)))+IFERROR(VLOOKUP((COUNT(BL$6:BL$116)/4),$ER$9:$ES$13,2,FALSE()),0),"")</f>
        <v>8</v>
      </c>
      <c r="DQ38" s="27">
        <v>18</v>
      </c>
      <c r="DR38" s="28">
        <f ca="1">IFERROR(AVERAGE(OFFSET('Data - For Rank'!$N$2,BS38,0,COUNTIF(BS$6:BS$116,BS38)))+IFERROR(VLOOKUP((COUNT(BQ$6:BQ$116)/4),$ER$9:$ES$13,2,FALSE()),0),"")</f>
        <v>16</v>
      </c>
      <c r="DS38" s="27">
        <v>-9</v>
      </c>
      <c r="DT38" s="28">
        <f ca="1">IFERROR(AVERAGE(OFFSET('Data - For Rank'!$O$2,BX38,0,COUNTIF(BX$6:BX$116,BX38)))+IFERROR(VLOOKUP((COUNT(BV$6:BV$116)/4),$ER$9:$ES$13,2,FALSE()),0),"")</f>
        <v>7</v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-37</v>
      </c>
      <c r="ED38" s="30">
        <f t="shared" ca="1" si="0"/>
        <v>8.65</v>
      </c>
      <c r="ET38" s="54"/>
    </row>
    <row r="39" spans="2:151" x14ac:dyDescent="0.2">
      <c r="B39" s="7">
        <f ca="1">_xlfn.RANK.EQ(C39,$C$6:$C$63,)</f>
        <v>12</v>
      </c>
      <c r="C39" s="41">
        <f ca="1">EC39</f>
        <v>178</v>
      </c>
      <c r="D39" s="41" t="s">
        <v>101</v>
      </c>
      <c r="E39" s="31" t="s">
        <v>49</v>
      </c>
      <c r="F39" s="16">
        <f ca="1">COUNT(CT39,CV39,CX39,CZ39,DB39,DD39,DF39,DH39,DJ39,DL39,DN39,DP39,DR39,DT39,DV39,DX39,DZ39,EB39)</f>
        <v>9</v>
      </c>
      <c r="G39" s="47">
        <f ca="1">IF(CT39=0,"",CT39)</f>
        <v>31.5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15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>
        <f ca="1">IF(DB39=0,"",DB39)</f>
        <v>23.5</v>
      </c>
      <c r="AB39" s="47"/>
      <c r="AC39" s="47"/>
      <c r="AE39" s="47"/>
      <c r="AF39" s="47">
        <f ca="1">IF(DD39=0,"",DD39)</f>
        <v>23</v>
      </c>
      <c r="AG39" s="47"/>
      <c r="AH39" s="47"/>
      <c r="AJ39" s="47"/>
      <c r="AK39" s="47">
        <f ca="1">IF(DF39=0,"",DF39)</f>
        <v>16</v>
      </c>
      <c r="AL39" s="47"/>
      <c r="AM39" s="47"/>
      <c r="AO39" s="47"/>
      <c r="AP39" s="47" t="str">
        <f ca="1">IF(DH39=0,"",DH39)</f>
        <v/>
      </c>
      <c r="AQ39" s="47"/>
      <c r="AR39" s="47"/>
      <c r="AT39" s="47"/>
      <c r="AU39" s="47">
        <f ca="1">IF(DJ39=0,"",DJ39)</f>
        <v>10</v>
      </c>
      <c r="AV39" s="47"/>
      <c r="AW39" s="47"/>
      <c r="AY39" s="47"/>
      <c r="AZ39" s="47">
        <f ca="1">IF(DL39=0,"",DL39)</f>
        <v>29.5</v>
      </c>
      <c r="BA39" s="47"/>
      <c r="BB39" s="47"/>
      <c r="BD39" s="47"/>
      <c r="BE39" s="47">
        <f ca="1">IF(DN39=0,"",DN39)</f>
        <v>7.5</v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>
        <f ca="1">IF(DT39=0,"",DT39)</f>
        <v>22</v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77</v>
      </c>
      <c r="CT39" s="18">
        <f ca="1">IFERROR(CT40+CT41,"")</f>
        <v>31.5</v>
      </c>
      <c r="CU39" s="17"/>
      <c r="CV39" s="18" t="str">
        <f ca="1">IFERROR(CV40+CV41,"")</f>
        <v/>
      </c>
      <c r="CW39" s="17">
        <v>87</v>
      </c>
      <c r="CX39" s="18">
        <f ca="1">IFERROR(CX40+CX41,"")</f>
        <v>15</v>
      </c>
      <c r="CY39" s="17"/>
      <c r="CZ39" s="18" t="str">
        <f ca="1">IFERROR(CZ40+CZ41,"")</f>
        <v/>
      </c>
      <c r="DA39" s="17">
        <v>81</v>
      </c>
      <c r="DB39" s="18">
        <f ca="1">IFERROR(DB40+DB41,"")</f>
        <v>23.5</v>
      </c>
      <c r="DC39" s="17">
        <v>84</v>
      </c>
      <c r="DD39" s="18">
        <f ca="1">IFERROR(DD40+DD41,"")</f>
        <v>23</v>
      </c>
      <c r="DE39" s="17">
        <v>82</v>
      </c>
      <c r="DF39" s="18">
        <f ca="1">IFERROR(DF40+DF41,"")</f>
        <v>16</v>
      </c>
      <c r="DG39" s="17"/>
      <c r="DH39" s="18" t="str">
        <f ca="1">IFERROR(DH40+DH41,"")</f>
        <v/>
      </c>
      <c r="DI39" s="17">
        <v>87</v>
      </c>
      <c r="DJ39" s="18">
        <f ca="1">IFERROR(DJ40+DJ41,"")</f>
        <v>10</v>
      </c>
      <c r="DK39" s="17">
        <v>76</v>
      </c>
      <c r="DL39" s="18">
        <f ca="1">IFERROR(DL40+DL41,"")</f>
        <v>29.5</v>
      </c>
      <c r="DM39" s="17">
        <v>87</v>
      </c>
      <c r="DN39" s="18">
        <f ca="1">IFERROR(DN40+DN41,"")</f>
        <v>7.5</v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>
        <v>83</v>
      </c>
      <c r="DT39" s="18">
        <f ca="1">IFERROR(DT40+DT41,"")</f>
        <v>22</v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178</v>
      </c>
      <c r="ED39" s="19">
        <f t="shared" ca="1" si="0"/>
        <v>19.777777777777779</v>
      </c>
      <c r="ET39" s="54"/>
    </row>
    <row r="40" spans="2:151" s="1" customFormat="1" outlineLevel="1" x14ac:dyDescent="0.2">
      <c r="B40" s="20">
        <f ca="1">B39+0.17</f>
        <v>12.17</v>
      </c>
      <c r="D40" s="54" t="s">
        <v>102</v>
      </c>
      <c r="E40" s="21" t="s">
        <v>41</v>
      </c>
      <c r="F40" s="33"/>
      <c r="G40" s="33"/>
      <c r="H40" s="21">
        <f>IF(CS40=0,"",CS40)</f>
        <v>39</v>
      </c>
      <c r="I40" s="33"/>
      <c r="J40" s="47">
        <f>IFERROR(RANK(H40,H$6:H$116,0),"")</f>
        <v>2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31</v>
      </c>
      <c r="S40" s="21"/>
      <c r="T40" s="47">
        <f>IFERROR(RANK(R40,R$6:R$116,0),"")</f>
        <v>7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>
        <f>IF(DA40=0,"",DA40)</f>
        <v>34</v>
      </c>
      <c r="AC40" s="21"/>
      <c r="AD40" s="47">
        <f>IFERROR(RANK(AB40,AB$6:AB$116,0),"")</f>
        <v>2</v>
      </c>
      <c r="AE40" s="21"/>
      <c r="AF40" s="21"/>
      <c r="AG40" s="21">
        <f>IF(DC40=0,"",DC40)</f>
        <v>33</v>
      </c>
      <c r="AH40" s="21"/>
      <c r="AI40" s="47">
        <f>IFERROR(RANK(AG40,AG$6:AG$116,0),"")</f>
        <v>9</v>
      </c>
      <c r="AJ40" s="21"/>
      <c r="AK40" s="21"/>
      <c r="AL40" s="21">
        <f>IF(DE40=0,"",DE40)</f>
        <v>30</v>
      </c>
      <c r="AM40" s="21"/>
      <c r="AN40" s="47">
        <f>IFERROR(RANK(AL40,AL$6:AL$116,0),"")</f>
        <v>12</v>
      </c>
      <c r="AO40" s="21"/>
      <c r="AP40" s="21"/>
      <c r="AQ40" s="21" t="str">
        <f>IF(DG40=0,"",DG40)</f>
        <v/>
      </c>
      <c r="AR40" s="21"/>
      <c r="AS40" s="47" t="str">
        <f>IFERROR(RANK(AQ40,AQ$6:AQ$116,0),"")</f>
        <v/>
      </c>
      <c r="AT40" s="21"/>
      <c r="AU40" s="21"/>
      <c r="AV40" s="21">
        <f>IF(DI40=0,"",DI40)</f>
        <v>30</v>
      </c>
      <c r="AW40" s="21"/>
      <c r="AX40" s="47">
        <f>IFERROR(RANK(AV40,AV$6:AV$116,0),"")</f>
        <v>12</v>
      </c>
      <c r="AY40" s="21"/>
      <c r="AZ40" s="21"/>
      <c r="BA40" s="21">
        <f>IF(DK40=0,"",DK40)</f>
        <v>36</v>
      </c>
      <c r="BB40" s="21"/>
      <c r="BC40" s="47">
        <f>IFERROR(RANK(BA40,BA$6:BA$116,0),"")</f>
        <v>3</v>
      </c>
      <c r="BD40" s="21"/>
      <c r="BE40" s="21"/>
      <c r="BF40" s="21">
        <f>IF(DM40=0,"",DM40)</f>
        <v>28</v>
      </c>
      <c r="BG40" s="21"/>
      <c r="BH40" s="47">
        <f>IFERROR(RANK(BF40,BF$6:BF$116,0),"")</f>
        <v>14</v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>
        <f>IF(DS40=0,"",DS40)</f>
        <v>32</v>
      </c>
      <c r="BV40" s="21"/>
      <c r="BW40" s="47">
        <f>IFERROR(RANK(BU40,BU$6:BU$116,0),"")</f>
        <v>6</v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39</v>
      </c>
      <c r="CT40" s="22">
        <f ca="1">IFERROR(AVERAGE(OFFSET('Data - For Rank'!B$2,J40,0,COUNTIF($J$7:J$116,J40)))+IFERROR(VLOOKUP((COUNT($H$6:$H$116)/4),$ER$9:$ES$13,2,FALSE()),0),"")</f>
        <v>17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31</v>
      </c>
      <c r="CX40" s="22">
        <f ca="1">IFERROR(AVERAGE(OFFSET('Data - For Rank'!D$2,T40,0,COUNTIF(T$7:T$116,T40)))+IFERROR(VLOOKUP((COUNT(R$6:R$116)/4),$ER$9:$ES$13,2,FALSE()),0),"")</f>
        <v>10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34</v>
      </c>
      <c r="DB40" s="22">
        <f ca="1">IFERROR(AVERAGE(OFFSET('Data - For Rank'!F$2,AD40,0,COUNTIF(AD$7:AD$116,AD40)))+IFERROR(VLOOKUP((COUNT(AB$6:AB$116)/4),$ER$9:$ES$13,2,FALSE()),0),"")</f>
        <v>16.5</v>
      </c>
      <c r="DC40" s="17">
        <v>33</v>
      </c>
      <c r="DD40" s="22">
        <f ca="1">IFERROR(AVERAGE(OFFSET('Data - For Rank'!G$2,AI40,0,COUNTIF(AI$7:AI$116,AI40)))+IFERROR(VLOOKUP((COUNT(AG$6:AG$116)/4),$ER$9:$ES$13,2,FALSE()),0),"")</f>
        <v>10</v>
      </c>
      <c r="DE40" s="17">
        <v>30</v>
      </c>
      <c r="DF40" s="22">
        <f ca="1">IFERROR(AVERAGE(OFFSET('Data - For Rank'!$H$2,AN40,0,COUNTIF(AN$7:AN$116,AN40)))+IFERROR(VLOOKUP((COUNT(AL$6:AL$116)/4),$ER$9:$ES$13,2,FALSE()),0),"")</f>
        <v>5</v>
      </c>
      <c r="DG40" s="17"/>
      <c r="DH40" s="22" t="str">
        <f ca="1">IFERROR(AVERAGE(OFFSET('Data - For Rank'!$I$2,AS40,0,COUNTIF(AS$7:AS$116,AS40)))+IFERROR(VLOOKUP((COUNT(AQ$6:AQ$116)/4),$ER$9:$ES$13,2,FALSE()),0),"")</f>
        <v/>
      </c>
      <c r="DI40" s="17">
        <v>30</v>
      </c>
      <c r="DJ40" s="22">
        <f ca="1">IFERROR(AVERAGE(OFFSET('Data - For Rank'!$J$2,AX40,0,COUNTIF(AX$7:AX$116,AX40)))+IFERROR(VLOOKUP((COUNT(AV$6:AV$116)/4),$ER$9:$ES$13,2,FALSE()),0),"")</f>
        <v>7</v>
      </c>
      <c r="DK40" s="17">
        <v>36</v>
      </c>
      <c r="DL40" s="22">
        <f ca="1">IFERROR(AVERAGE(OFFSET('Data - For Rank'!$K$2,BC40,0,COUNTIF(BC$7:BC$116,BC40)))+IFERROR(VLOOKUP((COUNT(BA$6:BA$116)/4),$ER$9:$ES$13,2,FALSE()),0),"")</f>
        <v>13.5</v>
      </c>
      <c r="DM40" s="17">
        <v>28</v>
      </c>
      <c r="DN40" s="22">
        <f ca="1">IFERROR(AVERAGE(OFFSET('Data - For Rank'!$L$2,BH40,0,COUNTIF(BH$7:BH$116,BH40)))+IFERROR(VLOOKUP((COUNT(BF$6:BF$116)/4),$ER$9:$ES$13,2,FALSE()),0),"")</f>
        <v>4.5</v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>
        <v>32</v>
      </c>
      <c r="DT40" s="22">
        <f ca="1">IFERROR(AVERAGE(OFFSET('Data - For Rank'!$O$2,BW40,0,COUNTIF(BW$7:BW$116,BW40)))+IFERROR(VLOOKUP((COUNT(BU$6:BU$116)/4),$ER$9:$ES$13,2,FALSE()),0),"")</f>
        <v>10</v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32.555555555555557</v>
      </c>
      <c r="ED40" s="19">
        <f t="shared" ca="1" si="0"/>
        <v>10.388888888888889</v>
      </c>
      <c r="ET40" s="54"/>
    </row>
    <row r="41" spans="2:151" s="1" customFormat="1" outlineLevel="1" x14ac:dyDescent="0.2">
      <c r="B41" s="24">
        <f ca="1">B39+0.027</f>
        <v>12.026999999999999</v>
      </c>
      <c r="D41" s="54" t="s">
        <v>103</v>
      </c>
      <c r="E41" s="25" t="s">
        <v>42</v>
      </c>
      <c r="F41" s="26">
        <f ca="1">IF(COUNT(G39:CN39)&gt;10,SMALL(G39:CN39,COUNT(G39:CN39)-9),MIN(G39:CN39))</f>
        <v>7.5</v>
      </c>
      <c r="G41" s="26"/>
      <c r="H41" s="26"/>
      <c r="I41" s="50">
        <f>IF(CS41=0,"",CS41)</f>
        <v>10</v>
      </c>
      <c r="J41" s="50"/>
      <c r="K41" s="51">
        <f>IFERROR(_xlfn.RANK.EQ(I41,I$6:I$116,0),"")</f>
        <v>4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-32</v>
      </c>
      <c r="T41" s="50"/>
      <c r="U41" s="51">
        <f>IFERROR(_xlfn.RANK.EQ(S41,S$6:S$116,0),"")</f>
        <v>12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>
        <f>IF(DA41=0,"",DA41)</f>
        <v>-8</v>
      </c>
      <c r="AD41" s="50"/>
      <c r="AE41" s="51">
        <f>IFERROR(_xlfn.RANK.EQ(AC41,AC$6:AC$116,0),"")</f>
        <v>12</v>
      </c>
      <c r="AF41" s="26"/>
      <c r="AG41" s="26"/>
      <c r="AH41" s="50">
        <f>IF(DC41=0,"",DC41)</f>
        <v>10</v>
      </c>
      <c r="AI41" s="50"/>
      <c r="AJ41" s="51">
        <f>IFERROR(_xlfn.RANK.EQ(AH41,AH$6:AH$116,0),"")</f>
        <v>6</v>
      </c>
      <c r="AK41" s="26"/>
      <c r="AL41" s="26"/>
      <c r="AM41" s="50">
        <f>IF(DE41=0,"",DE41)</f>
        <v>2</v>
      </c>
      <c r="AN41" s="50"/>
      <c r="AO41" s="51">
        <f>IFERROR(_xlfn.RANK.EQ(AM41,AM$6:AM$116,0),"")</f>
        <v>5</v>
      </c>
      <c r="AP41" s="26"/>
      <c r="AQ41" s="26"/>
      <c r="AR41" s="50" t="str">
        <f>IF(DG41=0,"",DG41)</f>
        <v/>
      </c>
      <c r="AS41" s="50"/>
      <c r="AT41" s="51" t="str">
        <f>IFERROR(_xlfn.RANK.EQ(AR41,AR$6:AR$116,0),"")</f>
        <v/>
      </c>
      <c r="AU41" s="26"/>
      <c r="AV41" s="26"/>
      <c r="AW41" s="50">
        <f>IF(DI41=0,"",DI41)</f>
        <v>-33</v>
      </c>
      <c r="AX41" s="50"/>
      <c r="AY41" s="51">
        <f>IFERROR(_xlfn.RANK.EQ(AW41,AW$6:AW$116,0),"")</f>
        <v>16</v>
      </c>
      <c r="AZ41" s="26"/>
      <c r="BA41" s="26"/>
      <c r="BB41" s="50">
        <f>IF(DK41=0,"",DK41)</f>
        <v>28</v>
      </c>
      <c r="BC41" s="50"/>
      <c r="BD41" s="51">
        <f>IFERROR(_xlfn.RANK.EQ(BB41,BB$6:BB$116,0),"")</f>
        <v>1</v>
      </c>
      <c r="BE41" s="26"/>
      <c r="BF41" s="26"/>
      <c r="BG41" s="50">
        <f>IF(DM41=0,"",DM41)</f>
        <v>-46</v>
      </c>
      <c r="BH41" s="50"/>
      <c r="BI41" s="51">
        <f>IFERROR(_xlfn.RANK.EQ(BG41,BG$6:BG$116,0),"")</f>
        <v>16</v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>
        <f>IF(DS41=0,"",DS41)</f>
        <v>3</v>
      </c>
      <c r="BW41" s="50"/>
      <c r="BX41" s="51">
        <f>IFERROR(_xlfn.RANK.EQ(BV41,BV$6:BV$116,0),"")</f>
        <v>5</v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-32</v>
      </c>
      <c r="CX41" s="28">
        <f ca="1">IFERROR(AVERAGE(OFFSET('Data - For Rank'!D$2,U41,0,COUNTIF(U$6:$U149,U41)))+IFERROR(VLOOKUP((COUNT(S$6:S$116)/4),$ER$9:$ES$13,2,FALSE()),0),"")</f>
        <v>5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-8</v>
      </c>
      <c r="DB41" s="28">
        <f ca="1">IFERROR(AVERAGE(OFFSET('Data - For Rank'!F$2,AE41,0,COUNTIF(AE$6:AE$116,AE41)))+IFERROR(VLOOKUP((COUNT(AC$6:AC$116)/4),$ER$9:$ES$13,2,FALSE()),0),"")</f>
        <v>7</v>
      </c>
      <c r="DC41" s="27">
        <v>10</v>
      </c>
      <c r="DD41" s="28">
        <f ca="1">IFERROR(AVERAGE(OFFSET('Data - For Rank'!G$2,AJ41,0,COUNTIF(AJ$6:AJ$116,AJ41)))+IFERROR(VLOOKUP((COUNT(AH$6:AH$116)/4),$ER$9:$ES$13,2,FALSE()),0),"")</f>
        <v>13</v>
      </c>
      <c r="DE41" s="27">
        <v>2</v>
      </c>
      <c r="DF41" s="28">
        <f ca="1">IFERROR(AVERAGE(OFFSET('Data - For Rank'!$H$2,AO41,0,COUNTIF(AO$6:AO$116,AO41)))+IFERROR(VLOOKUP((COUNT(AM$6:AM$116)/4),$ER$9:$ES$13,2,FALSE()),0),"")</f>
        <v>11</v>
      </c>
      <c r="DG41" s="27"/>
      <c r="DH41" s="28" t="str">
        <f ca="1">IFERROR(AVERAGE(OFFSET('Data - For Rank'!$I$2,AT41,0,COUNTIF(AT$6:AT$116,AT41)))+IFERROR(VLOOKUP((COUNT(AR$6:AR$116)/4),$ER$9:$ES$13,2,FALSE()),0),"")</f>
        <v/>
      </c>
      <c r="DI41" s="27">
        <v>-33</v>
      </c>
      <c r="DJ41" s="28">
        <f ca="1">IFERROR(AVERAGE(OFFSET('Data - For Rank'!$J$2,AY41,0,COUNTIF(AY$6:AY$116,AY41)))+IFERROR(VLOOKUP((COUNT(AW$6:AW$116)/4),$ER$9:$ES$13,2,FALSE()),0),"")</f>
        <v>3</v>
      </c>
      <c r="DK41" s="27">
        <v>28</v>
      </c>
      <c r="DL41" s="28">
        <f ca="1">IFERROR(AVERAGE(OFFSET('Data - For Rank'!$K$2,BD41,0,COUNTIF(BD$6:BD$116,BD41)))+IFERROR(VLOOKUP((COUNT(BB$6:BB$116)/4),$ER$9:$ES$13,2,FALSE()),0),"")</f>
        <v>16</v>
      </c>
      <c r="DM41" s="27">
        <v>-46</v>
      </c>
      <c r="DN41" s="28">
        <f ca="1">IFERROR(AVERAGE(OFFSET('Data - For Rank'!$L$2,BI41,0,COUNTIF(BI$6:BI$116,BI41)))+IFERROR(VLOOKUP((COUNT(BG$6:BG$116)/4),$ER$9:$ES$13,2,FALSE()),0),"")</f>
        <v>3</v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>
        <v>3</v>
      </c>
      <c r="DT41" s="28">
        <f ca="1">IFERROR(AVERAGE(OFFSET('Data - For Rank'!$O$2,BX41,0,COUNTIF(BX$6:BX$116,BX41)))+IFERROR(VLOOKUP((COUNT(BV$6:BV$116)/4),$ER$9:$ES$13,2,FALSE()),0),"")</f>
        <v>12</v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-66</v>
      </c>
      <c r="ED41" s="30">
        <f t="shared" ca="1" si="0"/>
        <v>9.3888888888888893</v>
      </c>
      <c r="ET41" s="54"/>
    </row>
    <row r="42" spans="2:151" x14ac:dyDescent="0.2">
      <c r="B42" s="7">
        <f ca="1">_xlfn.RANK.EQ(C42,$C$6:$C$63,)</f>
        <v>13</v>
      </c>
      <c r="C42" s="41">
        <f ca="1">EC42</f>
        <v>177.5</v>
      </c>
      <c r="D42" s="41" t="s">
        <v>110</v>
      </c>
      <c r="E42" s="15" t="s">
        <v>52</v>
      </c>
      <c r="F42" s="16">
        <f ca="1">COUNT(CT42,CV42,CX42,CZ42,DB42,DD42,DF42,DH42,DJ42,DL42,DN42,DP42,DR42,DT42,DV42,DX42,DZ42,EB42)</f>
        <v>8</v>
      </c>
      <c r="G42" s="47">
        <f ca="1">IF(CT42=0,"",CT42)</f>
        <v>23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 t="str">
        <f ca="1">IF(CX42=0,"",CX42)</f>
        <v/>
      </c>
      <c r="R42" s="47"/>
      <c r="S42" s="47"/>
      <c r="U42" s="47"/>
      <c r="V42" s="47">
        <f ca="1">IF(CZ42=0,"",CZ42)</f>
        <v>19.5</v>
      </c>
      <c r="W42" s="47"/>
      <c r="X42" s="47"/>
      <c r="Z42" s="47"/>
      <c r="AA42" s="47">
        <f ca="1">IF(DB42=0,"",DB42)</f>
        <v>23</v>
      </c>
      <c r="AB42" s="47"/>
      <c r="AC42" s="47"/>
      <c r="AE42" s="47"/>
      <c r="AF42" s="47" t="str">
        <f ca="1">IF(DD42=0,"",DD42)</f>
        <v/>
      </c>
      <c r="AG42" s="47"/>
      <c r="AH42" s="47"/>
      <c r="AJ42" s="47"/>
      <c r="AK42" s="47" t="str">
        <f ca="1">IF(DF42=0,"",DF42)</f>
        <v/>
      </c>
      <c r="AL42" s="47"/>
      <c r="AM42" s="47"/>
      <c r="AO42" s="47"/>
      <c r="AP42" s="47">
        <f ca="1">IF(DH42=0,"",DH42)</f>
        <v>29.5</v>
      </c>
      <c r="AQ42" s="47"/>
      <c r="AR42" s="47"/>
      <c r="AT42" s="47"/>
      <c r="AU42" s="47" t="str">
        <f ca="1">IF(DJ42=0,"",DJ42)</f>
        <v/>
      </c>
      <c r="AV42" s="47"/>
      <c r="AW42" s="47"/>
      <c r="AY42" s="47"/>
      <c r="AZ42" s="47">
        <f ca="1">IF(DL42=0,"",DL42)</f>
        <v>17</v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>
        <f ca="1">IF(DP42=0,"",DP42)</f>
        <v>20.5</v>
      </c>
      <c r="BK42" s="47"/>
      <c r="BL42" s="47"/>
      <c r="BN42" s="47"/>
      <c r="BO42" s="47">
        <f ca="1">IF(DR42=0,"",DR42)</f>
        <v>21.5</v>
      </c>
      <c r="BP42" s="47"/>
      <c r="BQ42" s="47"/>
      <c r="BS42" s="47"/>
      <c r="BT42" s="47">
        <f ca="1">IF(DT42=0,"",DT42)</f>
        <v>23.5</v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90</v>
      </c>
      <c r="CT42" s="18">
        <f ca="1">IFERROR(CT43+CT44,"")</f>
        <v>23</v>
      </c>
      <c r="CU42" s="17"/>
      <c r="CV42" s="18" t="str">
        <f ca="1">IFERROR(CV43+CV44,"")</f>
        <v/>
      </c>
      <c r="CW42" s="17"/>
      <c r="CX42" s="18" t="str">
        <f ca="1">IFERROR(CX43+CX44,"")</f>
        <v/>
      </c>
      <c r="CY42" s="17">
        <v>91</v>
      </c>
      <c r="CZ42" s="18">
        <f ca="1">IFERROR(CZ43+CZ44,"")</f>
        <v>19.5</v>
      </c>
      <c r="DA42" s="17">
        <v>94</v>
      </c>
      <c r="DB42" s="18">
        <f ca="1">IFERROR(DB43+DB44,"")</f>
        <v>23</v>
      </c>
      <c r="DC42" s="17"/>
      <c r="DD42" s="18" t="str">
        <f ca="1">IFERROR(DD43+DD44,"")</f>
        <v/>
      </c>
      <c r="DE42" s="17"/>
      <c r="DF42" s="18" t="str">
        <f ca="1">IFERROR(DF43+DF44,"")</f>
        <v/>
      </c>
      <c r="DG42" s="17">
        <v>87</v>
      </c>
      <c r="DH42" s="18">
        <f ca="1">IFERROR(DH43+DH44,"")</f>
        <v>29.5</v>
      </c>
      <c r="DI42" s="17"/>
      <c r="DJ42" s="18" t="str">
        <f ca="1">IFERROR(DJ43+DJ44,"")</f>
        <v/>
      </c>
      <c r="DK42" s="17">
        <v>93</v>
      </c>
      <c r="DL42" s="18">
        <f ca="1">IFERROR(DL43+DL44,"")</f>
        <v>17</v>
      </c>
      <c r="DM42" s="17"/>
      <c r="DN42" s="18" t="str">
        <f ca="1">IFERROR(DN43+DN44,"")</f>
        <v/>
      </c>
      <c r="DO42" s="17">
        <v>90</v>
      </c>
      <c r="DP42" s="18">
        <f ca="1">IFERROR(DP43+DP44,"")</f>
        <v>20.5</v>
      </c>
      <c r="DQ42" s="17">
        <v>93</v>
      </c>
      <c r="DR42" s="18">
        <f ca="1">IFERROR(DR43+DR44,"")</f>
        <v>21.5</v>
      </c>
      <c r="DS42" s="17">
        <v>89</v>
      </c>
      <c r="DT42" s="18">
        <f ca="1">IFERROR(DT43+DT44,"")</f>
        <v>23.5</v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177.5</v>
      </c>
      <c r="ED42" s="19">
        <f t="shared" ca="1" si="0"/>
        <v>22.1875</v>
      </c>
      <c r="ET42" s="54"/>
    </row>
    <row r="43" spans="2:151" s="1" customFormat="1" outlineLevel="1" x14ac:dyDescent="0.2">
      <c r="B43" s="20">
        <f ca="1">B42+0.18</f>
        <v>13.18</v>
      </c>
      <c r="D43" s="54" t="s">
        <v>111</v>
      </c>
      <c r="E43" s="21" t="s">
        <v>41</v>
      </c>
      <c r="F43" s="21"/>
      <c r="G43" s="21"/>
      <c r="H43" s="21">
        <f>IF(CS43=0,"",CS43)</f>
        <v>31</v>
      </c>
      <c r="I43" s="21"/>
      <c r="J43" s="47">
        <f>IFERROR(RANK(H43,H$6:H$116,0),"")</f>
        <v>8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 t="str">
        <f>IF(CW43=0,"",CW43)</f>
        <v/>
      </c>
      <c r="S43" s="21"/>
      <c r="T43" s="47" t="str">
        <f>IFERROR(RANK(R43,R$6:R$116,0),"")</f>
        <v/>
      </c>
      <c r="U43" s="21"/>
      <c r="V43" s="21"/>
      <c r="W43" s="21">
        <f>IF(CY43=0,"",CY43)</f>
        <v>28</v>
      </c>
      <c r="X43" s="21"/>
      <c r="Y43" s="47">
        <f>IFERROR(RANK(W43,W$6:W$116,0),"")</f>
        <v>6</v>
      </c>
      <c r="Z43" s="21"/>
      <c r="AA43" s="21"/>
      <c r="AB43" s="21">
        <f>IF(DA43=0,"",DA43)</f>
        <v>31</v>
      </c>
      <c r="AC43" s="21"/>
      <c r="AD43" s="47">
        <f>IFERROR(RANK(AB43,AB$6:AB$116,0),"")</f>
        <v>7</v>
      </c>
      <c r="AE43" s="21"/>
      <c r="AF43" s="21"/>
      <c r="AG43" s="21" t="str">
        <f>IF(DC43=0,"",DC43)</f>
        <v/>
      </c>
      <c r="AH43" s="21"/>
      <c r="AI43" s="47" t="str">
        <f>IFERROR(RANK(AG43,AG$6:AG$116,0),"")</f>
        <v/>
      </c>
      <c r="AJ43" s="21"/>
      <c r="AK43" s="21"/>
      <c r="AL43" s="21" t="str">
        <f>IF(DE43=0,"",DE43)</f>
        <v/>
      </c>
      <c r="AM43" s="21"/>
      <c r="AN43" s="47" t="str">
        <f>IFERROR(RANK(AL43,AL$6:AL$116,0),"")</f>
        <v/>
      </c>
      <c r="AO43" s="21"/>
      <c r="AP43" s="21"/>
      <c r="AQ43" s="21">
        <f>IF(DG43=0,"",DG43)</f>
        <v>36</v>
      </c>
      <c r="AR43" s="21"/>
      <c r="AS43" s="47">
        <f>IFERROR(RANK(AQ43,AQ$6:AQ$116,0),"")</f>
        <v>3</v>
      </c>
      <c r="AT43" s="21"/>
      <c r="AU43" s="21"/>
      <c r="AV43" s="21" t="str">
        <f>IF(DI43=0,"",DI43)</f>
        <v/>
      </c>
      <c r="AW43" s="21"/>
      <c r="AX43" s="47" t="str">
        <f>IFERROR(RANK(AV43,AV$6:AV$116,0),"")</f>
        <v/>
      </c>
      <c r="AY43" s="21"/>
      <c r="AZ43" s="21"/>
      <c r="BA43" s="21">
        <f>IF(DK43=0,"",DK43)</f>
        <v>28</v>
      </c>
      <c r="BB43" s="21"/>
      <c r="BC43" s="47">
        <f>IFERROR(RANK(BA43,BA$6:BA$116,0),"")</f>
        <v>10</v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>
        <f>IF(DO43=0,"",DO43)</f>
        <v>35</v>
      </c>
      <c r="BL43" s="21"/>
      <c r="BM43" s="47">
        <f>IFERROR(RANK(BK43,BK$6:BK$116,0),"")</f>
        <v>3</v>
      </c>
      <c r="BN43" s="21"/>
      <c r="BO43" s="21"/>
      <c r="BP43" s="21">
        <f>IF(DQ43=0,"",DQ43)</f>
        <v>28</v>
      </c>
      <c r="BQ43" s="21"/>
      <c r="BR43" s="47">
        <f>IFERROR(RANK(BP43,BP$6:BP$116,0),"")</f>
        <v>9</v>
      </c>
      <c r="BS43" s="21"/>
      <c r="BT43" s="21"/>
      <c r="BU43" s="21">
        <f>IF(DS43=0,"",DS43)</f>
        <v>35</v>
      </c>
      <c r="BV43" s="21"/>
      <c r="BW43" s="47">
        <f>IFERROR(RANK(BU43,BU$6:BU$116,0),"")</f>
        <v>3</v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31</v>
      </c>
      <c r="CT43" s="22">
        <f ca="1">IFERROR(AVERAGE(OFFSET('Data - For Rank'!B$2,J43,0,COUNTIF($J$7:J$116,J43)))+IFERROR(VLOOKUP((COUNT($H$6:$H$116)/4),$ER$9:$ES$13,2,FALSE()),0),"")</f>
        <v>10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/>
      <c r="CX43" s="22" t="str">
        <f ca="1">IFERROR(AVERAGE(OFFSET('Data - For Rank'!D$2,T43,0,COUNTIF(T$7:T$116,T43)))+IFERROR(VLOOKUP((COUNT(R$6:R$116)/4),$ER$9:$ES$13,2,FALSE()),0),"")</f>
        <v/>
      </c>
      <c r="CY43" s="17">
        <v>28</v>
      </c>
      <c r="CZ43" s="22">
        <f ca="1">IFERROR(AVERAGE(OFFSET('Data - For Rank'!E$2,Y43,0,COUNTIF(Y$7:Y$116,Y43)))+IFERROR(VLOOKUP((COUNT(W$6:W$116)/4),$ER$9:$ES$13,2,FALSE()),0),"")</f>
        <v>8.5</v>
      </c>
      <c r="DA43" s="17">
        <v>31</v>
      </c>
      <c r="DB43" s="22">
        <f ca="1">IFERROR(AVERAGE(OFFSET('Data - For Rank'!F$2,AD43,0,COUNTIF(AD$7:AD$116,AD43)))+IFERROR(VLOOKUP((COUNT(AB$6:AB$116)/4),$ER$9:$ES$13,2,FALSE()),0),"")</f>
        <v>11</v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36</v>
      </c>
      <c r="DH43" s="22">
        <f ca="1">IFERROR(AVERAGE(OFFSET('Data - For Rank'!$I$2,AS43,0,COUNTIF(AS$7:AS$116,AS43)))+IFERROR(VLOOKUP((COUNT(AQ$6:AQ$116)/4),$ER$9:$ES$13,2,FALSE()),0),"")</f>
        <v>15.5</v>
      </c>
      <c r="DI43" s="17"/>
      <c r="DJ43" s="22" t="str">
        <f ca="1">IFERROR(AVERAGE(OFFSET('Data - For Rank'!$J$2,AX43,0,COUNTIF(AX$7:AX$116,AX43)))+IFERROR(VLOOKUP((COUNT(AV$6:AV$116)/4),$ER$9:$ES$13,2,FALSE()),0),"")</f>
        <v/>
      </c>
      <c r="DK43" s="17">
        <v>28</v>
      </c>
      <c r="DL43" s="22">
        <f ca="1">IFERROR(AVERAGE(OFFSET('Data - For Rank'!$K$2,BC43,0,COUNTIF(BC$7:BC$116,BC43)))+IFERROR(VLOOKUP((COUNT(BA$6:BA$116)/4),$ER$9:$ES$13,2,FALSE()),0),"")</f>
        <v>7</v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>
        <v>35</v>
      </c>
      <c r="DP43" s="22">
        <f ca="1">IFERROR(AVERAGE(OFFSET('Data - For Rank'!$M$2,BM43,0,COUNTIF(BM$7:BM$116,BM43)))+IFERROR(VLOOKUP((COUNT(BK$6:BK$116)/4),$ER$9:$ES$13,2,FALSE()),0),"")</f>
        <v>15.5</v>
      </c>
      <c r="DQ43" s="17">
        <v>28</v>
      </c>
      <c r="DR43" s="22">
        <f ca="1">IFERROR(AVERAGE(OFFSET('Data - For Rank'!$N$2,BR43,0,COUNTIF(BR$7:BR$116,BR43)))+IFERROR(VLOOKUP((COUNT(BP$6:BP$116)/4),$ER$9:$ES$13,2,FALSE()),0),"")</f>
        <v>7.5</v>
      </c>
      <c r="DS43" s="17">
        <v>35</v>
      </c>
      <c r="DT43" s="22">
        <f ca="1">IFERROR(AVERAGE(OFFSET('Data - For Rank'!$O$2,BW43,0,COUNTIF(BW$7:BW$116,BW43)))+IFERROR(VLOOKUP((COUNT(BU$6:BU$116)/4),$ER$9:$ES$13,2,FALSE()),0),"")</f>
        <v>14</v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31.5</v>
      </c>
      <c r="ED43" s="19">
        <f t="shared" ca="1" si="0"/>
        <v>11.125</v>
      </c>
      <c r="ET43" s="54"/>
    </row>
    <row r="44" spans="2:151" s="1" customFormat="1" outlineLevel="1" x14ac:dyDescent="0.2">
      <c r="B44" s="24">
        <f ca="1">B42+0.028</f>
        <v>13.028</v>
      </c>
      <c r="D44" s="54" t="s">
        <v>112</v>
      </c>
      <c r="E44" s="132" t="s">
        <v>42</v>
      </c>
      <c r="F44" s="26">
        <f ca="1">IF(COUNT(G42:CN42)&gt;10,SMALL(G42:CN42,COUNT(G42:CN42)-9),MIN(G42:CN42))</f>
        <v>17</v>
      </c>
      <c r="G44" s="26"/>
      <c r="H44" s="26"/>
      <c r="I44" s="50">
        <f>IF(CS44=0,"",CS44)</f>
        <v>6</v>
      </c>
      <c r="J44" s="50"/>
      <c r="K44" s="51">
        <f>IFERROR(_xlfn.RANK.EQ(I44,I$6:I$116,0),"")</f>
        <v>6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 t="str">
        <f>IF(CW44=0,"",CW44)</f>
        <v/>
      </c>
      <c r="T44" s="50"/>
      <c r="U44" s="51" t="str">
        <f>IFERROR(_xlfn.RANK.EQ(S44,S$6:S$116,0),"")</f>
        <v/>
      </c>
      <c r="V44" s="26"/>
      <c r="W44" s="26"/>
      <c r="X44" s="50">
        <f>IF(CY44=0,"",CY44)</f>
        <v>-11</v>
      </c>
      <c r="Y44" s="50"/>
      <c r="Z44" s="51">
        <f>IFERROR(_xlfn.RANK.EQ(X44,X$6:X$116,0),"")</f>
        <v>4</v>
      </c>
      <c r="AA44" s="26"/>
      <c r="AB44" s="26"/>
      <c r="AC44" s="50">
        <f>IF(DA44=0,"",DA44)</f>
        <v>8</v>
      </c>
      <c r="AD44" s="50"/>
      <c r="AE44" s="51">
        <f>IFERROR(_xlfn.RANK.EQ(AC44,AC$6:AC$116,0),"")</f>
        <v>6</v>
      </c>
      <c r="AF44" s="26"/>
      <c r="AG44" s="26"/>
      <c r="AH44" s="50" t="str">
        <f>IF(DC44=0,"",DC44)</f>
        <v/>
      </c>
      <c r="AI44" s="50"/>
      <c r="AJ44" s="51" t="str">
        <f>IFERROR(_xlfn.RANK.EQ(AH44,AH$6:AH$116,0),"")</f>
        <v/>
      </c>
      <c r="AK44" s="26"/>
      <c r="AL44" s="26"/>
      <c r="AM44" s="50" t="str">
        <f>IF(DE44=0,"",DE44)</f>
        <v/>
      </c>
      <c r="AN44" s="50"/>
      <c r="AO44" s="51" t="str">
        <f>IFERROR(_xlfn.RANK.EQ(AM44,AM$6:AM$116,0),"")</f>
        <v/>
      </c>
      <c r="AP44" s="26"/>
      <c r="AQ44" s="26"/>
      <c r="AR44" s="50">
        <f>IF(DG44=0,"",DG44)</f>
        <v>12</v>
      </c>
      <c r="AS44" s="50"/>
      <c r="AT44" s="51">
        <f>IFERROR(_xlfn.RANK.EQ(AR44,AR$6:AR$116,0),"")</f>
        <v>4</v>
      </c>
      <c r="AU44" s="26"/>
      <c r="AV44" s="26"/>
      <c r="AW44" s="50" t="str">
        <f>IF(DI44=0,"",DI44)</f>
        <v/>
      </c>
      <c r="AX44" s="50"/>
      <c r="AY44" s="51" t="str">
        <f>IFERROR(_xlfn.RANK.EQ(AW44,AW$6:AW$116,0),"")</f>
        <v/>
      </c>
      <c r="AZ44" s="26"/>
      <c r="BA44" s="26"/>
      <c r="BB44" s="50">
        <f>IF(DK44=0,"",DK44)</f>
        <v>6</v>
      </c>
      <c r="BC44" s="50"/>
      <c r="BD44" s="51">
        <f>IFERROR(_xlfn.RANK.EQ(BB44,BB$6:BB$116,0),"")</f>
        <v>7</v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>
        <f>IF(DO44=0,"",DO44)</f>
        <v>-12</v>
      </c>
      <c r="BM44" s="50"/>
      <c r="BN44" s="51">
        <f>IFERROR(_xlfn.RANK.EQ(BL44,BL$6:BL$116,0),"")</f>
        <v>14</v>
      </c>
      <c r="BO44" s="26"/>
      <c r="BP44" s="26"/>
      <c r="BQ44" s="50">
        <f>IF(DQ44=0,"",DQ44)</f>
        <v>14</v>
      </c>
      <c r="BR44" s="50"/>
      <c r="BS44" s="51">
        <f>IFERROR(_xlfn.RANK.EQ(BQ44,BQ$6:BQ$116,0),"")</f>
        <v>3</v>
      </c>
      <c r="BT44" s="26"/>
      <c r="BU44" s="26"/>
      <c r="BV44" s="50">
        <f>IF(DS44=0,"",DS44)</f>
        <v>-1</v>
      </c>
      <c r="BW44" s="50"/>
      <c r="BX44" s="51">
        <f>IFERROR(_xlfn.RANK.EQ(BV44,BV$6:BV$116,0),"")</f>
        <v>7</v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6</v>
      </c>
      <c r="CT44" s="28">
        <f ca="1">IFERROR(AVERAGE(OFFSET('Data - For Rank'!B$2,K44,0,COUNTIF(K$6:K$116,K44)))+IFERROR(VLOOKUP((COUNT($I$6:$I$116)/4),$ER$9:$ES$13,2,FALSE()),0),"")</f>
        <v>13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/>
      <c r="CX44" s="28" t="str">
        <f ca="1">IFERROR(AVERAGE(OFFSET('Data - For Rank'!D$2,U44,0,COUNTIF(U$6:$U152,U44)))+IFERROR(VLOOKUP((COUNT(S$6:S$116)/4),$ER$9:$ES$13,2,FALSE()),0),"")</f>
        <v/>
      </c>
      <c r="CY44" s="27">
        <v>-11</v>
      </c>
      <c r="CZ44" s="28">
        <f ca="1">IFERROR(AVERAGE(OFFSET('Data - For Rank'!E$2,Z44,0,COUNTIF(Z$6:Z$116,Z44)))+IFERROR(VLOOKUP((COUNT(W$6:W$116)/4),$ER$9:$ES$13,2,FALSE()),0),"")</f>
        <v>11</v>
      </c>
      <c r="DA44" s="27">
        <v>8</v>
      </c>
      <c r="DB44" s="28">
        <f ca="1">IFERROR(AVERAGE(OFFSET('Data - For Rank'!F$2,AE44,0,COUNTIF(AE$6:AE$116,AE44)))+IFERROR(VLOOKUP((COUNT(AC$6:AC$116)/4),$ER$9:$ES$13,2,FALSE()),0),"")</f>
        <v>12</v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12</v>
      </c>
      <c r="DH44" s="28">
        <f ca="1">IFERROR(AVERAGE(OFFSET('Data - For Rank'!$I$2,AT44,0,COUNTIF(AT$6:AT$116,AT44)))+IFERROR(VLOOKUP((COUNT(AR$6:AR$116)/4),$ER$9:$ES$13,2,FALSE()),0),"")</f>
        <v>14</v>
      </c>
      <c r="DI44" s="27"/>
      <c r="DJ44" s="28" t="str">
        <f ca="1">IFERROR(AVERAGE(OFFSET('Data - For Rank'!$J$2,AY44,0,COUNTIF(AY$6:AY$116,AY44)))+IFERROR(VLOOKUP((COUNT(AW$6:AW$116)/4),$ER$9:$ES$13,2,FALSE()),0),"")</f>
        <v/>
      </c>
      <c r="DK44" s="27">
        <v>6</v>
      </c>
      <c r="DL44" s="28">
        <f ca="1">IFERROR(AVERAGE(OFFSET('Data - For Rank'!$K$2,BD44,0,COUNTIF(BD$6:BD$116,BD44)))+IFERROR(VLOOKUP((COUNT(BB$6:BB$116)/4),$ER$9:$ES$13,2,FALSE()),0),"")</f>
        <v>10</v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>
        <v>-12</v>
      </c>
      <c r="DP44" s="28">
        <f ca="1">IFERROR(AVERAGE(OFFSET('Data - For Rank'!$M$2,BN44,0,COUNTIF(BN$6:BN$116,BN44)))+IFERROR(VLOOKUP((COUNT(BL$6:BL$116)/4),$ER$9:$ES$13,2,FALSE()),0),"")</f>
        <v>5</v>
      </c>
      <c r="DQ44" s="27">
        <v>14</v>
      </c>
      <c r="DR44" s="28">
        <f ca="1">IFERROR(AVERAGE(OFFSET('Data - For Rank'!$N$2,BS44,0,COUNTIF(BS$6:BS$116,BS44)))+IFERROR(VLOOKUP((COUNT(BQ$6:BQ$116)/4),$ER$9:$ES$13,2,FALSE()),0),"")</f>
        <v>14</v>
      </c>
      <c r="DS44" s="27">
        <v>-1</v>
      </c>
      <c r="DT44" s="28">
        <f ca="1">IFERROR(AVERAGE(OFFSET('Data - For Rank'!$O$2,BX44,0,COUNTIF(BX$6:BX$116,BX44)))+IFERROR(VLOOKUP((COUNT(BV$6:BV$116)/4),$ER$9:$ES$13,2,FALSE()),0),"")</f>
        <v>9.5</v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22</v>
      </c>
      <c r="ED44" s="30">
        <f t="shared" ca="1" si="0"/>
        <v>11.0625</v>
      </c>
      <c r="ET44" s="54"/>
    </row>
    <row r="45" spans="2:151" x14ac:dyDescent="0.2">
      <c r="B45" s="7">
        <f ca="1">_xlfn.RANK.EQ(C45,$C$6:$C$63,)</f>
        <v>14</v>
      </c>
      <c r="C45" s="41">
        <f ca="1">EC45</f>
        <v>160.5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7</v>
      </c>
      <c r="G45" s="47">
        <f ca="1">IF(CT45=0,"",CT45)</f>
        <v>15.5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18</v>
      </c>
      <c r="R45" s="47"/>
      <c r="S45" s="47"/>
      <c r="U45" s="47"/>
      <c r="V45" s="47" t="str">
        <f ca="1">IF(CZ45=0,"",CZ45)</f>
        <v/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>
        <f ca="1">IF(DD45=0,"",DD45)</f>
        <v>27.5</v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29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>
        <f ca="1">IF(DN45=0,"",DN45)</f>
        <v>29.5</v>
      </c>
      <c r="BF45" s="47"/>
      <c r="BG45" s="47"/>
      <c r="BI45" s="47"/>
      <c r="BJ45" s="47">
        <f ca="1">IF(DP45=0,"",DP45)</f>
        <v>23.5</v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>
        <f ca="1">IF(DT45=0,"",DT45)</f>
        <v>17.5</v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15.5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18</v>
      </c>
      <c r="CY45" s="17"/>
      <c r="CZ45" s="18" t="str">
        <f ca="1">IFERROR(CZ46+CZ47,"")</f>
        <v/>
      </c>
      <c r="DA45" s="17"/>
      <c r="DB45" s="18" t="str">
        <f ca="1">IFERROR(DB46+DB47,"")</f>
        <v/>
      </c>
      <c r="DC45" s="17">
        <v>85</v>
      </c>
      <c r="DD45" s="18">
        <f ca="1">IFERROR(DD46+DD47,"")</f>
        <v>27.5</v>
      </c>
      <c r="DE45" s="17"/>
      <c r="DF45" s="18" t="str">
        <f ca="1">IFERROR(DF46+DF47,"")</f>
        <v/>
      </c>
      <c r="DG45" s="17"/>
      <c r="DH45" s="18" t="str">
        <f ca="1">IFERROR(DH46+DH47,"")</f>
        <v/>
      </c>
      <c r="DI45" s="17">
        <v>93</v>
      </c>
      <c r="DJ45" s="18">
        <f ca="1">IFERROR(DJ46+DJ47,"")</f>
        <v>29</v>
      </c>
      <c r="DK45" s="17"/>
      <c r="DL45" s="18" t="str">
        <f ca="1">IFERROR(DL46+DL47,"")</f>
        <v/>
      </c>
      <c r="DM45" s="17">
        <v>89</v>
      </c>
      <c r="DN45" s="18">
        <f ca="1">IFERROR(DN46+DN47,"")</f>
        <v>29.5</v>
      </c>
      <c r="DO45" s="17">
        <v>96</v>
      </c>
      <c r="DP45" s="18">
        <f ca="1">IFERROR(DP46+DP47,"")</f>
        <v>23.5</v>
      </c>
      <c r="DQ45" s="17"/>
      <c r="DR45" s="18" t="str">
        <f ca="1">IFERROR(DR46+DR47,"")</f>
        <v/>
      </c>
      <c r="DS45" s="17">
        <v>94</v>
      </c>
      <c r="DT45" s="18">
        <f ca="1">IFERROR(DT46+DT47,"")</f>
        <v>17.5</v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160.5</v>
      </c>
      <c r="ED45" s="19">
        <f t="shared" ca="1" si="0"/>
        <v>22.928571428571427</v>
      </c>
      <c r="ET45" s="54"/>
    </row>
    <row r="46" spans="2:151" s="1" customFormat="1" outlineLevel="1" x14ac:dyDescent="0.2">
      <c r="B46" s="20">
        <f ca="1">B45+0.117</f>
        <v>14.117000000000001</v>
      </c>
      <c r="D46" s="54" t="s">
        <v>129</v>
      </c>
      <c r="E46" s="21" t="s">
        <v>41</v>
      </c>
      <c r="F46" s="21"/>
      <c r="G46" s="21"/>
      <c r="H46" s="21">
        <f>IF(CS46=0,"",CS46)</f>
        <v>28</v>
      </c>
      <c r="I46" s="21"/>
      <c r="J46" s="47">
        <f>IFERROR(RANK(H46,H$6:H$116,0),"")</f>
        <v>14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26</v>
      </c>
      <c r="S46" s="21"/>
      <c r="T46" s="47">
        <f>IFERROR(RANK(R46,R$6:R$116,0),"")</f>
        <v>9</v>
      </c>
      <c r="U46" s="21"/>
      <c r="V46" s="21"/>
      <c r="W46" s="21" t="str">
        <f>IF(CY46=0,"",CY46)</f>
        <v/>
      </c>
      <c r="X46" s="21"/>
      <c r="Y46" s="47" t="str">
        <f>IFERROR(RANK(W46,W$6:W$116,0),"")</f>
        <v/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>
        <f>IF(DC46=0,"",DC46)</f>
        <v>43</v>
      </c>
      <c r="AH46" s="21"/>
      <c r="AI46" s="47">
        <f>IFERROR(RANK(AG46,AG$6:AG$116,0),"")</f>
        <v>1</v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35</v>
      </c>
      <c r="AW46" s="21"/>
      <c r="AX46" s="47">
        <f>IFERROR(RANK(AV46,AV$6:AV$116,0),"")</f>
        <v>6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>
        <f>IF(DM46=0,"",DM46)</f>
        <v>36</v>
      </c>
      <c r="BG46" s="21"/>
      <c r="BH46" s="47">
        <f>IFERROR(RANK(BF46,BF$6:BF$116,0),"")</f>
        <v>6</v>
      </c>
      <c r="BI46" s="21"/>
      <c r="BJ46" s="21"/>
      <c r="BK46" s="21">
        <f>IF(DO46=0,"",DO46)</f>
        <v>32</v>
      </c>
      <c r="BL46" s="21"/>
      <c r="BM46" s="47">
        <f>IFERROR(RANK(BK46,BK$6:BK$116,0),"")</f>
        <v>9</v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>
        <f>IF(DS46=0,"",DS46)</f>
        <v>31</v>
      </c>
      <c r="BV46" s="21"/>
      <c r="BW46" s="47">
        <f>IFERROR(RANK(BU46,BU$6:BU$116,0),"")</f>
        <v>9</v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28</v>
      </c>
      <c r="CT46" s="22">
        <f ca="1">IFERROR(AVERAGE(OFFSET('Data - For Rank'!B$2,J46,0,COUNTIF($J$7:J$116,J46)))+IFERROR(VLOOKUP((COUNT($H$6:$H$116)/4),$ER$9:$ES$13,2,FALSE()),0),"")</f>
        <v>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26</v>
      </c>
      <c r="CX46" s="22">
        <f ca="1">IFERROR(AVERAGE(OFFSET('Data - For Rank'!D$2,T46,0,COUNTIF(T$7:T$116,T46)))+IFERROR(VLOOKUP((COUNT(R$6:R$116)/4),$ER$9:$ES$13,2,FALSE()),0),"")</f>
        <v>8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>
        <v>43</v>
      </c>
      <c r="DD46" s="22">
        <f ca="1">IFERROR(AVERAGE(OFFSET('Data - For Rank'!G$2,AI46,0,COUNTIF(AI$7:AI$116,AI46)))+IFERROR(VLOOKUP((COUNT(AG$6:AG$116)/4),$ER$9:$ES$13,2,FALSE()),0),"")</f>
        <v>18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35</v>
      </c>
      <c r="DJ46" s="22">
        <f ca="1">IFERROR(AVERAGE(OFFSET('Data - For Rank'!$J$2,AX46,0,COUNTIF(AX$7:AX$116,AX46)))+IFERROR(VLOOKUP((COUNT(AV$6:AV$116)/4),$ER$9:$ES$13,2,FALSE()),0),"")</f>
        <v>13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>
        <v>36</v>
      </c>
      <c r="DN46" s="22">
        <f ca="1">IFERROR(AVERAGE(OFFSET('Data - For Rank'!$L$2,BH46,0,COUNTIF(BH$7:BH$116,BH46)))+IFERROR(VLOOKUP((COUNT(BF$6:BF$116)/4),$ER$9:$ES$13,2,FALSE()),0),"")</f>
        <v>11.5</v>
      </c>
      <c r="DO46" s="17">
        <v>32</v>
      </c>
      <c r="DP46" s="22">
        <f ca="1">IFERROR(AVERAGE(OFFSET('Data - For Rank'!$M$2,BM46,0,COUNTIF(BM$7:BM$116,BM46)))+IFERROR(VLOOKUP((COUNT(BK$6:BK$116)/4),$ER$9:$ES$13,2,FALSE()),0),"")</f>
        <v>9.5</v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>
        <v>31</v>
      </c>
      <c r="DT46" s="22">
        <f ca="1">IFERROR(AVERAGE(OFFSET('Data - For Rank'!$O$2,BW46,0,COUNTIF(BW$7:BW$116,BW46)))+IFERROR(VLOOKUP((COUNT(BU$6:BU$116)/4),$ER$9:$ES$13,2,FALSE()),0),"")</f>
        <v>8</v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t="shared" ca="1" si="0"/>
        <v>10.357142857142858</v>
      </c>
      <c r="ET46" s="54"/>
    </row>
    <row r="47" spans="2:151" s="1" customFormat="1" outlineLevel="1" x14ac:dyDescent="0.2">
      <c r="B47" s="24">
        <f ca="1">B45+0.0217</f>
        <v>14.021699999999999</v>
      </c>
      <c r="D47" s="54" t="s">
        <v>130</v>
      </c>
      <c r="E47" s="132" t="s">
        <v>42</v>
      </c>
      <c r="F47" s="26">
        <f ca="1">IF(COUNT(G45:CN45)&gt;10,SMALL(G45:CN45,COUNT(G45:CN45)-9),MIN(G45:CN45))</f>
        <v>15.5</v>
      </c>
      <c r="G47" s="26"/>
      <c r="H47" s="26"/>
      <c r="I47" s="50">
        <f>IF(CS47=0,"",CS47)</f>
        <v>-5</v>
      </c>
      <c r="J47" s="50"/>
      <c r="K47" s="51">
        <f>IFERROR(_xlfn.RANK.EQ(I47,I$6:I$116,0),"")</f>
        <v>8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-2</v>
      </c>
      <c r="T47" s="50"/>
      <c r="U47" s="51">
        <f>IFERROR(_xlfn.RANK.EQ(S47,S$6:S$116,0),"")</f>
        <v>7</v>
      </c>
      <c r="V47" s="26"/>
      <c r="W47" s="26"/>
      <c r="X47" s="50" t="str">
        <f>IF(CY47=0,"",CY47)</f>
        <v/>
      </c>
      <c r="Y47" s="50"/>
      <c r="Z47" s="51" t="str">
        <f>IFERROR(_xlfn.RANK.EQ(X47,X$6:X$116,0),"")</f>
        <v/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>
        <f>IF(DC47=0,"",DC47)</f>
        <v>-1E-3</v>
      </c>
      <c r="AI47" s="50"/>
      <c r="AJ47" s="51">
        <f>IFERROR(_xlfn.RANK.EQ(AH47,AH$6:AH$116,0),"")</f>
        <v>8</v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21</v>
      </c>
      <c r="AX47" s="50"/>
      <c r="AY47" s="51">
        <f>IFERROR(_xlfn.RANK.EQ(AW47,AW$6:AW$116,0),"")</f>
        <v>3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>
        <f>IF(DM47=0,"",DM47)</f>
        <v>30</v>
      </c>
      <c r="BH47" s="50"/>
      <c r="BI47" s="51">
        <f>IFERROR(_xlfn.RANK.EQ(BG47,BG$6:BG$116,0),"")</f>
        <v>1</v>
      </c>
      <c r="BJ47" s="26"/>
      <c r="BK47" s="26"/>
      <c r="BL47" s="50">
        <f>IF(DO47=0,"",DO47)</f>
        <v>10</v>
      </c>
      <c r="BM47" s="50"/>
      <c r="BN47" s="51">
        <f>IFERROR(_xlfn.RANK.EQ(BL47,BL$6:BL$116,0),"")</f>
        <v>5</v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>
        <f>IF(DS47=0,"",DS47)</f>
        <v>-1</v>
      </c>
      <c r="BW47" s="50"/>
      <c r="BX47" s="51">
        <f>IFERROR(_xlfn.RANK.EQ(BV47,BV$6:BV$116,0),"")</f>
        <v>7</v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-5</v>
      </c>
      <c r="CT47" s="28">
        <f ca="1">IFERROR(AVERAGE(OFFSET('Data - For Rank'!B$2,K47,0,COUNTIF(K$6:K$116,K47)))+IFERROR(VLOOKUP((COUNT($I$6:$I$116)/4),$ER$9:$ES$13,2,FALSE()),0),"")</f>
        <v>11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-2</v>
      </c>
      <c r="CX47" s="28">
        <f ca="1">IFERROR(AVERAGE(OFFSET('Data - For Rank'!D$2,U47,0,COUNTIF(U$6:$U155,U47)))+IFERROR(VLOOKUP((COUNT(S$6:S$116)/4),$ER$9:$ES$13,2,FALSE()),0),"")</f>
        <v>10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>
        <v>-1E-3</v>
      </c>
      <c r="DD47" s="28">
        <f ca="1">IFERROR(AVERAGE(OFFSET('Data - For Rank'!G$2,AJ47,0,COUNTIF(AJ$6:AJ$116,AJ47)))+IFERROR(VLOOKUP((COUNT(AH$6:AH$116)/4),$ER$9:$ES$13,2,FALSE()),0),"")</f>
        <v>9.5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21</v>
      </c>
      <c r="DJ47" s="28">
        <f ca="1">IFERROR(AVERAGE(OFFSET('Data - For Rank'!$J$2,AY47,0,COUNTIF(AY$6:AY$116,AY47)))+IFERROR(VLOOKUP((COUNT(AW$6:AW$116)/4),$ER$9:$ES$13,2,FALSE()),0),"")</f>
        <v>16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>
        <v>30</v>
      </c>
      <c r="DN47" s="28">
        <f ca="1">IFERROR(AVERAGE(OFFSET('Data - For Rank'!$L$2,BI47,0,COUNTIF(BI$6:BI$116,BI47)))+IFERROR(VLOOKUP((COUNT(BG$6:BG$116)/4),$ER$9:$ES$13,2,FALSE()),0),"")</f>
        <v>18</v>
      </c>
      <c r="DO47" s="27">
        <v>10</v>
      </c>
      <c r="DP47" s="28">
        <f ca="1">IFERROR(AVERAGE(OFFSET('Data - For Rank'!$M$2,BN47,0,COUNTIF(BN$6:BN$116,BN47)))+IFERROR(VLOOKUP((COUNT(BL$6:BL$116)/4),$ER$9:$ES$13,2,FALSE()),0),"")</f>
        <v>14</v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>
        <v>-1</v>
      </c>
      <c r="DT47" s="28">
        <f ca="1">IFERROR(AVERAGE(OFFSET('Data - For Rank'!$O$2,BX47,0,COUNTIF(BX$6:BX$116,BX47)))+IFERROR(VLOOKUP((COUNT(BV$6:BV$116)/4),$ER$9:$ES$13,2,FALSE()),0),"")</f>
        <v>9.5</v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52.998999999999995</v>
      </c>
      <c r="ED47" s="30">
        <f t="shared" ca="1" si="0"/>
        <v>12.571428571428571</v>
      </c>
      <c r="ET47" s="54"/>
    </row>
    <row r="48" spans="2:151" x14ac:dyDescent="0.2">
      <c r="B48" s="7">
        <f ca="1">_xlfn.RANK.EQ(C48,$C$6:$C$63,)</f>
        <v>15</v>
      </c>
      <c r="C48" s="41">
        <f ca="1">EC48</f>
        <v>137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10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>
        <f ca="1">IF(DN48=0,"",DN48)</f>
        <v>19.5</v>
      </c>
      <c r="BF48" s="47"/>
      <c r="BG48" s="47"/>
      <c r="BI48" s="47"/>
      <c r="BJ48" s="47">
        <f ca="1">IF(DP48=0,"",DP48)</f>
        <v>14</v>
      </c>
      <c r="BK48" s="47"/>
      <c r="BL48" s="47"/>
      <c r="BN48" s="47"/>
      <c r="BO48" s="47">
        <f ca="1">IF(DR48=0,"",DR48)</f>
        <v>11</v>
      </c>
      <c r="BP48" s="47"/>
      <c r="BQ48" s="47"/>
      <c r="BS48" s="47"/>
      <c r="BT48" s="47">
        <f ca="1">IF(DT48=0,"",DT48)</f>
        <v>10</v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>
        <v>91</v>
      </c>
      <c r="DN48" s="18">
        <f ca="1">IFERROR(DN49+DN50,"")</f>
        <v>19.5</v>
      </c>
      <c r="DO48" s="17">
        <v>111</v>
      </c>
      <c r="DP48" s="18">
        <f ca="1">IFERROR(DP49+DP50,"")</f>
        <v>14</v>
      </c>
      <c r="DQ48" s="17">
        <v>104</v>
      </c>
      <c r="DR48" s="18">
        <f ca="1">IFERROR(DR49+DR50,"")</f>
        <v>11</v>
      </c>
      <c r="DS48" s="17">
        <v>107</v>
      </c>
      <c r="DT48" s="18">
        <f ca="1">IFERROR(DT49+DT50,"")</f>
        <v>10</v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137</v>
      </c>
      <c r="ED48" s="19">
        <f t="shared" ca="1" si="0"/>
        <v>13.7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>
        <f>IF(DM49=0,"",DM49)</f>
        <v>36</v>
      </c>
      <c r="BG49" s="21"/>
      <c r="BH49" s="47">
        <f>IFERROR(RANK(BF49,BF$6:BF$116,0),"")</f>
        <v>6</v>
      </c>
      <c r="BI49" s="21"/>
      <c r="BJ49" s="21"/>
      <c r="BK49" s="21">
        <f>IF(DO49=0,"",DO49)</f>
        <v>19</v>
      </c>
      <c r="BL49" s="21"/>
      <c r="BM49" s="47">
        <f>IFERROR(RANK(BK49,BK$6:BK$116,0),"")</f>
        <v>16</v>
      </c>
      <c r="BN49" s="21"/>
      <c r="BO49" s="21"/>
      <c r="BP49" s="21">
        <f>IF(DQ49=0,"",DQ49)</f>
        <v>21</v>
      </c>
      <c r="BQ49" s="21"/>
      <c r="BR49" s="47">
        <f>IFERROR(RANK(BP49,BP$6:BP$116,0),"")</f>
        <v>12</v>
      </c>
      <c r="BS49" s="21"/>
      <c r="BT49" s="21"/>
      <c r="BU49" s="21">
        <f>IF(DS49=0,"",DS49)</f>
        <v>21</v>
      </c>
      <c r="BV49" s="21"/>
      <c r="BW49" s="47">
        <f>IFERROR(RANK(BU49,BU$6:BU$116,0),"")</f>
        <v>12</v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>
        <v>36</v>
      </c>
      <c r="DN49" s="22">
        <f ca="1">IFERROR(AVERAGE(OFFSET('Data - For Rank'!$L$2,BH49,0,COUNTIF(BH$7:BH$116,BH49)))+IFERROR(VLOOKUP((COUNT(BF$6:BF$116)/4),$ER$9:$ES$13,2,FALSE()),0),"")</f>
        <v>11.5</v>
      </c>
      <c r="DO49" s="17">
        <v>19</v>
      </c>
      <c r="DP49" s="22">
        <f ca="1">IFERROR(AVERAGE(OFFSET('Data - For Rank'!$M$2,BM49,0,COUNTIF(BM$7:BM$116,BM49)))+IFERROR(VLOOKUP((COUNT(BK$6:BK$116)/4),$ER$9:$ES$13,2,FALSE()),0),"")</f>
        <v>3</v>
      </c>
      <c r="DQ49" s="17">
        <v>21</v>
      </c>
      <c r="DR49" s="22">
        <f ca="1">IFERROR(AVERAGE(OFFSET('Data - For Rank'!$N$2,BR49,0,COUNTIF(BR$7:BR$116,BR49)))+IFERROR(VLOOKUP((COUNT(BP$6:BP$116)/4),$ER$9:$ES$13,2,FALSE()),0),"")</f>
        <v>5</v>
      </c>
      <c r="DS49" s="17">
        <v>21</v>
      </c>
      <c r="DT49" s="22">
        <f ca="1">IFERROR(AVERAGE(OFFSET('Data - For Rank'!$O$2,BW49,0,COUNTIF(BW$7:BW$116,BW49)))+IFERROR(VLOOKUP((COUNT(BU$6:BU$116)/4),$ER$9:$ES$13,2,FALSE()),0),"")</f>
        <v>5</v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25.1</v>
      </c>
      <c r="ED49" s="19">
        <f t="shared" ca="1" si="0"/>
        <v>5.9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IF(COUNT(G48:CN48)&gt;10,SMALL(G48:CN48,COUNT(G48:CN48)-9),MIN(G48:CN48))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>
        <f>IF(DM50=0,"",DM50)</f>
        <v>-8</v>
      </c>
      <c r="BH50" s="50"/>
      <c r="BI50" s="51">
        <f>IFERROR(_xlfn.RANK.EQ(BG50,BG$6:BG$116,0),"")</f>
        <v>11</v>
      </c>
      <c r="BJ50" s="26"/>
      <c r="BK50" s="26"/>
      <c r="BL50" s="50">
        <f>IF(DO50=0,"",DO50)</f>
        <v>1</v>
      </c>
      <c r="BM50" s="50"/>
      <c r="BN50" s="51">
        <f>IFERROR(_xlfn.RANK.EQ(BL50,BL$6:BL$116,0),"")</f>
        <v>8</v>
      </c>
      <c r="BO50" s="26"/>
      <c r="BP50" s="26"/>
      <c r="BQ50" s="50">
        <f>IF(DQ50=0,"",DQ50)</f>
        <v>-20</v>
      </c>
      <c r="BR50" s="50"/>
      <c r="BS50" s="51">
        <f>IFERROR(_xlfn.RANK.EQ(BQ50,BQ$6:BQ$116,0),"")</f>
        <v>11</v>
      </c>
      <c r="BT50" s="26"/>
      <c r="BU50" s="26"/>
      <c r="BV50" s="50">
        <f>IF(DS50=0,"",DS50)</f>
        <v>-22</v>
      </c>
      <c r="BW50" s="50"/>
      <c r="BX50" s="51">
        <f>IFERROR(_xlfn.RANK.EQ(BV50,BV$6:BV$116,0),"")</f>
        <v>12</v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>
        <v>-8</v>
      </c>
      <c r="DN50" s="28">
        <f ca="1">IFERROR(AVERAGE(OFFSET('Data - For Rank'!$L$2,BI50,0,COUNTIF(BI$6:BI$116,BI50)))+IFERROR(VLOOKUP((COUNT(BG$6:BG$116)/4),$ER$9:$ES$13,2,FALSE()),0),"")</f>
        <v>8</v>
      </c>
      <c r="DO50" s="27">
        <v>1</v>
      </c>
      <c r="DP50" s="28">
        <f ca="1">IFERROR(AVERAGE(OFFSET('Data - For Rank'!$M$2,BN50,0,COUNTIF(BN$6:BN$116,BN50)))+IFERROR(VLOOKUP((COUNT(BL$6:BL$116)/4),$ER$9:$ES$13,2,FALSE()),0),"")</f>
        <v>11</v>
      </c>
      <c r="DQ50" s="27">
        <v>-20</v>
      </c>
      <c r="DR50" s="28">
        <f ca="1">IFERROR(AVERAGE(OFFSET('Data - For Rank'!$N$2,BS50,0,COUNTIF(BS$6:BS$116,BS50)))+IFERROR(VLOOKUP((COUNT(BQ$6:BQ$116)/4),$ER$9:$ES$13,2,FALSE()),0),"")</f>
        <v>6</v>
      </c>
      <c r="DS50" s="27">
        <v>-22</v>
      </c>
      <c r="DT50" s="28">
        <f ca="1">IFERROR(AVERAGE(OFFSET('Data - For Rank'!$O$2,BX50,0,COUNTIF(BX$6:BX$116,BX50)))+IFERROR(VLOOKUP((COUNT(BV$6:BV$116)/4),$ER$9:$ES$13,2,FALSE()),0),"")</f>
        <v>5</v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-146</v>
      </c>
      <c r="ED50" s="30">
        <f t="shared" ca="1" si="0"/>
        <v>7.8</v>
      </c>
      <c r="ET50" s="54"/>
    </row>
    <row r="51" spans="2:150" x14ac:dyDescent="0.2">
      <c r="B51" s="7">
        <f ca="1">_xlfn.RANK.EQ(C51,$C$6:$C$63,)</f>
        <v>16</v>
      </c>
      <c r="C51" s="41">
        <f ca="1">EC51</f>
        <v>104.5</v>
      </c>
      <c r="D51" s="41" t="s">
        <v>131</v>
      </c>
      <c r="E51" s="15" t="s">
        <v>59</v>
      </c>
      <c r="F51" s="16">
        <f ca="1">COUNT(CT51,CV51,CX51,CZ51,DB51,DD51,DF51,DH51,DJ51,DL51,DN51,DP51,DR51,DT51,DV51,DX51,DZ51,EB51)</f>
        <v>6</v>
      </c>
      <c r="G51" s="47" t="str">
        <f ca="1">IF(CT51=0,"",CT51)</f>
        <v/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 t="str">
        <f ca="1">IF(CX51=0,"",CX51)</f>
        <v/>
      </c>
      <c r="R51" s="47"/>
      <c r="S51" s="47"/>
      <c r="U51" s="47"/>
      <c r="V51" s="47">
        <f ca="1">IF(CZ51=0,"",CZ51)</f>
        <v>17</v>
      </c>
      <c r="W51" s="47"/>
      <c r="X51" s="47"/>
      <c r="Z51" s="47"/>
      <c r="AA51" s="47" t="str">
        <f ca="1">IF(DB51=0,"",DB51)</f>
        <v/>
      </c>
      <c r="AB51" s="47"/>
      <c r="AC51" s="47"/>
      <c r="AE51" s="47"/>
      <c r="AF51" s="47" t="str">
        <f ca="1">IF(DD51=0,"",DD51)</f>
        <v/>
      </c>
      <c r="AG51" s="47"/>
      <c r="AH51" s="47"/>
      <c r="AJ51" s="47"/>
      <c r="AK51" s="47" t="str">
        <f ca="1">IF(DF51=0,"",DF51)</f>
        <v/>
      </c>
      <c r="AL51" s="47"/>
      <c r="AM51" s="47"/>
      <c r="AO51" s="47"/>
      <c r="AP51" s="47" t="str">
        <f ca="1">IF(DH51=0,"",DH51)</f>
        <v/>
      </c>
      <c r="AQ51" s="47"/>
      <c r="AR51" s="47"/>
      <c r="AT51" s="47"/>
      <c r="AU51" s="47">
        <f ca="1">IF(DJ51=0,"",DJ51)</f>
        <v>26</v>
      </c>
      <c r="AV51" s="47"/>
      <c r="AW51" s="47"/>
      <c r="AY51" s="47"/>
      <c r="AZ51" s="47" t="str">
        <f ca="1">IF(DL51=0,"",DL51)</f>
        <v/>
      </c>
      <c r="BA51" s="47"/>
      <c r="BB51" s="47"/>
      <c r="BD51" s="47"/>
      <c r="BE51" s="47">
        <f ca="1">IF(DN51=0,"",DN51)</f>
        <v>23.5</v>
      </c>
      <c r="BF51" s="47"/>
      <c r="BG51" s="47"/>
      <c r="BI51" s="47"/>
      <c r="BJ51" s="47">
        <f ca="1">IF(DP51=0,"",DP51)</f>
        <v>9</v>
      </c>
      <c r="BK51" s="47"/>
      <c r="BL51" s="47"/>
      <c r="BN51" s="47"/>
      <c r="BO51" s="47">
        <f ca="1">IF(DR51=0,"",DR51)</f>
        <v>13</v>
      </c>
      <c r="BP51" s="47"/>
      <c r="BQ51" s="47"/>
      <c r="BS51" s="47"/>
      <c r="BT51" s="47">
        <f ca="1">IF(DT51=0,"",DT51)</f>
        <v>16</v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/>
      <c r="CX51" s="18" t="str">
        <f ca="1">IFERROR(CX52+CX53,"")</f>
        <v/>
      </c>
      <c r="CY51" s="17">
        <v>91</v>
      </c>
      <c r="CZ51" s="18">
        <f ca="1">IFERROR(CZ52+CZ53,"")</f>
        <v>17</v>
      </c>
      <c r="DA51" s="17"/>
      <c r="DB51" s="18" t="str">
        <f ca="1">IFERROR(DB52+DB53,"")</f>
        <v/>
      </c>
      <c r="DC51" s="17"/>
      <c r="DD51" s="18" t="str">
        <f ca="1">IFERROR(DD52+DD53,"")</f>
        <v/>
      </c>
      <c r="DE51" s="17"/>
      <c r="DF51" s="18" t="str">
        <f ca="1">IFERROR(DF52+DF53,"")</f>
        <v/>
      </c>
      <c r="DG51" s="17"/>
      <c r="DH51" s="18" t="str">
        <f ca="1">IFERROR(DH52+DH53,"")</f>
        <v/>
      </c>
      <c r="DI51" s="17">
        <v>88</v>
      </c>
      <c r="DJ51" s="18">
        <f ca="1">IFERROR(DJ52+DJ53,"")</f>
        <v>26</v>
      </c>
      <c r="DK51" s="17"/>
      <c r="DL51" s="18" t="str">
        <f ca="1">IFERROR(DL52+DL53,"")</f>
        <v/>
      </c>
      <c r="DM51" s="17">
        <v>86</v>
      </c>
      <c r="DN51" s="18">
        <f ca="1">IFERROR(DN52+DN53,"")</f>
        <v>23.5</v>
      </c>
      <c r="DO51" s="17">
        <v>95</v>
      </c>
      <c r="DP51" s="18">
        <f ca="1">IFERROR(DP52+DP53,"")</f>
        <v>9</v>
      </c>
      <c r="DQ51" s="17">
        <v>92</v>
      </c>
      <c r="DR51" s="18">
        <f ca="1">IFERROR(DR52+DR53,"")</f>
        <v>13</v>
      </c>
      <c r="DS51" s="17">
        <v>90</v>
      </c>
      <c r="DT51" s="18">
        <f ca="1">IFERROR(DT52+DT53,"")</f>
        <v>16</v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104.5</v>
      </c>
      <c r="ED51" s="19">
        <f ca="1">IFERROR(AVERAGE(CT51,CV51,CX51,CZ51,DB51,DD51,DF51,DH51,DJ51,DL51,DN51,DP51,DR51,DT51,DV51,DX51,DZ51,EB51),0)</f>
        <v>17.416666666666668</v>
      </c>
      <c r="ET51" s="54"/>
    </row>
    <row r="52" spans="2:150" s="1" customFormat="1" outlineLevel="1" x14ac:dyDescent="0.2">
      <c r="B52" s="20">
        <f ca="1">B51+0.19</f>
        <v>16.190000000000001</v>
      </c>
      <c r="D52" s="54" t="s">
        <v>132</v>
      </c>
      <c r="E52" s="21" t="s">
        <v>41</v>
      </c>
      <c r="F52" s="21"/>
      <c r="G52" s="21"/>
      <c r="H52" s="21" t="str">
        <f>IF(CS52=0,"",CS52)</f>
        <v/>
      </c>
      <c r="I52" s="21"/>
      <c r="J52" s="47" t="str">
        <f>IFERROR(RANK(H52,H$6:H$116,0),"")</f>
        <v/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 t="str">
        <f>IF(CW52=0,"",CW52)</f>
        <v/>
      </c>
      <c r="S52" s="21"/>
      <c r="T52" s="47" t="str">
        <f>IFERROR(RANK(R52,R$6:R$116,0),"")</f>
        <v/>
      </c>
      <c r="U52" s="21"/>
      <c r="V52" s="21"/>
      <c r="W52" s="21">
        <f>IF(CY52=0,"",CY52)</f>
        <v>29</v>
      </c>
      <c r="X52" s="21"/>
      <c r="Y52" s="47">
        <f>IFERROR(RANK(W52,W$6:W$116,0),"")</f>
        <v>5</v>
      </c>
      <c r="Z52" s="21"/>
      <c r="AA52" s="21"/>
      <c r="AB52" s="21" t="str">
        <f>IF(DA52=0,"",DA52)</f>
        <v/>
      </c>
      <c r="AC52" s="21"/>
      <c r="AD52" s="47" t="str">
        <f>IFERROR(RANK(AB52,AB$6:AB$116,0),"")</f>
        <v/>
      </c>
      <c r="AE52" s="21"/>
      <c r="AF52" s="21"/>
      <c r="AG52" s="21" t="str">
        <f>IF(DC52=0,"",DC52)</f>
        <v/>
      </c>
      <c r="AH52" s="21"/>
      <c r="AI52" s="47" t="str">
        <f>IFERROR(RANK(AG52,AG$6:AG$116,0),"")</f>
        <v/>
      </c>
      <c r="AJ52" s="21"/>
      <c r="AK52" s="21"/>
      <c r="AL52" s="21" t="str">
        <f>IF(DE52=0,"",DE52)</f>
        <v/>
      </c>
      <c r="AM52" s="21"/>
      <c r="AN52" s="47" t="str">
        <f>IFERROR(RANK(AL52,AL$6:AL$116,0),"")</f>
        <v/>
      </c>
      <c r="AO52" s="21"/>
      <c r="AP52" s="21"/>
      <c r="AQ52" s="21" t="str">
        <f>IF(DG52=0,"",DG52)</f>
        <v/>
      </c>
      <c r="AR52" s="21"/>
      <c r="AS52" s="47" t="str">
        <f>IFERROR(RANK(AQ52,AQ$6:AQ$116,0),"")</f>
        <v/>
      </c>
      <c r="AT52" s="21"/>
      <c r="AU52" s="21"/>
      <c r="AV52" s="21">
        <f>IF(DI52=0,"",DI52)</f>
        <v>38</v>
      </c>
      <c r="AW52" s="21"/>
      <c r="AX52" s="47">
        <f>IFERROR(RANK(AV52,AV$6:AV$116,0),"")</f>
        <v>3</v>
      </c>
      <c r="AY52" s="21"/>
      <c r="AZ52" s="21"/>
      <c r="BA52" s="21" t="str">
        <f>IF(DK52=0,"",DK52)</f>
        <v/>
      </c>
      <c r="BB52" s="21"/>
      <c r="BC52" s="47" t="str">
        <f>IFERROR(RANK(BA52,BA$6:BA$116,0),"")</f>
        <v/>
      </c>
      <c r="BD52" s="21"/>
      <c r="BE52" s="21"/>
      <c r="BF52" s="21">
        <f>IF(DM52=0,"",DM52)</f>
        <v>36</v>
      </c>
      <c r="BG52" s="21"/>
      <c r="BH52" s="47">
        <f>IFERROR(RANK(BF52,BF$6:BF$116,0),"")</f>
        <v>6</v>
      </c>
      <c r="BI52" s="21"/>
      <c r="BJ52" s="21"/>
      <c r="BK52" s="21">
        <f>IF(DO52=0,"",DO52)</f>
        <v>29</v>
      </c>
      <c r="BL52" s="21"/>
      <c r="BM52" s="47">
        <f>IFERROR(RANK(BK52,BK$6:BK$116,0),"")</f>
        <v>14</v>
      </c>
      <c r="BN52" s="21"/>
      <c r="BO52" s="21"/>
      <c r="BP52" s="21">
        <f>IF(DQ52=0,"",DQ52)</f>
        <v>27</v>
      </c>
      <c r="BQ52" s="21"/>
      <c r="BR52" s="47">
        <f>IFERROR(RANK(BP52,BP$6:BP$116,0),"")</f>
        <v>11</v>
      </c>
      <c r="BS52" s="21"/>
      <c r="BT52" s="21"/>
      <c r="BU52" s="21">
        <f>IF(DS52=0,"",DS52)</f>
        <v>32</v>
      </c>
      <c r="BV52" s="21"/>
      <c r="BW52" s="47">
        <f>IFERROR(RANK(BU52,BU$6:BU$116,0),"")</f>
        <v>6</v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/>
      <c r="CX52" s="22" t="str">
        <f ca="1">IFERROR(AVERAGE(OFFSET('Data - For Rank'!D$2,T52,0,COUNTIF(T$7:T$116,T52)))+IFERROR(VLOOKUP((COUNT(R$6:R$116)/4),$ER$9:$ES$13,2,FALSE()),0),"")</f>
        <v/>
      </c>
      <c r="CY52" s="17">
        <v>29</v>
      </c>
      <c r="CZ52" s="22">
        <f ca="1">IFERROR(AVERAGE(OFFSET('Data - For Rank'!E$2,Y52,0,COUNTIF(Y$7:Y$116,Y52)))+IFERROR(VLOOKUP((COUNT(W$6:W$116)/4),$ER$9:$ES$13,2,FALSE()),0),"")</f>
        <v>10</v>
      </c>
      <c r="DA52" s="17"/>
      <c r="DB52" s="22" t="str">
        <f ca="1">IFERROR(AVERAGE(OFFSET('Data - For Rank'!F$2,AD52,0,COUNTIF(AD$7:AD$116,AD52)))+IFERROR(VLOOKUP((COUNT(AB$6:AB$116)/4),$ER$9:$ES$13,2,FALSE()),0),"")</f>
        <v/>
      </c>
      <c r="DC52" s="17"/>
      <c r="DD52" s="22" t="str">
        <f ca="1">IFERROR(AVERAGE(OFFSET('Data - For Rank'!G$2,AI52,0,COUNTIF(AI$7:AI$116,AI52)))+IFERROR(VLOOKUP((COUNT(AG$6:AG$116)/4),$ER$9:$ES$13,2,FALSE()),0),"")</f>
        <v/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38</v>
      </c>
      <c r="DJ52" s="22">
        <f ca="1">IFERROR(AVERAGE(OFFSET('Data - For Rank'!$J$2,AX52,0,COUNTIF(AX$7:AX$116,AX52)))+IFERROR(VLOOKUP((COUNT(AV$6:AV$116)/4),$ER$9:$ES$13,2,FALSE()),0),"")</f>
        <v>15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>
        <v>36</v>
      </c>
      <c r="DN52" s="22">
        <f ca="1">IFERROR(AVERAGE(OFFSET('Data - For Rank'!$L$2,BH52,0,COUNTIF(BH$7:BH$116,BH52)))+IFERROR(VLOOKUP((COUNT(BF$6:BF$116)/4),$ER$9:$ES$13,2,FALSE()),0),"")</f>
        <v>11.5</v>
      </c>
      <c r="DO52" s="17">
        <v>29</v>
      </c>
      <c r="DP52" s="22">
        <f ca="1">IFERROR(AVERAGE(OFFSET('Data - For Rank'!$M$2,BM52,0,COUNTIF(BM$7:BM$116,BM52)))+IFERROR(VLOOKUP((COUNT(BK$6:BK$116)/4),$ER$9:$ES$13,2,FALSE()),0),"")</f>
        <v>5</v>
      </c>
      <c r="DQ52" s="17">
        <v>27</v>
      </c>
      <c r="DR52" s="22">
        <f ca="1">IFERROR(AVERAGE(OFFSET('Data - For Rank'!$N$2,BR52,0,COUNTIF(BR$7:BR$116,BR52)))+IFERROR(VLOOKUP((COUNT(BP$6:BP$116)/4),$ER$9:$ES$13,2,FALSE()),0),"")</f>
        <v>6</v>
      </c>
      <c r="DS52" s="17">
        <v>32</v>
      </c>
      <c r="DT52" s="22">
        <f ca="1">IFERROR(AVERAGE(OFFSET('Data - For Rank'!$O$2,BW52,0,COUNTIF(BW$7:BW$116,BW52)))+IFERROR(VLOOKUP((COUNT(BU$6:BU$116)/4),$ER$9:$ES$13,2,FALSE()),0),"")</f>
        <v>10</v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31.833333333333332</v>
      </c>
      <c r="ED52" s="19">
        <f ca="1">IFERROR(AVERAGE(CT52,CV52,CX52,CZ52,DB52,DD52,DF52,DH52,DJ52,DL52,DN52,DP52,DR52,DT52,DV52,DX52,DZ52,EB52),0)</f>
        <v>9.5833333333333339</v>
      </c>
      <c r="ET52" s="54"/>
    </row>
    <row r="53" spans="2:150" s="1" customFormat="1" outlineLevel="1" x14ac:dyDescent="0.2">
      <c r="B53" s="24">
        <f ca="1">B51+0.0219</f>
        <v>16.021899999999999</v>
      </c>
      <c r="D53" s="54" t="s">
        <v>133</v>
      </c>
      <c r="E53" s="132" t="s">
        <v>42</v>
      </c>
      <c r="F53" s="26">
        <f ca="1">IF(COUNT(G51:CN51)&gt;10,SMALL(G51:CN51,COUNT(G51:CN51)-9),MIN(G51:CN51))</f>
        <v>9</v>
      </c>
      <c r="G53" s="26"/>
      <c r="H53" s="26"/>
      <c r="I53" s="50" t="str">
        <f>IF(CS53=0,"",CS53)</f>
        <v/>
      </c>
      <c r="J53" s="50"/>
      <c r="K53" s="51" t="str">
        <f>IFERROR(_xlfn.RANK.EQ(I53,I$6:I$116,0),"")</f>
        <v/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 t="str">
        <f>IF(CW53=0,"",CW53)</f>
        <v/>
      </c>
      <c r="T53" s="50"/>
      <c r="U53" s="51" t="str">
        <f>IFERROR(_xlfn.RANK.EQ(S53,S$6:S$116,0),"")</f>
        <v/>
      </c>
      <c r="V53" s="26"/>
      <c r="W53" s="26"/>
      <c r="X53" s="50">
        <f>IF(CY53=0,"",CY53)</f>
        <v>-41</v>
      </c>
      <c r="Y53" s="50"/>
      <c r="Z53" s="51">
        <f>IFERROR(_xlfn.RANK.EQ(X53,X$6:X$116,0),"")</f>
        <v>8</v>
      </c>
      <c r="AA53" s="26"/>
      <c r="AB53" s="26"/>
      <c r="AC53" s="50" t="str">
        <f>IF(DA53=0,"",DA53)</f>
        <v/>
      </c>
      <c r="AD53" s="50"/>
      <c r="AE53" s="51" t="str">
        <f>IFERROR(_xlfn.RANK.EQ(AC53,AC$6:AC$116,0),"")</f>
        <v/>
      </c>
      <c r="AF53" s="26"/>
      <c r="AG53" s="26"/>
      <c r="AH53" s="50" t="str">
        <f>IF(DC53=0,"",DC53)</f>
        <v/>
      </c>
      <c r="AI53" s="50"/>
      <c r="AJ53" s="51" t="str">
        <f>IFERROR(_xlfn.RANK.EQ(AH53,AH$6:AH$116,0),"")</f>
        <v/>
      </c>
      <c r="AK53" s="26"/>
      <c r="AL53" s="26"/>
      <c r="AM53" s="50" t="str">
        <f>IF(DE53=0,"",DE53)</f>
        <v/>
      </c>
      <c r="AN53" s="50"/>
      <c r="AO53" s="51" t="str">
        <f>IFERROR(_xlfn.RANK.EQ(AM53,AM$6:AM$116,0),"")</f>
        <v/>
      </c>
      <c r="AP53" s="26"/>
      <c r="AQ53" s="26"/>
      <c r="AR53" s="50" t="str">
        <f>IF(DG53=0,"",DG53)</f>
        <v/>
      </c>
      <c r="AS53" s="50"/>
      <c r="AT53" s="51" t="str">
        <f>IFERROR(_xlfn.RANK.EQ(AR53,AR$6:AR$116,0),"")</f>
        <v/>
      </c>
      <c r="AU53" s="26"/>
      <c r="AV53" s="26"/>
      <c r="AW53" s="50">
        <f>IF(DI53=0,"",DI53)</f>
        <v>3</v>
      </c>
      <c r="AX53" s="50"/>
      <c r="AY53" s="51">
        <f>IFERROR(_xlfn.RANK.EQ(AW53,AW$6:AW$116,0),"")</f>
        <v>7</v>
      </c>
      <c r="AZ53" s="26"/>
      <c r="BA53" s="26"/>
      <c r="BB53" s="50" t="str">
        <f>IF(DK53=0,"",DK53)</f>
        <v/>
      </c>
      <c r="BC53" s="50"/>
      <c r="BD53" s="51" t="str">
        <f>IFERROR(_xlfn.RANK.EQ(BB53,BB$6:BB$116,0),"")</f>
        <v/>
      </c>
      <c r="BE53" s="26"/>
      <c r="BF53" s="26"/>
      <c r="BG53" s="50">
        <f>IF(DM53=0,"",DM53)</f>
        <v>7</v>
      </c>
      <c r="BH53" s="50"/>
      <c r="BI53" s="51">
        <f>IFERROR(_xlfn.RANK.EQ(BG53,BG$6:BG$116,0),"")</f>
        <v>7</v>
      </c>
      <c r="BJ53" s="26"/>
      <c r="BK53" s="26"/>
      <c r="BL53" s="50">
        <f>IF(DO53=0,"",DO53)</f>
        <v>-28</v>
      </c>
      <c r="BM53" s="50"/>
      <c r="BN53" s="51">
        <f>IFERROR(_xlfn.RANK.EQ(BL53,BL$6:BL$116,0),"")</f>
        <v>15</v>
      </c>
      <c r="BO53" s="26"/>
      <c r="BP53" s="26"/>
      <c r="BQ53" s="50">
        <f>IF(DQ53=0,"",DQ53)</f>
        <v>-18</v>
      </c>
      <c r="BR53" s="50"/>
      <c r="BS53" s="51">
        <f>IFERROR(_xlfn.RANK.EQ(BQ53,BQ$6:BQ$116,0),"")</f>
        <v>10</v>
      </c>
      <c r="BT53" s="26"/>
      <c r="BU53" s="26"/>
      <c r="BV53" s="50">
        <f>IF(DS53=0,"",DS53)</f>
        <v>-14</v>
      </c>
      <c r="BW53" s="50"/>
      <c r="BX53" s="51">
        <f>IFERROR(_xlfn.RANK.EQ(BV53,BV$6:BV$116,0),"")</f>
        <v>11</v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/>
      <c r="CX53" s="28" t="str">
        <f ca="1">IFERROR(AVERAGE(OFFSET('Data - For Rank'!D$2,U53,0,COUNTIF(U$6:$U161,U53)))+IFERROR(VLOOKUP((COUNT(S$6:S$116)/4),$ER$9:$ES$13,2,FALSE()),0),"")</f>
        <v/>
      </c>
      <c r="CY53" s="27">
        <v>-41</v>
      </c>
      <c r="CZ53" s="28">
        <f ca="1">IFERROR(AVERAGE(OFFSET('Data - For Rank'!E$2,Z53,0,COUNTIF(Z$6:Z$116,Z53)))+IFERROR(VLOOKUP((COUNT(W$6:W$116)/4),$ER$9:$ES$13,2,FALSE()),0),"")</f>
        <v>7</v>
      </c>
      <c r="DA53" s="27"/>
      <c r="DB53" s="28" t="str">
        <f ca="1">IFERROR(AVERAGE(OFFSET('Data - For Rank'!F$2,AE53,0,COUNTIF(AE$6:AE$116,AE53)))+IFERROR(VLOOKUP((COUNT(AC$6:AC$116)/4),$ER$9:$ES$13,2,FALSE()),0),"")</f>
        <v/>
      </c>
      <c r="DC53" s="27"/>
      <c r="DD53" s="28" t="str">
        <f ca="1">IFERROR(AVERAGE(OFFSET('Data - For Rank'!G$2,AJ53,0,COUNTIF(AJ$6:AJ$116,AJ53)))+IFERROR(VLOOKUP((COUNT(AH$6:AH$116)/4),$ER$9:$ES$13,2,FALSE()),0),"")</f>
        <v/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>
        <v>7</v>
      </c>
      <c r="DN53" s="28">
        <f ca="1">IFERROR(AVERAGE(OFFSET('Data - For Rank'!$L$2,BI53,0,COUNTIF(BI$6:BI$116,BI53)))+IFERROR(VLOOKUP((COUNT(BG$6:BG$116)/4),$ER$9:$ES$13,2,FALSE()),0),"")</f>
        <v>12</v>
      </c>
      <c r="DO53" s="27">
        <v>-28</v>
      </c>
      <c r="DP53" s="28">
        <f ca="1">IFERROR(AVERAGE(OFFSET('Data - For Rank'!$M$2,BN53,0,COUNTIF(BN$6:BN$116,BN53)))+IFERROR(VLOOKUP((COUNT(BL$6:BL$116)/4),$ER$9:$ES$13,2,FALSE()),0),"")</f>
        <v>4</v>
      </c>
      <c r="DQ53" s="27">
        <v>-18</v>
      </c>
      <c r="DR53" s="28">
        <f ca="1">IFERROR(AVERAGE(OFFSET('Data - For Rank'!$N$2,BS53,0,COUNTIF(BS$6:BS$116,BS53)))+IFERROR(VLOOKUP((COUNT(BQ$6:BQ$116)/4),$ER$9:$ES$13,2,FALSE()),0),"")</f>
        <v>7</v>
      </c>
      <c r="DS53" s="27">
        <v>-14</v>
      </c>
      <c r="DT53" s="28">
        <f ca="1">IFERROR(AVERAGE(OFFSET('Data - For Rank'!$O$2,BX53,0,COUNTIF(BX$6:BX$116,BX53)))+IFERROR(VLOOKUP((COUNT(BV$6:BV$116)/4),$ER$9:$ES$13,2,FALSE()),0),"")</f>
        <v>6</v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-91</v>
      </c>
      <c r="ED53" s="30">
        <f ca="1">IFERROR(AVERAGE(CT53,CV53,CX53,CZ53,DB53,DD53,DF53,DH53,DJ53,DL53,DN53,DP53,DR53,DT53,DV53,DX53,DZ53,EB53),0)</f>
        <v>7.833333333333333</v>
      </c>
      <c r="ET53" s="54"/>
    </row>
    <row r="54" spans="2:150" x14ac:dyDescent="0.2">
      <c r="B54" s="7">
        <f ca="1">_xlfn.RANK.EQ(C54,$C$6:$C$63,)</f>
        <v>17</v>
      </c>
      <c r="C54" s="41">
        <f ca="1">EC54</f>
        <v>97.5</v>
      </c>
      <c r="D54" s="41" t="s">
        <v>125</v>
      </c>
      <c r="E54" s="31" t="s">
        <v>57</v>
      </c>
      <c r="F54" s="16">
        <f ca="1">COUNT(CT54,CV54,CX54,CZ54,DB54,DD54,DF54,DH54,DJ54,DL54,DN54,DP54,DR54,DT54,DV54,DX54,DZ54,EB54)</f>
        <v>7</v>
      </c>
      <c r="G54" s="47">
        <f ca="1">IF(CT54=0,"",CT54)</f>
        <v>9</v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11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>
        <f ca="1">IF(DB54=0,"",DB54)</f>
        <v>14</v>
      </c>
      <c r="AB54" s="47"/>
      <c r="AC54" s="47"/>
      <c r="AE54" s="47"/>
      <c r="AF54" s="47">
        <f ca="1">IF(DD54=0,"",DD54)</f>
        <v>8</v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>
        <f ca="1">IF(DH54=0,"",DH54)</f>
        <v>23.5</v>
      </c>
      <c r="AQ54" s="47"/>
      <c r="AR54" s="47"/>
      <c r="AT54" s="47"/>
      <c r="AU54" s="47">
        <f ca="1">IF(DJ54=0,"",DJ54)</f>
        <v>15</v>
      </c>
      <c r="AV54" s="47"/>
      <c r="AW54" s="47"/>
      <c r="AY54" s="47"/>
      <c r="AZ54" s="47">
        <f ca="1">IF(DL54=0,"",DL54)</f>
        <v>17</v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>
        <v>97</v>
      </c>
      <c r="CT54" s="18">
        <f ca="1">IFERROR(CT55+CT56,"")</f>
        <v>9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11</v>
      </c>
      <c r="CY54" s="17"/>
      <c r="CZ54" s="18" t="str">
        <f ca="1">IFERROR(CZ55+CZ56,"")</f>
        <v/>
      </c>
      <c r="DA54" s="17">
        <v>107</v>
      </c>
      <c r="DB54" s="18">
        <f ca="1">IFERROR(DB55+DB56,"")</f>
        <v>14</v>
      </c>
      <c r="DC54" s="17">
        <v>112</v>
      </c>
      <c r="DD54" s="18">
        <f ca="1">IFERROR(DD55+DD56,"")</f>
        <v>8</v>
      </c>
      <c r="DE54" s="17"/>
      <c r="DF54" s="18" t="str">
        <f ca="1">IFERROR(DF55+DF56,"")</f>
        <v/>
      </c>
      <c r="DG54" s="17">
        <v>98</v>
      </c>
      <c r="DH54" s="18">
        <f ca="1">IFERROR(DH55+DH56,"")</f>
        <v>23.5</v>
      </c>
      <c r="DI54" s="17">
        <v>105</v>
      </c>
      <c r="DJ54" s="18">
        <f ca="1">IFERROR(DJ55+DJ56,"")</f>
        <v>15</v>
      </c>
      <c r="DK54" s="17">
        <v>98</v>
      </c>
      <c r="DL54" s="18">
        <f ca="1">IFERROR(DL55+DL56,"")</f>
        <v>17</v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97.5</v>
      </c>
      <c r="ED54" s="19">
        <f ca="1">AVERAGE(CT54,CV54,CX54,CZ54,DB54,DD54,DF54,DH54,DJ54,DL54,DN54,DP54,DR54,DT54,DV54,DX54,DZ54,EB54)</f>
        <v>13.928571428571429</v>
      </c>
      <c r="ET54" s="54"/>
    </row>
    <row r="55" spans="2:150" s="1" customFormat="1" outlineLevel="1" x14ac:dyDescent="0.2">
      <c r="B55" s="20">
        <f ca="1">B54+0.116</f>
        <v>17.116</v>
      </c>
      <c r="D55" s="54" t="s">
        <v>126</v>
      </c>
      <c r="E55" s="21" t="s">
        <v>41</v>
      </c>
      <c r="F55" s="21"/>
      <c r="G55" s="21"/>
      <c r="H55" s="21">
        <f>IF(CS55=0,"",CS55)</f>
        <v>26</v>
      </c>
      <c r="I55" s="21"/>
      <c r="J55" s="47">
        <f>IFERROR(RANK(H55,H$6:H$116,0),"")</f>
        <v>16</v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8</v>
      </c>
      <c r="S55" s="21"/>
      <c r="T55" s="47">
        <f>IFERROR(RANK(R55,R$6:R$116,0),"")</f>
        <v>12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>
        <f>IF(DA55=0,"",DA55)</f>
        <v>19</v>
      </c>
      <c r="AC55" s="21"/>
      <c r="AD55" s="47">
        <f>IFERROR(RANK(AB55,AB$6:AB$116,0),"")</f>
        <v>15</v>
      </c>
      <c r="AE55" s="21"/>
      <c r="AF55" s="21"/>
      <c r="AG55" s="21">
        <f>IF(DC55=0,"",DC55)</f>
        <v>18</v>
      </c>
      <c r="AH55" s="21"/>
      <c r="AI55" s="47">
        <f>IFERROR(RANK(AG55,AG$6:AG$116,0),"")</f>
        <v>16</v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>
        <f>IF(DG55=0,"",DG55)</f>
        <v>29</v>
      </c>
      <c r="AR55" s="21"/>
      <c r="AS55" s="47">
        <f>IFERROR(RANK(AQ55,AQ$6:AQ$116,0),"")</f>
        <v>12</v>
      </c>
      <c r="AT55" s="21"/>
      <c r="AU55" s="21"/>
      <c r="AV55" s="21">
        <f>IF(DI55=0,"",DI55)</f>
        <v>26</v>
      </c>
      <c r="AW55" s="21"/>
      <c r="AX55" s="47">
        <f>IFERROR(RANK(AV55,AV$6:AV$116,0),"")</f>
        <v>15</v>
      </c>
      <c r="AY55" s="21"/>
      <c r="AZ55" s="21"/>
      <c r="BA55" s="21">
        <f>IF(DK55=0,"",DK55)</f>
        <v>27</v>
      </c>
      <c r="BB55" s="21"/>
      <c r="BC55" s="47">
        <f>IFERROR(RANK(BA55,BA$6:BA$116,0),"")</f>
        <v>11</v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>
        <v>26</v>
      </c>
      <c r="CT55" s="22">
        <f ca="1">IFERROR(AVERAGE(OFFSET('Data - For Rank'!B$2,J55,0,COUNTIF($J$7:J$116,J55)))+IFERROR(VLOOKUP((COUNT($H$6:$H$116)/4),$ER$9:$ES$13,2,FALSE()),0),"")</f>
        <v>3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35">
        <v>8</v>
      </c>
      <c r="CX55" s="22">
        <f ca="1">IFERROR(AVERAGE(OFFSET('Data - For Rank'!D$2,T55,0,COUNTIF(T$7:T$116,T55)))+IFERROR(VLOOKUP((COUNT(R$6:R$116)/4),$ER$9:$ES$13,2,FALSE()),0),"")</f>
        <v>5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>
        <v>19</v>
      </c>
      <c r="DB55" s="22">
        <f ca="1">IFERROR(AVERAGE(OFFSET('Data - For Rank'!F$2,AD55,0,COUNTIF(AD$7:AD$116,AD55)))+IFERROR(VLOOKUP((COUNT(AB$6:AB$116)/4),$ER$9:$ES$13,2,FALSE()),0),"")</f>
        <v>4</v>
      </c>
      <c r="DC55" s="17">
        <v>18</v>
      </c>
      <c r="DD55" s="22">
        <f ca="1">IFERROR(AVERAGE(OFFSET('Data - For Rank'!G$2,AI55,0,COUNTIF(AI$7:AI$116,AI55)))+IFERROR(VLOOKUP((COUNT(AG$6:AG$116)/4),$ER$9:$ES$13,2,FALSE()),0),"")</f>
        <v>3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>
        <v>29</v>
      </c>
      <c r="DH55" s="22">
        <f ca="1">IFERROR(AVERAGE(OFFSET('Data - For Rank'!$I$2,AS55,0,COUNTIF(AS$7:AS$116,AS55)))+IFERROR(VLOOKUP((COUNT(AQ$6:AQ$116)/4),$ER$9:$ES$13,2,FALSE()),0),"")</f>
        <v>6.5</v>
      </c>
      <c r="DI55" s="17">
        <v>26</v>
      </c>
      <c r="DJ55" s="22">
        <f ca="1">IFERROR(AVERAGE(OFFSET('Data - For Rank'!$J$2,AX55,0,COUNTIF(AX$7:AX$116,AX55)))+IFERROR(VLOOKUP((COUNT(AV$6:AV$116)/4),$ER$9:$ES$13,2,FALSE()),0),"")</f>
        <v>4</v>
      </c>
      <c r="DK55" s="17">
        <v>27</v>
      </c>
      <c r="DL55" s="22">
        <f ca="1">IFERROR(AVERAGE(OFFSET('Data - For Rank'!$K$2,BC55,0,COUNTIF(BC$7:BC$116,BC55)))+IFERROR(VLOOKUP((COUNT(BA$6:BA$116)/4),$ER$9:$ES$13,2,FALSE()),0),"")</f>
        <v>6</v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21.857142857142858</v>
      </c>
      <c r="ED55" s="19">
        <f ca="1">AVERAGE(CT55,CV55,CX55,CZ55,DB55,DD55,DF55,DH55,EF52,DL55,DN55,DP55,DR55,DT55,DV55,DX55,DZ55,EB55)</f>
        <v>4.583333333333333</v>
      </c>
      <c r="ET55" s="54"/>
    </row>
    <row r="56" spans="2:150" s="1" customFormat="1" outlineLevel="1" x14ac:dyDescent="0.2">
      <c r="B56" s="24">
        <f ca="1">B54+0.0216</f>
        <v>17.021599999999999</v>
      </c>
      <c r="D56" s="54" t="s">
        <v>127</v>
      </c>
      <c r="E56" s="34" t="s">
        <v>42</v>
      </c>
      <c r="F56" s="26">
        <f ca="1">IF(COUNT(G54:CN54)&gt;10,SMALL(G54:CN54,COUNT(G54:CN54)-9),MIN(G54:CN54))</f>
        <v>8</v>
      </c>
      <c r="G56" s="26"/>
      <c r="H56" s="26"/>
      <c r="I56" s="50">
        <f>IF(CS56=0,"",CS56)</f>
        <v>-11</v>
      </c>
      <c r="J56" s="50"/>
      <c r="K56" s="51">
        <f>IFERROR(_xlfn.RANK.EQ(I56,I$6:I$116,0),"")</f>
        <v>13</v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-15</v>
      </c>
      <c r="T56" s="50"/>
      <c r="U56" s="51">
        <f>IFERROR(_xlfn.RANK.EQ(S56,S$6:S$116,0),"")</f>
        <v>11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>
        <f>IF(DA56=0,"",DA56)</f>
        <v>6</v>
      </c>
      <c r="AD56" s="50"/>
      <c r="AE56" s="51">
        <f>IFERROR(_xlfn.RANK.EQ(AC56,AC$6:AC$116,0),"")</f>
        <v>9</v>
      </c>
      <c r="AF56" s="26"/>
      <c r="AG56" s="26"/>
      <c r="AH56" s="50">
        <f>IF(DC56=0,"",DC56)</f>
        <v>-18</v>
      </c>
      <c r="AI56" s="50"/>
      <c r="AJ56" s="51">
        <f>IFERROR(_xlfn.RANK.EQ(AH56,AH$6:AH$116,0),"")</f>
        <v>14</v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>
        <f>IF(DG56=0,"",DG56)</f>
        <v>24</v>
      </c>
      <c r="AS56" s="50"/>
      <c r="AT56" s="51">
        <f>IFERROR(_xlfn.RANK.EQ(AR56,AR$6:AR$116,0),"")</f>
        <v>2</v>
      </c>
      <c r="AU56" s="26"/>
      <c r="AV56" s="26"/>
      <c r="AW56" s="50">
        <f>IF(DI56=0,"",DI56)</f>
        <v>3</v>
      </c>
      <c r="AX56" s="50"/>
      <c r="AY56" s="51">
        <f>IFERROR(_xlfn.RANK.EQ(AW56,AW$6:AW$116,0),"")</f>
        <v>7</v>
      </c>
      <c r="AZ56" s="26"/>
      <c r="BA56" s="26"/>
      <c r="BB56" s="50">
        <f>IF(DK56=0,"",DK56)</f>
        <v>10</v>
      </c>
      <c r="BC56" s="50"/>
      <c r="BD56" s="51">
        <f>IFERROR(_xlfn.RANK.EQ(BB56,BB$6:BB$116,0),"")</f>
        <v>6</v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>
        <v>-11</v>
      </c>
      <c r="CT56" s="28">
        <f ca="1">IFERROR(AVERAGE(OFFSET('Data - For Rank'!B$2,K56,0,COUNTIF(K$6:K$116,K56)))+IFERROR(VLOOKUP((COUNT($I$6:$I$116)/4),$ER$9:$ES$13,2,FALSE()),0),"")</f>
        <v>6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-15</v>
      </c>
      <c r="CX56" s="28">
        <f ca="1">IFERROR(AVERAGE(OFFSET('Data - For Rank'!D$2,U56,0,COUNTIF(U$6:$U164,U56)))+IFERROR(VLOOKUP((COUNT(S$6:S$116)/4),$ER$9:$ES$13,2,FALSE()),0),"")</f>
        <v>6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>
        <v>6</v>
      </c>
      <c r="DB56" s="28">
        <f ca="1">IFERROR(AVERAGE(OFFSET('Data - For Rank'!F$2,AE56,0,COUNTIF(AE$6:AE$116,AE56)))+IFERROR(VLOOKUP((COUNT(AC$6:AC$116)/4),$ER$9:$ES$13,2,FALSE()),0),"")</f>
        <v>10</v>
      </c>
      <c r="DC56" s="27">
        <v>-18</v>
      </c>
      <c r="DD56" s="28">
        <f ca="1">IFERROR(AVERAGE(OFFSET('Data - For Rank'!G$2,AJ56,0,COUNTIF(AJ$6:AJ$116,AJ56)))+IFERROR(VLOOKUP((COUNT(AH$6:AH$116)/4),$ER$9:$ES$13,2,FALSE()),0),"")</f>
        <v>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>
        <v>24</v>
      </c>
      <c r="DH56" s="28">
        <f ca="1">IFERROR(AVERAGE(OFFSET('Data - For Rank'!$I$2,AT56,0,COUNTIF(AT$6:AT$116,AT56)))+IFERROR(VLOOKUP((COUNT(AR$6:AR$116)/4),$ER$9:$ES$13,2,FALSE()),0),"")</f>
        <v>17</v>
      </c>
      <c r="DI56" s="27">
        <v>3</v>
      </c>
      <c r="DJ56" s="28">
        <f ca="1">IFERROR(AVERAGE(OFFSET('Data - For Rank'!$J$2,AY56,0,COUNTIF(AY$6:AY$116,AY56)))+IFERROR(VLOOKUP((COUNT(AW$6:AW$116)/4),$ER$9:$ES$13,2,FALSE()),0),"")</f>
        <v>11</v>
      </c>
      <c r="DK56" s="27">
        <v>10</v>
      </c>
      <c r="DL56" s="28">
        <f ca="1">IFERROR(AVERAGE(OFFSET('Data - For Rank'!$K$2,BD56,0,COUNTIF(BD$6:BD$116,BD56)))+IFERROR(VLOOKUP((COUNT(BB$6:BB$116)/4),$ER$9:$ES$13,2,FALSE()),0),"")</f>
        <v>11</v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-1</v>
      </c>
      <c r="ED56" s="30">
        <f ca="1">AVERAGE(CT56,CV56,CX56,CZ56,DB56,DD56,DF56,DH56,DJ56,DL56,DN56,DP56,DR56,DT56,DV56,DX56,DZ56,EB56)</f>
        <v>9.4285714285714288</v>
      </c>
      <c r="ET56" s="54"/>
    </row>
    <row r="57" spans="2:150" x14ac:dyDescent="0.2">
      <c r="B57" s="7">
        <f ca="1">_xlfn.RANK.EQ(C57,$C$6:$C$63,)</f>
        <v>18</v>
      </c>
      <c r="C57" s="41">
        <f ca="1">EC57</f>
        <v>81.5</v>
      </c>
      <c r="D57" s="41" t="s">
        <v>122</v>
      </c>
      <c r="E57" s="15" t="s">
        <v>56</v>
      </c>
      <c r="F57" s="16">
        <f ca="1">COUNT(CT57,CV57,CX57,CZ57,DB57,DD57,DF57,DH57,DJ57,DL57,DN57,DP57,DR57,DT57,DV57,DX57,DZ57,EB57)</f>
        <v>5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>
        <f ca="1">IF(CX57=0,"",CX57)</f>
        <v>18</v>
      </c>
      <c r="R57" s="47"/>
      <c r="S57" s="47"/>
      <c r="U57" s="47"/>
      <c r="V57" s="47" t="str">
        <f ca="1">IF(CZ57=0,"",CZ57)</f>
        <v/>
      </c>
      <c r="W57" s="47"/>
      <c r="X57" s="47"/>
      <c r="Z57" s="47"/>
      <c r="AA57" s="47">
        <f ca="1">IF(DB57=0,"",DB57)</f>
        <v>9</v>
      </c>
      <c r="AB57" s="47"/>
      <c r="AC57" s="47"/>
      <c r="AE57" s="47"/>
      <c r="AF57" s="47">
        <f ca="1">IF(DD57=0,"",DD57)</f>
        <v>21</v>
      </c>
      <c r="AG57" s="47"/>
      <c r="AH57" s="47"/>
      <c r="AJ57" s="47"/>
      <c r="AK57" s="47">
        <f ca="1">IF(DF57=0,"",DF57)</f>
        <v>20.5</v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13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>
        <v>101</v>
      </c>
      <c r="CX57" s="18">
        <f ca="1">IFERROR(CX58+CX59,"")</f>
        <v>18</v>
      </c>
      <c r="CY57" s="17"/>
      <c r="CZ57" s="18" t="str">
        <f ca="1">IFERROR(CZ58+CZ59,"")</f>
        <v/>
      </c>
      <c r="DA57" s="17">
        <v>107</v>
      </c>
      <c r="DB57" s="18">
        <f ca="1">IFERROR(DB58+DB59,"")</f>
        <v>9</v>
      </c>
      <c r="DC57" s="17">
        <v>100</v>
      </c>
      <c r="DD57" s="18">
        <f ca="1">IFERROR(DD58+DD59,"")</f>
        <v>21</v>
      </c>
      <c r="DE57" s="17">
        <v>91</v>
      </c>
      <c r="DF57" s="18">
        <f ca="1">IFERROR(DF58+DF59,"")</f>
        <v>20.5</v>
      </c>
      <c r="DG57" s="17"/>
      <c r="DH57" s="18" t="str">
        <f ca="1">IFERROR(DH58+DH59,"")</f>
        <v/>
      </c>
      <c r="DI57" s="17">
        <v>99</v>
      </c>
      <c r="DJ57" s="18">
        <f ca="1">IFERROR(DJ58+DJ59,"")</f>
        <v>13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81.5</v>
      </c>
      <c r="ED57" s="19">
        <f t="shared" ref="ED57:ED62" ca="1" si="1">IFERROR(AVERAGE(CT57,CV57,CX57,CZ57,DB57,DD57,DF57,DH57,DJ57,DL57,DN57,DP57,DR57,DT57,DV57,DX57,DZ57,EB57),0)</f>
        <v>16.3</v>
      </c>
      <c r="ET57" s="54"/>
    </row>
    <row r="58" spans="2:150" s="1" customFormat="1" outlineLevel="1" x14ac:dyDescent="0.2">
      <c r="B58" s="20">
        <f ca="1">B57+0.118</f>
        <v>18.117999999999999</v>
      </c>
      <c r="D58" s="54" t="s">
        <v>123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>
        <f>IF(CW58=0,"",CW58)</f>
        <v>25</v>
      </c>
      <c r="S58" s="21"/>
      <c r="T58" s="47">
        <f>IFERROR(RANK(R58,R$6:R$116,0),"")</f>
        <v>10</v>
      </c>
      <c r="U58" s="21"/>
      <c r="V58" s="21"/>
      <c r="W58" s="21" t="str">
        <f>IF(CY58=0,"",CY58)</f>
        <v/>
      </c>
      <c r="X58" s="21"/>
      <c r="Y58" s="47" t="str">
        <f>IFERROR(RANK(W58,W$6:W$116,0),"")</f>
        <v/>
      </c>
      <c r="Z58" s="21"/>
      <c r="AA58" s="21"/>
      <c r="AB58" s="21">
        <f>IF(DA58=0,"",DA58)</f>
        <v>17</v>
      </c>
      <c r="AC58" s="21"/>
      <c r="AD58" s="47">
        <f>IFERROR(RANK(AB58,AB$6:AB$116,0),"")</f>
        <v>16</v>
      </c>
      <c r="AE58" s="21"/>
      <c r="AF58" s="21"/>
      <c r="AG58" s="21">
        <f>IF(DC58=0,"",DC58)</f>
        <v>27</v>
      </c>
      <c r="AH58" s="21"/>
      <c r="AI58" s="47">
        <f>IFERROR(RANK(AG58,AG$6:AG$116,0),"")</f>
        <v>13</v>
      </c>
      <c r="AJ58" s="21"/>
      <c r="AK58" s="21"/>
      <c r="AL58" s="21">
        <f>IF(DE58=0,"",DE58)</f>
        <v>31</v>
      </c>
      <c r="AM58" s="21"/>
      <c r="AN58" s="47">
        <f>IFERROR(RANK(AL58,AL$6:AL$116,0),"")</f>
        <v>10</v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28</v>
      </c>
      <c r="AW58" s="21"/>
      <c r="AX58" s="47">
        <f>IFERROR(RANK(AV58,AV$6:AV$116,0),"")</f>
        <v>13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>
        <v>25</v>
      </c>
      <c r="CX58" s="22">
        <f ca="1">IFERROR(AVERAGE(OFFSET('Data - For Rank'!D$2,T58,0,COUNTIF(T$7:T$116,T58)))+IFERROR(VLOOKUP((COUNT(R$6:R$116)/4),$ER$9:$ES$13,2,FALSE()),0),"")</f>
        <v>7</v>
      </c>
      <c r="CY58" s="17"/>
      <c r="CZ58" s="22" t="str">
        <f ca="1">IFERROR(AVERAGE(OFFSET('Data - For Rank'!E$2,Y58,0,COUNTIF(Y$7:Y$116,Y58)))+IFERROR(VLOOKUP((COUNT(W$6:W$116)/4),$ER$9:$ES$13,2,FALSE()),0),"")</f>
        <v/>
      </c>
      <c r="DA58" s="17">
        <v>17</v>
      </c>
      <c r="DB58" s="22">
        <f ca="1">IFERROR(AVERAGE(OFFSET('Data - For Rank'!F$2,AD58,0,COUNTIF(AD$7:AD$116,AD58)))+IFERROR(VLOOKUP((COUNT(AB$6:AB$116)/4),$ER$9:$ES$13,2,FALSE()),0),"")</f>
        <v>3</v>
      </c>
      <c r="DC58" s="17">
        <v>27</v>
      </c>
      <c r="DD58" s="22">
        <f ca="1">IFERROR(AVERAGE(OFFSET('Data - For Rank'!G$2,AI58,0,COUNTIF(AI$7:AI$116,AI58)))+IFERROR(VLOOKUP((COUNT(AG$6:AG$116)/4),$ER$9:$ES$13,2,FALSE()),0),"")</f>
        <v>6</v>
      </c>
      <c r="DE58" s="17">
        <v>31</v>
      </c>
      <c r="DF58" s="22">
        <f ca="1">IFERROR(AVERAGE(OFFSET('Data - For Rank'!$H$2,AN58,0,COUNTIF(AN$7:AN$116,AN58)))+IFERROR(VLOOKUP((COUNT(AL$6:AL$116)/4),$ER$9:$ES$13,2,FALSE()),0),"")</f>
        <v>6.5</v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28</v>
      </c>
      <c r="DJ58" s="22">
        <f ca="1">IFERROR(AVERAGE(OFFSET('Data - For Rank'!$J$2,AX58,0,COUNTIF(AX$7:AX$116,AX58)))+IFERROR(VLOOKUP((COUNT(AV$6:AV$116)/4),$ER$9:$ES$13,2,FALSE()),0),"")</f>
        <v>6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25.6</v>
      </c>
      <c r="ED58" s="19">
        <f t="shared" ca="1" si="1"/>
        <v>5.7</v>
      </c>
      <c r="EI58" s="1" t="str">
        <f>IF(CS58=0,"",CS58)</f>
        <v/>
      </c>
    </row>
    <row r="59" spans="2:150" s="1" customFormat="1" outlineLevel="1" x14ac:dyDescent="0.2">
      <c r="B59" s="24">
        <f ca="1">B57+0.0218</f>
        <v>18.021799999999999</v>
      </c>
      <c r="D59" s="54" t="s">
        <v>124</v>
      </c>
      <c r="E59" s="25" t="s">
        <v>42</v>
      </c>
      <c r="F59" s="26">
        <f ca="1">IF(COUNT(G57:CN57)&gt;10,SMALL(G57:CN57,COUNT(G57:CN57)-9),MIN(G57:CN57))</f>
        <v>9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>
        <f>IF(CW59=0,"",CW59)</f>
        <v>3</v>
      </c>
      <c r="T59" s="50"/>
      <c r="U59" s="51">
        <f>IFERROR(_xlfn.RANK.EQ(S59,S$6:S$116,0),"")</f>
        <v>6</v>
      </c>
      <c r="V59" s="26"/>
      <c r="W59" s="26"/>
      <c r="X59" s="50" t="str">
        <f>IF(CY59=0,"",CY59)</f>
        <v/>
      </c>
      <c r="Y59" s="50"/>
      <c r="Z59" s="51" t="str">
        <f>IFERROR(_xlfn.RANK.EQ(X59,X$6:X$116,0),"")</f>
        <v/>
      </c>
      <c r="AA59" s="26"/>
      <c r="AB59" s="26"/>
      <c r="AC59" s="50">
        <f>IF(DA59=0,"",DA59)</f>
        <v>-16</v>
      </c>
      <c r="AD59" s="50"/>
      <c r="AE59" s="51">
        <f>IFERROR(_xlfn.RANK.EQ(AC59,AC$6:AC$116,0),"")</f>
        <v>13</v>
      </c>
      <c r="AF59" s="26"/>
      <c r="AG59" s="26"/>
      <c r="AH59" s="50">
        <f>IF(DC59=0,"",DC59)</f>
        <v>16</v>
      </c>
      <c r="AI59" s="50"/>
      <c r="AJ59" s="51">
        <f>IFERROR(_xlfn.RANK.EQ(AH59,AH$6:AH$116,0),"")</f>
        <v>4</v>
      </c>
      <c r="AK59" s="26"/>
      <c r="AL59" s="26"/>
      <c r="AM59" s="50">
        <f>IF(DE59=0,"",DE59)</f>
        <v>6</v>
      </c>
      <c r="AN59" s="50"/>
      <c r="AO59" s="51">
        <f>IFERROR(_xlfn.RANK.EQ(AM59,AM$6:AM$116,0),"")</f>
        <v>3</v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-11</v>
      </c>
      <c r="AX59" s="50"/>
      <c r="AY59" s="51">
        <f>IFERROR(_xlfn.RANK.EQ(AW59,AW$6:AW$116,0),"")</f>
        <v>12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>
        <v>3</v>
      </c>
      <c r="CX59" s="28">
        <f ca="1">IFERROR(AVERAGE(OFFSET('Data - For Rank'!D$2,U59,0,COUNTIF(U$6:$U167,U59)))+IFERROR(VLOOKUP((COUNT(S$6:S$116)/4),$ER$9:$ES$13,2,FALSE()),0),"")</f>
        <v>11</v>
      </c>
      <c r="CY59" s="27"/>
      <c r="CZ59" s="28" t="str">
        <f ca="1">IFERROR(AVERAGE(OFFSET('Data - For Rank'!E$2,Z59,0,COUNTIF(Z$6:Z$116,Z59)))+IFERROR(VLOOKUP((COUNT(W$6:W$116)/4),$ER$9:$ES$13,2,FALSE()),0),"")</f>
        <v/>
      </c>
      <c r="DA59" s="27">
        <v>-16</v>
      </c>
      <c r="DB59" s="28">
        <f ca="1">IFERROR(AVERAGE(OFFSET('Data - For Rank'!F$2,AE59,0,COUNTIF(AE$6:AE$116,AE59)))+IFERROR(VLOOKUP((COUNT(AC$6:AC$116)/4),$ER$9:$ES$13,2,FALSE()),0),"")</f>
        <v>6</v>
      </c>
      <c r="DC59" s="27">
        <v>16</v>
      </c>
      <c r="DD59" s="28">
        <f ca="1">IFERROR(AVERAGE(OFFSET('Data - For Rank'!G$2,AJ59,0,COUNTIF(AJ$6:AJ$116,AJ59)))+IFERROR(VLOOKUP((COUNT(AH$6:AH$116)/4),$ER$9:$ES$13,2,FALSE()),0),"")</f>
        <v>15</v>
      </c>
      <c r="DE59" s="27">
        <v>6</v>
      </c>
      <c r="DF59" s="28">
        <f ca="1">IFERROR(AVERAGE(OFFSET('Data - For Rank'!$H$2,AO59,0,COUNTIF(AO$6:AO$116,AO59)))+IFERROR(VLOOKUP((COUNT(AM$6:AM$116)/4),$ER$9:$ES$13,2,FALSE()),0),"")</f>
        <v>14</v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-11</v>
      </c>
      <c r="DJ59" s="28">
        <f ca="1">IFERROR(AVERAGE(OFFSET('Data - For Rank'!$J$2,AY59,0,COUNTIF(AY$6:AY$116,AY59)))+IFERROR(VLOOKUP((COUNT(AW$6:AW$116)/4),$ER$9:$ES$13,2,FALSE()),0),"")</f>
        <v>7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-2</v>
      </c>
      <c r="ED59" s="30">
        <f t="shared" ca="1" si="1"/>
        <v>10.6</v>
      </c>
    </row>
    <row r="60" spans="2:150" x14ac:dyDescent="0.2">
      <c r="B60" s="7">
        <f ca="1">_xlfn.RANK.EQ(C60,$C$6:$C$63,)</f>
        <v>19</v>
      </c>
      <c r="C60" s="41">
        <f ca="1">EC60</f>
        <v>80.5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3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>
        <f ca="1">IF(DN60=0,"",DN60)</f>
        <v>34.5</v>
      </c>
      <c r="BF60" s="47"/>
      <c r="BG60" s="47"/>
      <c r="BI60" s="47"/>
      <c r="BJ60" s="47">
        <f ca="1">IF(DP60=0,"",DP60)</f>
        <v>25</v>
      </c>
      <c r="BK60" s="47"/>
      <c r="BL60" s="47"/>
      <c r="BN60" s="47"/>
      <c r="BO60" s="47">
        <f ca="1">IF(DR60=0,"",DR60)</f>
        <v>21</v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>
        <v>72</v>
      </c>
      <c r="DN60" s="18">
        <f ca="1">IFERROR(DN61+DN62,"")</f>
        <v>34.5</v>
      </c>
      <c r="DO60" s="17">
        <v>78</v>
      </c>
      <c r="DP60" s="18">
        <f ca="1">IFERROR(DP61+DP62,"")</f>
        <v>25</v>
      </c>
      <c r="DQ60" s="17">
        <v>77</v>
      </c>
      <c r="DR60" s="18">
        <f ca="1">IFERROR(DR61+DR62,"")</f>
        <v>21</v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80.5</v>
      </c>
      <c r="ED60" s="19">
        <f t="shared" ca="1" si="1"/>
        <v>26.833333333333332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>
        <f>IF(DM61=0,"",DM61)</f>
        <v>40</v>
      </c>
      <c r="BG61" s="21"/>
      <c r="BH61" s="47">
        <f>IFERROR(RANK(BF61,BF$6:BF$116,0),"")</f>
        <v>1</v>
      </c>
      <c r="BI61" s="21"/>
      <c r="BJ61" s="21"/>
      <c r="BK61" s="21">
        <f>IF(DO61=0,"",DO61)</f>
        <v>33</v>
      </c>
      <c r="BL61" s="21"/>
      <c r="BM61" s="47">
        <f>IFERROR(RANK(BK61,BK$6:BK$116,0),"")</f>
        <v>6</v>
      </c>
      <c r="BN61" s="21"/>
      <c r="BO61" s="21"/>
      <c r="BP61" s="21">
        <f>IF(DQ61=0,"",DQ61)</f>
        <v>30</v>
      </c>
      <c r="BQ61" s="21"/>
      <c r="BR61" s="47">
        <f>IFERROR(RANK(BP61,BP$6:BP$116,0),"")</f>
        <v>5</v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>
        <v>40</v>
      </c>
      <c r="DN61" s="22">
        <f ca="1">IFERROR(AVERAGE(OFFSET('Data - For Rank'!$L$2,BH61,0,COUNTIF(BH$7:BH$116,BH61)))+IFERROR(VLOOKUP((COUNT(BF$6:BF$116)/4),$ER$9:$ES$13,2,FALSE()),0),"")</f>
        <v>18</v>
      </c>
      <c r="DO61" s="17">
        <v>33</v>
      </c>
      <c r="DP61" s="22">
        <f ca="1">IFERROR(AVERAGE(OFFSET('Data - For Rank'!$M$2,BM61,0,COUNTIF(BM$7:BM$116,BM61)))+IFERROR(VLOOKUP((COUNT(BK$6:BK$116)/4),$ER$9:$ES$13,2,FALSE()),0),"")</f>
        <v>12</v>
      </c>
      <c r="DQ61" s="17">
        <v>30</v>
      </c>
      <c r="DR61" s="22">
        <f ca="1">IFERROR(AVERAGE(OFFSET('Data - For Rank'!$N$2,BR61,0,COUNTIF(BR$7:BR$116,BR61)))+IFERROR(VLOOKUP((COUNT(BP$6:BP$116)/4),$ER$9:$ES$13,2,FALSE()),0),"")</f>
        <v>11</v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34.333333333333336</v>
      </c>
      <c r="ED61" s="19">
        <f t="shared" ca="1" si="1"/>
        <v>13.666666666666666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IF(COUNT(G60:CN60)&gt;10,SMALL(G60:CN60,COUNT(G60:CN60)-9),MIN(G60:CN60))</f>
        <v>21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>
        <f>IF(DM62=0,"",DM62)</f>
        <v>18</v>
      </c>
      <c r="BH62" s="50"/>
      <c r="BI62" s="51">
        <f>IFERROR(_xlfn.RANK.EQ(BG62,BG$6:BG$116,0),"")</f>
        <v>2</v>
      </c>
      <c r="BJ62" s="26"/>
      <c r="BK62" s="26"/>
      <c r="BL62" s="50">
        <f>IF(DO62=0,"",DO62)</f>
        <v>9</v>
      </c>
      <c r="BM62" s="50"/>
      <c r="BN62" s="51">
        <f>IFERROR(_xlfn.RANK.EQ(BL62,BL$6:BL$116,0),"")</f>
        <v>6</v>
      </c>
      <c r="BO62" s="26"/>
      <c r="BP62" s="26"/>
      <c r="BQ62" s="50">
        <f>IF(DQ62=0,"",DQ62)</f>
        <v>0.1</v>
      </c>
      <c r="BR62" s="50"/>
      <c r="BS62" s="51">
        <f>IFERROR(_xlfn.RANK.EQ(BQ62,BQ$6:BQ$116,0),"")</f>
        <v>7</v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>
        <v>18</v>
      </c>
      <c r="DN62" s="28">
        <f ca="1">IFERROR(AVERAGE(OFFSET('Data - For Rank'!$L$2,BI62,0,COUNTIF(BI$6:BI$116,BI62)))+IFERROR(VLOOKUP((COUNT(BG$6:BG$116)/4),$ER$9:$ES$13,2,FALSE()),0),"")</f>
        <v>16.5</v>
      </c>
      <c r="DO62" s="27">
        <v>9</v>
      </c>
      <c r="DP62" s="28">
        <f ca="1">IFERROR(AVERAGE(OFFSET('Data - For Rank'!$M$2,BN62,0,COUNTIF(BN$6:BN$116,BN62)))+IFERROR(VLOOKUP((COUNT(BL$6:BL$116)/4),$ER$9:$ES$13,2,FALSE()),0),"")</f>
        <v>13</v>
      </c>
      <c r="DQ62" s="27">
        <v>0.1</v>
      </c>
      <c r="DR62" s="28">
        <f ca="1">IFERROR(AVERAGE(OFFSET('Data - For Rank'!$N$2,BS62,0,COUNTIF(BS$6:BS$116,BS62)))+IFERROR(VLOOKUP((COUNT(BQ$6:BQ$116)/4),$ER$9:$ES$13,2,FALSE()),0),"")</f>
        <v>10</v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27.1</v>
      </c>
      <c r="ED62" s="30">
        <f t="shared" ca="1" si="1"/>
        <v>13.166666666666666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0.10000000000000142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9.579999999997213E-2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252</v>
      </c>
      <c r="BE66" s="41">
        <f ca="1">SUM(BE6:BE63)+SUM(BE75:BE116)</f>
        <v>336</v>
      </c>
      <c r="BJ66" s="41">
        <f ca="1">SUM(BJ6:BJ63)+SUM(BJ75:BJ116)</f>
        <v>336</v>
      </c>
      <c r="BO66" s="41">
        <f ca="1">SUM(BO6:BO63)+SUM(BO75:BO116)</f>
        <v>252</v>
      </c>
      <c r="BT66" s="41">
        <f ca="1">SUM(BT6:BT63)+SUM(BT75:BT116)</f>
        <v>252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252</v>
      </c>
      <c r="DN66" s="41">
        <f ca="1">BE66</f>
        <v>336</v>
      </c>
      <c r="DP66" s="41">
        <f ca="1">BJ66</f>
        <v>336</v>
      </c>
      <c r="DR66" s="41">
        <f ca="1">BO66</f>
        <v>252</v>
      </c>
      <c r="DT66" s="41">
        <f ca="1">BT66</f>
        <v>252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12</v>
      </c>
      <c r="BE67" s="41">
        <f ca="1">COUNT(BE6:BE62)+COUNT(BE75:BE116)</f>
        <v>16</v>
      </c>
      <c r="BJ67" s="41">
        <f ca="1">COUNT(BJ6:BJ62)+COUNT(BJ75:BJ116)</f>
        <v>16</v>
      </c>
      <c r="BO67" s="41">
        <f ca="1">COUNT(BO6:BO62)+COUNT(BO75:BO116)</f>
        <v>12</v>
      </c>
      <c r="BT67" s="41">
        <f ca="1">COUNT(BT6:BT62)+COUNT(BT75:BT116)</f>
        <v>12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12</v>
      </c>
      <c r="DM67" s="61"/>
      <c r="DN67" s="61">
        <f ca="1">BE67</f>
        <v>16</v>
      </c>
      <c r="DO67" s="61"/>
      <c r="DP67" s="61">
        <f ca="1">BJ67</f>
        <v>16</v>
      </c>
      <c r="DQ67" s="61"/>
      <c r="DR67" s="61">
        <f ca="1">BO67</f>
        <v>12</v>
      </c>
      <c r="DS67" s="61"/>
      <c r="DT67" s="61">
        <f ca="1">BT67</f>
        <v>12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>
        <f ca="1">VLOOKUP(DL67,$EQ$9:$EU$14,5,FALSE())-DL66</f>
        <v>0</v>
      </c>
      <c r="DM68" s="57"/>
      <c r="DN68" s="63">
        <f ca="1">VLOOKUP(DN67,$EQ$9:$EU$14,5,FALSE())-DN66</f>
        <v>0</v>
      </c>
      <c r="DO68" s="57"/>
      <c r="DP68" s="63">
        <f ca="1">VLOOKUP(DP67,$EQ$9:$EU$14,5,FALSE())-DP66</f>
        <v>0</v>
      </c>
      <c r="DQ68" s="57"/>
      <c r="DR68" s="63">
        <f ca="1">VLOOKUP(DR67,$EQ$9:$EU$14,5,FALSE())-DR66</f>
        <v>0</v>
      </c>
      <c r="DS68" s="57"/>
      <c r="DT68" s="63">
        <f ca="1">VLOOKUP(DT67,$EQ$9:$EU$14,5,FALSE())-DT66</f>
        <v>0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76" t="s">
        <v>0</v>
      </c>
    </row>
    <row r="71" spans="2:134" x14ac:dyDescent="0.2">
      <c r="E71" s="64" t="s">
        <v>138</v>
      </c>
      <c r="F71" s="176"/>
      <c r="CS71" s="65"/>
    </row>
    <row r="72" spans="2:134" x14ac:dyDescent="0.2">
      <c r="E72" s="54"/>
      <c r="F72" s="176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76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77">
        <v>1</v>
      </c>
      <c r="CT73" s="177"/>
      <c r="CU73" s="184">
        <f>CS73+1</f>
        <v>2</v>
      </c>
      <c r="CV73" s="184"/>
      <c r="CW73" s="177">
        <f>CU73+1</f>
        <v>3</v>
      </c>
      <c r="CX73" s="177"/>
      <c r="CY73" s="177">
        <f>CW73+1</f>
        <v>4</v>
      </c>
      <c r="CZ73" s="177"/>
      <c r="DA73" s="177">
        <f>CY73+1</f>
        <v>5</v>
      </c>
      <c r="DB73" s="177"/>
      <c r="DC73" s="177">
        <f>DA73+1</f>
        <v>6</v>
      </c>
      <c r="DD73" s="177"/>
      <c r="DE73" s="177">
        <f>DC73+1</f>
        <v>7</v>
      </c>
      <c r="DF73" s="177"/>
      <c r="DG73" s="177">
        <f>DE73+1</f>
        <v>8</v>
      </c>
      <c r="DH73" s="177"/>
      <c r="DI73" s="177">
        <f>DG73+1</f>
        <v>9</v>
      </c>
      <c r="DJ73" s="177"/>
      <c r="DK73" s="177">
        <f>DI73+1</f>
        <v>10</v>
      </c>
      <c r="DL73" s="177"/>
      <c r="DM73" s="177">
        <f>DK73+1</f>
        <v>11</v>
      </c>
      <c r="DN73" s="177"/>
      <c r="DO73" s="177">
        <f>DM73+1</f>
        <v>12</v>
      </c>
      <c r="DP73" s="177"/>
      <c r="DQ73" s="177">
        <f>DO73+1</f>
        <v>13</v>
      </c>
      <c r="DR73" s="177"/>
      <c r="DS73" s="177">
        <f>DQ73+1</f>
        <v>14</v>
      </c>
      <c r="DT73" s="177"/>
      <c r="DU73" s="177">
        <f>DS73+1</f>
        <v>15</v>
      </c>
      <c r="DV73" s="177"/>
      <c r="DW73" s="177">
        <f>DU73+1</f>
        <v>16</v>
      </c>
      <c r="DX73" s="177"/>
      <c r="DY73" s="177">
        <f>DW73+1</f>
        <v>17</v>
      </c>
      <c r="DZ73" s="177"/>
      <c r="EA73" s="177">
        <f>DY73+1</f>
        <v>18</v>
      </c>
      <c r="EB73" s="177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80" t="s">
        <v>36</v>
      </c>
      <c r="CT74" s="180"/>
      <c r="CU74" s="9" t="s">
        <v>37</v>
      </c>
      <c r="CV74" s="9"/>
      <c r="CW74" s="180" t="s">
        <v>38</v>
      </c>
      <c r="CX74" s="180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191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6" ca="1" si="2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161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162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158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161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162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67">
        <f ca="1">_xlfn.RANK.EQ(C81,$C$73:$C$116,)</f>
        <v>3</v>
      </c>
      <c r="C81" s="68">
        <f ca="1">EC81</f>
        <v>27</v>
      </c>
      <c r="D81" s="68" t="s">
        <v>169</v>
      </c>
      <c r="E81" s="69" t="s">
        <v>355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 t="str">
        <f ca="1">IF(DD81=0,"",DD81)</f>
        <v/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>
        <f ca="1">IF(DP81=0,"",DP81)</f>
        <v>27</v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/>
      <c r="DD81" s="18" t="str">
        <f ca="1">IFERROR(DD82+DD83,"")</f>
        <v/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>
        <v>75</v>
      </c>
      <c r="DP81" s="18">
        <f ca="1">IFERROR(DP82+DP83,"")</f>
        <v>27</v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27</v>
      </c>
      <c r="ED81" s="19">
        <f t="shared" ca="1" si="2"/>
        <v>27</v>
      </c>
    </row>
    <row r="82" spans="2:134" outlineLevel="1" x14ac:dyDescent="0.2">
      <c r="B82" s="71">
        <f>B80+0.027</f>
        <v>0.29340000000000005</v>
      </c>
      <c r="C82" s="67"/>
      <c r="D82" s="67" t="s">
        <v>170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 t="str">
        <f>IF(DC82=0,"",DC82)</f>
        <v/>
      </c>
      <c r="AH82" s="21"/>
      <c r="AI82" s="47" t="str">
        <f>IFERROR(RANK(AG82,AG$6:AG$116,0),"")</f>
        <v/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>
        <f>IF(DO82=0,"",DO82)</f>
        <v>33</v>
      </c>
      <c r="BL82" s="21"/>
      <c r="BM82" s="47">
        <f>IFERROR(RANK(BK82,BK$6:BK$116,0),"")</f>
        <v>6</v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/>
      <c r="DD82" s="22" t="str">
        <f ca="1">IFERROR(AVERAGE(OFFSET('Data - For Rank'!G$2,AI82,0,COUNTIF(AI$7:AI$116,AI82)))+IFERROR(VLOOKUP((COUNT(AG$6:AG$116)/4),$ER$9:$ES$13,2,FALSE()),0),"")</f>
        <v/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>
        <v>33</v>
      </c>
      <c r="DP82" s="22">
        <f ca="1">IFERROR(AVERAGE(OFFSET('Data - For Rank'!$M$2,BM82,0,COUNTIF(BM$7:BM$116,BM82)))+IFERROR(VLOOKUP((COUNT(BK$6:BK$116)/4),$ER$9:$ES$13,2,FALSE()),0),"")</f>
        <v>12</v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33</v>
      </c>
      <c r="ED82" s="19">
        <f t="shared" ca="1" si="2"/>
        <v>12</v>
      </c>
    </row>
    <row r="83" spans="2:134" outlineLevel="1" x14ac:dyDescent="0.2">
      <c r="B83" s="74">
        <f>B82+0.17</f>
        <v>0.46340000000000003</v>
      </c>
      <c r="C83" s="67"/>
      <c r="D83" s="67" t="s">
        <v>171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 t="str">
        <f>IF(DC83=0,"",DC83)</f>
        <v/>
      </c>
      <c r="AI83" s="50"/>
      <c r="AJ83" s="51" t="str">
        <f>IFERROR(_xlfn.RANK.EQ(AH83,AH$6:AH$116,0),"")</f>
        <v/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>
        <f>IF(DO83=0,"",DO83)</f>
        <v>11</v>
      </c>
      <c r="BM83" s="50"/>
      <c r="BN83" s="51">
        <f>IFERROR(_xlfn.RANK.EQ(BL83,BL$6:BL$116,0),"")</f>
        <v>4</v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/>
      <c r="DD83" s="28" t="str">
        <f ca="1">IFERROR(AVERAGE(OFFSET('Data - For Rank'!G$2,AJ83,0,COUNTIF(AJ$6:AJ$116,AJ83)))+IFERROR(VLOOKUP((COUNT(AH$6:AH$116)/4),$ER$9:$ES$13,2,FALSE()),0),"")</f>
        <v/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>
        <v>11</v>
      </c>
      <c r="DP83" s="28">
        <f ca="1">IFERROR(AVERAGE(OFFSET('Data - For Rank'!$M$2,BN83,0,COUNTIF(BN$6:BN$116,BN83)))+IFERROR(VLOOKUP((COUNT(BL$6:BL$116)/4),$ER$9:$ES$13,2,FALSE()),0),"")</f>
        <v>15</v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11</v>
      </c>
      <c r="ED83" s="30">
        <f t="shared" ca="1" si="2"/>
        <v>15</v>
      </c>
    </row>
    <row r="84" spans="2:134" x14ac:dyDescent="0.2">
      <c r="B84" s="67">
        <f ca="1">_xlfn.RANK.EQ(C84,$C$73:$C$116,)</f>
        <v>4</v>
      </c>
      <c r="C84" s="68">
        <f ca="1">EC84</f>
        <v>26</v>
      </c>
      <c r="D84" s="68" t="s">
        <v>157</v>
      </c>
      <c r="E84" s="191" t="s">
        <v>353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 t="str">
        <f ca="1">IF(DH84=0,"",DH84)</f>
        <v/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>
        <f ca="1">IF(DN84=0,"",DN84)</f>
        <v>26</v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/>
      <c r="DH84" s="18" t="str">
        <f ca="1">IFERROR(DH85+DH86,"")</f>
        <v/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>
        <v>76</v>
      </c>
      <c r="DN84" s="18">
        <f ca="1">IFERROR(DN85+DN86,"")</f>
        <v>26</v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26</v>
      </c>
      <c r="ED84" s="19">
        <f t="shared" ca="1" si="2"/>
        <v>26</v>
      </c>
    </row>
    <row r="85" spans="2:134" outlineLevel="1" x14ac:dyDescent="0.2">
      <c r="B85" s="71">
        <f>B83+0.0212</f>
        <v>0.48460000000000003</v>
      </c>
      <c r="C85" s="67"/>
      <c r="D85" s="67" t="s">
        <v>158</v>
      </c>
      <c r="E85" s="161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 t="str">
        <f>IF(DG85=0,"",DG85)</f>
        <v/>
      </c>
      <c r="AR85" s="21"/>
      <c r="AS85" s="47" t="str">
        <f>IFERROR(RANK(AQ85,AQ$6:AQ$116,0),"")</f>
        <v/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>
        <f>IF(DM85=0,"",DM85)</f>
        <v>38</v>
      </c>
      <c r="BG85" s="21"/>
      <c r="BH85" s="47">
        <f>IFERROR(RANK(BF85,BF$6:BF$116,0),"")</f>
        <v>4</v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/>
      <c r="DH85" s="22" t="str">
        <f ca="1">IFERROR(AVERAGE(OFFSET('Data - For Rank'!$I$2,AS85,0,COUNTIF(AS$7:AS$116,AS85)))+IFERROR(VLOOKUP((COUNT(AQ$6:AQ$116)/4),$ER$9:$ES$13,2,FALSE()),0),"")</f>
        <v/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>
        <v>38</v>
      </c>
      <c r="DN85" s="22">
        <f ca="1">IFERROR(AVERAGE(OFFSET('Data - For Rank'!$L$2,BH85,0,COUNTIF(BH$7:BH$116,BH85)))+IFERROR(VLOOKUP((COUNT(BF$6:BF$116)/4),$ER$9:$ES$13,2,FALSE()),0),"")</f>
        <v>15</v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38</v>
      </c>
      <c r="ED85" s="19">
        <f t="shared" ca="1" si="2"/>
        <v>15</v>
      </c>
    </row>
    <row r="86" spans="2:134" outlineLevel="1" x14ac:dyDescent="0.2">
      <c r="B86" s="74">
        <f>B85+0.112</f>
        <v>0.59660000000000002</v>
      </c>
      <c r="C86" s="67"/>
      <c r="D86" s="67" t="s">
        <v>159</v>
      </c>
      <c r="E86" s="162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 t="str">
        <f>IF(DG86=0,"",DG86)</f>
        <v/>
      </c>
      <c r="AS86" s="50"/>
      <c r="AT86" s="51" t="str">
        <f>IFERROR(_xlfn.RANK.EQ(AR86,AR$6:AR$116,0),"")</f>
        <v/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>
        <f>IF(DM86=0,"",DM86)</f>
        <v>4</v>
      </c>
      <c r="BH86" s="50"/>
      <c r="BI86" s="51">
        <f>IFERROR(_xlfn.RANK.EQ(BG86,BG$6:BG$116,0),"")</f>
        <v>8</v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/>
      <c r="DH86" s="28" t="str">
        <f ca="1">IFERROR(AVERAGE(OFFSET('Data - For Rank'!$I$2,AT86,0,COUNTIF(AT$6:AT$116,AT86)))+IFERROR(VLOOKUP((COUNT(AR$6:AR$116)/4),$ER$9:$ES$13,2,FALSE()),0),"")</f>
        <v/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>
        <v>4</v>
      </c>
      <c r="DN86" s="28">
        <f ca="1">IFERROR(AVERAGE(OFFSET('Data - For Rank'!$L$2,BI86,0,COUNTIF(BI$6:BI$116,BI86)))+IFERROR(VLOOKUP((COUNT(BG$6:BG$116)/4),$ER$9:$ES$13,2,FALSE()),0),"")</f>
        <v>11</v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4</v>
      </c>
      <c r="ED86" s="30">
        <f t="shared" ca="1" si="2"/>
        <v>11</v>
      </c>
    </row>
    <row r="87" spans="2:134" x14ac:dyDescent="0.2">
      <c r="B87" s="67">
        <f ca="1">_xlfn.RANK.EQ(C87,$C$73:$C$116,)</f>
        <v>4</v>
      </c>
      <c r="C87" s="68">
        <f ca="1">EC87</f>
        <v>26</v>
      </c>
      <c r="D87" s="68" t="s">
        <v>160</v>
      </c>
      <c r="E87" s="158" t="s">
        <v>352</v>
      </c>
      <c r="F87" s="70">
        <f ca="1">COUNT(CT87,CV87,CX87,CZ87,DB87,DD87,DF87,DH87,DJ87,DL87,DN87,DP87,DR87,DT87,DV87,DX87,DZ87,EB87)</f>
        <v>1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>
        <f ca="1">IF(DN87=0,"",DN87)</f>
        <v>26</v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>
        <v>69</v>
      </c>
      <c r="DN87" s="18">
        <f ca="1">IFERROR(DN88+DN89,"")</f>
        <v>26</v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26</v>
      </c>
      <c r="ED87" s="19">
        <f t="shared" ca="1" si="2"/>
        <v>26</v>
      </c>
    </row>
    <row r="88" spans="2:134" outlineLevel="1" x14ac:dyDescent="0.2">
      <c r="B88" s="71">
        <f>B86+0.0211</f>
        <v>0.61770000000000003</v>
      </c>
      <c r="C88" s="67"/>
      <c r="D88" s="67" t="s">
        <v>161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>
        <f>IF(DM88=0,"",DM88)</f>
        <v>36</v>
      </c>
      <c r="BG88" s="21"/>
      <c r="BH88" s="47">
        <f>IFERROR(RANK(BF88,BF$6:BF$116,0),"")</f>
        <v>6</v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>
        <v>36</v>
      </c>
      <c r="DN88" s="22">
        <f ca="1">IFERROR(AVERAGE(OFFSET('Data - For Rank'!$L$2,BH88,0,COUNTIF(BH$7:BH$116,BH88)))+IFERROR(VLOOKUP((COUNT(BF$6:BF$116)/4),$ER$9:$ES$13,2,FALSE()),0),"")</f>
        <v>11.5</v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36</v>
      </c>
      <c r="ED88" s="19">
        <f t="shared" ca="1" si="2"/>
        <v>11.5</v>
      </c>
    </row>
    <row r="89" spans="2:134" outlineLevel="1" x14ac:dyDescent="0.2">
      <c r="B89" s="74">
        <f>B88+0.111</f>
        <v>0.72870000000000001</v>
      </c>
      <c r="C89" s="67"/>
      <c r="D89" s="67" t="s">
        <v>162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>
        <f>IF(DM89=0,"",DM89)</f>
        <v>14</v>
      </c>
      <c r="BH89" s="50"/>
      <c r="BI89" s="51">
        <f>IFERROR(_xlfn.RANK.EQ(BG89,BG$6:BG$116,0),"")</f>
        <v>4</v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>
        <v>14</v>
      </c>
      <c r="DN89" s="28">
        <f ca="1">IFERROR(AVERAGE(OFFSET('Data - For Rank'!$L$2,BI89,0,COUNTIF(BI$6:BI$116,BI89)))+IFERROR(VLOOKUP((COUNT(BG$6:BG$116)/4),$ER$9:$ES$13,2,FALSE()),0),"")</f>
        <v>14.5</v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14</v>
      </c>
      <c r="ED89" s="30">
        <f t="shared" ca="1" si="2"/>
        <v>14.5</v>
      </c>
    </row>
    <row r="90" spans="2:134" x14ac:dyDescent="0.2">
      <c r="B90" s="67">
        <f ca="1">_xlfn.RANK.EQ(C90,$C$73:$C$116,)</f>
        <v>6</v>
      </c>
      <c r="C90" s="68">
        <f ca="1">EC90</f>
        <v>23</v>
      </c>
      <c r="D90" s="68" t="s">
        <v>149</v>
      </c>
      <c r="E90" s="158" t="s">
        <v>150</v>
      </c>
      <c r="F90" s="70">
        <f ca="1">COUNT(CT90,CV90,CX90,CZ90,DB90,DD90,DF90,DH90,DJ90,DL90,DN90,DP90,DR90,DT90,DV90,DX90,DZ90,EB90)</f>
        <v>1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>
        <f ca="1">IF(DD90=0,"",DD90)</f>
        <v>23</v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>
        <v>92</v>
      </c>
      <c r="DD90" s="18">
        <f ca="1">IFERROR(DD91+DD92,"")</f>
        <v>23</v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23</v>
      </c>
      <c r="ED90" s="19">
        <f t="shared" ca="1" si="2"/>
        <v>23</v>
      </c>
    </row>
    <row r="91" spans="2:134" outlineLevel="1" x14ac:dyDescent="0.2">
      <c r="B91" s="71">
        <f>B89+0.2215</f>
        <v>0.95020000000000004</v>
      </c>
      <c r="C91" s="67"/>
      <c r="D91" s="67" t="s">
        <v>151</v>
      </c>
      <c r="E91" s="161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>
        <f>IF(DC91=0,"",DC91)</f>
        <v>35</v>
      </c>
      <c r="AH91" s="21"/>
      <c r="AI91" s="47">
        <f>IFERROR(RANK(AG91,AG$6:AG$116,0),"")</f>
        <v>5</v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>
        <v>35</v>
      </c>
      <c r="DD91" s="22">
        <f ca="1">IFERROR(AVERAGE(OFFSET('Data - For Rank'!G$2,AI91,0,COUNTIF(AI$7:AI$116,AI91)))+IFERROR(VLOOKUP((COUNT(AG$6:AG$116)/4),$ER$9:$ES$13,2,FALSE()),0),"")</f>
        <v>13.5</v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35</v>
      </c>
      <c r="ED91" s="19">
        <f t="shared" ca="1" si="2"/>
        <v>13.5</v>
      </c>
    </row>
    <row r="92" spans="2:134" outlineLevel="1" x14ac:dyDescent="0.2">
      <c r="B92" s="74">
        <f>B91+0.115</f>
        <v>1.0652000000000001</v>
      </c>
      <c r="C92" s="67"/>
      <c r="D92" s="67" t="s">
        <v>152</v>
      </c>
      <c r="E92" s="162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>
        <f>IF(DC92=0,"",DC92)</f>
        <v>-1E-3</v>
      </c>
      <c r="AI92" s="50"/>
      <c r="AJ92" s="51">
        <f>IFERROR(_xlfn.RANK.EQ(AH92,AH$6:AH$116,0),"")</f>
        <v>8</v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>
        <v>-1E-3</v>
      </c>
      <c r="DD92" s="28">
        <f ca="1">IFERROR(AVERAGE(OFFSET('Data - For Rank'!G$2,AJ92,0,COUNTIF(AJ$6:AJ$116,AJ92)))+IFERROR(VLOOKUP((COUNT(AH$6:AH$116)/4),$ER$9:$ES$13,2,FALSE()),0),"")</f>
        <v>9.5</v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-1E-3</v>
      </c>
      <c r="ED92" s="30">
        <f t="shared" ca="1" si="2"/>
        <v>9.5</v>
      </c>
    </row>
    <row r="93" spans="2:134" x14ac:dyDescent="0.2">
      <c r="B93" s="67">
        <f ca="1">_xlfn.RANK.EQ(C93,$C$73:$C$116,)</f>
        <v>7</v>
      </c>
      <c r="C93" s="68">
        <f ca="1">EC93</f>
        <v>21.5</v>
      </c>
      <c r="D93" s="68" t="s">
        <v>163</v>
      </c>
      <c r="E93" s="69" t="s">
        <v>358</v>
      </c>
      <c r="F93" s="70">
        <f ca="1">COUNT(CT93,CV93,CX93,CZ93,DB93,DD93,DF93,DH93,DJ93,DL93,DN93,DP93,DR93,DT93,DV93,DX93,DZ93,EB93)</f>
        <v>1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>
        <f ca="1">IF(DP93=0,"",DP93)</f>
        <v>21.5</v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>
        <v>68</v>
      </c>
      <c r="DP93" s="18">
        <f ca="1">IFERROR(DP94+DP95,"")</f>
        <v>21.5</v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21.5</v>
      </c>
      <c r="ED93" s="19">
        <f t="shared" ca="1" si="2"/>
        <v>21.5</v>
      </c>
    </row>
    <row r="94" spans="2:134" outlineLevel="1" x14ac:dyDescent="0.2">
      <c r="B94" s="71">
        <f>B92+0.029</f>
        <v>1.0942000000000001</v>
      </c>
      <c r="C94" s="67"/>
      <c r="D94" s="67" t="s">
        <v>164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>
        <f>IF(DO94=0,"",DO94)</f>
        <v>33</v>
      </c>
      <c r="BL94" s="21"/>
      <c r="BM94" s="47">
        <f>IFERROR(RANK(BK94,BK$6:BK$116,0),"")</f>
        <v>6</v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>
        <v>33</v>
      </c>
      <c r="DP94" s="22">
        <f ca="1">IFERROR(AVERAGE(OFFSET('Data - For Rank'!$M$2,BM94,0,COUNTIF(BM$7:BM$116,BM94)))+IFERROR(VLOOKUP((COUNT(BK$6:BK$116)/4),$ER$9:$ES$13,2,FALSE()),0),"")</f>
        <v>12</v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33</v>
      </c>
      <c r="ED94" s="19">
        <f t="shared" ca="1" si="2"/>
        <v>12</v>
      </c>
    </row>
    <row r="95" spans="2:134" outlineLevel="1" x14ac:dyDescent="0.2">
      <c r="B95" s="74">
        <f>B94+0.19</f>
        <v>1.2842</v>
      </c>
      <c r="C95" s="67"/>
      <c r="D95" s="67" t="s">
        <v>165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>
        <f>IF(DO95=0,"",DO95)</f>
        <v>-1</v>
      </c>
      <c r="BM95" s="50"/>
      <c r="BN95" s="51">
        <f>IFERROR(_xlfn.RANK.EQ(BL95,BL$6:BL$116,0),"")</f>
        <v>9</v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>
        <v>-1</v>
      </c>
      <c r="DP95" s="28">
        <f ca="1">IFERROR(AVERAGE(OFFSET('Data - For Rank'!$M$2,BN95,0,COUNTIF(BN$6:BN$116,BN95)))+IFERROR(VLOOKUP((COUNT(BL$6:BL$116)/4),$ER$9:$ES$13,2,FALSE()),0),"")</f>
        <v>9.5</v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-1</v>
      </c>
      <c r="ED95" s="30">
        <f t="shared" ca="1" si="2"/>
        <v>9.5</v>
      </c>
    </row>
    <row r="96" spans="2:134" x14ac:dyDescent="0.2">
      <c r="B96" s="67">
        <f ca="1">_xlfn.RANK.EQ(C96,$C$73:$C$116,)</f>
        <v>8</v>
      </c>
      <c r="C96" s="68">
        <f ca="1">EC96</f>
        <v>16.5</v>
      </c>
      <c r="D96" s="68" t="s">
        <v>153</v>
      </c>
      <c r="E96" s="158" t="s">
        <v>154</v>
      </c>
      <c r="F96" s="70">
        <f ca="1">COUNT(CT96,CV96,CX96,CZ96,DB96,DD96,DF96,DH96,DJ96,DL96,DN96,DP96,DR96,DT96,DV96,DX96,DZ96,EB96)</f>
        <v>1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>
        <f ca="1">IF(DH96=0,"",DH96)</f>
        <v>16.5</v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>
        <v>95</v>
      </c>
      <c r="DH96" s="18">
        <f ca="1">IFERROR(DH97+DH98,"")</f>
        <v>16.5</v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16.5</v>
      </c>
      <c r="ED96" s="19">
        <f t="shared" ca="1" si="2"/>
        <v>16.5</v>
      </c>
    </row>
    <row r="97" spans="2:134" outlineLevel="1" x14ac:dyDescent="0.2">
      <c r="B97" s="71">
        <f>B95+0.0213</f>
        <v>1.3055000000000001</v>
      </c>
      <c r="C97" s="67"/>
      <c r="D97" s="67" t="s">
        <v>155</v>
      </c>
      <c r="E97" s="161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>
        <f>IF(DG97=0,"",DG97)</f>
        <v>33</v>
      </c>
      <c r="AR97" s="21"/>
      <c r="AS97" s="47">
        <f>IFERROR(RANK(AQ97,AQ$6:AQ$116,0),"")</f>
        <v>7</v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>
        <v>33</v>
      </c>
      <c r="DH97" s="22">
        <f ca="1">IFERROR(AVERAGE(OFFSET('Data - For Rank'!$I$2,AS97,0,COUNTIF(AS$7:AS$116,AS97)))+IFERROR(VLOOKUP((COUNT(AQ$6:AQ$116)/4),$ER$9:$ES$13,2,FALSE()),0),"")</f>
        <v>11.5</v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33</v>
      </c>
      <c r="ED97" s="19">
        <f t="shared" ca="1" si="2"/>
        <v>11.5</v>
      </c>
    </row>
    <row r="98" spans="2:134" outlineLevel="1" x14ac:dyDescent="0.2">
      <c r="B98" s="74">
        <f>B97+0.113</f>
        <v>1.4185000000000001</v>
      </c>
      <c r="C98" s="67"/>
      <c r="D98" s="67" t="s">
        <v>156</v>
      </c>
      <c r="E98" s="162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>
        <f>IF(DG98=0,"",DG98)</f>
        <v>-18</v>
      </c>
      <c r="AS98" s="50"/>
      <c r="AT98" s="51">
        <f>IFERROR(_xlfn.RANK.EQ(AR98,AR$6:AR$116,0),"")</f>
        <v>14</v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>
        <v>-18</v>
      </c>
      <c r="DH98" s="28">
        <f ca="1">IFERROR(AVERAGE(OFFSET('Data - For Rank'!$I$2,AT98,0,COUNTIF(AT$6:AT$116,AT98)))+IFERROR(VLOOKUP((COUNT(AR$6:AR$116)/4),$ER$9:$ES$13,2,FALSE()),0),"")</f>
        <v>5</v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-18</v>
      </c>
      <c r="ED98" s="30">
        <f t="shared" ca="1" si="2"/>
        <v>5</v>
      </c>
    </row>
    <row r="99" spans="2:134" ht="15.75" customHeight="1" x14ac:dyDescent="0.2">
      <c r="B99" s="67">
        <f ca="1">_xlfn.RANK.EQ(C99,$C$73:$C$116,)</f>
        <v>9</v>
      </c>
      <c r="C99" s="68">
        <f ca="1">EC99</f>
        <v>13.5</v>
      </c>
      <c r="D99" s="68" t="s">
        <v>166</v>
      </c>
      <c r="E99" s="69" t="s">
        <v>359</v>
      </c>
      <c r="F99" s="70">
        <f ca="1">COUNT(CT99,CV99,CX99,CZ99,DB99,DD99,DF99,DH99,DJ99,DL99,DN99,DP99,DR99,DT99,DV99,DX99,DZ99,EB99)</f>
        <v>1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>
        <f ca="1">IF(DP99=0,"",DP99)</f>
        <v>13.5</v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>
        <v>86</v>
      </c>
      <c r="DP99" s="18">
        <f ca="1">IFERROR(DP100+DP101,"")</f>
        <v>13.5</v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13.5</v>
      </c>
      <c r="ED99" s="19">
        <f t="shared" ca="1" si="2"/>
        <v>13.5</v>
      </c>
    </row>
    <row r="100" spans="2:134" outlineLevel="1" x14ac:dyDescent="0.2">
      <c r="B100" s="71">
        <f>B98+0.08</f>
        <v>1.4985000000000002</v>
      </c>
      <c r="C100" s="67"/>
      <c r="D100" s="67" t="s">
        <v>167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>
        <f>IF(DO100=0,"",DO100)</f>
        <v>31</v>
      </c>
      <c r="BL100" s="21"/>
      <c r="BM100" s="47">
        <f>IFERROR(RANK(BK100,BK$6:BK$116,0),"")</f>
        <v>11</v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>
        <v>31</v>
      </c>
      <c r="DP100" s="22">
        <f ca="1">IFERROR(AVERAGE(OFFSET('Data - For Rank'!$M$2,BM100,0,COUNTIF(BM$7:BM$116,BM100)))+IFERROR(VLOOKUP((COUNT(BK$6:BK$116)/4),$ER$9:$ES$13,2,FALSE()),0),"")</f>
        <v>7.5</v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31</v>
      </c>
      <c r="ED100" s="19">
        <f t="shared" ca="1" si="2"/>
        <v>7.5</v>
      </c>
    </row>
    <row r="101" spans="2:134" outlineLevel="1" x14ac:dyDescent="0.2">
      <c r="B101" s="74">
        <f>B100+0.18</f>
        <v>1.6785000000000001</v>
      </c>
      <c r="C101" s="67"/>
      <c r="D101" s="67" t="s">
        <v>168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>
        <f>IF(DO101=0,"",DO101)</f>
        <v>-8</v>
      </c>
      <c r="BM101" s="50"/>
      <c r="BN101" s="51">
        <f>IFERROR(_xlfn.RANK.EQ(BL101,BL$6:BL$116,0),"")</f>
        <v>13</v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>
        <v>-8</v>
      </c>
      <c r="DP101" s="28">
        <f ca="1">IFERROR(AVERAGE(OFFSET('Data - For Rank'!$M$2,BN101,0,COUNTIF(BN$6:BN$116,BN101)))+IFERROR(VLOOKUP((COUNT(BL$6:BL$116)/4),$ER$9:$ES$13,2,FALSE()),0),"")</f>
        <v>6</v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-8</v>
      </c>
      <c r="ED101" s="30">
        <f t="shared" ca="1" si="2"/>
        <v>6</v>
      </c>
    </row>
    <row r="102" spans="2:134" x14ac:dyDescent="0.2">
      <c r="B102" s="67">
        <f ca="1">_xlfn.RANK.EQ(C102,$C$73:$C$116,)</f>
        <v>10</v>
      </c>
      <c r="C102" s="68">
        <f ca="1">EC102</f>
        <v>0</v>
      </c>
      <c r="D102" s="68" t="s">
        <v>172</v>
      </c>
      <c r="E102" s="69" t="s">
        <v>172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71">
        <f>B101+0.026</f>
        <v>1.7045000000000001</v>
      </c>
      <c r="C103" s="67"/>
      <c r="D103" s="67" t="s">
        <v>173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74">
        <f>B103+0.16</f>
        <v>1.8645</v>
      </c>
      <c r="C104" s="67"/>
      <c r="D104" s="67" t="s">
        <v>174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67">
        <f ca="1">_xlfn.RANK.EQ(C105,$C$73:$C$116,)</f>
        <v>10</v>
      </c>
      <c r="C105" s="68">
        <f ca="1">EC105</f>
        <v>0</v>
      </c>
      <c r="D105" s="68" t="s">
        <v>175</v>
      </c>
      <c r="E105" s="69" t="s">
        <v>175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71">
        <f>B104+0.025</f>
        <v>1.8895</v>
      </c>
      <c r="C106" s="67"/>
      <c r="D106" s="67" t="s">
        <v>176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74">
        <f>B106+0.15</f>
        <v>2.0394999999999999</v>
      </c>
      <c r="C107" s="67"/>
      <c r="D107" s="67" t="s">
        <v>177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67">
        <f ca="1">_xlfn.RANK.EQ(C108,$C$73:$C$116,)</f>
        <v>10</v>
      </c>
      <c r="C108" s="68">
        <f ca="1">EC108</f>
        <v>0</v>
      </c>
      <c r="D108" s="68" t="s">
        <v>178</v>
      </c>
      <c r="E108" s="69" t="s">
        <v>178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71">
        <f>B107+0.024</f>
        <v>2.0634999999999999</v>
      </c>
      <c r="C109" s="67"/>
      <c r="D109" s="67" t="s">
        <v>179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74">
        <f>B109+0.14</f>
        <v>2.2035</v>
      </c>
      <c r="C110" s="67"/>
      <c r="D110" s="67" t="s">
        <v>180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67">
        <f ca="1">_xlfn.RANK.EQ(C111,$C$73:$C$116,)</f>
        <v>10</v>
      </c>
      <c r="C111" s="68">
        <f ca="1">EC111</f>
        <v>0</v>
      </c>
      <c r="D111" s="68" t="s">
        <v>181</v>
      </c>
      <c r="E111" s="69" t="s">
        <v>181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71">
        <f>B110+0.023</f>
        <v>2.2265000000000001</v>
      </c>
      <c r="C112" s="67"/>
      <c r="D112" s="67" t="s">
        <v>182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74">
        <f>B112+0.13</f>
        <v>2.3565</v>
      </c>
      <c r="C113" s="67"/>
      <c r="D113" s="67" t="s">
        <v>183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67">
        <f ca="1">_xlfn.RANK.EQ(C114,$C$73:$C$116,)</f>
        <v>10</v>
      </c>
      <c r="C114" s="68">
        <f ca="1">EC114</f>
        <v>0</v>
      </c>
      <c r="D114" s="68" t="s">
        <v>184</v>
      </c>
      <c r="E114" s="69" t="s">
        <v>184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71">
        <f>B113+0.022</f>
        <v>2.3784999999999998</v>
      </c>
      <c r="C115" s="67"/>
      <c r="D115" s="67" t="s">
        <v>185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ca="1" si="2"/>
        <v>0</v>
      </c>
    </row>
    <row r="116" spans="2:134" outlineLevel="1" x14ac:dyDescent="0.2">
      <c r="B116" s="74">
        <f>B115+0.12</f>
        <v>2.4984999999999999</v>
      </c>
      <c r="C116" s="67"/>
      <c r="D116" s="67" t="s">
        <v>186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electLockedCells="1"/>
  <sortState xmlns:xlrd2="http://schemas.microsoft.com/office/spreadsheetml/2017/richdata2" ref="B6:ED62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5</xdr:col>
                    <xdr:colOff>76200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64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5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12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12</v>
      </c>
      <c r="L3" s="79">
        <f t="shared" ca="1" si="0"/>
        <v>16</v>
      </c>
      <c r="M3" s="79">
        <f t="shared" ca="1" si="0"/>
        <v>16</v>
      </c>
      <c r="N3" s="79">
        <f t="shared" ca="1" si="0"/>
        <v>12</v>
      </c>
      <c r="O3" s="79">
        <f t="shared" ca="1" si="0"/>
        <v>12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11</v>
      </c>
      <c r="L4" s="79">
        <f t="shared" ca="1" si="1"/>
        <v>15</v>
      </c>
      <c r="M4" s="79">
        <f t="shared" ca="1" si="1"/>
        <v>15</v>
      </c>
      <c r="N4" s="79">
        <f t="shared" ca="1" si="1"/>
        <v>11</v>
      </c>
      <c r="O4" s="79">
        <f t="shared" ca="1" si="1"/>
        <v>11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10</v>
      </c>
      <c r="L5" s="79">
        <f t="shared" ca="1" si="2"/>
        <v>14</v>
      </c>
      <c r="M5" s="79">
        <f t="shared" ca="1" si="2"/>
        <v>14</v>
      </c>
      <c r="N5" s="79">
        <f t="shared" ca="1" si="2"/>
        <v>10</v>
      </c>
      <c r="O5" s="79">
        <f t="shared" ca="1" si="2"/>
        <v>10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9</v>
      </c>
      <c r="L6" s="79">
        <f t="shared" ca="1" si="3"/>
        <v>13</v>
      </c>
      <c r="M6" s="79">
        <f t="shared" ca="1" si="3"/>
        <v>13</v>
      </c>
      <c r="N6" s="79">
        <f t="shared" ca="1" si="3"/>
        <v>9</v>
      </c>
      <c r="O6" s="79">
        <f t="shared" ca="1" si="3"/>
        <v>9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8</v>
      </c>
      <c r="L7" s="79">
        <f t="shared" ca="1" si="4"/>
        <v>12</v>
      </c>
      <c r="M7" s="79">
        <f t="shared" ca="1" si="4"/>
        <v>12</v>
      </c>
      <c r="N7" s="79">
        <f t="shared" ca="1" si="4"/>
        <v>8</v>
      </c>
      <c r="O7" s="79">
        <f t="shared" ca="1" si="4"/>
        <v>8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7</v>
      </c>
      <c r="L8" s="79">
        <f t="shared" ca="1" si="5"/>
        <v>11</v>
      </c>
      <c r="M8" s="79">
        <f t="shared" ca="1" si="5"/>
        <v>11</v>
      </c>
      <c r="N8" s="79">
        <f t="shared" ca="1" si="5"/>
        <v>7</v>
      </c>
      <c r="O8" s="79">
        <f t="shared" ca="1" si="5"/>
        <v>7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6</v>
      </c>
      <c r="L9" s="79">
        <f t="shared" ca="1" si="6"/>
        <v>10</v>
      </c>
      <c r="M9" s="79">
        <f t="shared" ca="1" si="6"/>
        <v>10</v>
      </c>
      <c r="N9" s="79">
        <f t="shared" ca="1" si="6"/>
        <v>6</v>
      </c>
      <c r="O9" s="79">
        <f t="shared" ca="1" si="6"/>
        <v>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5</v>
      </c>
      <c r="L10" s="79">
        <f t="shared" ca="1" si="7"/>
        <v>9</v>
      </c>
      <c r="M10" s="79">
        <f t="shared" ca="1" si="7"/>
        <v>9</v>
      </c>
      <c r="N10" s="79">
        <f t="shared" ca="1" si="7"/>
        <v>5</v>
      </c>
      <c r="O10" s="79">
        <f t="shared" ca="1" si="7"/>
        <v>5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4</v>
      </c>
      <c r="L11" s="79">
        <f t="shared" ca="1" si="8"/>
        <v>8</v>
      </c>
      <c r="M11" s="79">
        <f t="shared" ca="1" si="8"/>
        <v>8</v>
      </c>
      <c r="N11" s="79">
        <f t="shared" ca="1" si="8"/>
        <v>4</v>
      </c>
      <c r="O11" s="79">
        <f t="shared" ca="1" si="8"/>
        <v>4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3</v>
      </c>
      <c r="L12" s="79">
        <f t="shared" ca="1" si="9"/>
        <v>7</v>
      </c>
      <c r="M12" s="79">
        <f t="shared" ca="1" si="9"/>
        <v>7</v>
      </c>
      <c r="N12" s="79">
        <f t="shared" ca="1" si="9"/>
        <v>3</v>
      </c>
      <c r="O12" s="79">
        <f t="shared" ca="1" si="9"/>
        <v>3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2</v>
      </c>
      <c r="L13" s="79">
        <f t="shared" ca="1" si="10"/>
        <v>6</v>
      </c>
      <c r="M13" s="79">
        <f t="shared" ca="1" si="10"/>
        <v>6</v>
      </c>
      <c r="N13" s="79">
        <f t="shared" ca="1" si="10"/>
        <v>2</v>
      </c>
      <c r="O13" s="79">
        <f t="shared" ca="1" si="10"/>
        <v>2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1</v>
      </c>
      <c r="L14" s="79">
        <f t="shared" ca="1" si="11"/>
        <v>5</v>
      </c>
      <c r="M14" s="79">
        <f t="shared" ca="1" si="11"/>
        <v>5</v>
      </c>
      <c r="N14" s="79">
        <f t="shared" ca="1" si="11"/>
        <v>1</v>
      </c>
      <c r="O14" s="79">
        <f t="shared" ca="1" si="11"/>
        <v>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0</v>
      </c>
      <c r="L15" s="79">
        <f t="shared" ca="1" si="12"/>
        <v>4</v>
      </c>
      <c r="M15" s="79">
        <f t="shared" ca="1" si="12"/>
        <v>4</v>
      </c>
      <c r="N15" s="79">
        <f t="shared" ca="1" si="12"/>
        <v>0</v>
      </c>
      <c r="O15" s="79">
        <f t="shared" ca="1" si="12"/>
        <v>0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</v>
      </c>
      <c r="L16" s="79">
        <f t="shared" ca="1" si="13"/>
        <v>3</v>
      </c>
      <c r="M16" s="79">
        <f t="shared" ca="1" si="13"/>
        <v>3</v>
      </c>
      <c r="N16" s="79">
        <f t="shared" ca="1" si="13"/>
        <v>-1</v>
      </c>
      <c r="O16" s="79">
        <f t="shared" ca="1" si="13"/>
        <v>-1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-2</v>
      </c>
      <c r="L17" s="79">
        <f t="shared" ca="1" si="14"/>
        <v>2</v>
      </c>
      <c r="M17" s="79">
        <f t="shared" ca="1" si="14"/>
        <v>2</v>
      </c>
      <c r="N17" s="79">
        <f t="shared" ca="1" si="14"/>
        <v>-2</v>
      </c>
      <c r="O17" s="79">
        <f t="shared" ca="1" si="14"/>
        <v>-2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-3</v>
      </c>
      <c r="L18" s="79">
        <f t="shared" ca="1" si="15"/>
        <v>1</v>
      </c>
      <c r="M18" s="79">
        <f t="shared" ca="1" si="15"/>
        <v>1</v>
      </c>
      <c r="N18" s="79">
        <f t="shared" ca="1" si="15"/>
        <v>-3</v>
      </c>
      <c r="O18" s="79">
        <f t="shared" ca="1" si="15"/>
        <v>-3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-4</v>
      </c>
      <c r="L19" s="79">
        <f t="shared" ca="1" si="16"/>
        <v>0</v>
      </c>
      <c r="M19" s="79">
        <f t="shared" ca="1" si="16"/>
        <v>0</v>
      </c>
      <c r="N19" s="79">
        <f t="shared" ca="1" si="16"/>
        <v>-4</v>
      </c>
      <c r="O19" s="79">
        <f t="shared" ca="1" si="16"/>
        <v>-4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-5</v>
      </c>
      <c r="L20" s="79">
        <f t="shared" ca="1" si="17"/>
        <v>-1</v>
      </c>
      <c r="M20" s="79">
        <f t="shared" ca="1" si="17"/>
        <v>-1</v>
      </c>
      <c r="N20" s="79">
        <f t="shared" ca="1" si="17"/>
        <v>-5</v>
      </c>
      <c r="O20" s="79">
        <f t="shared" ca="1" si="17"/>
        <v>-5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-6</v>
      </c>
      <c r="L21" s="79">
        <f t="shared" ca="1" si="18"/>
        <v>-2</v>
      </c>
      <c r="M21" s="79">
        <f t="shared" ca="1" si="18"/>
        <v>-2</v>
      </c>
      <c r="N21" s="79">
        <f t="shared" ca="1" si="18"/>
        <v>-6</v>
      </c>
      <c r="O21" s="79">
        <f t="shared" ca="1" si="18"/>
        <v>-6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-7</v>
      </c>
      <c r="L22" s="79">
        <f t="shared" ca="1" si="19"/>
        <v>-3</v>
      </c>
      <c r="M22" s="79">
        <f t="shared" ca="1" si="19"/>
        <v>-3</v>
      </c>
      <c r="N22" s="79">
        <f t="shared" ca="1" si="19"/>
        <v>-7</v>
      </c>
      <c r="O22" s="79">
        <f t="shared" ca="1" si="19"/>
        <v>-7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-8</v>
      </c>
      <c r="L23" s="79">
        <f t="shared" ca="1" si="20"/>
        <v>-4</v>
      </c>
      <c r="M23" s="79">
        <f t="shared" ca="1" si="20"/>
        <v>-4</v>
      </c>
      <c r="N23" s="79">
        <f t="shared" ca="1" si="20"/>
        <v>-8</v>
      </c>
      <c r="O23" s="79">
        <f t="shared" ca="1" si="20"/>
        <v>-8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-9</v>
      </c>
      <c r="L24" s="79">
        <f t="shared" ca="1" si="21"/>
        <v>-5</v>
      </c>
      <c r="M24" s="79">
        <f t="shared" ca="1" si="21"/>
        <v>-5</v>
      </c>
      <c r="N24" s="79">
        <f t="shared" ca="1" si="21"/>
        <v>-9</v>
      </c>
      <c r="O24" s="79">
        <f t="shared" ca="1" si="21"/>
        <v>-9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-10</v>
      </c>
      <c r="L25" s="79">
        <f t="shared" ca="1" si="22"/>
        <v>-6</v>
      </c>
      <c r="M25" s="79">
        <f t="shared" ca="1" si="22"/>
        <v>-6</v>
      </c>
      <c r="N25" s="79">
        <f t="shared" ca="1" si="22"/>
        <v>-10</v>
      </c>
      <c r="O25" s="79">
        <f t="shared" ca="1" si="22"/>
        <v>-10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-11</v>
      </c>
      <c r="L26" s="79">
        <f t="shared" ca="1" si="23"/>
        <v>-7</v>
      </c>
      <c r="M26" s="79">
        <f t="shared" ca="1" si="23"/>
        <v>-7</v>
      </c>
      <c r="N26" s="79">
        <f t="shared" ca="1" si="23"/>
        <v>-11</v>
      </c>
      <c r="O26" s="79">
        <f t="shared" ca="1" si="23"/>
        <v>-11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-12</v>
      </c>
      <c r="L27" s="79">
        <f t="shared" ca="1" si="24"/>
        <v>-8</v>
      </c>
      <c r="M27" s="79">
        <f t="shared" ca="1" si="24"/>
        <v>-8</v>
      </c>
      <c r="N27" s="79">
        <f t="shared" ca="1" si="24"/>
        <v>-12</v>
      </c>
      <c r="O27" s="79">
        <f t="shared" ca="1" si="24"/>
        <v>-12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-13</v>
      </c>
      <c r="L28" s="79">
        <f t="shared" ca="1" si="25"/>
        <v>-9</v>
      </c>
      <c r="M28" s="79">
        <f t="shared" ca="1" si="25"/>
        <v>-9</v>
      </c>
      <c r="N28" s="79">
        <f t="shared" ca="1" si="25"/>
        <v>-13</v>
      </c>
      <c r="O28" s="79">
        <f t="shared" ca="1" si="25"/>
        <v>-13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-14</v>
      </c>
      <c r="L29" s="79">
        <f t="shared" ca="1" si="26"/>
        <v>-10</v>
      </c>
      <c r="M29" s="79">
        <f t="shared" ca="1" si="26"/>
        <v>-10</v>
      </c>
      <c r="N29" s="79">
        <f t="shared" ca="1" si="26"/>
        <v>-14</v>
      </c>
      <c r="O29" s="79">
        <f t="shared" ca="1" si="26"/>
        <v>-14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-15</v>
      </c>
      <c r="L30" s="79">
        <f t="shared" ca="1" si="27"/>
        <v>-11</v>
      </c>
      <c r="M30" s="79">
        <f t="shared" ca="1" si="27"/>
        <v>-11</v>
      </c>
      <c r="N30" s="79">
        <f t="shared" ca="1" si="27"/>
        <v>-15</v>
      </c>
      <c r="O30" s="79">
        <f t="shared" ca="1" si="27"/>
        <v>-15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188</v>
      </c>
      <c r="B1" s="81">
        <v>2022</v>
      </c>
    </row>
    <row r="3" spans="1:26" x14ac:dyDescent="0.2">
      <c r="A3" s="82" t="s">
        <v>189</v>
      </c>
      <c r="B3" s="83" t="s">
        <v>190</v>
      </c>
      <c r="T3" t="s">
        <v>191</v>
      </c>
    </row>
    <row r="5" spans="1:26" x14ac:dyDescent="0.2">
      <c r="B5" s="84" t="s">
        <v>192</v>
      </c>
      <c r="C5" s="84" t="s">
        <v>193</v>
      </c>
      <c r="D5" s="84" t="s">
        <v>193</v>
      </c>
      <c r="E5" s="84" t="s">
        <v>194</v>
      </c>
      <c r="F5" s="85">
        <v>44676</v>
      </c>
      <c r="G5" s="85"/>
      <c r="H5" s="84"/>
      <c r="I5" s="84"/>
      <c r="J5" s="84"/>
      <c r="K5" s="84"/>
      <c r="L5" s="84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3" t="s">
        <v>198</v>
      </c>
      <c r="B6" s="86" t="s">
        <v>199</v>
      </c>
      <c r="C6" s="86" t="s">
        <v>200</v>
      </c>
      <c r="D6" s="86" t="s">
        <v>201</v>
      </c>
      <c r="E6" s="86" t="s">
        <v>202</v>
      </c>
      <c r="F6" s="86" t="s">
        <v>203</v>
      </c>
      <c r="G6" s="86" t="s">
        <v>204</v>
      </c>
      <c r="H6" s="86" t="s">
        <v>205</v>
      </c>
      <c r="I6" s="86" t="s">
        <v>206</v>
      </c>
      <c r="J6" s="86"/>
      <c r="K6" s="86" t="s">
        <v>198</v>
      </c>
      <c r="L6" s="87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214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215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216</v>
      </c>
      <c r="I8" s="89"/>
      <c r="J8" s="89"/>
      <c r="K8" s="95" t="s">
        <v>215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217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214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218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219</v>
      </c>
      <c r="I11" s="89"/>
      <c r="J11" s="89"/>
      <c r="K11" s="91" t="s">
        <v>218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220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214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221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220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222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223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222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224</v>
      </c>
      <c r="I19" s="89"/>
      <c r="J19" s="89"/>
      <c r="K19" s="91" t="s">
        <v>225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224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224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226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227</v>
      </c>
      <c r="D23" s="89" t="s">
        <v>227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226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40">
        <f t="shared" si="0"/>
        <v>0</v>
      </c>
      <c r="C24" s="88" t="s">
        <v>227</v>
      </c>
      <c r="D24" s="89" t="s">
        <v>227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222</v>
      </c>
      <c r="K24" s="97" t="s">
        <v>229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227</v>
      </c>
      <c r="D25" s="89" t="s">
        <v>227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224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tabSelected="1"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85" t="s">
        <v>230</v>
      </c>
      <c r="D1" s="185"/>
      <c r="E1" s="185"/>
      <c r="F1" s="185"/>
      <c r="G1" s="185"/>
      <c r="H1" s="185"/>
      <c r="I1" s="185"/>
      <c r="J1" s="185"/>
      <c r="K1" s="185"/>
      <c r="L1" s="185"/>
      <c r="M1" s="101"/>
      <c r="N1" s="101"/>
      <c r="O1" s="102"/>
      <c r="P1" s="185" t="s">
        <v>231</v>
      </c>
      <c r="Q1" s="185"/>
      <c r="R1" s="185"/>
      <c r="S1" s="185"/>
      <c r="T1" s="185"/>
      <c r="U1" s="185"/>
      <c r="V1" s="185"/>
      <c r="W1" s="185"/>
      <c r="X1" s="185"/>
      <c r="Y1" s="185"/>
      <c r="Z1" s="102"/>
      <c r="AA1" s="102"/>
      <c r="AB1" s="36"/>
      <c r="AC1" s="185" t="s">
        <v>232</v>
      </c>
      <c r="AD1" s="185"/>
      <c r="AE1" s="185"/>
      <c r="AF1" s="185"/>
      <c r="AG1" s="185"/>
      <c r="AH1" s="185"/>
      <c r="AI1" s="185"/>
      <c r="AJ1" s="185"/>
      <c r="AK1" s="185"/>
      <c r="AL1" s="185"/>
      <c r="AM1" s="102"/>
      <c r="AN1" s="102"/>
      <c r="AO1" s="102"/>
      <c r="AP1" s="185" t="s">
        <v>233</v>
      </c>
      <c r="AQ1" s="185"/>
      <c r="AR1" s="185"/>
      <c r="AS1" s="185"/>
      <c r="AT1" s="185"/>
      <c r="AU1" s="185"/>
      <c r="AV1" s="185"/>
      <c r="AW1" s="185"/>
      <c r="AX1" s="185"/>
      <c r="AY1" s="185"/>
      <c r="AZ1" s="102"/>
      <c r="BA1" s="102"/>
    </row>
    <row r="2" spans="1:74" ht="12" customHeight="1" x14ac:dyDescent="0.2">
      <c r="A2" s="103"/>
      <c r="B2" s="2">
        <v>1</v>
      </c>
      <c r="C2" s="186" t="s">
        <v>234</v>
      </c>
      <c r="D2" s="186"/>
      <c r="E2" s="186"/>
      <c r="F2" s="186" t="s">
        <v>40</v>
      </c>
      <c r="G2" s="186"/>
      <c r="H2" s="186"/>
      <c r="I2" s="186" t="s">
        <v>57</v>
      </c>
      <c r="J2" s="186"/>
      <c r="K2" s="186"/>
      <c r="L2" s="186" t="s">
        <v>54</v>
      </c>
      <c r="M2" s="186"/>
      <c r="N2" s="186"/>
      <c r="O2" s="102"/>
      <c r="P2" s="186" t="s">
        <v>235</v>
      </c>
      <c r="Q2" s="186"/>
      <c r="R2" s="186"/>
      <c r="S2" s="186" t="s">
        <v>236</v>
      </c>
      <c r="T2" s="186"/>
      <c r="U2" s="186"/>
      <c r="V2" s="186" t="s">
        <v>237</v>
      </c>
      <c r="W2" s="186"/>
      <c r="X2" s="186"/>
      <c r="Y2" s="186" t="s">
        <v>238</v>
      </c>
      <c r="Z2" s="186"/>
      <c r="AA2" s="186"/>
      <c r="AB2" s="36"/>
      <c r="AC2" s="186" t="s">
        <v>239</v>
      </c>
      <c r="AD2" s="186"/>
      <c r="AE2" s="186"/>
      <c r="AF2" s="186" t="s">
        <v>240</v>
      </c>
      <c r="AG2" s="186"/>
      <c r="AH2" s="186"/>
      <c r="AI2" s="186" t="s">
        <v>241</v>
      </c>
      <c r="AJ2" s="186"/>
      <c r="AK2" s="186"/>
      <c r="AL2" s="186" t="s">
        <v>242</v>
      </c>
      <c r="AM2" s="186"/>
      <c r="AN2" s="186"/>
      <c r="AO2" s="100"/>
      <c r="AP2" s="186" t="s">
        <v>243</v>
      </c>
      <c r="AQ2" s="186"/>
      <c r="AR2" s="186"/>
      <c r="AS2" s="186" t="s">
        <v>244</v>
      </c>
      <c r="AT2" s="186"/>
      <c r="AU2" s="186"/>
      <c r="AV2" s="186" t="s">
        <v>245</v>
      </c>
      <c r="AW2" s="186"/>
      <c r="AX2" s="186"/>
      <c r="AY2" s="186" t="s">
        <v>246</v>
      </c>
      <c r="AZ2" s="186"/>
      <c r="BA2" s="186"/>
      <c r="BB2" s="104"/>
    </row>
    <row r="3" spans="1:74" ht="12" customHeight="1" x14ac:dyDescent="0.2">
      <c r="A3" s="187" t="s">
        <v>247</v>
      </c>
      <c r="B3" s="187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248</v>
      </c>
      <c r="BG3" t="s">
        <v>249</v>
      </c>
      <c r="BH3" t="s">
        <v>31</v>
      </c>
      <c r="BI3" t="s">
        <v>235</v>
      </c>
      <c r="BJ3" t="s">
        <v>128</v>
      </c>
      <c r="BK3" t="s">
        <v>104</v>
      </c>
      <c r="BL3" t="s">
        <v>119</v>
      </c>
      <c r="BM3" t="s">
        <v>250</v>
      </c>
      <c r="BN3" s="40" t="s">
        <v>131</v>
      </c>
      <c r="BO3" t="s">
        <v>251</v>
      </c>
      <c r="BP3" t="s">
        <v>125</v>
      </c>
      <c r="BQ3" s="40" t="s">
        <v>110</v>
      </c>
      <c r="BR3" t="s">
        <v>243</v>
      </c>
      <c r="BS3" t="s">
        <v>252</v>
      </c>
      <c r="BT3" t="s">
        <v>253</v>
      </c>
      <c r="BU3" t="s">
        <v>254</v>
      </c>
      <c r="BV3" t="s">
        <v>246</v>
      </c>
    </row>
    <row r="4" spans="1:74" ht="12" customHeight="1" x14ac:dyDescent="0.2">
      <c r="A4" s="103"/>
      <c r="B4" s="2">
        <v>2</v>
      </c>
      <c r="C4" s="186" t="s">
        <v>255</v>
      </c>
      <c r="D4" s="186"/>
      <c r="E4" s="186"/>
      <c r="F4" s="186" t="s">
        <v>239</v>
      </c>
      <c r="G4" s="186"/>
      <c r="H4" s="186"/>
      <c r="I4" s="186" t="s">
        <v>245</v>
      </c>
      <c r="J4" s="186"/>
      <c r="K4" s="186"/>
      <c r="L4" s="186" t="s">
        <v>40</v>
      </c>
      <c r="M4" s="186"/>
      <c r="N4" s="186"/>
      <c r="O4" s="102"/>
      <c r="P4" s="186" t="s">
        <v>234</v>
      </c>
      <c r="Q4" s="186"/>
      <c r="R4" s="186"/>
      <c r="S4" s="186" t="s">
        <v>252</v>
      </c>
      <c r="T4" s="186"/>
      <c r="U4" s="186"/>
      <c r="V4" s="186" t="s">
        <v>235</v>
      </c>
      <c r="W4" s="186"/>
      <c r="X4" s="186"/>
      <c r="Y4" s="186" t="s">
        <v>256</v>
      </c>
      <c r="Z4" s="186"/>
      <c r="AA4" s="186"/>
      <c r="AB4" s="36"/>
      <c r="AC4" s="186" t="s">
        <v>257</v>
      </c>
      <c r="AD4" s="186"/>
      <c r="AE4" s="186"/>
      <c r="AF4" s="186" t="s">
        <v>258</v>
      </c>
      <c r="AG4" s="186"/>
      <c r="AH4" s="186"/>
      <c r="AI4" s="186" t="s">
        <v>253</v>
      </c>
      <c r="AJ4" s="186"/>
      <c r="AK4" s="186"/>
      <c r="AL4" s="186" t="s">
        <v>236</v>
      </c>
      <c r="AM4" s="186"/>
      <c r="AN4" s="186"/>
      <c r="AO4" s="100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04"/>
      <c r="BC4" s="108" t="s">
        <v>101</v>
      </c>
      <c r="BD4" s="109" t="s">
        <v>259</v>
      </c>
      <c r="BE4" s="109">
        <f>BD5</f>
        <v>2</v>
      </c>
      <c r="BF4" s="109">
        <f>BD6</f>
        <v>2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2</v>
      </c>
      <c r="BK4" s="109">
        <f>BD11</f>
        <v>2</v>
      </c>
      <c r="BL4" s="109">
        <f>BD12</f>
        <v>1</v>
      </c>
      <c r="BM4" s="109">
        <f>BD13</f>
        <v>3</v>
      </c>
      <c r="BN4" s="109">
        <f>BD14</f>
        <v>1</v>
      </c>
      <c r="BO4" s="109">
        <f>BD15</f>
        <v>2</v>
      </c>
      <c r="BP4" s="109">
        <f>BD16</f>
        <v>1</v>
      </c>
      <c r="BQ4" s="109">
        <f>BD17</f>
        <v>1</v>
      </c>
      <c r="BR4" s="109">
        <f>BD18</f>
        <v>1</v>
      </c>
      <c r="BS4" s="109">
        <f>BD19</f>
        <v>2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87" t="s">
        <v>247</v>
      </c>
      <c r="B5" s="187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259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3</v>
      </c>
      <c r="BL5" s="40">
        <f>BE12</f>
        <v>1</v>
      </c>
      <c r="BM5" s="40">
        <f>BE13</f>
        <v>1</v>
      </c>
      <c r="BN5" s="40">
        <f>BE14</f>
        <v>1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2</v>
      </c>
      <c r="BV5" s="40">
        <f>BE22</f>
        <v>1</v>
      </c>
    </row>
    <row r="6" spans="1:74" ht="12" customHeight="1" x14ac:dyDescent="0.2">
      <c r="A6" s="103"/>
      <c r="B6" s="2">
        <v>3</v>
      </c>
      <c r="C6" s="186" t="s">
        <v>40</v>
      </c>
      <c r="D6" s="186"/>
      <c r="E6" s="186"/>
      <c r="F6" s="186" t="s">
        <v>51</v>
      </c>
      <c r="G6" s="186"/>
      <c r="H6" s="186"/>
      <c r="I6" s="186" t="s">
        <v>52</v>
      </c>
      <c r="J6" s="186"/>
      <c r="K6" s="186"/>
      <c r="L6" s="186" t="s">
        <v>46</v>
      </c>
      <c r="M6" s="186"/>
      <c r="N6" s="186"/>
      <c r="O6" s="102"/>
      <c r="P6" s="186" t="s">
        <v>48</v>
      </c>
      <c r="Q6" s="186"/>
      <c r="R6" s="186"/>
      <c r="S6" s="186" t="s">
        <v>59</v>
      </c>
      <c r="T6" s="186"/>
      <c r="U6" s="186"/>
      <c r="V6" s="186" t="s">
        <v>54</v>
      </c>
      <c r="W6" s="186"/>
      <c r="X6" s="186"/>
      <c r="Y6" s="186" t="s">
        <v>44</v>
      </c>
      <c r="Z6" s="186"/>
      <c r="AA6" s="186"/>
      <c r="AB6" s="3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00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04"/>
      <c r="BC6" s="108" t="s">
        <v>248</v>
      </c>
      <c r="BD6" s="109">
        <v>2</v>
      </c>
      <c r="BE6" s="109">
        <v>1</v>
      </c>
      <c r="BF6" s="109" t="s">
        <v>259</v>
      </c>
      <c r="BG6" s="109">
        <f>BF7</f>
        <v>1</v>
      </c>
      <c r="BH6" s="109">
        <f>BF8</f>
        <v>2</v>
      </c>
      <c r="BI6" s="109">
        <f>BF9</f>
        <v>1</v>
      </c>
      <c r="BJ6" s="109">
        <f>BF10</f>
        <v>2</v>
      </c>
      <c r="BK6" s="109">
        <f>BF11</f>
        <v>1</v>
      </c>
      <c r="BL6" s="109">
        <f>BF12</f>
        <v>2</v>
      </c>
      <c r="BM6" s="109">
        <f>BF13</f>
        <v>2</v>
      </c>
      <c r="BN6" s="109">
        <f>BF14</f>
        <v>1</v>
      </c>
      <c r="BO6" s="109">
        <f>BF15</f>
        <v>2</v>
      </c>
      <c r="BP6" s="109">
        <f>BF16</f>
        <v>2</v>
      </c>
      <c r="BQ6" s="109">
        <f>BF17</f>
        <v>2</v>
      </c>
      <c r="BR6" s="109">
        <f>BF18</f>
        <v>2</v>
      </c>
      <c r="BS6" s="109">
        <f>BF19</f>
        <v>2</v>
      </c>
      <c r="BT6" s="109">
        <f>BF20</f>
        <v>1</v>
      </c>
      <c r="BU6" s="109">
        <f>BF21</f>
        <v>2</v>
      </c>
      <c r="BV6" s="109">
        <f>BF22</f>
        <v>2</v>
      </c>
    </row>
    <row r="7" spans="1:74" ht="12" customHeight="1" x14ac:dyDescent="0.2">
      <c r="A7" s="187" t="s">
        <v>247</v>
      </c>
      <c r="B7" s="187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249</v>
      </c>
      <c r="BD7" s="40"/>
      <c r="BE7" s="40"/>
      <c r="BF7" s="40">
        <v>1</v>
      </c>
      <c r="BG7" s="40" t="s">
        <v>259</v>
      </c>
      <c r="BH7" s="40">
        <f>BG8</f>
        <v>2</v>
      </c>
      <c r="BI7" s="40">
        <f>BG9</f>
        <v>1</v>
      </c>
      <c r="BJ7" s="40">
        <f>BG10</f>
        <v>0</v>
      </c>
      <c r="BK7" s="40">
        <f>BG11</f>
        <v>1</v>
      </c>
      <c r="BL7" s="40">
        <f>BG12</f>
        <v>1</v>
      </c>
      <c r="BM7" s="40">
        <f>BG13</f>
        <v>1</v>
      </c>
      <c r="BN7" s="40">
        <f>BG14</f>
        <v>0</v>
      </c>
      <c r="BO7" s="40">
        <f>BG15</f>
        <v>1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86" t="s">
        <v>243</v>
      </c>
      <c r="D8" s="186"/>
      <c r="E8" s="186"/>
      <c r="F8" s="186" t="s">
        <v>257</v>
      </c>
      <c r="G8" s="186"/>
      <c r="H8" s="186"/>
      <c r="I8" s="186" t="s">
        <v>40</v>
      </c>
      <c r="J8" s="186"/>
      <c r="K8" s="186"/>
      <c r="L8" s="186" t="s">
        <v>235</v>
      </c>
      <c r="M8" s="186"/>
      <c r="N8" s="186"/>
      <c r="O8" s="102"/>
      <c r="P8" s="186" t="s">
        <v>237</v>
      </c>
      <c r="Q8" s="186"/>
      <c r="R8" s="186"/>
      <c r="S8" s="186" t="s">
        <v>260</v>
      </c>
      <c r="T8" s="186"/>
      <c r="U8" s="186"/>
      <c r="V8" s="186" t="s">
        <v>258</v>
      </c>
      <c r="W8" s="186"/>
      <c r="X8" s="186"/>
      <c r="Y8" s="186" t="s">
        <v>261</v>
      </c>
      <c r="Z8" s="186"/>
      <c r="AA8" s="186"/>
      <c r="AB8" s="36"/>
      <c r="AC8" s="186" t="s">
        <v>262</v>
      </c>
      <c r="AD8" s="186"/>
      <c r="AE8" s="186"/>
      <c r="AF8" s="186" t="s">
        <v>245</v>
      </c>
      <c r="AG8" s="186"/>
      <c r="AH8" s="186"/>
      <c r="AI8" s="186" t="s">
        <v>253</v>
      </c>
      <c r="AJ8" s="186"/>
      <c r="AK8" s="186"/>
      <c r="AL8" s="186" t="s">
        <v>256</v>
      </c>
      <c r="AM8" s="186"/>
      <c r="AN8" s="186"/>
      <c r="AO8" s="100"/>
      <c r="AP8" s="186" t="s">
        <v>236</v>
      </c>
      <c r="AQ8" s="186"/>
      <c r="AR8" s="186"/>
      <c r="AS8" s="186" t="s">
        <v>263</v>
      </c>
      <c r="AT8" s="186"/>
      <c r="AU8" s="186"/>
      <c r="AV8" s="186" t="s">
        <v>244</v>
      </c>
      <c r="AW8" s="186"/>
      <c r="AX8" s="186"/>
      <c r="AY8" s="186" t="s">
        <v>234</v>
      </c>
      <c r="AZ8" s="186"/>
      <c r="BA8" s="186"/>
      <c r="BB8" s="104"/>
      <c r="BC8" s="108" t="s">
        <v>31</v>
      </c>
      <c r="BD8" s="109">
        <v>1</v>
      </c>
      <c r="BE8" s="109">
        <v>1</v>
      </c>
      <c r="BF8" s="109">
        <v>2</v>
      </c>
      <c r="BG8" s="109">
        <v>2</v>
      </c>
      <c r="BH8" s="109" t="s">
        <v>259</v>
      </c>
      <c r="BI8" s="109">
        <f>BH9</f>
        <v>2</v>
      </c>
      <c r="BJ8" s="109">
        <f>BH10</f>
        <v>2</v>
      </c>
      <c r="BK8" s="109">
        <f>BH11</f>
        <v>2</v>
      </c>
      <c r="BL8" s="109">
        <f>BH12</f>
        <v>3</v>
      </c>
      <c r="BM8" s="109">
        <f>BH13</f>
        <v>2</v>
      </c>
      <c r="BN8" s="109">
        <f>BH14</f>
        <v>2</v>
      </c>
      <c r="BO8" s="109">
        <f>BH15</f>
        <v>2</v>
      </c>
      <c r="BP8" s="109">
        <f>BH16</f>
        <v>2</v>
      </c>
      <c r="BQ8" s="109">
        <f>BH17</f>
        <v>1</v>
      </c>
      <c r="BR8" s="109">
        <f>BH18</f>
        <v>2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2</v>
      </c>
    </row>
    <row r="9" spans="1:74" ht="12" customHeight="1" x14ac:dyDescent="0.2">
      <c r="A9" s="187" t="s">
        <v>247</v>
      </c>
      <c r="B9" s="187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235</v>
      </c>
      <c r="BD9" s="40">
        <v>1</v>
      </c>
      <c r="BE9" s="40">
        <v>1</v>
      </c>
      <c r="BF9" s="40">
        <v>1</v>
      </c>
      <c r="BG9" s="40">
        <v>1</v>
      </c>
      <c r="BH9" s="40">
        <v>2</v>
      </c>
      <c r="BI9" s="40" t="s">
        <v>259</v>
      </c>
      <c r="BJ9" s="40">
        <f>BI10</f>
        <v>1</v>
      </c>
      <c r="BK9" s="40">
        <f>BI11</f>
        <v>3</v>
      </c>
      <c r="BL9" s="40">
        <f>BI12</f>
        <v>2</v>
      </c>
      <c r="BM9" s="40">
        <f>BI13</f>
        <v>2</v>
      </c>
      <c r="BN9" s="40">
        <f>BI14</f>
        <v>1</v>
      </c>
      <c r="BO9" s="40">
        <f>BI15</f>
        <v>2</v>
      </c>
      <c r="BP9" s="40">
        <f>BI16</f>
        <v>1</v>
      </c>
      <c r="BQ9" s="40">
        <f>BI17</f>
        <v>2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2</v>
      </c>
      <c r="BV9" s="40">
        <f>BI22</f>
        <v>2</v>
      </c>
    </row>
    <row r="10" spans="1:74" ht="12" customHeight="1" x14ac:dyDescent="0.2">
      <c r="A10" s="103"/>
      <c r="B10" s="2">
        <v>5</v>
      </c>
      <c r="C10" s="186" t="s">
        <v>234</v>
      </c>
      <c r="D10" s="186"/>
      <c r="E10" s="186"/>
      <c r="F10" s="186" t="s">
        <v>150</v>
      </c>
      <c r="G10" s="186"/>
      <c r="H10" s="186"/>
      <c r="I10" s="186" t="s">
        <v>258</v>
      </c>
      <c r="J10" s="186"/>
      <c r="K10" s="186"/>
      <c r="L10" s="186" t="s">
        <v>245</v>
      </c>
      <c r="M10" s="186"/>
      <c r="N10" s="186"/>
      <c r="O10" s="102"/>
      <c r="P10" s="186" t="s">
        <v>260</v>
      </c>
      <c r="Q10" s="186"/>
      <c r="R10" s="186"/>
      <c r="S10" s="186" t="s">
        <v>239</v>
      </c>
      <c r="T10" s="186"/>
      <c r="U10" s="186"/>
      <c r="V10" s="186" t="s">
        <v>235</v>
      </c>
      <c r="W10" s="186"/>
      <c r="X10" s="186"/>
      <c r="Y10" s="186" t="s">
        <v>253</v>
      </c>
      <c r="Z10" s="186"/>
      <c r="AA10" s="186"/>
      <c r="AB10" s="36"/>
      <c r="AC10" s="186" t="s">
        <v>262</v>
      </c>
      <c r="AD10" s="186"/>
      <c r="AE10" s="186"/>
      <c r="AF10" s="186" t="s">
        <v>237</v>
      </c>
      <c r="AG10" s="186"/>
      <c r="AH10" s="186"/>
      <c r="AI10" s="186" t="s">
        <v>257</v>
      </c>
      <c r="AJ10" s="186"/>
      <c r="AK10" s="186"/>
      <c r="AL10" s="186" t="s">
        <v>241</v>
      </c>
      <c r="AM10" s="186"/>
      <c r="AN10" s="186"/>
      <c r="AO10" s="100"/>
      <c r="AP10" s="186" t="s">
        <v>236</v>
      </c>
      <c r="AQ10" s="186"/>
      <c r="AR10" s="186"/>
      <c r="AS10" s="186" t="s">
        <v>243</v>
      </c>
      <c r="AT10" s="186"/>
      <c r="AU10" s="186"/>
      <c r="AV10" s="186" t="s">
        <v>40</v>
      </c>
      <c r="AW10" s="186"/>
      <c r="AX10" s="186"/>
      <c r="AY10" s="186" t="s">
        <v>50</v>
      </c>
      <c r="AZ10" s="186"/>
      <c r="BA10" s="186"/>
      <c r="BB10" s="100"/>
      <c r="BC10" s="108" t="s">
        <v>128</v>
      </c>
      <c r="BD10" s="109">
        <v>2</v>
      </c>
      <c r="BE10" s="109">
        <v>1</v>
      </c>
      <c r="BF10" s="109">
        <v>2</v>
      </c>
      <c r="BG10" s="109"/>
      <c r="BH10" s="109">
        <v>2</v>
      </c>
      <c r="BI10" s="109">
        <v>1</v>
      </c>
      <c r="BJ10" s="109" t="s">
        <v>259</v>
      </c>
      <c r="BK10" s="109">
        <f>BJ11</f>
        <v>1</v>
      </c>
      <c r="BL10" s="109">
        <f>BJ12</f>
        <v>1</v>
      </c>
      <c r="BM10" s="109">
        <f>BJ13</f>
        <v>1</v>
      </c>
      <c r="BN10" s="109">
        <f>BJ14</f>
        <v>1</v>
      </c>
      <c r="BO10" s="109">
        <f>BJ15</f>
        <v>1</v>
      </c>
      <c r="BP10" s="109">
        <f>BJ16</f>
        <v>1</v>
      </c>
      <c r="BQ10" s="109">
        <f>BJ17</f>
        <v>1</v>
      </c>
      <c r="BR10" s="109">
        <f>BJ18</f>
        <v>0</v>
      </c>
      <c r="BS10" s="109">
        <f>BJ19</f>
        <v>1</v>
      </c>
      <c r="BT10" s="109">
        <f>BJ20</f>
        <v>1</v>
      </c>
      <c r="BU10" s="109">
        <f>BJ21</f>
        <v>2</v>
      </c>
      <c r="BV10" s="109">
        <f>BJ22</f>
        <v>1</v>
      </c>
    </row>
    <row r="11" spans="1:74" ht="12" customHeight="1" x14ac:dyDescent="0.2">
      <c r="A11" s="187" t="s">
        <v>247</v>
      </c>
      <c r="B11" s="187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2</v>
      </c>
      <c r="BE11" s="40">
        <v>3</v>
      </c>
      <c r="BF11" s="40">
        <v>1</v>
      </c>
      <c r="BG11" s="40">
        <v>1</v>
      </c>
      <c r="BH11" s="40">
        <v>2</v>
      </c>
      <c r="BI11" s="40">
        <v>3</v>
      </c>
      <c r="BJ11" s="40">
        <v>1</v>
      </c>
      <c r="BK11" s="40" t="s">
        <v>259</v>
      </c>
      <c r="BL11" s="40">
        <f>BK12</f>
        <v>1</v>
      </c>
      <c r="BM11" s="40">
        <f>BK13</f>
        <v>2</v>
      </c>
      <c r="BN11" s="40">
        <f>BK14</f>
        <v>2</v>
      </c>
      <c r="BO11" s="40">
        <f>BK15</f>
        <v>1</v>
      </c>
      <c r="BP11" s="40">
        <f>BK16</f>
        <v>1</v>
      </c>
      <c r="BQ11" s="40">
        <f>BK17</f>
        <v>2</v>
      </c>
      <c r="BR11" s="40">
        <f>BK18</f>
        <v>3</v>
      </c>
      <c r="BS11" s="40">
        <f>BK19</f>
        <v>2</v>
      </c>
      <c r="BT11" s="40">
        <f>BK20</f>
        <v>1</v>
      </c>
      <c r="BU11" s="40">
        <f>BK21</f>
        <v>2</v>
      </c>
      <c r="BV11" s="40">
        <f>BK22</f>
        <v>1</v>
      </c>
    </row>
    <row r="12" spans="1:74" ht="12" customHeight="1" x14ac:dyDescent="0.2">
      <c r="A12" s="103"/>
      <c r="B12" s="2">
        <v>6</v>
      </c>
      <c r="C12" s="186" t="s">
        <v>255</v>
      </c>
      <c r="D12" s="186"/>
      <c r="E12" s="186"/>
      <c r="F12" s="186" t="s">
        <v>243</v>
      </c>
      <c r="G12" s="186"/>
      <c r="H12" s="186"/>
      <c r="I12" s="186" t="s">
        <v>40</v>
      </c>
      <c r="J12" s="186"/>
      <c r="K12" s="186"/>
      <c r="L12" s="186" t="s">
        <v>256</v>
      </c>
      <c r="M12" s="186"/>
      <c r="N12" s="186"/>
      <c r="P12" s="186" t="s">
        <v>262</v>
      </c>
      <c r="Q12" s="186"/>
      <c r="R12" s="186"/>
      <c r="S12" s="186" t="s">
        <v>258</v>
      </c>
      <c r="T12" s="186"/>
      <c r="U12" s="186"/>
      <c r="V12" s="186" t="s">
        <v>245</v>
      </c>
      <c r="W12" s="186"/>
      <c r="X12" s="186"/>
      <c r="Y12" s="186" t="s">
        <v>252</v>
      </c>
      <c r="Z12" s="186"/>
      <c r="AA12" s="186"/>
      <c r="AC12" s="186" t="s">
        <v>234</v>
      </c>
      <c r="AD12" s="186"/>
      <c r="AE12" s="186"/>
      <c r="AF12" s="186" t="s">
        <v>253</v>
      </c>
      <c r="AG12" s="186"/>
      <c r="AH12" s="186"/>
      <c r="AI12" s="186" t="s">
        <v>142</v>
      </c>
      <c r="AJ12" s="186"/>
      <c r="AK12" s="186"/>
      <c r="AL12" s="186" t="s">
        <v>260</v>
      </c>
      <c r="AM12" s="186"/>
      <c r="AN12" s="186"/>
      <c r="AO12" s="100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00"/>
      <c r="BC12" s="108" t="s">
        <v>119</v>
      </c>
      <c r="BD12" s="109">
        <v>1</v>
      </c>
      <c r="BE12" s="109">
        <v>1</v>
      </c>
      <c r="BF12" s="109">
        <v>2</v>
      </c>
      <c r="BG12" s="109">
        <v>1</v>
      </c>
      <c r="BH12" s="109">
        <v>3</v>
      </c>
      <c r="BI12" s="109">
        <v>2</v>
      </c>
      <c r="BJ12" s="109">
        <v>1</v>
      </c>
      <c r="BK12" s="109">
        <v>1</v>
      </c>
      <c r="BL12" s="109" t="s">
        <v>259</v>
      </c>
      <c r="BM12" s="109">
        <f>BL13</f>
        <v>2</v>
      </c>
      <c r="BN12" s="109">
        <f>BL14</f>
        <v>1</v>
      </c>
      <c r="BO12" s="109">
        <f>BL15</f>
        <v>2</v>
      </c>
      <c r="BP12" s="109">
        <f>BL16</f>
        <v>2</v>
      </c>
      <c r="BQ12" s="109">
        <f>BL17</f>
        <v>1</v>
      </c>
      <c r="BR12" s="109">
        <f>BL18</f>
        <v>2</v>
      </c>
      <c r="BS12" s="109">
        <f>BL19</f>
        <v>1</v>
      </c>
      <c r="BT12" s="109">
        <f>BL20</f>
        <v>1</v>
      </c>
      <c r="BU12" s="109">
        <f>BL21</f>
        <v>1</v>
      </c>
      <c r="BV12" s="109">
        <f>BL22</f>
        <v>2</v>
      </c>
    </row>
    <row r="13" spans="1:74" ht="12" customHeight="1" x14ac:dyDescent="0.2">
      <c r="A13" s="187" t="s">
        <v>247</v>
      </c>
      <c r="B13" s="187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250</v>
      </c>
      <c r="BD13" s="40">
        <v>3</v>
      </c>
      <c r="BE13" s="40">
        <v>1</v>
      </c>
      <c r="BF13" s="40">
        <v>2</v>
      </c>
      <c r="BG13" s="40">
        <v>1</v>
      </c>
      <c r="BH13" s="40">
        <v>2</v>
      </c>
      <c r="BI13" s="40">
        <v>2</v>
      </c>
      <c r="BJ13" s="40">
        <v>1</v>
      </c>
      <c r="BK13" s="40">
        <v>2</v>
      </c>
      <c r="BL13" s="40">
        <v>2</v>
      </c>
      <c r="BM13" s="40" t="s">
        <v>259</v>
      </c>
      <c r="BN13" s="40">
        <f>BM14</f>
        <v>1</v>
      </c>
      <c r="BO13" s="40">
        <f>BM15</f>
        <v>2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3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86" t="s">
        <v>262</v>
      </c>
      <c r="D14" s="186"/>
      <c r="E14" s="186"/>
      <c r="F14" s="186" t="s">
        <v>243</v>
      </c>
      <c r="G14" s="186"/>
      <c r="H14" s="186"/>
      <c r="I14" s="186" t="s">
        <v>264</v>
      </c>
      <c r="J14" s="186"/>
      <c r="K14" s="186"/>
      <c r="L14" s="186" t="s">
        <v>234</v>
      </c>
      <c r="M14" s="186"/>
      <c r="N14" s="186"/>
      <c r="O14" s="102"/>
      <c r="P14" s="186" t="s">
        <v>48</v>
      </c>
      <c r="Q14" s="186"/>
      <c r="R14" s="186"/>
      <c r="S14" s="186" t="s">
        <v>45</v>
      </c>
      <c r="T14" s="186"/>
      <c r="U14" s="186"/>
      <c r="V14" s="186" t="s">
        <v>40</v>
      </c>
      <c r="W14" s="186"/>
      <c r="X14" s="186"/>
      <c r="Y14" s="186" t="s">
        <v>244</v>
      </c>
      <c r="Z14" s="186"/>
      <c r="AA14" s="186"/>
      <c r="AB14" s="36"/>
      <c r="AC14" s="186" t="s">
        <v>154</v>
      </c>
      <c r="AD14" s="186"/>
      <c r="AE14" s="186"/>
      <c r="AF14" s="186" t="s">
        <v>236</v>
      </c>
      <c r="AG14" s="186"/>
      <c r="AH14" s="186"/>
      <c r="AI14" s="186" t="s">
        <v>245</v>
      </c>
      <c r="AJ14" s="186"/>
      <c r="AK14" s="186"/>
      <c r="AL14" s="186" t="s">
        <v>235</v>
      </c>
      <c r="AM14" s="186"/>
      <c r="AN14" s="186"/>
      <c r="AO14" s="100"/>
      <c r="AP14" s="186" t="s">
        <v>260</v>
      </c>
      <c r="AQ14" s="186"/>
      <c r="AR14" s="186"/>
      <c r="AS14" s="186" t="s">
        <v>256</v>
      </c>
      <c r="AT14" s="186"/>
      <c r="AU14" s="186"/>
      <c r="AV14" s="186" t="s">
        <v>261</v>
      </c>
      <c r="AW14" s="186"/>
      <c r="AX14" s="186"/>
      <c r="AY14" s="186" t="s">
        <v>257</v>
      </c>
      <c r="AZ14" s="186"/>
      <c r="BA14" s="186"/>
      <c r="BB14" s="100"/>
      <c r="BC14" s="108" t="s">
        <v>131</v>
      </c>
      <c r="BD14" s="109">
        <v>1</v>
      </c>
      <c r="BE14" s="109">
        <v>1</v>
      </c>
      <c r="BF14" s="109">
        <v>1</v>
      </c>
      <c r="BG14" s="109"/>
      <c r="BH14" s="109">
        <v>2</v>
      </c>
      <c r="BI14" s="109">
        <v>1</v>
      </c>
      <c r="BJ14" s="109">
        <v>1</v>
      </c>
      <c r="BK14" s="109">
        <v>2</v>
      </c>
      <c r="BL14" s="109">
        <v>1</v>
      </c>
      <c r="BM14" s="109">
        <v>1</v>
      </c>
      <c r="BN14" s="109" t="s">
        <v>259</v>
      </c>
      <c r="BO14" s="109">
        <f>BN15</f>
        <v>1</v>
      </c>
      <c r="BP14" s="109">
        <f>BN16</f>
        <v>0</v>
      </c>
      <c r="BQ14" s="109">
        <f>BN17</f>
        <v>1</v>
      </c>
      <c r="BR14" s="109">
        <f>BN18</f>
        <v>0</v>
      </c>
      <c r="BS14" s="109">
        <f>BN19</f>
        <v>2</v>
      </c>
      <c r="BT14" s="109">
        <f>BN20</f>
        <v>0</v>
      </c>
      <c r="BU14" s="109">
        <f>BN21</f>
        <v>1</v>
      </c>
      <c r="BV14" s="109">
        <f>BN22</f>
        <v>2</v>
      </c>
    </row>
    <row r="15" spans="1:74" ht="12" customHeight="1" x14ac:dyDescent="0.2">
      <c r="A15" s="187" t="s">
        <v>247</v>
      </c>
      <c r="B15" s="187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251</v>
      </c>
      <c r="BD15" s="40">
        <v>2</v>
      </c>
      <c r="BE15" s="40">
        <v>2</v>
      </c>
      <c r="BF15" s="40">
        <v>2</v>
      </c>
      <c r="BG15" s="40">
        <v>1</v>
      </c>
      <c r="BH15" s="40">
        <v>2</v>
      </c>
      <c r="BI15" s="40">
        <v>2</v>
      </c>
      <c r="BJ15" s="40">
        <v>1</v>
      </c>
      <c r="BK15" s="40">
        <v>1</v>
      </c>
      <c r="BL15" s="40">
        <v>2</v>
      </c>
      <c r="BM15" s="40">
        <v>2</v>
      </c>
      <c r="BN15" s="40">
        <v>1</v>
      </c>
      <c r="BO15" s="40" t="s">
        <v>259</v>
      </c>
      <c r="BP15" s="40">
        <f>BO16</f>
        <v>1</v>
      </c>
      <c r="BQ15" s="40">
        <f>BO17</f>
        <v>2</v>
      </c>
      <c r="BR15" s="40">
        <f>BO18</f>
        <v>1</v>
      </c>
      <c r="BS15" s="40">
        <f>BO19</f>
        <v>3</v>
      </c>
      <c r="BT15" s="40">
        <f>BO20</f>
        <v>1</v>
      </c>
      <c r="BU15" s="40">
        <f>BO21</f>
        <v>3</v>
      </c>
      <c r="BV15" s="40">
        <f>BO22</f>
        <v>1</v>
      </c>
    </row>
    <row r="16" spans="1:74" ht="12" customHeight="1" x14ac:dyDescent="0.2">
      <c r="A16" s="103"/>
      <c r="B16" s="2">
        <v>8</v>
      </c>
      <c r="C16" s="186" t="s">
        <v>255</v>
      </c>
      <c r="D16" s="186"/>
      <c r="E16" s="186"/>
      <c r="F16" s="186" t="s">
        <v>260</v>
      </c>
      <c r="G16" s="186"/>
      <c r="H16" s="186"/>
      <c r="I16" s="186" t="s">
        <v>234</v>
      </c>
      <c r="J16" s="186"/>
      <c r="K16" s="186"/>
      <c r="L16" s="186" t="s">
        <v>268</v>
      </c>
      <c r="M16" s="186"/>
      <c r="N16" s="186"/>
      <c r="O16" s="102"/>
      <c r="P16" s="186" t="s">
        <v>253</v>
      </c>
      <c r="Q16" s="186"/>
      <c r="R16" s="186"/>
      <c r="S16" s="186" t="s">
        <v>252</v>
      </c>
      <c r="T16" s="186"/>
      <c r="U16" s="186"/>
      <c r="V16" s="186" t="s">
        <v>241</v>
      </c>
      <c r="W16" s="186"/>
      <c r="X16" s="186"/>
      <c r="Y16" s="186" t="s">
        <v>40</v>
      </c>
      <c r="Z16" s="186"/>
      <c r="AA16" s="186"/>
      <c r="AB16" s="36"/>
      <c r="AC16" s="186" t="s">
        <v>243</v>
      </c>
      <c r="AD16" s="186"/>
      <c r="AE16" s="186"/>
      <c r="AF16" s="186" t="s">
        <v>235</v>
      </c>
      <c r="AG16" s="186"/>
      <c r="AH16" s="186"/>
      <c r="AI16" s="186" t="s">
        <v>256</v>
      </c>
      <c r="AJ16" s="186"/>
      <c r="AK16" s="186"/>
      <c r="AL16" s="186" t="s">
        <v>262</v>
      </c>
      <c r="AM16" s="186"/>
      <c r="AN16" s="186"/>
      <c r="AO16" s="100"/>
      <c r="AP16" s="186" t="s">
        <v>245</v>
      </c>
      <c r="AQ16" s="186"/>
      <c r="AR16" s="186"/>
      <c r="AS16" s="186" t="s">
        <v>257</v>
      </c>
      <c r="AT16" s="186"/>
      <c r="AU16" s="186"/>
      <c r="AV16" s="186" t="s">
        <v>239</v>
      </c>
      <c r="AW16" s="186"/>
      <c r="AX16" s="186"/>
      <c r="AY16" s="186" t="s">
        <v>236</v>
      </c>
      <c r="AZ16" s="186"/>
      <c r="BA16" s="186"/>
      <c r="BB16" s="100"/>
      <c r="BC16" s="108" t="s">
        <v>125</v>
      </c>
      <c r="BD16" s="109">
        <v>1</v>
      </c>
      <c r="BE16" s="109">
        <v>2</v>
      </c>
      <c r="BF16" s="109">
        <v>2</v>
      </c>
      <c r="BG16" s="109"/>
      <c r="BH16" s="109">
        <v>2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259</v>
      </c>
      <c r="BQ16" s="109">
        <f>BP17</f>
        <v>0</v>
      </c>
      <c r="BR16" s="109">
        <f>BP18</f>
        <v>2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87" t="s">
        <v>247</v>
      </c>
      <c r="B17" s="187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>
        <v>1</v>
      </c>
      <c r="BE17" s="40">
        <v>2</v>
      </c>
      <c r="BF17" s="40">
        <v>2</v>
      </c>
      <c r="BG17" s="40"/>
      <c r="BH17" s="40">
        <v>1</v>
      </c>
      <c r="BI17" s="40">
        <v>2</v>
      </c>
      <c r="BJ17" s="40">
        <v>1</v>
      </c>
      <c r="BK17" s="40">
        <v>2</v>
      </c>
      <c r="BL17" s="40">
        <v>1</v>
      </c>
      <c r="BM17" s="40">
        <v>1</v>
      </c>
      <c r="BN17" s="40">
        <v>1</v>
      </c>
      <c r="BO17" s="40">
        <v>2</v>
      </c>
      <c r="BP17" s="40"/>
      <c r="BQ17" s="40" t="s">
        <v>259</v>
      </c>
      <c r="BR17" s="40">
        <f>BQ18</f>
        <v>1</v>
      </c>
      <c r="BS17" s="40">
        <f>BQ19</f>
        <v>1</v>
      </c>
      <c r="BT17" s="40">
        <f>BQ20</f>
        <v>0</v>
      </c>
      <c r="BU17" s="40">
        <f>BQ21</f>
        <v>3</v>
      </c>
      <c r="BV17" s="40">
        <f>BQ22</f>
        <v>2</v>
      </c>
    </row>
    <row r="18" spans="1:74" ht="12" customHeight="1" x14ac:dyDescent="0.2">
      <c r="A18" s="103"/>
      <c r="B18" s="2">
        <v>9</v>
      </c>
      <c r="C18" s="186" t="s">
        <v>245</v>
      </c>
      <c r="D18" s="186"/>
      <c r="E18" s="186"/>
      <c r="F18" s="186" t="s">
        <v>243</v>
      </c>
      <c r="G18" s="186"/>
      <c r="H18" s="186"/>
      <c r="I18" s="186" t="s">
        <v>257</v>
      </c>
      <c r="J18" s="186"/>
      <c r="K18" s="186"/>
      <c r="L18" s="186" t="s">
        <v>234</v>
      </c>
      <c r="M18" s="186"/>
      <c r="N18" s="186"/>
      <c r="O18" s="102"/>
      <c r="P18" s="186" t="s">
        <v>256</v>
      </c>
      <c r="Q18" s="186"/>
      <c r="R18" s="186"/>
      <c r="S18" s="186" t="s">
        <v>237</v>
      </c>
      <c r="T18" s="186"/>
      <c r="U18" s="186"/>
      <c r="V18" s="186" t="s">
        <v>244</v>
      </c>
      <c r="W18" s="186"/>
      <c r="X18" s="186"/>
      <c r="Y18" s="186" t="s">
        <v>252</v>
      </c>
      <c r="Z18" s="186"/>
      <c r="AA18" s="186"/>
      <c r="AB18" s="36"/>
      <c r="AC18" s="186" t="s">
        <v>258</v>
      </c>
      <c r="AD18" s="186"/>
      <c r="AE18" s="186"/>
      <c r="AF18" s="186" t="s">
        <v>260</v>
      </c>
      <c r="AG18" s="186"/>
      <c r="AH18" s="186"/>
      <c r="AI18" s="186" t="s">
        <v>235</v>
      </c>
      <c r="AJ18" s="186"/>
      <c r="AK18" s="186"/>
      <c r="AL18" s="186" t="s">
        <v>263</v>
      </c>
      <c r="AM18" s="186"/>
      <c r="AN18" s="186"/>
      <c r="AO18" s="104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00"/>
      <c r="BC18" s="108" t="s">
        <v>243</v>
      </c>
      <c r="BD18" s="109">
        <v>1</v>
      </c>
      <c r="BE18" s="109">
        <v>3</v>
      </c>
      <c r="BF18" s="109">
        <v>2</v>
      </c>
      <c r="BG18" s="109"/>
      <c r="BH18" s="109">
        <v>2</v>
      </c>
      <c r="BI18" s="109">
        <v>2</v>
      </c>
      <c r="BJ18" s="109"/>
      <c r="BK18" s="109">
        <v>3</v>
      </c>
      <c r="BL18" s="109">
        <v>2</v>
      </c>
      <c r="BM18" s="109">
        <v>2</v>
      </c>
      <c r="BN18" s="109"/>
      <c r="BO18" s="109">
        <v>1</v>
      </c>
      <c r="BP18" s="109">
        <v>2</v>
      </c>
      <c r="BQ18" s="109">
        <v>1</v>
      </c>
      <c r="BR18" s="109" t="s">
        <v>259</v>
      </c>
      <c r="BS18" s="109">
        <f>BR19</f>
        <v>1</v>
      </c>
      <c r="BT18" s="109">
        <f>BR20</f>
        <v>0</v>
      </c>
      <c r="BU18" s="109">
        <f>BR21</f>
        <v>1</v>
      </c>
      <c r="BV18" s="109">
        <f>BR22</f>
        <v>2</v>
      </c>
    </row>
    <row r="19" spans="1:74" ht="12" customHeight="1" x14ac:dyDescent="0.2">
      <c r="A19" s="187" t="s">
        <v>247</v>
      </c>
      <c r="B19" s="187"/>
      <c r="C19" s="105">
        <v>74</v>
      </c>
      <c r="D19" s="106">
        <v>-18</v>
      </c>
      <c r="E19" s="105">
        <v>34</v>
      </c>
      <c r="F19" s="105">
        <v>77</v>
      </c>
      <c r="G19" s="106">
        <v>-8</v>
      </c>
      <c r="H19" s="105">
        <v>33</v>
      </c>
      <c r="I19" s="105">
        <v>98</v>
      </c>
      <c r="J19" s="106">
        <v>10</v>
      </c>
      <c r="K19" s="105">
        <v>27</v>
      </c>
      <c r="L19" s="105">
        <v>75</v>
      </c>
      <c r="M19" s="106">
        <v>16</v>
      </c>
      <c r="N19" s="105">
        <v>37</v>
      </c>
      <c r="O19" s="102"/>
      <c r="P19" s="105">
        <v>92</v>
      </c>
      <c r="Q19" s="106">
        <v>-50</v>
      </c>
      <c r="R19" s="105">
        <v>25</v>
      </c>
      <c r="S19" s="105">
        <v>76</v>
      </c>
      <c r="T19" s="106">
        <v>28</v>
      </c>
      <c r="U19" s="105">
        <v>36</v>
      </c>
      <c r="V19" s="105">
        <v>93</v>
      </c>
      <c r="W19" s="106">
        <v>6</v>
      </c>
      <c r="X19" s="105">
        <v>28</v>
      </c>
      <c r="Y19" s="105">
        <v>81</v>
      </c>
      <c r="Z19" s="106">
        <v>16</v>
      </c>
      <c r="AA19" s="105">
        <v>37</v>
      </c>
      <c r="AB19" s="36"/>
      <c r="AC19" s="105">
        <v>86</v>
      </c>
      <c r="AD19" s="106">
        <v>-20</v>
      </c>
      <c r="AE19" s="105">
        <v>36</v>
      </c>
      <c r="AF19" s="105">
        <v>81</v>
      </c>
      <c r="AG19" s="106">
        <v>-8</v>
      </c>
      <c r="AH19" s="105">
        <v>33</v>
      </c>
      <c r="AI19" s="105">
        <v>89</v>
      </c>
      <c r="AJ19" s="106">
        <v>12</v>
      </c>
      <c r="AK19" s="105">
        <v>34</v>
      </c>
      <c r="AL19" s="105">
        <v>84</v>
      </c>
      <c r="AM19" s="106">
        <v>16</v>
      </c>
      <c r="AN19" s="105">
        <v>30</v>
      </c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252</v>
      </c>
      <c r="BD19" s="40">
        <v>2</v>
      </c>
      <c r="BE19" s="40">
        <v>2</v>
      </c>
      <c r="BF19" s="40">
        <v>2</v>
      </c>
      <c r="BG19" s="40"/>
      <c r="BH19" s="40">
        <v>2</v>
      </c>
      <c r="BI19" s="40">
        <v>1</v>
      </c>
      <c r="BJ19" s="40">
        <v>1</v>
      </c>
      <c r="BK19" s="40">
        <v>2</v>
      </c>
      <c r="BL19" s="40">
        <v>1</v>
      </c>
      <c r="BM19" s="40">
        <v>3</v>
      </c>
      <c r="BN19" s="40">
        <v>2</v>
      </c>
      <c r="BO19" s="40">
        <v>3</v>
      </c>
      <c r="BP19" s="40">
        <v>1</v>
      </c>
      <c r="BQ19" s="40">
        <v>1</v>
      </c>
      <c r="BR19" s="40">
        <v>1</v>
      </c>
      <c r="BS19" s="40" t="s">
        <v>259</v>
      </c>
      <c r="BT19" s="40">
        <f>BS20</f>
        <v>1</v>
      </c>
      <c r="BU19" s="40">
        <f>BS21</f>
        <v>2</v>
      </c>
      <c r="BV19" s="40">
        <f>BS22</f>
        <v>2</v>
      </c>
    </row>
    <row r="20" spans="1:74" ht="12" customHeight="1" x14ac:dyDescent="0.2">
      <c r="A20" s="103"/>
      <c r="B20" s="2">
        <v>10</v>
      </c>
      <c r="C20" s="186" t="s">
        <v>234</v>
      </c>
      <c r="D20" s="186"/>
      <c r="E20" s="186"/>
      <c r="F20" s="186" t="s">
        <v>237</v>
      </c>
      <c r="G20" s="186"/>
      <c r="H20" s="186"/>
      <c r="I20" s="186" t="s">
        <v>239</v>
      </c>
      <c r="J20" s="186"/>
      <c r="K20" s="186"/>
      <c r="L20" s="186" t="s">
        <v>352</v>
      </c>
      <c r="M20" s="186"/>
      <c r="N20" s="186"/>
      <c r="O20" s="102"/>
      <c r="P20" s="186" t="s">
        <v>245</v>
      </c>
      <c r="Q20" s="186"/>
      <c r="R20" s="186"/>
      <c r="S20" s="186" t="s">
        <v>60</v>
      </c>
      <c r="T20" s="186"/>
      <c r="U20" s="186"/>
      <c r="V20" s="186" t="s">
        <v>235</v>
      </c>
      <c r="W20" s="186"/>
      <c r="X20" s="186"/>
      <c r="Y20" s="186" t="s">
        <v>263</v>
      </c>
      <c r="Z20" s="186"/>
      <c r="AA20" s="186"/>
      <c r="AB20" s="36"/>
      <c r="AC20" s="186" t="s">
        <v>252</v>
      </c>
      <c r="AD20" s="186"/>
      <c r="AE20" s="186"/>
      <c r="AF20" s="186" t="s">
        <v>353</v>
      </c>
      <c r="AG20" s="186"/>
      <c r="AH20" s="186"/>
      <c r="AI20" s="186" t="s">
        <v>260</v>
      </c>
      <c r="AJ20" s="186"/>
      <c r="AK20" s="186"/>
      <c r="AL20" s="186" t="s">
        <v>236</v>
      </c>
      <c r="AM20" s="186"/>
      <c r="AN20" s="186"/>
      <c r="AO20" s="100"/>
      <c r="AP20" s="186" t="s">
        <v>268</v>
      </c>
      <c r="AQ20" s="186"/>
      <c r="AR20" s="186"/>
      <c r="AS20" s="186" t="s">
        <v>258</v>
      </c>
      <c r="AT20" s="186"/>
      <c r="AU20" s="186"/>
      <c r="AV20" s="186" t="s">
        <v>240</v>
      </c>
      <c r="AW20" s="186"/>
      <c r="AX20" s="186"/>
      <c r="AY20" s="186" t="s">
        <v>40</v>
      </c>
      <c r="AZ20" s="186"/>
      <c r="BA20" s="186"/>
      <c r="BB20" s="100"/>
      <c r="BC20" s="108" t="s">
        <v>253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259</v>
      </c>
      <c r="BU20" s="109">
        <f>BT21</f>
        <v>1</v>
      </c>
      <c r="BV20" s="109">
        <f>BT22</f>
        <v>2</v>
      </c>
    </row>
    <row r="21" spans="1:74" ht="12" customHeight="1" x14ac:dyDescent="0.2">
      <c r="A21" s="187" t="s">
        <v>247</v>
      </c>
      <c r="B21" s="187"/>
      <c r="C21" s="105">
        <v>76</v>
      </c>
      <c r="D21" s="106">
        <v>2</v>
      </c>
      <c r="E21" s="105">
        <v>37</v>
      </c>
      <c r="F21" s="105">
        <v>87</v>
      </c>
      <c r="G21" s="106">
        <v>-46</v>
      </c>
      <c r="H21" s="105">
        <v>28</v>
      </c>
      <c r="I21" s="105">
        <v>89</v>
      </c>
      <c r="J21" s="106">
        <v>30</v>
      </c>
      <c r="K21" s="105">
        <v>36</v>
      </c>
      <c r="L21" s="105">
        <v>69</v>
      </c>
      <c r="M21" s="106">
        <v>14</v>
      </c>
      <c r="N21" s="105">
        <v>36</v>
      </c>
      <c r="O21" s="102"/>
      <c r="P21" s="105">
        <v>82</v>
      </c>
      <c r="Q21" s="106">
        <v>-24</v>
      </c>
      <c r="R21" s="105">
        <v>28</v>
      </c>
      <c r="S21" s="105">
        <v>72</v>
      </c>
      <c r="T21" s="106">
        <v>18</v>
      </c>
      <c r="U21" s="105">
        <v>40</v>
      </c>
      <c r="V21" s="105">
        <v>93</v>
      </c>
      <c r="W21" s="106">
        <v>-12</v>
      </c>
      <c r="X21" s="105">
        <v>31</v>
      </c>
      <c r="Y21" s="105">
        <v>85</v>
      </c>
      <c r="Z21" s="106">
        <v>18</v>
      </c>
      <c r="AA21" s="105">
        <v>32</v>
      </c>
      <c r="AB21" s="36"/>
      <c r="AC21" s="105">
        <v>87</v>
      </c>
      <c r="AD21" s="106">
        <v>-10</v>
      </c>
      <c r="AE21" s="105">
        <v>35</v>
      </c>
      <c r="AF21" s="105">
        <v>76</v>
      </c>
      <c r="AG21" s="106">
        <v>4</v>
      </c>
      <c r="AH21" s="105">
        <v>38</v>
      </c>
      <c r="AI21" s="105">
        <v>75</v>
      </c>
      <c r="AJ21" s="106">
        <v>14</v>
      </c>
      <c r="AK21" s="105">
        <v>39</v>
      </c>
      <c r="AL21" s="105">
        <v>91</v>
      </c>
      <c r="AM21" s="106">
        <v>-8</v>
      </c>
      <c r="AN21" s="105">
        <v>36</v>
      </c>
      <c r="AO21" s="38"/>
      <c r="AP21" s="111">
        <v>86</v>
      </c>
      <c r="AQ21" s="113">
        <v>7</v>
      </c>
      <c r="AR21" s="111">
        <v>36</v>
      </c>
      <c r="AS21" s="111">
        <v>92</v>
      </c>
      <c r="AT21" s="113">
        <v>-11</v>
      </c>
      <c r="AU21" s="111">
        <v>30</v>
      </c>
      <c r="AV21" s="111">
        <v>80</v>
      </c>
      <c r="AW21" s="113">
        <v>9</v>
      </c>
      <c r="AX21" s="111">
        <v>39</v>
      </c>
      <c r="AY21" s="111">
        <v>89</v>
      </c>
      <c r="AZ21" s="113">
        <v>-5</v>
      </c>
      <c r="BA21" s="111">
        <v>27</v>
      </c>
      <c r="BB21" s="38"/>
      <c r="BC21" t="s">
        <v>254</v>
      </c>
      <c r="BD21" s="40">
        <v>1</v>
      </c>
      <c r="BE21" s="40">
        <v>2</v>
      </c>
      <c r="BF21" s="40">
        <v>2</v>
      </c>
      <c r="BG21" s="40"/>
      <c r="BH21" s="40">
        <v>2</v>
      </c>
      <c r="BI21" s="40">
        <v>2</v>
      </c>
      <c r="BJ21" s="40">
        <v>2</v>
      </c>
      <c r="BK21" s="40">
        <v>2</v>
      </c>
      <c r="BL21" s="40">
        <v>1</v>
      </c>
      <c r="BM21" s="40">
        <v>1</v>
      </c>
      <c r="BN21" s="40">
        <v>1</v>
      </c>
      <c r="BO21" s="40">
        <v>3</v>
      </c>
      <c r="BP21" s="40">
        <v>1</v>
      </c>
      <c r="BQ21" s="40">
        <v>3</v>
      </c>
      <c r="BR21" s="40">
        <v>1</v>
      </c>
      <c r="BS21" s="40">
        <v>2</v>
      </c>
      <c r="BT21" s="40">
        <v>1</v>
      </c>
      <c r="BU21" s="40" t="s">
        <v>259</v>
      </c>
      <c r="BV21" s="40">
        <f>BU22</f>
        <v>2</v>
      </c>
    </row>
    <row r="22" spans="1:74" ht="12" customHeight="1" x14ac:dyDescent="0.2">
      <c r="A22" s="103"/>
      <c r="B22" s="2">
        <v>11</v>
      </c>
      <c r="C22" s="186" t="s">
        <v>356</v>
      </c>
      <c r="D22" s="186"/>
      <c r="E22" s="186"/>
      <c r="F22" s="186" t="s">
        <v>258</v>
      </c>
      <c r="G22" s="186"/>
      <c r="H22" s="186"/>
      <c r="I22" s="186" t="s">
        <v>244</v>
      </c>
      <c r="J22" s="186"/>
      <c r="K22" s="186"/>
      <c r="L22" s="186" t="s">
        <v>235</v>
      </c>
      <c r="M22" s="186"/>
      <c r="N22" s="186"/>
      <c r="O22" s="102"/>
      <c r="P22" s="186" t="s">
        <v>263</v>
      </c>
      <c r="Q22" s="186"/>
      <c r="R22" s="186"/>
      <c r="S22" s="186" t="s">
        <v>355</v>
      </c>
      <c r="T22" s="186"/>
      <c r="U22" s="186"/>
      <c r="V22" s="186" t="s">
        <v>243</v>
      </c>
      <c r="W22" s="186"/>
      <c r="X22" s="186"/>
      <c r="Y22" s="186" t="s">
        <v>236</v>
      </c>
      <c r="Z22" s="186"/>
      <c r="AA22" s="186"/>
      <c r="AB22" s="36"/>
      <c r="AC22" s="186" t="s">
        <v>252</v>
      </c>
      <c r="AD22" s="186"/>
      <c r="AE22" s="186"/>
      <c r="AF22" s="186" t="s">
        <v>239</v>
      </c>
      <c r="AG22" s="186"/>
      <c r="AH22" s="186"/>
      <c r="AI22" s="186" t="s">
        <v>268</v>
      </c>
      <c r="AJ22" s="186"/>
      <c r="AK22" s="186"/>
      <c r="AL22" s="186" t="s">
        <v>262</v>
      </c>
      <c r="AM22" s="186"/>
      <c r="AN22" s="186"/>
      <c r="AO22" s="100"/>
      <c r="AP22" s="186" t="s">
        <v>354</v>
      </c>
      <c r="AQ22" s="186"/>
      <c r="AR22" s="186"/>
      <c r="AS22" s="186" t="s">
        <v>60</v>
      </c>
      <c r="AT22" s="186"/>
      <c r="AU22" s="186"/>
      <c r="AV22" s="186" t="s">
        <v>245</v>
      </c>
      <c r="AW22" s="186"/>
      <c r="AX22" s="186"/>
      <c r="AY22" s="186" t="s">
        <v>240</v>
      </c>
      <c r="AZ22" s="186"/>
      <c r="BA22" s="186"/>
      <c r="BB22" s="100"/>
      <c r="BC22" s="108" t="s">
        <v>246</v>
      </c>
      <c r="BD22" s="109">
        <v>2</v>
      </c>
      <c r="BE22" s="109">
        <v>1</v>
      </c>
      <c r="BF22" s="109">
        <v>2</v>
      </c>
      <c r="BG22" s="109"/>
      <c r="BH22" s="109">
        <v>2</v>
      </c>
      <c r="BI22" s="109">
        <v>2</v>
      </c>
      <c r="BJ22" s="109">
        <v>1</v>
      </c>
      <c r="BK22" s="109">
        <v>1</v>
      </c>
      <c r="BL22" s="109">
        <v>2</v>
      </c>
      <c r="BM22" s="109">
        <v>1</v>
      </c>
      <c r="BN22" s="109">
        <v>2</v>
      </c>
      <c r="BO22" s="109">
        <v>1</v>
      </c>
      <c r="BP22" s="109">
        <v>1</v>
      </c>
      <c r="BQ22" s="109">
        <v>2</v>
      </c>
      <c r="BR22" s="109">
        <v>2</v>
      </c>
      <c r="BS22" s="109">
        <v>2</v>
      </c>
      <c r="BT22" s="109">
        <v>2</v>
      </c>
      <c r="BU22" s="109">
        <v>2</v>
      </c>
      <c r="BV22" s="109" t="s">
        <v>259</v>
      </c>
    </row>
    <row r="23" spans="1:74" ht="12" customHeight="1" x14ac:dyDescent="0.2">
      <c r="A23" s="187" t="s">
        <v>247</v>
      </c>
      <c r="B23" s="187"/>
      <c r="C23" s="105">
        <v>86</v>
      </c>
      <c r="D23" s="106">
        <v>-8</v>
      </c>
      <c r="E23" s="105">
        <v>31</v>
      </c>
      <c r="F23" s="105">
        <v>104</v>
      </c>
      <c r="G23" s="106">
        <v>2</v>
      </c>
      <c r="H23" s="105">
        <v>21</v>
      </c>
      <c r="I23" s="105">
        <v>90</v>
      </c>
      <c r="J23" s="106">
        <v>-12</v>
      </c>
      <c r="K23" s="105">
        <v>35</v>
      </c>
      <c r="L23" s="105">
        <v>96</v>
      </c>
      <c r="M23" s="106">
        <v>18</v>
      </c>
      <c r="N23" s="105">
        <v>31</v>
      </c>
      <c r="O23" s="102"/>
      <c r="P23" s="105">
        <v>82</v>
      </c>
      <c r="Q23" s="106">
        <v>-57</v>
      </c>
      <c r="R23" s="105">
        <v>37</v>
      </c>
      <c r="S23" s="105">
        <v>75</v>
      </c>
      <c r="T23" s="106">
        <v>11</v>
      </c>
      <c r="U23" s="105">
        <v>33</v>
      </c>
      <c r="V23" s="105">
        <v>76</v>
      </c>
      <c r="W23" s="106">
        <v>45</v>
      </c>
      <c r="X23" s="105">
        <v>38</v>
      </c>
      <c r="Y23" s="105">
        <v>111</v>
      </c>
      <c r="Z23" s="106">
        <v>1</v>
      </c>
      <c r="AA23" s="105">
        <v>19</v>
      </c>
      <c r="AB23" s="36"/>
      <c r="AC23" s="105">
        <v>89</v>
      </c>
      <c r="AD23" s="106">
        <v>22</v>
      </c>
      <c r="AE23" s="105">
        <v>34</v>
      </c>
      <c r="AF23" s="105">
        <v>96</v>
      </c>
      <c r="AG23" s="106">
        <v>10</v>
      </c>
      <c r="AH23" s="105">
        <v>32</v>
      </c>
      <c r="AI23" s="105">
        <v>95</v>
      </c>
      <c r="AJ23" s="106">
        <v>-28</v>
      </c>
      <c r="AK23" s="105">
        <v>29</v>
      </c>
      <c r="AL23" s="105">
        <v>83</v>
      </c>
      <c r="AM23" s="106">
        <v>-4</v>
      </c>
      <c r="AN23" s="105">
        <v>35</v>
      </c>
      <c r="AO23" s="38"/>
      <c r="AP23" s="111">
        <v>68</v>
      </c>
      <c r="AQ23" s="113">
        <v>-1</v>
      </c>
      <c r="AR23" s="111">
        <v>33</v>
      </c>
      <c r="AS23" s="111">
        <v>78</v>
      </c>
      <c r="AT23" s="113">
        <v>9</v>
      </c>
      <c r="AU23" s="111">
        <v>33</v>
      </c>
      <c r="AV23" s="111">
        <v>82</v>
      </c>
      <c r="AW23" s="113">
        <v>-7</v>
      </c>
      <c r="AX23" s="111">
        <v>30</v>
      </c>
      <c r="AY23" s="111">
        <v>89</v>
      </c>
      <c r="AZ23" s="113">
        <v>-1</v>
      </c>
      <c r="BA23" s="111">
        <v>32</v>
      </c>
      <c r="BB23" s="38"/>
      <c r="BC23" t="s">
        <v>20</v>
      </c>
      <c r="BD23" s="40">
        <f t="shared" ref="BD23:BV23" si="0">SUM(BD4:BD22)</f>
        <v>25</v>
      </c>
      <c r="BE23" s="40">
        <f t="shared" si="0"/>
        <v>27</v>
      </c>
      <c r="BF23" s="40">
        <f t="shared" si="0"/>
        <v>30</v>
      </c>
      <c r="BG23" s="40">
        <f t="shared" si="0"/>
        <v>8</v>
      </c>
      <c r="BH23" s="40">
        <f t="shared" si="0"/>
        <v>33</v>
      </c>
      <c r="BI23" s="40">
        <f t="shared" si="0"/>
        <v>28</v>
      </c>
      <c r="BJ23" s="40">
        <f t="shared" si="0"/>
        <v>20</v>
      </c>
      <c r="BK23" s="40">
        <f t="shared" si="0"/>
        <v>31</v>
      </c>
      <c r="BL23" s="40">
        <f t="shared" si="0"/>
        <v>27</v>
      </c>
      <c r="BM23" s="40">
        <f t="shared" si="0"/>
        <v>29</v>
      </c>
      <c r="BN23" s="40">
        <f t="shared" si="0"/>
        <v>18</v>
      </c>
      <c r="BO23" s="40">
        <f t="shared" si="0"/>
        <v>30</v>
      </c>
      <c r="BP23" s="40">
        <f t="shared" si="0"/>
        <v>20</v>
      </c>
      <c r="BQ23" s="40">
        <f t="shared" si="0"/>
        <v>23</v>
      </c>
      <c r="BR23" s="40">
        <f t="shared" si="0"/>
        <v>25</v>
      </c>
      <c r="BS23" s="40">
        <f t="shared" si="0"/>
        <v>29</v>
      </c>
      <c r="BT23" s="40">
        <f t="shared" si="0"/>
        <v>14</v>
      </c>
      <c r="BU23" s="40">
        <f t="shared" si="0"/>
        <v>29</v>
      </c>
      <c r="BV23" s="40">
        <f t="shared" si="0"/>
        <v>28</v>
      </c>
    </row>
    <row r="24" spans="1:74" ht="12" customHeight="1" x14ac:dyDescent="0.2">
      <c r="A24" s="103"/>
      <c r="B24" s="2">
        <v>12</v>
      </c>
      <c r="C24" s="186" t="s">
        <v>235</v>
      </c>
      <c r="D24" s="186"/>
      <c r="E24" s="186"/>
      <c r="F24" s="186" t="s">
        <v>244</v>
      </c>
      <c r="G24" s="186"/>
      <c r="H24" s="186"/>
      <c r="I24" s="186" t="s">
        <v>59</v>
      </c>
      <c r="J24" s="186"/>
      <c r="K24" s="186"/>
      <c r="L24" s="186" t="s">
        <v>256</v>
      </c>
      <c r="M24" s="186"/>
      <c r="N24" s="186"/>
      <c r="O24" s="102"/>
      <c r="P24" s="186" t="s">
        <v>252</v>
      </c>
      <c r="Q24" s="186"/>
      <c r="R24" s="186"/>
      <c r="S24" s="186" t="s">
        <v>243</v>
      </c>
      <c r="T24" s="186"/>
      <c r="U24" s="186"/>
      <c r="V24" s="186" t="s">
        <v>258</v>
      </c>
      <c r="W24" s="186"/>
      <c r="X24" s="186"/>
      <c r="Y24" s="186" t="s">
        <v>260</v>
      </c>
      <c r="Z24" s="186"/>
      <c r="AA24" s="186"/>
      <c r="AB24" s="36"/>
      <c r="AC24" s="186" t="s">
        <v>234</v>
      </c>
      <c r="AD24" s="186"/>
      <c r="AE24" s="186"/>
      <c r="AF24" s="186" t="s">
        <v>262</v>
      </c>
      <c r="AG24" s="186"/>
      <c r="AH24" s="186"/>
      <c r="AI24" s="186" t="s">
        <v>236</v>
      </c>
      <c r="AJ24" s="186"/>
      <c r="AK24" s="186"/>
      <c r="AL24" s="186" t="s">
        <v>60</v>
      </c>
      <c r="AM24" s="186"/>
      <c r="AN24" s="186"/>
      <c r="AO24" s="100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00"/>
    </row>
    <row r="25" spans="1:74" ht="12" customHeight="1" x14ac:dyDescent="0.2">
      <c r="A25" s="187" t="s">
        <v>247</v>
      </c>
      <c r="B25" s="187"/>
      <c r="C25" s="105">
        <v>92</v>
      </c>
      <c r="D25" s="106">
        <v>-2</v>
      </c>
      <c r="E25" s="105">
        <v>30</v>
      </c>
      <c r="F25" s="105">
        <v>93</v>
      </c>
      <c r="G25" s="106">
        <v>14</v>
      </c>
      <c r="H25" s="105">
        <v>28</v>
      </c>
      <c r="I25" s="105">
        <v>92</v>
      </c>
      <c r="J25" s="106">
        <v>-18</v>
      </c>
      <c r="K25" s="105">
        <v>27</v>
      </c>
      <c r="L25" s="105">
        <v>83</v>
      </c>
      <c r="M25" s="106">
        <v>6</v>
      </c>
      <c r="N25" s="105">
        <v>33</v>
      </c>
      <c r="O25" s="102"/>
      <c r="P25" s="105">
        <v>76</v>
      </c>
      <c r="Q25" s="106">
        <v>12</v>
      </c>
      <c r="R25" s="105">
        <v>42</v>
      </c>
      <c r="S25" s="105">
        <v>80</v>
      </c>
      <c r="T25" s="106">
        <v>-22</v>
      </c>
      <c r="U25" s="105">
        <v>29</v>
      </c>
      <c r="V25" s="105">
        <v>91</v>
      </c>
      <c r="W25" s="106">
        <v>-6</v>
      </c>
      <c r="X25" s="105">
        <v>30</v>
      </c>
      <c r="Y25" s="105">
        <v>82</v>
      </c>
      <c r="Z25" s="106">
        <v>16</v>
      </c>
      <c r="AA25" s="105">
        <v>28</v>
      </c>
      <c r="AB25" s="36"/>
      <c r="AC25" s="105">
        <v>75</v>
      </c>
      <c r="AD25" s="106">
        <v>2</v>
      </c>
      <c r="AE25" s="105">
        <v>35</v>
      </c>
      <c r="AF25" s="105">
        <v>74</v>
      </c>
      <c r="AG25" s="106">
        <v>18</v>
      </c>
      <c r="AH25" s="105">
        <v>39</v>
      </c>
      <c r="AI25" s="105">
        <v>104</v>
      </c>
      <c r="AJ25" s="106">
        <v>-20</v>
      </c>
      <c r="AK25" s="105">
        <v>21</v>
      </c>
      <c r="AL25" s="105">
        <v>77</v>
      </c>
      <c r="AM25" s="106">
        <v>0</v>
      </c>
      <c r="AN25" s="105">
        <v>30</v>
      </c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86" t="s">
        <v>361</v>
      </c>
      <c r="D26" s="186"/>
      <c r="E26" s="186"/>
      <c r="F26" s="186" t="s">
        <v>362</v>
      </c>
      <c r="G26" s="186"/>
      <c r="H26" s="186"/>
      <c r="I26" s="186" t="s">
        <v>363</v>
      </c>
      <c r="J26" s="186"/>
      <c r="K26" s="186"/>
      <c r="L26" s="186" t="s">
        <v>364</v>
      </c>
      <c r="M26" s="186"/>
      <c r="N26" s="186"/>
      <c r="O26" s="102"/>
      <c r="P26" s="186" t="s">
        <v>365</v>
      </c>
      <c r="Q26" s="186"/>
      <c r="R26" s="186"/>
      <c r="S26" s="186" t="s">
        <v>366</v>
      </c>
      <c r="T26" s="186"/>
      <c r="U26" s="186"/>
      <c r="V26" s="186" t="s">
        <v>367</v>
      </c>
      <c r="W26" s="186"/>
      <c r="X26" s="186"/>
      <c r="Y26" s="186" t="s">
        <v>368</v>
      </c>
      <c r="Z26" s="186"/>
      <c r="AA26" s="186"/>
      <c r="AB26" s="36"/>
      <c r="AC26" s="186" t="s">
        <v>369</v>
      </c>
      <c r="AD26" s="186"/>
      <c r="AE26" s="186"/>
      <c r="AF26" s="186" t="s">
        <v>370</v>
      </c>
      <c r="AG26" s="186"/>
      <c r="AH26" s="186"/>
      <c r="AI26" s="186" t="s">
        <v>371</v>
      </c>
      <c r="AJ26" s="186"/>
      <c r="AK26" s="186"/>
      <c r="AL26" s="186" t="s">
        <v>372</v>
      </c>
      <c r="AM26" s="186"/>
      <c r="AN26" s="186"/>
      <c r="AO26" s="100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00"/>
    </row>
    <row r="27" spans="1:74" ht="12" customHeight="1" x14ac:dyDescent="0.2">
      <c r="A27" s="187" t="s">
        <v>247</v>
      </c>
      <c r="B27" s="187"/>
      <c r="C27" s="105">
        <v>75</v>
      </c>
      <c r="D27" s="106">
        <v>24</v>
      </c>
      <c r="E27" s="105">
        <v>38</v>
      </c>
      <c r="F27" s="105">
        <v>90</v>
      </c>
      <c r="G27" s="106">
        <v>-14</v>
      </c>
      <c r="H27" s="105">
        <v>32</v>
      </c>
      <c r="I27" s="105">
        <v>76</v>
      </c>
      <c r="J27" s="106">
        <v>12</v>
      </c>
      <c r="K27" s="105">
        <v>33</v>
      </c>
      <c r="L27" s="105">
        <v>107</v>
      </c>
      <c r="M27" s="106">
        <v>-22</v>
      </c>
      <c r="N27" s="105">
        <v>21</v>
      </c>
      <c r="O27" s="102"/>
      <c r="P27" s="105">
        <v>77</v>
      </c>
      <c r="Q27" s="106">
        <v>9</v>
      </c>
      <c r="R27" s="105">
        <v>36</v>
      </c>
      <c r="S27" s="105">
        <v>92</v>
      </c>
      <c r="T27" s="106">
        <v>-7</v>
      </c>
      <c r="U27" s="105">
        <v>30</v>
      </c>
      <c r="V27" s="105">
        <v>94</v>
      </c>
      <c r="W27" s="106">
        <v>-1</v>
      </c>
      <c r="X27" s="105">
        <v>31</v>
      </c>
      <c r="Y27" s="105">
        <v>89</v>
      </c>
      <c r="Z27" s="106">
        <v>-1</v>
      </c>
      <c r="AA27" s="105">
        <v>35</v>
      </c>
      <c r="AB27" s="36"/>
      <c r="AC27" s="105">
        <v>86</v>
      </c>
      <c r="AD27" s="106">
        <v>1</v>
      </c>
      <c r="AE27" s="105">
        <v>32</v>
      </c>
      <c r="AF27" s="105">
        <v>81</v>
      </c>
      <c r="AG27" s="106">
        <v>-9</v>
      </c>
      <c r="AH27" s="105">
        <v>34</v>
      </c>
      <c r="AI27" s="105">
        <v>90</v>
      </c>
      <c r="AJ27" s="106">
        <v>5</v>
      </c>
      <c r="AK27" s="105">
        <v>29</v>
      </c>
      <c r="AL27" s="105">
        <v>83</v>
      </c>
      <c r="AM27" s="106">
        <v>3</v>
      </c>
      <c r="AN27" s="105">
        <v>32</v>
      </c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02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3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00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00"/>
    </row>
    <row r="29" spans="1:74" ht="12" customHeight="1" x14ac:dyDescent="0.2">
      <c r="A29" s="187" t="s">
        <v>247</v>
      </c>
      <c r="B29" s="187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02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3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6"/>
      <c r="AO30" s="104"/>
      <c r="AP30" s="186"/>
      <c r="AQ30" s="186"/>
      <c r="AR30" s="186"/>
      <c r="AS30" s="186"/>
      <c r="AT30" s="186"/>
      <c r="AU30" s="186"/>
      <c r="AV30" s="186"/>
      <c r="AW30" s="186"/>
      <c r="AX30" s="186"/>
      <c r="AY30" s="186"/>
      <c r="AZ30" s="186"/>
      <c r="BA30" s="186"/>
      <c r="BB30" s="104"/>
    </row>
    <row r="31" spans="1:74" ht="12" customHeight="1" x14ac:dyDescent="0.2">
      <c r="A31" s="187" t="s">
        <v>247</v>
      </c>
      <c r="B31" s="187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02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3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6"/>
      <c r="AO32" s="104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04"/>
    </row>
    <row r="33" spans="1:54" ht="12" customHeight="1" x14ac:dyDescent="0.2">
      <c r="A33" s="187" t="s">
        <v>247</v>
      </c>
      <c r="B33" s="187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02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3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04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04"/>
    </row>
    <row r="35" spans="1:54" ht="12" customHeight="1" x14ac:dyDescent="0.2">
      <c r="A35" s="187" t="s">
        <v>247</v>
      </c>
      <c r="B35" s="187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02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3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04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04"/>
    </row>
    <row r="37" spans="1:54" ht="12" customHeight="1" x14ac:dyDescent="0.2">
      <c r="A37" s="187" t="s">
        <v>247</v>
      </c>
      <c r="B37" s="187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265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88" t="s">
        <v>266</v>
      </c>
      <c r="B2" s="116" t="s">
        <v>267</v>
      </c>
      <c r="C2" s="157" t="s">
        <v>256</v>
      </c>
      <c r="D2" s="118" t="s">
        <v>241</v>
      </c>
      <c r="E2" s="118" t="s">
        <v>234</v>
      </c>
      <c r="F2" s="118" t="s">
        <v>253</v>
      </c>
      <c r="G2" s="119"/>
      <c r="H2" s="119"/>
    </row>
    <row r="3" spans="1:28" x14ac:dyDescent="0.2">
      <c r="A3" s="188"/>
      <c r="B3" s="116" t="s">
        <v>195</v>
      </c>
      <c r="C3" s="118"/>
      <c r="D3" s="118"/>
      <c r="E3" s="118"/>
      <c r="F3" s="118"/>
      <c r="G3" s="119"/>
      <c r="H3" s="119"/>
    </row>
    <row r="4" spans="1:28" x14ac:dyDescent="0.2">
      <c r="C4" s="122"/>
      <c r="D4" s="122"/>
      <c r="E4" s="122"/>
      <c r="F4" s="122"/>
      <c r="S4" s="40"/>
      <c r="T4" s="40"/>
      <c r="U4" s="40"/>
      <c r="V4" s="40"/>
      <c r="W4" s="40"/>
    </row>
    <row r="5" spans="1:28" x14ac:dyDescent="0.2">
      <c r="C5" s="122"/>
      <c r="D5" s="122"/>
      <c r="E5" s="122"/>
      <c r="F5" s="122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89" t="s">
        <v>269</v>
      </c>
      <c r="B6" s="121" t="s">
        <v>267</v>
      </c>
      <c r="C6" s="118" t="s">
        <v>235</v>
      </c>
      <c r="D6" s="118" t="s">
        <v>252</v>
      </c>
      <c r="E6" s="118" t="s">
        <v>236</v>
      </c>
      <c r="F6" s="118" t="s">
        <v>239</v>
      </c>
      <c r="I6" s="79"/>
      <c r="J6" s="170" t="s">
        <v>101</v>
      </c>
      <c r="K6" s="170" t="s">
        <v>67</v>
      </c>
      <c r="L6" s="170" t="s">
        <v>248</v>
      </c>
      <c r="M6" s="79" t="s">
        <v>249</v>
      </c>
      <c r="N6" s="173" t="s">
        <v>31</v>
      </c>
      <c r="O6" s="170" t="s">
        <v>235</v>
      </c>
      <c r="P6" s="170" t="s">
        <v>128</v>
      </c>
      <c r="Q6" s="170" t="s">
        <v>104</v>
      </c>
      <c r="R6" s="170" t="s">
        <v>119</v>
      </c>
      <c r="S6" s="170" t="s">
        <v>250</v>
      </c>
      <c r="T6" s="172" t="s">
        <v>131</v>
      </c>
      <c r="U6" s="170" t="s">
        <v>251</v>
      </c>
      <c r="V6" s="173" t="s">
        <v>125</v>
      </c>
      <c r="W6" s="175" t="s">
        <v>110</v>
      </c>
      <c r="X6" s="170" t="s">
        <v>243</v>
      </c>
      <c r="Y6" s="170" t="s">
        <v>252</v>
      </c>
      <c r="Z6" s="170" t="s">
        <v>253</v>
      </c>
      <c r="AA6" s="170" t="s">
        <v>254</v>
      </c>
      <c r="AB6" s="170" t="s">
        <v>246</v>
      </c>
    </row>
    <row r="7" spans="1:28" x14ac:dyDescent="0.2">
      <c r="A7" s="189"/>
      <c r="B7" s="121" t="s">
        <v>195</v>
      </c>
      <c r="C7" s="118"/>
      <c r="D7" s="118"/>
      <c r="E7" s="118"/>
      <c r="F7" s="118"/>
      <c r="I7" s="108" t="s">
        <v>101</v>
      </c>
      <c r="J7" s="171" t="s">
        <v>259</v>
      </c>
      <c r="K7" s="171">
        <f>J8</f>
        <v>2</v>
      </c>
      <c r="L7" s="171">
        <f>J9</f>
        <v>2</v>
      </c>
      <c r="M7" s="109">
        <f>J10</f>
        <v>0</v>
      </c>
      <c r="N7" s="174">
        <f>J11</f>
        <v>1</v>
      </c>
      <c r="O7" s="171">
        <f>J12</f>
        <v>1</v>
      </c>
      <c r="P7" s="171">
        <f>J13</f>
        <v>2</v>
      </c>
      <c r="Q7" s="171">
        <f>J14</f>
        <v>2</v>
      </c>
      <c r="R7" s="171">
        <f>J15</f>
        <v>1</v>
      </c>
      <c r="S7" s="171">
        <f>J16</f>
        <v>3</v>
      </c>
      <c r="T7" s="171">
        <f>J17</f>
        <v>1</v>
      </c>
      <c r="U7" s="171">
        <f>J18</f>
        <v>2</v>
      </c>
      <c r="V7" s="174">
        <f>J19</f>
        <v>1</v>
      </c>
      <c r="W7" s="174">
        <f>J20</f>
        <v>1</v>
      </c>
      <c r="X7" s="171">
        <f>J21</f>
        <v>1</v>
      </c>
      <c r="Y7" s="171">
        <f>J22</f>
        <v>2</v>
      </c>
      <c r="Z7" s="171">
        <f>J23</f>
        <v>0</v>
      </c>
      <c r="AA7" s="171">
        <f>J24</f>
        <v>1</v>
      </c>
      <c r="AB7" s="171">
        <f>J25</f>
        <v>2</v>
      </c>
    </row>
    <row r="8" spans="1:28" x14ac:dyDescent="0.2">
      <c r="C8" s="122"/>
      <c r="D8" s="122"/>
      <c r="E8" s="122"/>
      <c r="F8" s="122"/>
      <c r="I8" s="79" t="s">
        <v>67</v>
      </c>
      <c r="J8" s="172">
        <v>2</v>
      </c>
      <c r="K8" s="172" t="s">
        <v>259</v>
      </c>
      <c r="L8" s="172">
        <f>K9</f>
        <v>1</v>
      </c>
      <c r="M8" s="122">
        <f>K10</f>
        <v>0</v>
      </c>
      <c r="N8" s="175">
        <f>K11</f>
        <v>1</v>
      </c>
      <c r="O8" s="172">
        <f>K12</f>
        <v>1</v>
      </c>
      <c r="P8" s="172">
        <f>K13</f>
        <v>1</v>
      </c>
      <c r="Q8" s="172">
        <f>K14</f>
        <v>3</v>
      </c>
      <c r="R8" s="172">
        <f>K15</f>
        <v>1</v>
      </c>
      <c r="S8" s="172">
        <f>K16</f>
        <v>1</v>
      </c>
      <c r="T8" s="172">
        <f>K17</f>
        <v>1</v>
      </c>
      <c r="U8" s="172">
        <f>K18</f>
        <v>2</v>
      </c>
      <c r="V8" s="175">
        <f>K19</f>
        <v>2</v>
      </c>
      <c r="W8" s="175">
        <f>K20</f>
        <v>2</v>
      </c>
      <c r="X8" s="172">
        <f>K21</f>
        <v>3</v>
      </c>
      <c r="Y8" s="172">
        <f>K22</f>
        <v>2</v>
      </c>
      <c r="Z8" s="172">
        <f>K23</f>
        <v>1</v>
      </c>
      <c r="AA8" s="172">
        <f>K24</f>
        <v>2</v>
      </c>
      <c r="AB8" s="172">
        <f>K25</f>
        <v>1</v>
      </c>
    </row>
    <row r="9" spans="1:28" x14ac:dyDescent="0.2">
      <c r="C9" s="122"/>
      <c r="D9" s="122"/>
      <c r="E9" s="122"/>
      <c r="F9" s="122"/>
      <c r="I9" s="108" t="s">
        <v>248</v>
      </c>
      <c r="J9" s="171">
        <v>2</v>
      </c>
      <c r="K9" s="171">
        <v>1</v>
      </c>
      <c r="L9" s="171" t="s">
        <v>259</v>
      </c>
      <c r="M9" s="109">
        <f>L10</f>
        <v>1</v>
      </c>
      <c r="N9" s="174">
        <f>L11</f>
        <v>2</v>
      </c>
      <c r="O9" s="171">
        <f>L12</f>
        <v>1</v>
      </c>
      <c r="P9" s="171">
        <f>L13</f>
        <v>2</v>
      </c>
      <c r="Q9" s="171">
        <f>L14</f>
        <v>1</v>
      </c>
      <c r="R9" s="171">
        <f>L15</f>
        <v>2</v>
      </c>
      <c r="S9" s="171">
        <f>L16</f>
        <v>2</v>
      </c>
      <c r="T9" s="171">
        <f>L17</f>
        <v>1</v>
      </c>
      <c r="U9" s="171">
        <f>L18</f>
        <v>2</v>
      </c>
      <c r="V9" s="174">
        <f>L19</f>
        <v>2</v>
      </c>
      <c r="W9" s="174">
        <f>L20</f>
        <v>2</v>
      </c>
      <c r="X9" s="171">
        <f>L21</f>
        <v>2</v>
      </c>
      <c r="Y9" s="171">
        <f>L22</f>
        <v>2</v>
      </c>
      <c r="Z9" s="171">
        <f>L23</f>
        <v>1</v>
      </c>
      <c r="AA9" s="171">
        <f>L24</f>
        <v>2</v>
      </c>
      <c r="AB9" s="171">
        <f>L25</f>
        <v>2</v>
      </c>
    </row>
    <row r="10" spans="1:28" ht="14.25" customHeight="1" x14ac:dyDescent="0.2">
      <c r="A10" s="188" t="s">
        <v>270</v>
      </c>
      <c r="B10" s="121" t="s">
        <v>267</v>
      </c>
      <c r="C10" s="118" t="s">
        <v>40</v>
      </c>
      <c r="D10" s="117" t="s">
        <v>262</v>
      </c>
      <c r="E10" s="118" t="s">
        <v>260</v>
      </c>
      <c r="F10" s="118" t="s">
        <v>356</v>
      </c>
      <c r="I10" s="79" t="s">
        <v>249</v>
      </c>
      <c r="J10" s="172"/>
      <c r="K10" s="172"/>
      <c r="L10" s="172">
        <v>1</v>
      </c>
      <c r="M10" s="122" t="s">
        <v>259</v>
      </c>
      <c r="N10" s="175">
        <f>M11</f>
        <v>2</v>
      </c>
      <c r="O10" s="172">
        <f>M12</f>
        <v>1</v>
      </c>
      <c r="P10" s="172">
        <f>M13</f>
        <v>0</v>
      </c>
      <c r="Q10" s="172">
        <f>M14</f>
        <v>1</v>
      </c>
      <c r="R10" s="172">
        <f>M15</f>
        <v>1</v>
      </c>
      <c r="S10" s="172">
        <f>M16</f>
        <v>1</v>
      </c>
      <c r="T10" s="172">
        <f>M17</f>
        <v>0</v>
      </c>
      <c r="U10" s="172">
        <f>M18</f>
        <v>1</v>
      </c>
      <c r="V10" s="175">
        <f>M19</f>
        <v>0</v>
      </c>
      <c r="W10" s="175">
        <f>M20</f>
        <v>0</v>
      </c>
      <c r="X10" s="172">
        <f>M21</f>
        <v>0</v>
      </c>
      <c r="Y10" s="172">
        <f>M22</f>
        <v>0</v>
      </c>
      <c r="Z10" s="172">
        <f>M23</f>
        <v>0</v>
      </c>
      <c r="AA10" s="172">
        <f>M24</f>
        <v>0</v>
      </c>
      <c r="AB10" s="172">
        <f>M25</f>
        <v>0</v>
      </c>
    </row>
    <row r="11" spans="1:28" x14ac:dyDescent="0.2">
      <c r="A11" s="188"/>
      <c r="B11" s="121" t="s">
        <v>195</v>
      </c>
      <c r="C11" s="118"/>
      <c r="D11" s="118"/>
      <c r="E11" s="118"/>
      <c r="F11" s="118"/>
      <c r="I11" s="108" t="s">
        <v>31</v>
      </c>
      <c r="J11" s="171">
        <v>1</v>
      </c>
      <c r="K11" s="171">
        <v>1</v>
      </c>
      <c r="L11" s="171">
        <v>2</v>
      </c>
      <c r="M11" s="109">
        <v>2</v>
      </c>
      <c r="N11" s="174" t="s">
        <v>259</v>
      </c>
      <c r="O11" s="171">
        <f>N12</f>
        <v>2</v>
      </c>
      <c r="P11" s="171">
        <f>N13</f>
        <v>2</v>
      </c>
      <c r="Q11" s="171">
        <f>N14</f>
        <v>2</v>
      </c>
      <c r="R11" s="171">
        <f>N15</f>
        <v>3</v>
      </c>
      <c r="S11" s="171">
        <f>N16</f>
        <v>2</v>
      </c>
      <c r="T11" s="171">
        <f>N17</f>
        <v>2</v>
      </c>
      <c r="U11" s="171">
        <f>N18</f>
        <v>2</v>
      </c>
      <c r="V11" s="174">
        <f>N19</f>
        <v>2</v>
      </c>
      <c r="W11" s="174">
        <f>N20</f>
        <v>1</v>
      </c>
      <c r="X11" s="171">
        <f>N21</f>
        <v>2</v>
      </c>
      <c r="Y11" s="171">
        <f>N22</f>
        <v>2</v>
      </c>
      <c r="Z11" s="171">
        <f>N23</f>
        <v>1</v>
      </c>
      <c r="AA11" s="171">
        <f>N24</f>
        <v>2</v>
      </c>
      <c r="AB11" s="171">
        <f>N25</f>
        <v>2</v>
      </c>
    </row>
    <row r="12" spans="1:28" x14ac:dyDescent="0.2">
      <c r="C12" s="122"/>
      <c r="D12" s="122"/>
      <c r="E12" s="122"/>
      <c r="F12" s="122"/>
      <c r="I12" s="79" t="s">
        <v>235</v>
      </c>
      <c r="J12" s="172">
        <v>1</v>
      </c>
      <c r="K12" s="172">
        <v>1</v>
      </c>
      <c r="L12" s="172">
        <v>1</v>
      </c>
      <c r="M12" s="122">
        <v>1</v>
      </c>
      <c r="N12" s="175">
        <v>2</v>
      </c>
      <c r="O12" s="172" t="s">
        <v>259</v>
      </c>
      <c r="P12" s="172">
        <f>O13</f>
        <v>1</v>
      </c>
      <c r="Q12" s="172">
        <f>O14</f>
        <v>3</v>
      </c>
      <c r="R12" s="172">
        <f>O15</f>
        <v>2</v>
      </c>
      <c r="S12" s="172">
        <f>O16</f>
        <v>2</v>
      </c>
      <c r="T12" s="172">
        <f>O17</f>
        <v>1</v>
      </c>
      <c r="U12" s="172">
        <f>O18</f>
        <v>2</v>
      </c>
      <c r="V12" s="175">
        <f>O19</f>
        <v>1</v>
      </c>
      <c r="W12" s="175">
        <f>O20</f>
        <v>2</v>
      </c>
      <c r="X12" s="172">
        <f>O21</f>
        <v>2</v>
      </c>
      <c r="Y12" s="172">
        <f>O22</f>
        <v>1</v>
      </c>
      <c r="Z12" s="172">
        <f>O23</f>
        <v>1</v>
      </c>
      <c r="AA12" s="172">
        <f>O24</f>
        <v>2</v>
      </c>
      <c r="AB12" s="172">
        <f>O25</f>
        <v>2</v>
      </c>
    </row>
    <row r="13" spans="1:28" ht="14.25" customHeight="1" x14ac:dyDescent="0.2">
      <c r="A13" s="188" t="s">
        <v>271</v>
      </c>
      <c r="B13" s="121" t="s">
        <v>267</v>
      </c>
      <c r="C13" s="117" t="s">
        <v>243</v>
      </c>
      <c r="D13" s="117" t="s">
        <v>258</v>
      </c>
      <c r="E13" s="117" t="s">
        <v>237</v>
      </c>
      <c r="F13" s="117" t="s">
        <v>268</v>
      </c>
      <c r="I13" s="108" t="s">
        <v>128</v>
      </c>
      <c r="J13" s="171">
        <v>2</v>
      </c>
      <c r="K13" s="171">
        <v>1</v>
      </c>
      <c r="L13" s="171">
        <v>2</v>
      </c>
      <c r="M13" s="109"/>
      <c r="N13" s="174">
        <v>2</v>
      </c>
      <c r="O13" s="171">
        <v>1</v>
      </c>
      <c r="P13" s="171" t="s">
        <v>259</v>
      </c>
      <c r="Q13" s="171">
        <f>P14</f>
        <v>1</v>
      </c>
      <c r="R13" s="171">
        <f>P15</f>
        <v>1</v>
      </c>
      <c r="S13" s="171">
        <f>P16</f>
        <v>1</v>
      </c>
      <c r="T13" s="171">
        <f>P17</f>
        <v>1</v>
      </c>
      <c r="U13" s="171">
        <f>P18</f>
        <v>1</v>
      </c>
      <c r="V13" s="174">
        <f>P19</f>
        <v>1</v>
      </c>
      <c r="W13" s="174">
        <f>P20</f>
        <v>1</v>
      </c>
      <c r="X13" s="171">
        <f>P21</f>
        <v>0</v>
      </c>
      <c r="Y13" s="171">
        <f>P22</f>
        <v>1</v>
      </c>
      <c r="Z13" s="171">
        <f>P23</f>
        <v>1</v>
      </c>
      <c r="AA13" s="171">
        <f>P24</f>
        <v>2</v>
      </c>
      <c r="AB13" s="171">
        <f>P25</f>
        <v>1</v>
      </c>
    </row>
    <row r="14" spans="1:28" ht="14.25" customHeight="1" x14ac:dyDescent="0.2">
      <c r="A14" s="188"/>
      <c r="B14" s="121" t="s">
        <v>195</v>
      </c>
      <c r="C14" s="118"/>
      <c r="D14" s="118"/>
      <c r="E14" s="118"/>
      <c r="F14" s="118"/>
      <c r="I14" s="79" t="s">
        <v>104</v>
      </c>
      <c r="J14" s="172">
        <v>2</v>
      </c>
      <c r="K14" s="172">
        <v>3</v>
      </c>
      <c r="L14" s="172">
        <v>1</v>
      </c>
      <c r="M14" s="122">
        <v>1</v>
      </c>
      <c r="N14" s="175">
        <v>2</v>
      </c>
      <c r="O14" s="172">
        <v>3</v>
      </c>
      <c r="P14" s="172">
        <v>1</v>
      </c>
      <c r="Q14" s="172" t="s">
        <v>259</v>
      </c>
      <c r="R14" s="172">
        <f>Q15</f>
        <v>1</v>
      </c>
      <c r="S14" s="172">
        <f>Q16</f>
        <v>2</v>
      </c>
      <c r="T14" s="172">
        <f>Q17</f>
        <v>2</v>
      </c>
      <c r="U14" s="172">
        <f>Q18</f>
        <v>1</v>
      </c>
      <c r="V14" s="175">
        <f>Q19</f>
        <v>1</v>
      </c>
      <c r="W14" s="175">
        <f>Q20</f>
        <v>2</v>
      </c>
      <c r="X14" s="172">
        <f>Q21</f>
        <v>3</v>
      </c>
      <c r="Y14" s="172">
        <f>Q22</f>
        <v>2</v>
      </c>
      <c r="Z14" s="172">
        <f>Q23</f>
        <v>1</v>
      </c>
      <c r="AA14" s="172">
        <f>Q24</f>
        <v>2</v>
      </c>
      <c r="AB14" s="172">
        <f>Q25</f>
        <v>1</v>
      </c>
    </row>
    <row r="15" spans="1:28" x14ac:dyDescent="0.2">
      <c r="C15" s="122"/>
      <c r="D15" s="122"/>
      <c r="E15" s="122"/>
      <c r="F15" s="122"/>
      <c r="I15" s="108" t="s">
        <v>119</v>
      </c>
      <c r="J15" s="171">
        <v>1</v>
      </c>
      <c r="K15" s="171">
        <v>1</v>
      </c>
      <c r="L15" s="171">
        <v>2</v>
      </c>
      <c r="M15" s="109">
        <v>1</v>
      </c>
      <c r="N15" s="174">
        <v>3</v>
      </c>
      <c r="O15" s="171">
        <v>2</v>
      </c>
      <c r="P15" s="171">
        <v>1</v>
      </c>
      <c r="Q15" s="171">
        <v>1</v>
      </c>
      <c r="R15" s="171" t="s">
        <v>259</v>
      </c>
      <c r="S15" s="171">
        <f>R16</f>
        <v>2</v>
      </c>
      <c r="T15" s="171">
        <f>R17</f>
        <v>1</v>
      </c>
      <c r="U15" s="171">
        <f>R18</f>
        <v>2</v>
      </c>
      <c r="V15" s="174">
        <f>R19</f>
        <v>2</v>
      </c>
      <c r="W15" s="174">
        <f>R20</f>
        <v>1</v>
      </c>
      <c r="X15" s="171">
        <f>R21</f>
        <v>2</v>
      </c>
      <c r="Y15" s="171">
        <f>R22</f>
        <v>1</v>
      </c>
      <c r="Z15" s="171">
        <f>R23</f>
        <v>1</v>
      </c>
      <c r="AA15" s="171">
        <f>R24</f>
        <v>1</v>
      </c>
      <c r="AB15" s="171">
        <f>R25</f>
        <v>2</v>
      </c>
    </row>
    <row r="16" spans="1:28" ht="14.25" customHeight="1" x14ac:dyDescent="0.2">
      <c r="A16" s="188" t="s">
        <v>272</v>
      </c>
      <c r="B16" s="121" t="s">
        <v>267</v>
      </c>
      <c r="C16" s="117"/>
      <c r="D16" s="117"/>
      <c r="E16" s="117"/>
      <c r="F16" s="117"/>
      <c r="I16" s="79" t="s">
        <v>250</v>
      </c>
      <c r="J16" s="172">
        <v>3</v>
      </c>
      <c r="K16" s="172">
        <v>1</v>
      </c>
      <c r="L16" s="172">
        <v>2</v>
      </c>
      <c r="M16" s="122">
        <v>1</v>
      </c>
      <c r="N16" s="175">
        <v>2</v>
      </c>
      <c r="O16" s="172">
        <v>2</v>
      </c>
      <c r="P16" s="172">
        <v>1</v>
      </c>
      <c r="Q16" s="172">
        <v>2</v>
      </c>
      <c r="R16" s="172">
        <v>2</v>
      </c>
      <c r="S16" s="172" t="s">
        <v>259</v>
      </c>
      <c r="T16" s="172">
        <f>S17</f>
        <v>1</v>
      </c>
      <c r="U16" s="172">
        <f>S18</f>
        <v>2</v>
      </c>
      <c r="V16" s="175">
        <f>S19</f>
        <v>1</v>
      </c>
      <c r="W16" s="175">
        <f>S20</f>
        <v>1</v>
      </c>
      <c r="X16" s="172">
        <f>S21</f>
        <v>2</v>
      </c>
      <c r="Y16" s="172">
        <f>S22</f>
        <v>3</v>
      </c>
      <c r="Z16" s="172">
        <f>S23</f>
        <v>1</v>
      </c>
      <c r="AA16" s="172">
        <f>S24</f>
        <v>1</v>
      </c>
      <c r="AB16" s="172">
        <f>S25</f>
        <v>1</v>
      </c>
    </row>
    <row r="17" spans="1:28" x14ac:dyDescent="0.2">
      <c r="A17" s="188"/>
      <c r="B17" s="121" t="s">
        <v>195</v>
      </c>
      <c r="C17" s="118"/>
      <c r="D17" s="118"/>
      <c r="E17" s="118"/>
      <c r="F17" s="118"/>
      <c r="I17" s="108" t="s">
        <v>131</v>
      </c>
      <c r="J17" s="171">
        <v>1</v>
      </c>
      <c r="K17" s="171">
        <v>1</v>
      </c>
      <c r="L17" s="171">
        <v>1</v>
      </c>
      <c r="M17" s="109"/>
      <c r="N17" s="174">
        <v>2</v>
      </c>
      <c r="O17" s="171">
        <v>1</v>
      </c>
      <c r="P17" s="171">
        <v>1</v>
      </c>
      <c r="Q17" s="171">
        <v>2</v>
      </c>
      <c r="R17" s="171">
        <v>1</v>
      </c>
      <c r="S17" s="171">
        <v>1</v>
      </c>
      <c r="T17" s="171" t="s">
        <v>259</v>
      </c>
      <c r="U17" s="171">
        <f>T18</f>
        <v>1</v>
      </c>
      <c r="V17" s="174">
        <f>T19</f>
        <v>0</v>
      </c>
      <c r="W17" s="174">
        <f>T20</f>
        <v>1</v>
      </c>
      <c r="X17" s="171">
        <f>T21</f>
        <v>0</v>
      </c>
      <c r="Y17" s="171">
        <f>T22</f>
        <v>2</v>
      </c>
      <c r="Z17" s="171">
        <f>T23</f>
        <v>0</v>
      </c>
      <c r="AA17" s="171">
        <f>T24</f>
        <v>1</v>
      </c>
      <c r="AB17" s="171">
        <f>T25</f>
        <v>2</v>
      </c>
    </row>
    <row r="18" spans="1:28" x14ac:dyDescent="0.2">
      <c r="I18" s="79" t="s">
        <v>251</v>
      </c>
      <c r="J18" s="172">
        <v>2</v>
      </c>
      <c r="K18" s="172">
        <v>2</v>
      </c>
      <c r="L18" s="172">
        <v>2</v>
      </c>
      <c r="M18" s="122">
        <v>1</v>
      </c>
      <c r="N18" s="175">
        <v>2</v>
      </c>
      <c r="O18" s="172">
        <v>2</v>
      </c>
      <c r="P18" s="172">
        <v>1</v>
      </c>
      <c r="Q18" s="172">
        <v>1</v>
      </c>
      <c r="R18" s="172">
        <v>2</v>
      </c>
      <c r="S18" s="172">
        <v>2</v>
      </c>
      <c r="T18" s="172">
        <v>1</v>
      </c>
      <c r="U18" s="172" t="s">
        <v>259</v>
      </c>
      <c r="V18" s="175">
        <f>U19</f>
        <v>1</v>
      </c>
      <c r="W18" s="175">
        <f>U20</f>
        <v>2</v>
      </c>
      <c r="X18" s="172">
        <f>U21</f>
        <v>1</v>
      </c>
      <c r="Y18" s="172">
        <f>U22</f>
        <v>3</v>
      </c>
      <c r="Z18" s="172">
        <f>U23</f>
        <v>1</v>
      </c>
      <c r="AA18" s="172">
        <f>U24</f>
        <v>3</v>
      </c>
      <c r="AB18" s="172">
        <f>U25</f>
        <v>1</v>
      </c>
    </row>
    <row r="19" spans="1:28" x14ac:dyDescent="0.2">
      <c r="I19" s="108" t="s">
        <v>125</v>
      </c>
      <c r="J19" s="171">
        <v>1</v>
      </c>
      <c r="K19" s="171">
        <v>2</v>
      </c>
      <c r="L19" s="171">
        <v>2</v>
      </c>
      <c r="M19" s="109"/>
      <c r="N19" s="174">
        <v>2</v>
      </c>
      <c r="O19" s="171">
        <v>1</v>
      </c>
      <c r="P19" s="171">
        <v>1</v>
      </c>
      <c r="Q19" s="171">
        <v>1</v>
      </c>
      <c r="R19" s="171">
        <v>2</v>
      </c>
      <c r="S19" s="171">
        <v>1</v>
      </c>
      <c r="T19" s="171"/>
      <c r="U19" s="171">
        <v>1</v>
      </c>
      <c r="V19" s="174" t="s">
        <v>259</v>
      </c>
      <c r="W19" s="174">
        <f>V20</f>
        <v>0</v>
      </c>
      <c r="X19" s="171">
        <f>V21</f>
        <v>2</v>
      </c>
      <c r="Y19" s="171">
        <f>V22</f>
        <v>1</v>
      </c>
      <c r="Z19" s="171">
        <f>V23</f>
        <v>1</v>
      </c>
      <c r="AA19" s="171">
        <f>V24</f>
        <v>1</v>
      </c>
      <c r="AB19" s="171">
        <f>V25</f>
        <v>1</v>
      </c>
    </row>
    <row r="20" spans="1:28" x14ac:dyDescent="0.2">
      <c r="I20" s="79" t="s">
        <v>110</v>
      </c>
      <c r="J20" s="172">
        <v>1</v>
      </c>
      <c r="K20" s="172">
        <v>2</v>
      </c>
      <c r="L20" s="172">
        <v>2</v>
      </c>
      <c r="M20" s="122"/>
      <c r="N20" s="175">
        <v>1</v>
      </c>
      <c r="O20" s="172">
        <v>2</v>
      </c>
      <c r="P20" s="172">
        <v>1</v>
      </c>
      <c r="Q20" s="172">
        <v>2</v>
      </c>
      <c r="R20" s="172">
        <v>1</v>
      </c>
      <c r="S20" s="172">
        <v>1</v>
      </c>
      <c r="T20" s="172">
        <v>1</v>
      </c>
      <c r="U20" s="172">
        <v>2</v>
      </c>
      <c r="V20" s="175"/>
      <c r="W20" s="175" t="s">
        <v>259</v>
      </c>
      <c r="X20" s="172">
        <f>W21</f>
        <v>1</v>
      </c>
      <c r="Y20" s="172">
        <f>W22</f>
        <v>1</v>
      </c>
      <c r="Z20" s="172">
        <f>W23</f>
        <v>0</v>
      </c>
      <c r="AA20" s="172">
        <f>W24</f>
        <v>3</v>
      </c>
      <c r="AB20" s="172">
        <f>W25</f>
        <v>2</v>
      </c>
    </row>
    <row r="21" spans="1:28" x14ac:dyDescent="0.2">
      <c r="C21" s="192" t="s">
        <v>60</v>
      </c>
      <c r="D21" s="165" t="s">
        <v>273</v>
      </c>
      <c r="E21" s="163" t="s">
        <v>44</v>
      </c>
      <c r="F21" s="167" t="s">
        <v>53</v>
      </c>
      <c r="I21" s="108" t="s">
        <v>243</v>
      </c>
      <c r="J21" s="171">
        <v>1</v>
      </c>
      <c r="K21" s="171">
        <v>3</v>
      </c>
      <c r="L21" s="171">
        <v>2</v>
      </c>
      <c r="M21" s="109"/>
      <c r="N21" s="174">
        <v>2</v>
      </c>
      <c r="O21" s="171">
        <v>2</v>
      </c>
      <c r="P21" s="171"/>
      <c r="Q21" s="171">
        <v>3</v>
      </c>
      <c r="R21" s="171">
        <v>2</v>
      </c>
      <c r="S21" s="171">
        <v>2</v>
      </c>
      <c r="T21" s="171"/>
      <c r="U21" s="171">
        <v>1</v>
      </c>
      <c r="V21" s="174">
        <v>2</v>
      </c>
      <c r="W21" s="174">
        <v>1</v>
      </c>
      <c r="X21" s="171" t="s">
        <v>259</v>
      </c>
      <c r="Y21" s="171">
        <f>X22</f>
        <v>1</v>
      </c>
      <c r="Z21" s="171">
        <f>X23</f>
        <v>0</v>
      </c>
      <c r="AA21" s="171">
        <f>X24</f>
        <v>1</v>
      </c>
      <c r="AB21" s="171">
        <f>X25</f>
        <v>2</v>
      </c>
    </row>
    <row r="22" spans="1:28" x14ac:dyDescent="0.2">
      <c r="C22" s="151"/>
      <c r="D22" s="151"/>
      <c r="E22" s="151"/>
      <c r="F22" s="151"/>
      <c r="I22" s="79" t="s">
        <v>252</v>
      </c>
      <c r="J22" s="172">
        <v>2</v>
      </c>
      <c r="K22" s="172">
        <v>2</v>
      </c>
      <c r="L22" s="172">
        <v>2</v>
      </c>
      <c r="M22" s="122"/>
      <c r="N22" s="175">
        <v>2</v>
      </c>
      <c r="O22" s="172">
        <v>1</v>
      </c>
      <c r="P22" s="172">
        <v>1</v>
      </c>
      <c r="Q22" s="172">
        <v>2</v>
      </c>
      <c r="R22" s="172">
        <v>1</v>
      </c>
      <c r="S22" s="172">
        <v>3</v>
      </c>
      <c r="T22" s="172">
        <v>2</v>
      </c>
      <c r="U22" s="172">
        <v>3</v>
      </c>
      <c r="V22" s="175">
        <v>1</v>
      </c>
      <c r="W22" s="175">
        <v>1</v>
      </c>
      <c r="X22" s="172">
        <v>1</v>
      </c>
      <c r="Y22" s="172" t="s">
        <v>259</v>
      </c>
      <c r="Z22" s="172">
        <f>Y23</f>
        <v>1</v>
      </c>
      <c r="AA22" s="172">
        <f>Y24</f>
        <v>2</v>
      </c>
      <c r="AB22" s="172">
        <f>Y25</f>
        <v>2</v>
      </c>
    </row>
    <row r="23" spans="1:28" x14ac:dyDescent="0.2">
      <c r="C23" s="165" t="s">
        <v>55</v>
      </c>
      <c r="D23" s="165" t="s">
        <v>50</v>
      </c>
      <c r="E23" s="165" t="s">
        <v>51</v>
      </c>
      <c r="F23" s="165" t="s">
        <v>58</v>
      </c>
      <c r="I23" s="108" t="s">
        <v>253</v>
      </c>
      <c r="J23" s="171"/>
      <c r="K23" s="171">
        <v>1</v>
      </c>
      <c r="L23" s="171">
        <v>1</v>
      </c>
      <c r="M23" s="109"/>
      <c r="N23" s="174">
        <v>1</v>
      </c>
      <c r="O23" s="171">
        <v>1</v>
      </c>
      <c r="P23" s="171">
        <v>1</v>
      </c>
      <c r="Q23" s="171">
        <v>1</v>
      </c>
      <c r="R23" s="171">
        <v>1</v>
      </c>
      <c r="S23" s="171">
        <v>1</v>
      </c>
      <c r="T23" s="171"/>
      <c r="U23" s="171">
        <v>1</v>
      </c>
      <c r="V23" s="174">
        <v>1</v>
      </c>
      <c r="W23" s="174"/>
      <c r="X23" s="171"/>
      <c r="Y23" s="171">
        <v>1</v>
      </c>
      <c r="Z23" s="171" t="s">
        <v>259</v>
      </c>
      <c r="AA23" s="171">
        <f>Z24</f>
        <v>1</v>
      </c>
      <c r="AB23" s="171">
        <f>Z25</f>
        <v>2</v>
      </c>
    </row>
    <row r="24" spans="1:28" x14ac:dyDescent="0.2">
      <c r="C24" s="152"/>
      <c r="D24" s="152"/>
      <c r="E24" s="152"/>
      <c r="F24" s="152"/>
      <c r="I24" s="79" t="s">
        <v>254</v>
      </c>
      <c r="J24" s="172">
        <v>1</v>
      </c>
      <c r="K24" s="172">
        <v>2</v>
      </c>
      <c r="L24" s="172">
        <v>2</v>
      </c>
      <c r="M24" s="122"/>
      <c r="N24" s="175">
        <v>2</v>
      </c>
      <c r="O24" s="172">
        <v>2</v>
      </c>
      <c r="P24" s="172">
        <v>2</v>
      </c>
      <c r="Q24" s="172">
        <v>2</v>
      </c>
      <c r="R24" s="172">
        <v>1</v>
      </c>
      <c r="S24" s="172">
        <v>1</v>
      </c>
      <c r="T24" s="172">
        <v>1</v>
      </c>
      <c r="U24" s="172">
        <v>3</v>
      </c>
      <c r="V24" s="175">
        <v>1</v>
      </c>
      <c r="W24" s="175">
        <v>3</v>
      </c>
      <c r="X24" s="172">
        <v>1</v>
      </c>
      <c r="Y24" s="172">
        <v>2</v>
      </c>
      <c r="Z24" s="172">
        <v>1</v>
      </c>
      <c r="AA24" s="172" t="s">
        <v>259</v>
      </c>
      <c r="AB24" s="172">
        <f>AA25</f>
        <v>2</v>
      </c>
    </row>
    <row r="25" spans="1:28" x14ac:dyDescent="0.2">
      <c r="C25" s="165" t="s">
        <v>43</v>
      </c>
      <c r="D25" s="165" t="s">
        <v>218</v>
      </c>
      <c r="E25" s="165" t="s">
        <v>59</v>
      </c>
      <c r="F25" s="165" t="s">
        <v>48</v>
      </c>
      <c r="I25" s="108" t="s">
        <v>246</v>
      </c>
      <c r="J25" s="171">
        <v>2</v>
      </c>
      <c r="K25" s="171">
        <v>1</v>
      </c>
      <c r="L25" s="171">
        <v>2</v>
      </c>
      <c r="M25" s="109"/>
      <c r="N25" s="174">
        <v>2</v>
      </c>
      <c r="O25" s="171">
        <v>2</v>
      </c>
      <c r="P25" s="171">
        <v>1</v>
      </c>
      <c r="Q25" s="171">
        <v>1</v>
      </c>
      <c r="R25" s="171">
        <v>2</v>
      </c>
      <c r="S25" s="171">
        <v>1</v>
      </c>
      <c r="T25" s="171">
        <v>2</v>
      </c>
      <c r="U25" s="171">
        <v>1</v>
      </c>
      <c r="V25" s="174">
        <v>1</v>
      </c>
      <c r="W25" s="174">
        <v>2</v>
      </c>
      <c r="X25" s="171">
        <v>2</v>
      </c>
      <c r="Y25" s="171">
        <v>2</v>
      </c>
      <c r="Z25" s="171">
        <v>2</v>
      </c>
      <c r="AA25" s="171">
        <v>2</v>
      </c>
      <c r="AB25" s="171" t="s">
        <v>259</v>
      </c>
    </row>
    <row r="26" spans="1:28" x14ac:dyDescent="0.2">
      <c r="C26" s="151"/>
      <c r="D26" s="151"/>
      <c r="E26" s="151"/>
      <c r="F26" s="153"/>
      <c r="I26" s="79" t="s">
        <v>20</v>
      </c>
      <c r="J26" s="172">
        <f t="shared" ref="J26:AB26" si="0">SUM(J7:J25)</f>
        <v>25</v>
      </c>
      <c r="K26" s="172">
        <f t="shared" si="0"/>
        <v>27</v>
      </c>
      <c r="L26" s="172">
        <f t="shared" si="0"/>
        <v>30</v>
      </c>
      <c r="M26" s="122">
        <f t="shared" si="0"/>
        <v>8</v>
      </c>
      <c r="N26" s="175">
        <f t="shared" si="0"/>
        <v>33</v>
      </c>
      <c r="O26" s="172">
        <f t="shared" si="0"/>
        <v>28</v>
      </c>
      <c r="P26" s="172">
        <f t="shared" si="0"/>
        <v>20</v>
      </c>
      <c r="Q26" s="172">
        <f t="shared" si="0"/>
        <v>31</v>
      </c>
      <c r="R26" s="172">
        <f t="shared" si="0"/>
        <v>27</v>
      </c>
      <c r="S26" s="172">
        <f t="shared" si="0"/>
        <v>29</v>
      </c>
      <c r="T26" s="172">
        <f t="shared" si="0"/>
        <v>18</v>
      </c>
      <c r="U26" s="172">
        <f t="shared" si="0"/>
        <v>30</v>
      </c>
      <c r="V26" s="175">
        <f t="shared" si="0"/>
        <v>20</v>
      </c>
      <c r="W26" s="175">
        <f t="shared" si="0"/>
        <v>23</v>
      </c>
      <c r="X26" s="172">
        <f t="shared" si="0"/>
        <v>25</v>
      </c>
      <c r="Y26" s="172">
        <f t="shared" si="0"/>
        <v>29</v>
      </c>
      <c r="Z26" s="172">
        <f t="shared" si="0"/>
        <v>14</v>
      </c>
      <c r="AA26" s="172">
        <f t="shared" si="0"/>
        <v>29</v>
      </c>
      <c r="AB26" s="172">
        <f t="shared" si="0"/>
        <v>28</v>
      </c>
    </row>
    <row r="27" spans="1:28" x14ac:dyDescent="0.2">
      <c r="C27" s="169" t="s">
        <v>52</v>
      </c>
      <c r="D27" s="169" t="s">
        <v>57</v>
      </c>
      <c r="E27" s="166" t="s">
        <v>47</v>
      </c>
      <c r="F27" s="166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AA27" s="156"/>
      <c r="AB27" s="156"/>
    </row>
    <row r="28" spans="1:28" x14ac:dyDescent="0.2">
      <c r="C28" s="154"/>
      <c r="D28" s="154"/>
      <c r="E28" s="151"/>
      <c r="F28" s="153"/>
      <c r="I28" t="s">
        <v>274</v>
      </c>
      <c r="J28" s="40"/>
      <c r="K28" s="122"/>
      <c r="L28" s="122"/>
      <c r="M28" s="122">
        <f>M14+M18+M9</f>
        <v>3</v>
      </c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</row>
    <row r="29" spans="1:28" x14ac:dyDescent="0.2">
      <c r="C29" s="168" t="s">
        <v>56</v>
      </c>
      <c r="D29" s="168" t="s">
        <v>45</v>
      </c>
      <c r="E29" s="166" t="s">
        <v>46</v>
      </c>
      <c r="F29" s="155"/>
      <c r="I29" t="s">
        <v>275</v>
      </c>
      <c r="J29" s="40"/>
      <c r="K29" s="122"/>
      <c r="L29" s="122"/>
      <c r="M29" s="122">
        <f>M12+M22+M15</f>
        <v>2</v>
      </c>
      <c r="N29" s="40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</row>
    <row r="30" spans="1:28" x14ac:dyDescent="0.2">
      <c r="A30" s="188"/>
      <c r="B30" s="116"/>
      <c r="H30" s="121"/>
      <c r="I30" t="s">
        <v>276</v>
      </c>
      <c r="J30" s="40"/>
      <c r="K30" s="122"/>
      <c r="L30" s="122"/>
      <c r="M30" s="122">
        <f>M8+M16+M25</f>
        <v>1</v>
      </c>
      <c r="N30" s="40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</row>
    <row r="31" spans="1:28" x14ac:dyDescent="0.2">
      <c r="A31" s="188"/>
      <c r="B31" s="116"/>
      <c r="C31" s="116"/>
      <c r="D31" s="121"/>
      <c r="E31" s="121"/>
      <c r="F31" s="121"/>
      <c r="I31" t="s">
        <v>277</v>
      </c>
      <c r="J31" s="40"/>
      <c r="K31" s="122"/>
      <c r="L31" s="122"/>
      <c r="M31" s="122">
        <f>M21+M24+M7</f>
        <v>0</v>
      </c>
      <c r="N31" s="40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</row>
    <row r="32" spans="1:28" x14ac:dyDescent="0.2">
      <c r="C32" t="s">
        <v>278</v>
      </c>
      <c r="D32" s="121"/>
      <c r="E32" s="121"/>
      <c r="F32" s="121"/>
      <c r="I32" t="s">
        <v>279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88"/>
      <c r="B34" s="121"/>
      <c r="D34" s="121"/>
      <c r="E34" s="121"/>
      <c r="F34" s="121"/>
      <c r="I34" s="121" t="s">
        <v>280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88"/>
      <c r="B35" s="121"/>
      <c r="D35" s="121"/>
      <c r="E35" s="121"/>
      <c r="F35" s="121"/>
      <c r="I35" t="s">
        <v>274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275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276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281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274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90" t="s">
        <v>282</v>
      </c>
      <c r="E1" s="190"/>
      <c r="F1" s="190" t="s">
        <v>282</v>
      </c>
      <c r="G1" s="190"/>
      <c r="H1" s="103" t="s">
        <v>20</v>
      </c>
      <c r="L1" s="103" t="s">
        <v>20</v>
      </c>
      <c r="M1" s="190" t="s">
        <v>282</v>
      </c>
      <c r="N1" s="190"/>
      <c r="O1" s="190" t="s">
        <v>282</v>
      </c>
      <c r="P1" s="190"/>
      <c r="Q1" s="103" t="s">
        <v>283</v>
      </c>
    </row>
    <row r="2" spans="1:17" x14ac:dyDescent="0.2">
      <c r="B2" s="6" t="s">
        <v>284</v>
      </c>
      <c r="C2" s="1" t="s">
        <v>20</v>
      </c>
      <c r="D2" s="177">
        <v>1</v>
      </c>
      <c r="E2" s="177"/>
      <c r="F2" s="177">
        <v>2</v>
      </c>
      <c r="G2" s="177"/>
      <c r="M2" s="177">
        <v>3</v>
      </c>
      <c r="N2" s="177"/>
      <c r="O2" s="177">
        <v>4</v>
      </c>
      <c r="P2" s="177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6" sqref="L16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285</v>
      </c>
      <c r="K2" t="s">
        <v>286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287</v>
      </c>
      <c r="I3" s="138">
        <f>C23</f>
        <v>1900</v>
      </c>
      <c r="K3" t="s">
        <v>288</v>
      </c>
      <c r="L3" s="135"/>
    </row>
    <row r="4" spans="1:12" x14ac:dyDescent="0.2">
      <c r="B4" s="159" t="s">
        <v>60</v>
      </c>
      <c r="C4" s="137">
        <v>100</v>
      </c>
      <c r="D4" s="137"/>
      <c r="E4" s="137"/>
      <c r="I4" s="135"/>
      <c r="K4" t="s">
        <v>289</v>
      </c>
      <c r="L4" s="135">
        <v>36</v>
      </c>
    </row>
    <row r="5" spans="1:12" x14ac:dyDescent="0.2">
      <c r="B5" s="136" t="s">
        <v>273</v>
      </c>
      <c r="C5" s="137">
        <v>100</v>
      </c>
      <c r="D5" s="137"/>
      <c r="E5" s="137"/>
      <c r="G5" t="s">
        <v>290</v>
      </c>
      <c r="I5" s="135"/>
      <c r="K5" t="s">
        <v>291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292</v>
      </c>
      <c r="I6" s="135">
        <f>L21</f>
        <v>467</v>
      </c>
      <c r="K6" t="s">
        <v>293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294</v>
      </c>
      <c r="I7" s="135">
        <v>50</v>
      </c>
      <c r="K7" t="s">
        <v>295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296</v>
      </c>
      <c r="I8" s="135">
        <v>25</v>
      </c>
      <c r="K8" t="s">
        <v>297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298</v>
      </c>
      <c r="I9" s="135">
        <v>31.12</v>
      </c>
      <c r="J9" t="s">
        <v>299</v>
      </c>
      <c r="K9" t="s">
        <v>300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301</v>
      </c>
      <c r="I10" s="135">
        <v>169</v>
      </c>
      <c r="J10" t="s">
        <v>299</v>
      </c>
      <c r="K10" t="s">
        <v>302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303</v>
      </c>
      <c r="I11" s="135">
        <v>16.05</v>
      </c>
      <c r="J11" t="s">
        <v>299</v>
      </c>
      <c r="K11" t="s">
        <v>304</v>
      </c>
      <c r="L11" s="135">
        <v>36</v>
      </c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305</v>
      </c>
      <c r="L12" s="135">
        <v>36</v>
      </c>
    </row>
    <row r="13" spans="1:12" x14ac:dyDescent="0.2">
      <c r="A13" s="139"/>
      <c r="B13" s="136" t="s">
        <v>218</v>
      </c>
      <c r="C13" s="137">
        <v>100</v>
      </c>
      <c r="D13" s="137"/>
      <c r="E13" s="137"/>
      <c r="H13" t="s">
        <v>306</v>
      </c>
      <c r="I13" s="135">
        <v>90.699999999999903</v>
      </c>
      <c r="K13" t="s">
        <v>307</v>
      </c>
      <c r="L13" s="135">
        <v>35</v>
      </c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308</v>
      </c>
      <c r="L14" s="135">
        <v>36</v>
      </c>
    </row>
    <row r="15" spans="1:12" x14ac:dyDescent="0.2">
      <c r="B15" s="143" t="s">
        <v>48</v>
      </c>
      <c r="C15" s="137">
        <v>100</v>
      </c>
      <c r="D15" s="137"/>
      <c r="E15" s="137"/>
      <c r="H15" t="s">
        <v>309</v>
      </c>
      <c r="I15" s="135">
        <f>SUM(I6:I12)+I13</f>
        <v>848.86999999999989</v>
      </c>
      <c r="K15" t="s">
        <v>310</v>
      </c>
      <c r="L15" s="135">
        <v>36</v>
      </c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311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312</v>
      </c>
      <c r="I17" s="135">
        <f>I3-I15</f>
        <v>1051.1300000000001</v>
      </c>
      <c r="K17" t="s">
        <v>313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314</v>
      </c>
      <c r="L18" s="135"/>
    </row>
    <row r="19" spans="1:12" x14ac:dyDescent="0.2">
      <c r="B19" s="136" t="s">
        <v>315</v>
      </c>
      <c r="C19" s="144">
        <v>100</v>
      </c>
      <c r="D19" s="144"/>
      <c r="E19" s="144"/>
      <c r="K19" t="s">
        <v>316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317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467</v>
      </c>
    </row>
    <row r="23" spans="1:12" x14ac:dyDescent="0.2">
      <c r="B23" s="15" t="s">
        <v>287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4"/>
    </sheetView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318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60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60" t="s">
        <v>319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320</v>
      </c>
      <c r="B5" s="160" t="s">
        <v>321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60" t="s">
        <v>322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60" t="s">
        <v>323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60" t="s">
        <v>324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60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60" t="s">
        <v>325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60" t="s">
        <v>326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60" t="s">
        <v>327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60" t="s">
        <v>328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60" t="s">
        <v>329</v>
      </c>
      <c r="C14" s="117">
        <v>2</v>
      </c>
      <c r="M14" s="15"/>
      <c r="N14" s="137"/>
      <c r="O14" s="137"/>
    </row>
    <row r="15" spans="1:15" x14ac:dyDescent="0.2">
      <c r="B15" s="160" t="s">
        <v>330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60" t="s">
        <v>331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243</v>
      </c>
      <c r="B17" s="160" t="s">
        <v>332</v>
      </c>
      <c r="C17" s="117"/>
      <c r="G17" s="149"/>
      <c r="H17" s="148"/>
      <c r="I17" s="150"/>
      <c r="J17" s="148"/>
      <c r="K17" s="86"/>
    </row>
    <row r="18" spans="1:11" x14ac:dyDescent="0.2">
      <c r="B18" s="160" t="s">
        <v>333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60" t="s">
        <v>334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60" t="s">
        <v>335</v>
      </c>
      <c r="C20" s="117"/>
      <c r="F20" s="146">
        <v>4</v>
      </c>
      <c r="K20" s="86">
        <f t="shared" si="1"/>
        <v>4</v>
      </c>
    </row>
    <row r="21" spans="1:11" x14ac:dyDescent="0.2">
      <c r="B21" s="160" t="s">
        <v>336</v>
      </c>
      <c r="C21" s="117"/>
      <c r="F21" s="146">
        <v>2</v>
      </c>
      <c r="K21" s="86">
        <f t="shared" si="1"/>
        <v>2</v>
      </c>
    </row>
    <row r="22" spans="1:11" x14ac:dyDescent="0.2">
      <c r="B22" s="160" t="s">
        <v>337</v>
      </c>
      <c r="C22" s="117"/>
      <c r="K22" s="86">
        <f t="shared" si="1"/>
        <v>0</v>
      </c>
    </row>
    <row r="23" spans="1:11" x14ac:dyDescent="0.2">
      <c r="B23" s="160" t="s">
        <v>338</v>
      </c>
      <c r="C23" s="117"/>
      <c r="K23" s="86">
        <f t="shared" si="1"/>
        <v>0</v>
      </c>
    </row>
    <row r="24" spans="1:11" x14ac:dyDescent="0.2">
      <c r="B24" s="160" t="s">
        <v>339</v>
      </c>
      <c r="C24" s="117"/>
      <c r="K24" s="86">
        <f t="shared" si="1"/>
        <v>0</v>
      </c>
    </row>
    <row r="25" spans="1:11" x14ac:dyDescent="0.2">
      <c r="B25" s="160" t="s">
        <v>340</v>
      </c>
      <c r="C25" s="117"/>
      <c r="K25" s="86">
        <f t="shared" si="1"/>
        <v>0</v>
      </c>
    </row>
    <row r="26" spans="1:11" x14ac:dyDescent="0.2">
      <c r="B26" s="160" t="s">
        <v>341</v>
      </c>
      <c r="C26" s="40"/>
      <c r="K26" s="86">
        <f t="shared" si="1"/>
        <v>0</v>
      </c>
    </row>
    <row r="27" spans="1:11" x14ac:dyDescent="0.2">
      <c r="B27" s="160" t="s">
        <v>342</v>
      </c>
      <c r="K27" s="86">
        <f t="shared" si="1"/>
        <v>0</v>
      </c>
    </row>
    <row r="28" spans="1:11" x14ac:dyDescent="0.2">
      <c r="B28" s="160" t="s">
        <v>343</v>
      </c>
      <c r="K28" s="86">
        <f t="shared" si="1"/>
        <v>0</v>
      </c>
    </row>
    <row r="29" spans="1:11" x14ac:dyDescent="0.2">
      <c r="B29" s="160" t="s">
        <v>344</v>
      </c>
      <c r="K29" s="86">
        <f t="shared" si="1"/>
        <v>0</v>
      </c>
    </row>
    <row r="30" spans="1:11" x14ac:dyDescent="0.2">
      <c r="B30" s="160" t="s">
        <v>345</v>
      </c>
      <c r="K30" s="86">
        <f t="shared" si="1"/>
        <v>0</v>
      </c>
    </row>
    <row r="31" spans="1:11" x14ac:dyDescent="0.2">
      <c r="B31" s="160" t="s">
        <v>346</v>
      </c>
      <c r="K31" s="86">
        <f t="shared" si="1"/>
        <v>0</v>
      </c>
    </row>
    <row r="32" spans="1:11" x14ac:dyDescent="0.2">
      <c r="B32" s="160" t="s">
        <v>347</v>
      </c>
      <c r="C32" s="117"/>
      <c r="D32" s="147">
        <v>22</v>
      </c>
      <c r="K32" s="86">
        <f t="shared" si="1"/>
        <v>22</v>
      </c>
    </row>
    <row r="33" spans="2:11" x14ac:dyDescent="0.2">
      <c r="B33" s="160" t="s">
        <v>348</v>
      </c>
      <c r="K33" s="86">
        <f t="shared" si="1"/>
        <v>0</v>
      </c>
    </row>
    <row r="34" spans="2:11" x14ac:dyDescent="0.2">
      <c r="B34" s="160" t="s">
        <v>349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Jason Moses</cp:lastModifiedBy>
  <cp:revision>0</cp:revision>
  <cp:lastPrinted>2022-08-08T18:49:14Z</cp:lastPrinted>
  <dcterms:created xsi:type="dcterms:W3CDTF">2014-04-02T21:11:50Z</dcterms:created>
  <dcterms:modified xsi:type="dcterms:W3CDTF">2022-08-10T19:35:06Z</dcterms:modified>
  <dc:language>en-US</dc:language>
</cp:coreProperties>
</file>