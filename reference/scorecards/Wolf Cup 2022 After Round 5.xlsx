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chwoodinc-my.sharepoint.com/personal/jstoll_richwood_com/Documents/Documents/"/>
    </mc:Choice>
  </mc:AlternateContent>
  <xr:revisionPtr revIDLastSave="0" documentId="8_{8CE7CCC4-2EC2-4F7B-BF6E-11E2593F41DB}" xr6:coauthVersionLast="47" xr6:coauthVersionMax="47" xr10:uidLastSave="{00000000-0000-0000-0000-000000000000}"/>
  <bookViews>
    <workbookView xWindow="15015" yWindow="480" windowWidth="34560" windowHeight="19845" activeTab="2" xr2:uid="{00000000-000D-0000-FFFF-FFFF00000000}"/>
  </bookViews>
  <sheets>
    <sheet name="Auto -  Printable" sheetId="1" r:id="rId1"/>
    <sheet name="Printable" sheetId="2" r:id="rId2"/>
    <sheet name="Standings" sheetId="3" r:id="rId3"/>
    <sheet name="Data - For Rank" sheetId="4" r:id="rId4"/>
    <sheet name="Stats" sheetId="5" r:id="rId5"/>
    <sheet name="Pairings" sheetId="6" r:id="rId6"/>
    <sheet name="Tee Sheet" sheetId="7" r:id="rId7"/>
    <sheet name="Gin &amp; Juice" sheetId="8" r:id="rId8"/>
    <sheet name="Playoffs" sheetId="9" r:id="rId9"/>
    <sheet name="Money" sheetId="10" r:id="rId10"/>
    <sheet name="sub list" sheetId="11" r:id="rId11"/>
    <sheet name="Jaquint's handicap" sheetId="12" r:id="rId12"/>
    <sheet name="Keaton's handicap" sheetId="13" r:id="rId13"/>
  </sheets>
  <definedNames>
    <definedName name="_xlnm.Print_Area" localSheetId="4">Stats!$A$1:$I$29</definedName>
    <definedName name="Ranking">Standings!$B$6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4" i="13" l="1"/>
  <c r="X4" i="13"/>
  <c r="V4" i="13"/>
  <c r="P4" i="13"/>
  <c r="N4" i="13"/>
  <c r="J4" i="13"/>
  <c r="H4" i="13"/>
  <c r="F4" i="13"/>
  <c r="D4" i="13"/>
  <c r="G26" i="12"/>
  <c r="P7" i="12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6" i="11"/>
  <c r="K15" i="11"/>
  <c r="K13" i="11"/>
  <c r="K12" i="11"/>
  <c r="K11" i="11"/>
  <c r="K10" i="11"/>
  <c r="K9" i="11"/>
  <c r="K8" i="11"/>
  <c r="K7" i="11"/>
  <c r="K6" i="11"/>
  <c r="K5" i="11"/>
  <c r="K4" i="11"/>
  <c r="K3" i="11"/>
  <c r="C23" i="10"/>
  <c r="L21" i="10"/>
  <c r="I6" i="10"/>
  <c r="I15" i="10" s="1"/>
  <c r="I3" i="10"/>
  <c r="G30" i="9"/>
  <c r="E30" i="9"/>
  <c r="G28" i="9"/>
  <c r="E28" i="9"/>
  <c r="H24" i="9"/>
  <c r="H21" i="9"/>
  <c r="H18" i="9"/>
  <c r="H15" i="9"/>
  <c r="Q12" i="9"/>
  <c r="H12" i="9"/>
  <c r="Q9" i="9"/>
  <c r="H9" i="9"/>
  <c r="Q6" i="9"/>
  <c r="H6" i="9"/>
  <c r="Q3" i="9"/>
  <c r="H3" i="9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V13" i="8"/>
  <c r="V12" i="8"/>
  <c r="V11" i="8"/>
  <c r="V10" i="8"/>
  <c r="V9" i="8"/>
  <c r="V8" i="8"/>
  <c r="T26" i="7"/>
  <c r="L26" i="7"/>
  <c r="K26" i="7"/>
  <c r="J26" i="7"/>
  <c r="AB24" i="7"/>
  <c r="AB23" i="7"/>
  <c r="AA23" i="7"/>
  <c r="AB22" i="7"/>
  <c r="AA22" i="7"/>
  <c r="Z22" i="7"/>
  <c r="AB21" i="7"/>
  <c r="AA21" i="7"/>
  <c r="Z21" i="7"/>
  <c r="Y21" i="7"/>
  <c r="AB20" i="7"/>
  <c r="AA20" i="7"/>
  <c r="Z20" i="7"/>
  <c r="Y20" i="7"/>
  <c r="X20" i="7"/>
  <c r="AB19" i="7"/>
  <c r="AA19" i="7"/>
  <c r="Z19" i="7"/>
  <c r="Y19" i="7"/>
  <c r="X19" i="7"/>
  <c r="W19" i="7"/>
  <c r="AB18" i="7"/>
  <c r="AA18" i="7"/>
  <c r="Z18" i="7"/>
  <c r="Y18" i="7"/>
  <c r="X18" i="7"/>
  <c r="W18" i="7"/>
  <c r="V18" i="7"/>
  <c r="AB17" i="7"/>
  <c r="AA17" i="7"/>
  <c r="Z17" i="7"/>
  <c r="Y17" i="7"/>
  <c r="X17" i="7"/>
  <c r="W17" i="7"/>
  <c r="V17" i="7"/>
  <c r="U17" i="7"/>
  <c r="AB16" i="7"/>
  <c r="AA16" i="7"/>
  <c r="Z16" i="7"/>
  <c r="Y16" i="7"/>
  <c r="X16" i="7"/>
  <c r="W16" i="7"/>
  <c r="V16" i="7"/>
  <c r="U16" i="7"/>
  <c r="T16" i="7"/>
  <c r="AB15" i="7"/>
  <c r="AA15" i="7"/>
  <c r="Z15" i="7"/>
  <c r="Y15" i="7"/>
  <c r="X15" i="7"/>
  <c r="W15" i="7"/>
  <c r="V15" i="7"/>
  <c r="U15" i="7"/>
  <c r="T15" i="7"/>
  <c r="S15" i="7"/>
  <c r="AB14" i="7"/>
  <c r="AA14" i="7"/>
  <c r="Z14" i="7"/>
  <c r="Y14" i="7"/>
  <c r="X14" i="7"/>
  <c r="W14" i="7"/>
  <c r="V14" i="7"/>
  <c r="U14" i="7"/>
  <c r="T14" i="7"/>
  <c r="S14" i="7"/>
  <c r="R14" i="7"/>
  <c r="AB13" i="7"/>
  <c r="AA13" i="7"/>
  <c r="Z13" i="7"/>
  <c r="Y13" i="7"/>
  <c r="X13" i="7"/>
  <c r="W13" i="7"/>
  <c r="V13" i="7"/>
  <c r="U13" i="7"/>
  <c r="T13" i="7"/>
  <c r="S13" i="7"/>
  <c r="R13" i="7"/>
  <c r="Q13" i="7"/>
  <c r="AB12" i="7"/>
  <c r="AA12" i="7"/>
  <c r="Z12" i="7"/>
  <c r="Y12" i="7"/>
  <c r="X12" i="7"/>
  <c r="X26" i="7" s="1"/>
  <c r="W12" i="7"/>
  <c r="V12" i="7"/>
  <c r="U12" i="7"/>
  <c r="T12" i="7"/>
  <c r="S12" i="7"/>
  <c r="R12" i="7"/>
  <c r="Q12" i="7"/>
  <c r="P12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AB9" i="7"/>
  <c r="AA9" i="7"/>
  <c r="Z9" i="7"/>
  <c r="Y9" i="7"/>
  <c r="X9" i="7"/>
  <c r="W9" i="7"/>
  <c r="V9" i="7"/>
  <c r="U9" i="7"/>
  <c r="T9" i="7"/>
  <c r="S9" i="7"/>
  <c r="R9" i="7"/>
  <c r="Q9" i="7"/>
  <c r="Q26" i="7" s="1"/>
  <c r="P9" i="7"/>
  <c r="O9" i="7"/>
  <c r="N9" i="7"/>
  <c r="M9" i="7"/>
  <c r="AB8" i="7"/>
  <c r="AA8" i="7"/>
  <c r="Z8" i="7"/>
  <c r="Y8" i="7"/>
  <c r="X8" i="7"/>
  <c r="W8" i="7"/>
  <c r="W26" i="7" s="1"/>
  <c r="V8" i="7"/>
  <c r="V26" i="7" s="1"/>
  <c r="U8" i="7"/>
  <c r="T8" i="7"/>
  <c r="S8" i="7"/>
  <c r="R8" i="7"/>
  <c r="Q8" i="7"/>
  <c r="P8" i="7"/>
  <c r="O8" i="7"/>
  <c r="N8" i="7"/>
  <c r="M8" i="7"/>
  <c r="L8" i="7"/>
  <c r="AB7" i="7"/>
  <c r="AB26" i="7" s="1"/>
  <c r="AA7" i="7"/>
  <c r="AA26" i="7" s="1"/>
  <c r="Z7" i="7"/>
  <c r="Z26" i="7" s="1"/>
  <c r="Y7" i="7"/>
  <c r="X7" i="7"/>
  <c r="W7" i="7"/>
  <c r="V7" i="7"/>
  <c r="U7" i="7"/>
  <c r="U26" i="7" s="1"/>
  <c r="T7" i="7"/>
  <c r="S7" i="7"/>
  <c r="R7" i="7"/>
  <c r="Q7" i="7"/>
  <c r="P7" i="7"/>
  <c r="P26" i="7" s="1"/>
  <c r="O7" i="7"/>
  <c r="O26" i="7" s="1"/>
  <c r="N7" i="7"/>
  <c r="N26" i="7" s="1"/>
  <c r="M7" i="7"/>
  <c r="M26" i="7" s="1"/>
  <c r="L7" i="7"/>
  <c r="K7" i="7"/>
  <c r="BP23" i="6"/>
  <c r="BO23" i="6"/>
  <c r="BL23" i="6"/>
  <c r="BF23" i="6"/>
  <c r="BD23" i="6"/>
  <c r="BV21" i="6"/>
  <c r="BV20" i="6"/>
  <c r="BU20" i="6"/>
  <c r="BV19" i="6"/>
  <c r="BU19" i="6"/>
  <c r="BT19" i="6"/>
  <c r="BV18" i="6"/>
  <c r="BU18" i="6"/>
  <c r="BT18" i="6"/>
  <c r="BS18" i="6"/>
  <c r="BV17" i="6"/>
  <c r="BU17" i="6"/>
  <c r="BT17" i="6"/>
  <c r="BS17" i="6"/>
  <c r="BR17" i="6"/>
  <c r="BV16" i="6"/>
  <c r="BU16" i="6"/>
  <c r="BT16" i="6"/>
  <c r="BS16" i="6"/>
  <c r="BR16" i="6"/>
  <c r="BQ16" i="6"/>
  <c r="BV15" i="6"/>
  <c r="BU15" i="6"/>
  <c r="BT15" i="6"/>
  <c r="BS15" i="6"/>
  <c r="BR15" i="6"/>
  <c r="BQ15" i="6"/>
  <c r="BP15" i="6"/>
  <c r="BV14" i="6"/>
  <c r="BU14" i="6"/>
  <c r="BT14" i="6"/>
  <c r="BS14" i="6"/>
  <c r="BR14" i="6"/>
  <c r="BQ14" i="6"/>
  <c r="BP14" i="6"/>
  <c r="BO14" i="6"/>
  <c r="BV13" i="6"/>
  <c r="BU13" i="6"/>
  <c r="BT13" i="6"/>
  <c r="BS13" i="6"/>
  <c r="BR13" i="6"/>
  <c r="BQ13" i="6"/>
  <c r="BP13" i="6"/>
  <c r="BO13" i="6"/>
  <c r="BN13" i="6"/>
  <c r="BV12" i="6"/>
  <c r="BU12" i="6"/>
  <c r="BT12" i="6"/>
  <c r="BS12" i="6"/>
  <c r="BR12" i="6"/>
  <c r="BQ12" i="6"/>
  <c r="BP12" i="6"/>
  <c r="BO12" i="6"/>
  <c r="BN12" i="6"/>
  <c r="BM12" i="6"/>
  <c r="BV11" i="6"/>
  <c r="BU11" i="6"/>
  <c r="BT11" i="6"/>
  <c r="BS11" i="6"/>
  <c r="BR11" i="6"/>
  <c r="BQ11" i="6"/>
  <c r="BP11" i="6"/>
  <c r="BO11" i="6"/>
  <c r="BN11" i="6"/>
  <c r="BM11" i="6"/>
  <c r="BL11" i="6"/>
  <c r="BV10" i="6"/>
  <c r="BU10" i="6"/>
  <c r="BT10" i="6"/>
  <c r="BS10" i="6"/>
  <c r="BR10" i="6"/>
  <c r="BQ10" i="6"/>
  <c r="BP10" i="6"/>
  <c r="BO10" i="6"/>
  <c r="BN10" i="6"/>
  <c r="BM10" i="6"/>
  <c r="BL10" i="6"/>
  <c r="BK10" i="6"/>
  <c r="BV9" i="6"/>
  <c r="BU9" i="6"/>
  <c r="BT9" i="6"/>
  <c r="BS9" i="6"/>
  <c r="BR9" i="6"/>
  <c r="BQ9" i="6"/>
  <c r="BP9" i="6"/>
  <c r="BO9" i="6"/>
  <c r="BN9" i="6"/>
  <c r="BM9" i="6"/>
  <c r="BL9" i="6"/>
  <c r="BK9" i="6"/>
  <c r="BJ9" i="6"/>
  <c r="BV8" i="6"/>
  <c r="BU8" i="6"/>
  <c r="BT8" i="6"/>
  <c r="BS8" i="6"/>
  <c r="BR8" i="6"/>
  <c r="BR23" i="6" s="1"/>
  <c r="BQ8" i="6"/>
  <c r="BP8" i="6"/>
  <c r="BO8" i="6"/>
  <c r="BN8" i="6"/>
  <c r="BM8" i="6"/>
  <c r="BL8" i="6"/>
  <c r="BK8" i="6"/>
  <c r="BJ8" i="6"/>
  <c r="BI8" i="6"/>
  <c r="BV7" i="6"/>
  <c r="BU7" i="6"/>
  <c r="BT7" i="6"/>
  <c r="BS7" i="6"/>
  <c r="BR7" i="6"/>
  <c r="BQ7" i="6"/>
  <c r="BP7" i="6"/>
  <c r="BO7" i="6"/>
  <c r="BN7" i="6"/>
  <c r="BM7" i="6"/>
  <c r="BL7" i="6"/>
  <c r="BK7" i="6"/>
  <c r="BJ7" i="6"/>
  <c r="BI7" i="6"/>
  <c r="BH7" i="6"/>
  <c r="BV6" i="6"/>
  <c r="BU6" i="6"/>
  <c r="BU23" i="6" s="1"/>
  <c r="BT6" i="6"/>
  <c r="BS6" i="6"/>
  <c r="BR6" i="6"/>
  <c r="BQ6" i="6"/>
  <c r="BP6" i="6"/>
  <c r="BO6" i="6"/>
  <c r="BN6" i="6"/>
  <c r="BM6" i="6"/>
  <c r="BL6" i="6"/>
  <c r="BK6" i="6"/>
  <c r="BJ6" i="6"/>
  <c r="BI6" i="6"/>
  <c r="BI23" i="6" s="1"/>
  <c r="BH6" i="6"/>
  <c r="BG6" i="6"/>
  <c r="BV5" i="6"/>
  <c r="BU5" i="6"/>
  <c r="BT5" i="6"/>
  <c r="BS5" i="6"/>
  <c r="BR5" i="6"/>
  <c r="BQ5" i="6"/>
  <c r="BP5" i="6"/>
  <c r="BO5" i="6"/>
  <c r="BN5" i="6"/>
  <c r="BN23" i="6" s="1"/>
  <c r="BM5" i="6"/>
  <c r="BL5" i="6"/>
  <c r="BK5" i="6"/>
  <c r="BJ5" i="6"/>
  <c r="BI5" i="6"/>
  <c r="BH5" i="6"/>
  <c r="BG5" i="6"/>
  <c r="BF5" i="6"/>
  <c r="BV4" i="6"/>
  <c r="BU4" i="6"/>
  <c r="BT4" i="6"/>
  <c r="BS4" i="6"/>
  <c r="BS23" i="6" s="1"/>
  <c r="BR4" i="6"/>
  <c r="BQ4" i="6"/>
  <c r="BQ23" i="6" s="1"/>
  <c r="BP4" i="6"/>
  <c r="BO4" i="6"/>
  <c r="BN4" i="6"/>
  <c r="BM4" i="6"/>
  <c r="BM23" i="6" s="1"/>
  <c r="BL4" i="6"/>
  <c r="BK4" i="6"/>
  <c r="BK23" i="6" s="1"/>
  <c r="BJ4" i="6"/>
  <c r="BI4" i="6"/>
  <c r="BH4" i="6"/>
  <c r="BH23" i="6" s="1"/>
  <c r="BG4" i="6"/>
  <c r="BG23" i="6" s="1"/>
  <c r="BF4" i="6"/>
  <c r="BE4" i="6"/>
  <c r="BE23" i="6" s="1"/>
  <c r="G25" i="5"/>
  <c r="B25" i="5"/>
  <c r="G24" i="5"/>
  <c r="B24" i="5"/>
  <c r="G23" i="5"/>
  <c r="B23" i="5"/>
  <c r="Z22" i="5"/>
  <c r="G22" i="5"/>
  <c r="D22" i="5"/>
  <c r="C22" i="5"/>
  <c r="B22" i="5"/>
  <c r="Z21" i="5"/>
  <c r="G21" i="5"/>
  <c r="D21" i="5"/>
  <c r="C21" i="5"/>
  <c r="B21" i="5"/>
  <c r="Z20" i="5"/>
  <c r="G20" i="5"/>
  <c r="D20" i="5"/>
  <c r="C20" i="5"/>
  <c r="B20" i="5"/>
  <c r="Z19" i="5"/>
  <c r="G19" i="5"/>
  <c r="D19" i="5"/>
  <c r="C19" i="5"/>
  <c r="B19" i="5"/>
  <c r="Z18" i="5"/>
  <c r="G18" i="5"/>
  <c r="D18" i="5"/>
  <c r="C18" i="5"/>
  <c r="B18" i="5"/>
  <c r="Z17" i="5"/>
  <c r="G17" i="5"/>
  <c r="D17" i="5"/>
  <c r="C17" i="5"/>
  <c r="B17" i="5"/>
  <c r="Z16" i="5"/>
  <c r="G16" i="5"/>
  <c r="D16" i="5"/>
  <c r="C16" i="5"/>
  <c r="B16" i="5"/>
  <c r="Z15" i="5"/>
  <c r="G15" i="5"/>
  <c r="D15" i="5"/>
  <c r="C15" i="5"/>
  <c r="B15" i="5"/>
  <c r="Z14" i="5"/>
  <c r="G14" i="5"/>
  <c r="D14" i="5"/>
  <c r="C14" i="5"/>
  <c r="B14" i="5"/>
  <c r="Z13" i="5"/>
  <c r="G13" i="5"/>
  <c r="D13" i="5"/>
  <c r="C13" i="5"/>
  <c r="B13" i="5"/>
  <c r="Z12" i="5"/>
  <c r="G12" i="5"/>
  <c r="D12" i="5"/>
  <c r="C12" i="5"/>
  <c r="B12" i="5"/>
  <c r="Z11" i="5"/>
  <c r="G11" i="5"/>
  <c r="D11" i="5"/>
  <c r="C11" i="5"/>
  <c r="B11" i="5"/>
  <c r="Z10" i="5"/>
  <c r="G10" i="5"/>
  <c r="D10" i="5"/>
  <c r="C10" i="5"/>
  <c r="B10" i="5"/>
  <c r="Z9" i="5"/>
  <c r="G9" i="5"/>
  <c r="D9" i="5"/>
  <c r="C9" i="5"/>
  <c r="B9" i="5"/>
  <c r="Z8" i="5"/>
  <c r="G8" i="5"/>
  <c r="D8" i="5"/>
  <c r="C8" i="5"/>
  <c r="B8" i="5"/>
  <c r="Z7" i="5"/>
  <c r="G7" i="5"/>
  <c r="D7" i="5"/>
  <c r="C7" i="5"/>
  <c r="B7" i="5"/>
  <c r="EC115" i="3"/>
  <c r="CR115" i="3"/>
  <c r="CP115" i="3"/>
  <c r="CM115" i="3"/>
  <c r="CK115" i="3"/>
  <c r="CH115" i="3"/>
  <c r="CF115" i="3"/>
  <c r="CA115" i="3"/>
  <c r="CC115" i="3" s="1"/>
  <c r="BX115" i="3"/>
  <c r="BV115" i="3"/>
  <c r="BQ115" i="3"/>
  <c r="BS115" i="3" s="1"/>
  <c r="BN115" i="3"/>
  <c r="BL115" i="3"/>
  <c r="BI115" i="3"/>
  <c r="BG115" i="3"/>
  <c r="BD115" i="3"/>
  <c r="BB115" i="3"/>
  <c r="AW115" i="3"/>
  <c r="AY115" i="3" s="1"/>
  <c r="AT115" i="3"/>
  <c r="AR115" i="3"/>
  <c r="AM115" i="3"/>
  <c r="AO115" i="3" s="1"/>
  <c r="AJ115" i="3"/>
  <c r="AH115" i="3"/>
  <c r="AE115" i="3"/>
  <c r="AC115" i="3"/>
  <c r="Z115" i="3"/>
  <c r="X115" i="3"/>
  <c r="S115" i="3"/>
  <c r="U115" i="3" s="1"/>
  <c r="P115" i="3"/>
  <c r="N115" i="3"/>
  <c r="I115" i="3"/>
  <c r="K115" i="3" s="1"/>
  <c r="EC114" i="3"/>
  <c r="CQ114" i="3"/>
  <c r="CO114" i="3"/>
  <c r="CJ114" i="3"/>
  <c r="CL114" i="3" s="1"/>
  <c r="CE114" i="3"/>
  <c r="CG114" i="3" s="1"/>
  <c r="BZ114" i="3"/>
  <c r="CB114" i="3" s="1"/>
  <c r="BW114" i="3"/>
  <c r="BU114" i="3"/>
  <c r="BP114" i="3"/>
  <c r="BR114" i="3" s="1"/>
  <c r="BM114" i="3"/>
  <c r="BK114" i="3"/>
  <c r="BF114" i="3"/>
  <c r="BH114" i="3" s="1"/>
  <c r="BA114" i="3"/>
  <c r="BC114" i="3" s="1"/>
  <c r="AV114" i="3"/>
  <c r="AX114" i="3" s="1"/>
  <c r="AS114" i="3"/>
  <c r="AQ114" i="3"/>
  <c r="AL114" i="3"/>
  <c r="AN114" i="3" s="1"/>
  <c r="AI114" i="3"/>
  <c r="AG114" i="3"/>
  <c r="AB114" i="3"/>
  <c r="AD114" i="3" s="1"/>
  <c r="W114" i="3"/>
  <c r="Y114" i="3" s="1"/>
  <c r="R114" i="3"/>
  <c r="T114" i="3" s="1"/>
  <c r="O114" i="3"/>
  <c r="M114" i="3"/>
  <c r="H114" i="3"/>
  <c r="J114" i="3" s="1"/>
  <c r="EC112" i="3"/>
  <c r="CP112" i="3"/>
  <c r="CR112" i="3" s="1"/>
  <c r="CK112" i="3"/>
  <c r="CM112" i="3" s="1"/>
  <c r="CF112" i="3"/>
  <c r="CH112" i="3" s="1"/>
  <c r="CC112" i="3"/>
  <c r="CA112" i="3"/>
  <c r="BV112" i="3"/>
  <c r="BX112" i="3" s="1"/>
  <c r="BS112" i="3"/>
  <c r="BQ112" i="3"/>
  <c r="BL112" i="3"/>
  <c r="BN112" i="3" s="1"/>
  <c r="BG112" i="3"/>
  <c r="BI112" i="3" s="1"/>
  <c r="BB112" i="3"/>
  <c r="BD112" i="3" s="1"/>
  <c r="AY112" i="3"/>
  <c r="AW112" i="3"/>
  <c r="AR112" i="3"/>
  <c r="AT112" i="3" s="1"/>
  <c r="AO112" i="3"/>
  <c r="AM112" i="3"/>
  <c r="AH112" i="3"/>
  <c r="AJ112" i="3" s="1"/>
  <c r="AC112" i="3"/>
  <c r="AE112" i="3" s="1"/>
  <c r="X112" i="3"/>
  <c r="Z112" i="3" s="1"/>
  <c r="U112" i="3"/>
  <c r="S112" i="3"/>
  <c r="N112" i="3"/>
  <c r="P112" i="3" s="1"/>
  <c r="K112" i="3"/>
  <c r="I112" i="3"/>
  <c r="EC111" i="3"/>
  <c r="CQ111" i="3"/>
  <c r="CO111" i="3"/>
  <c r="CJ111" i="3"/>
  <c r="CL111" i="3" s="1"/>
  <c r="CG111" i="3"/>
  <c r="CE111" i="3"/>
  <c r="CB111" i="3"/>
  <c r="BZ111" i="3"/>
  <c r="BU111" i="3"/>
  <c r="BW111" i="3" s="1"/>
  <c r="BR111" i="3"/>
  <c r="BP111" i="3"/>
  <c r="BM111" i="3"/>
  <c r="BK111" i="3"/>
  <c r="BF111" i="3"/>
  <c r="BH111" i="3" s="1"/>
  <c r="BC111" i="3"/>
  <c r="BA111" i="3"/>
  <c r="AX111" i="3"/>
  <c r="AV111" i="3"/>
  <c r="AS111" i="3"/>
  <c r="AQ111" i="3"/>
  <c r="AN111" i="3"/>
  <c r="AL111" i="3"/>
  <c r="AI111" i="3"/>
  <c r="AG111" i="3"/>
  <c r="AB111" i="3"/>
  <c r="AD111" i="3" s="1"/>
  <c r="Y111" i="3"/>
  <c r="W111" i="3"/>
  <c r="T111" i="3"/>
  <c r="R111" i="3"/>
  <c r="M111" i="3"/>
  <c r="O111" i="3" s="1"/>
  <c r="J111" i="3"/>
  <c r="H111" i="3"/>
  <c r="EC109" i="3"/>
  <c r="CP109" i="3"/>
  <c r="CR109" i="3" s="1"/>
  <c r="CM109" i="3"/>
  <c r="CK109" i="3"/>
  <c r="CH109" i="3"/>
  <c r="CF109" i="3"/>
  <c r="CA109" i="3"/>
  <c r="CC109" i="3" s="1"/>
  <c r="BX109" i="3"/>
  <c r="BV109" i="3"/>
  <c r="BS109" i="3"/>
  <c r="BQ109" i="3"/>
  <c r="BL109" i="3"/>
  <c r="BN109" i="3" s="1"/>
  <c r="BI109" i="3"/>
  <c r="BG109" i="3"/>
  <c r="BD109" i="3"/>
  <c r="BB109" i="3"/>
  <c r="AY109" i="3"/>
  <c r="AW109" i="3"/>
  <c r="AT109" i="3"/>
  <c r="AR109" i="3"/>
  <c r="AO109" i="3"/>
  <c r="AM109" i="3"/>
  <c r="AH109" i="3"/>
  <c r="AJ109" i="3" s="1"/>
  <c r="AE109" i="3"/>
  <c r="AC109" i="3"/>
  <c r="Z109" i="3"/>
  <c r="X109" i="3"/>
  <c r="S109" i="3"/>
  <c r="U109" i="3" s="1"/>
  <c r="P109" i="3"/>
  <c r="N109" i="3"/>
  <c r="I109" i="3"/>
  <c r="K109" i="3" s="1"/>
  <c r="EC108" i="3"/>
  <c r="CO108" i="3"/>
  <c r="CQ108" i="3" s="1"/>
  <c r="CL108" i="3"/>
  <c r="CJ108" i="3"/>
  <c r="CE108" i="3"/>
  <c r="CG108" i="3" s="1"/>
  <c r="BZ108" i="3"/>
  <c r="CB108" i="3" s="1"/>
  <c r="BU108" i="3"/>
  <c r="BW108" i="3" s="1"/>
  <c r="BP108" i="3"/>
  <c r="BR108" i="3" s="1"/>
  <c r="BK108" i="3"/>
  <c r="BM108" i="3" s="1"/>
  <c r="BH108" i="3"/>
  <c r="BF108" i="3"/>
  <c r="BA108" i="3"/>
  <c r="BC108" i="3" s="1"/>
  <c r="AV108" i="3"/>
  <c r="AX108" i="3" s="1"/>
  <c r="AQ108" i="3"/>
  <c r="AS108" i="3" s="1"/>
  <c r="AN108" i="3"/>
  <c r="AL108" i="3"/>
  <c r="AG108" i="3"/>
  <c r="AI108" i="3" s="1"/>
  <c r="AB108" i="3"/>
  <c r="AD108" i="3" s="1"/>
  <c r="W108" i="3"/>
  <c r="Y108" i="3" s="1"/>
  <c r="R108" i="3"/>
  <c r="T108" i="3" s="1"/>
  <c r="M108" i="3"/>
  <c r="O108" i="3" s="1"/>
  <c r="J108" i="3"/>
  <c r="H108" i="3"/>
  <c r="EC106" i="3"/>
  <c r="CR106" i="3"/>
  <c r="CP106" i="3"/>
  <c r="CK106" i="3"/>
  <c r="CM106" i="3" s="1"/>
  <c r="CH106" i="3"/>
  <c r="CF106" i="3"/>
  <c r="CA106" i="3"/>
  <c r="CC106" i="3" s="1"/>
  <c r="BX106" i="3"/>
  <c r="BV106" i="3"/>
  <c r="BQ106" i="3"/>
  <c r="BS106" i="3" s="1"/>
  <c r="BN106" i="3"/>
  <c r="BL106" i="3"/>
  <c r="BI106" i="3"/>
  <c r="BG106" i="3"/>
  <c r="BB106" i="3"/>
  <c r="BD106" i="3" s="1"/>
  <c r="AW106" i="3"/>
  <c r="AY106" i="3" s="1"/>
  <c r="AT106" i="3"/>
  <c r="AR106" i="3"/>
  <c r="AM106" i="3"/>
  <c r="AO106" i="3" s="1"/>
  <c r="AH106" i="3"/>
  <c r="AJ106" i="3" s="1"/>
  <c r="AE106" i="3"/>
  <c r="AC106" i="3"/>
  <c r="Z106" i="3"/>
  <c r="X106" i="3"/>
  <c r="S106" i="3"/>
  <c r="U106" i="3" s="1"/>
  <c r="N106" i="3"/>
  <c r="P106" i="3" s="1"/>
  <c r="I106" i="3"/>
  <c r="K106" i="3" s="1"/>
  <c r="EC105" i="3"/>
  <c r="CQ105" i="3"/>
  <c r="CO105" i="3"/>
  <c r="CJ105" i="3"/>
  <c r="CL105" i="3" s="1"/>
  <c r="CG105" i="3"/>
  <c r="CE105" i="3"/>
  <c r="BZ105" i="3"/>
  <c r="CB105" i="3" s="1"/>
  <c r="BW105" i="3"/>
  <c r="BU105" i="3"/>
  <c r="BR105" i="3"/>
  <c r="BP105" i="3"/>
  <c r="BM105" i="3"/>
  <c r="BK105" i="3"/>
  <c r="BF105" i="3"/>
  <c r="BH105" i="3" s="1"/>
  <c r="BA105" i="3"/>
  <c r="BC105" i="3" s="1"/>
  <c r="AV105" i="3"/>
  <c r="AX105" i="3" s="1"/>
  <c r="AS105" i="3"/>
  <c r="AQ105" i="3"/>
  <c r="AN105" i="3"/>
  <c r="AL105" i="3"/>
  <c r="AI105" i="3"/>
  <c r="AG105" i="3"/>
  <c r="AB105" i="3"/>
  <c r="AD105" i="3" s="1"/>
  <c r="Y105" i="3"/>
  <c r="W105" i="3"/>
  <c r="R105" i="3"/>
  <c r="T105" i="3" s="1"/>
  <c r="O105" i="3"/>
  <c r="M105" i="3"/>
  <c r="J105" i="3"/>
  <c r="H105" i="3"/>
  <c r="EC103" i="3"/>
  <c r="CR103" i="3"/>
  <c r="CP103" i="3"/>
  <c r="CK103" i="3"/>
  <c r="CM103" i="3" s="1"/>
  <c r="CF103" i="3"/>
  <c r="CH103" i="3" s="1"/>
  <c r="CA103" i="3"/>
  <c r="CC103" i="3" s="1"/>
  <c r="BX103" i="3"/>
  <c r="BV103" i="3"/>
  <c r="BS103" i="3"/>
  <c r="BQ103" i="3"/>
  <c r="BN103" i="3"/>
  <c r="BL103" i="3"/>
  <c r="BG103" i="3"/>
  <c r="BI103" i="3" s="1"/>
  <c r="BD103" i="3"/>
  <c r="BB103" i="3"/>
  <c r="AW103" i="3"/>
  <c r="AY103" i="3" s="1"/>
  <c r="AR103" i="3"/>
  <c r="AT103" i="3" s="1"/>
  <c r="AO103" i="3"/>
  <c r="AM103" i="3"/>
  <c r="AJ103" i="3"/>
  <c r="AH103" i="3"/>
  <c r="AC103" i="3"/>
  <c r="AE103" i="3" s="1"/>
  <c r="X103" i="3"/>
  <c r="Z103" i="3" s="1"/>
  <c r="S103" i="3"/>
  <c r="U103" i="3" s="1"/>
  <c r="P103" i="3"/>
  <c r="N103" i="3"/>
  <c r="K103" i="3"/>
  <c r="I103" i="3"/>
  <c r="EC102" i="3"/>
  <c r="CQ102" i="3"/>
  <c r="CO102" i="3"/>
  <c r="CJ102" i="3"/>
  <c r="CL102" i="3" s="1"/>
  <c r="CG102" i="3"/>
  <c r="CE102" i="3"/>
  <c r="BZ102" i="3"/>
  <c r="CB102" i="3" s="1"/>
  <c r="BW102" i="3"/>
  <c r="BU102" i="3"/>
  <c r="BP102" i="3"/>
  <c r="BR102" i="3" s="1"/>
  <c r="BM102" i="3"/>
  <c r="BK102" i="3"/>
  <c r="BF102" i="3"/>
  <c r="BH102" i="3" s="1"/>
  <c r="BC102" i="3"/>
  <c r="BA102" i="3"/>
  <c r="AX102" i="3"/>
  <c r="AV102" i="3"/>
  <c r="AS102" i="3"/>
  <c r="AQ102" i="3"/>
  <c r="AN102" i="3"/>
  <c r="AL102" i="3"/>
  <c r="AI102" i="3"/>
  <c r="AG102" i="3"/>
  <c r="AB102" i="3"/>
  <c r="AD102" i="3" s="1"/>
  <c r="Y102" i="3"/>
  <c r="W102" i="3"/>
  <c r="R102" i="3"/>
  <c r="T102" i="3" s="1"/>
  <c r="O102" i="3"/>
  <c r="M102" i="3"/>
  <c r="H102" i="3"/>
  <c r="J102" i="3" s="1"/>
  <c r="EC100" i="3"/>
  <c r="CP100" i="3"/>
  <c r="CR100" i="3" s="1"/>
  <c r="CM100" i="3"/>
  <c r="CK100" i="3"/>
  <c r="CH100" i="3"/>
  <c r="CF100" i="3"/>
  <c r="CC100" i="3"/>
  <c r="CA100" i="3"/>
  <c r="BV100" i="3"/>
  <c r="BX100" i="3" s="1"/>
  <c r="BS100" i="3"/>
  <c r="BQ100" i="3"/>
  <c r="BL100" i="3"/>
  <c r="BN100" i="3" s="1"/>
  <c r="BI100" i="3"/>
  <c r="BG100" i="3"/>
  <c r="BB100" i="3"/>
  <c r="BD100" i="3" s="1"/>
  <c r="AY100" i="3"/>
  <c r="AW100" i="3"/>
  <c r="AR100" i="3"/>
  <c r="AT100" i="3" s="1"/>
  <c r="AO100" i="3"/>
  <c r="AM100" i="3"/>
  <c r="AH100" i="3"/>
  <c r="AJ100" i="3" s="1"/>
  <c r="AE100" i="3"/>
  <c r="AC100" i="3"/>
  <c r="Z100" i="3"/>
  <c r="X100" i="3"/>
  <c r="U100" i="3"/>
  <c r="S100" i="3"/>
  <c r="P100" i="3"/>
  <c r="N100" i="3"/>
  <c r="I100" i="3"/>
  <c r="K100" i="3" s="1"/>
  <c r="EC99" i="3"/>
  <c r="CO99" i="3"/>
  <c r="CQ99" i="3" s="1"/>
  <c r="CL99" i="3"/>
  <c r="CJ99" i="3"/>
  <c r="CG99" i="3"/>
  <c r="CE99" i="3"/>
  <c r="BZ99" i="3"/>
  <c r="CB99" i="3" s="1"/>
  <c r="BU99" i="3"/>
  <c r="BW99" i="3" s="1"/>
  <c r="BP99" i="3"/>
  <c r="BR99" i="3" s="1"/>
  <c r="BM99" i="3"/>
  <c r="BK99" i="3"/>
  <c r="BH99" i="3"/>
  <c r="BF99" i="3"/>
  <c r="BC99" i="3"/>
  <c r="BA99" i="3"/>
  <c r="AV99" i="3"/>
  <c r="AX99" i="3" s="1"/>
  <c r="AS99" i="3"/>
  <c r="AQ99" i="3"/>
  <c r="AL99" i="3"/>
  <c r="AN99" i="3" s="1"/>
  <c r="AG99" i="3"/>
  <c r="AI99" i="3" s="1"/>
  <c r="AD99" i="3"/>
  <c r="AB99" i="3"/>
  <c r="Y99" i="3"/>
  <c r="W99" i="3"/>
  <c r="R99" i="3"/>
  <c r="T99" i="3" s="1"/>
  <c r="M99" i="3"/>
  <c r="O99" i="3" s="1"/>
  <c r="H99" i="3"/>
  <c r="J99" i="3" s="1"/>
  <c r="EC97" i="3"/>
  <c r="CP97" i="3"/>
  <c r="CR97" i="3" s="1"/>
  <c r="CM97" i="3"/>
  <c r="CK97" i="3"/>
  <c r="CF97" i="3"/>
  <c r="CH97" i="3" s="1"/>
  <c r="CC97" i="3"/>
  <c r="CA97" i="3"/>
  <c r="BV97" i="3"/>
  <c r="BX97" i="3" s="1"/>
  <c r="BS97" i="3"/>
  <c r="BQ97" i="3"/>
  <c r="BN97" i="3"/>
  <c r="BL97" i="3"/>
  <c r="BI97" i="3"/>
  <c r="BG97" i="3"/>
  <c r="BB97" i="3"/>
  <c r="BD97" i="3" s="1"/>
  <c r="AW97" i="3"/>
  <c r="AY97" i="3" s="1"/>
  <c r="AR97" i="3"/>
  <c r="AT97" i="3" s="1"/>
  <c r="AM97" i="3"/>
  <c r="AO97" i="3" s="1"/>
  <c r="AJ97" i="3"/>
  <c r="AH97" i="3"/>
  <c r="AE97" i="3"/>
  <c r="AC97" i="3"/>
  <c r="X97" i="3"/>
  <c r="Z97" i="3" s="1"/>
  <c r="U97" i="3"/>
  <c r="S97" i="3"/>
  <c r="N97" i="3"/>
  <c r="P97" i="3" s="1"/>
  <c r="I97" i="3"/>
  <c r="K97" i="3" s="1"/>
  <c r="EC96" i="3"/>
  <c r="CQ96" i="3"/>
  <c r="CO96" i="3"/>
  <c r="CJ96" i="3"/>
  <c r="CL96" i="3" s="1"/>
  <c r="CG96" i="3"/>
  <c r="CE96" i="3"/>
  <c r="CB96" i="3"/>
  <c r="BZ96" i="3"/>
  <c r="BW96" i="3"/>
  <c r="BU96" i="3"/>
  <c r="BR96" i="3"/>
  <c r="BP96" i="3"/>
  <c r="BM96" i="3"/>
  <c r="BK96" i="3"/>
  <c r="BF96" i="3"/>
  <c r="BH96" i="3" s="1"/>
  <c r="BC96" i="3"/>
  <c r="BA96" i="3"/>
  <c r="AX96" i="3"/>
  <c r="AV96" i="3"/>
  <c r="AS96" i="3"/>
  <c r="AQ96" i="3"/>
  <c r="AN96" i="3"/>
  <c r="AL96" i="3"/>
  <c r="AI96" i="3"/>
  <c r="AG96" i="3"/>
  <c r="AB96" i="3"/>
  <c r="AD96" i="3" s="1"/>
  <c r="Y96" i="3"/>
  <c r="W96" i="3"/>
  <c r="T96" i="3"/>
  <c r="R96" i="3"/>
  <c r="O96" i="3"/>
  <c r="M96" i="3"/>
  <c r="J96" i="3"/>
  <c r="H96" i="3"/>
  <c r="EC94" i="3"/>
  <c r="CR94" i="3"/>
  <c r="CP94" i="3"/>
  <c r="CK94" i="3"/>
  <c r="CM94" i="3" s="1"/>
  <c r="CH94" i="3"/>
  <c r="CF94" i="3"/>
  <c r="CA94" i="3"/>
  <c r="CC94" i="3" s="1"/>
  <c r="BX94" i="3"/>
  <c r="BV94" i="3"/>
  <c r="BQ94" i="3"/>
  <c r="BS94" i="3" s="1"/>
  <c r="BN94" i="3"/>
  <c r="BL94" i="3"/>
  <c r="BG94" i="3"/>
  <c r="BI94" i="3" s="1"/>
  <c r="BD94" i="3"/>
  <c r="BB94" i="3"/>
  <c r="AW94" i="3"/>
  <c r="AY94" i="3" s="1"/>
  <c r="AT94" i="3"/>
  <c r="AR94" i="3"/>
  <c r="AM94" i="3"/>
  <c r="AO94" i="3" s="1"/>
  <c r="AJ94" i="3"/>
  <c r="AH94" i="3"/>
  <c r="AC94" i="3"/>
  <c r="AE94" i="3" s="1"/>
  <c r="Z94" i="3"/>
  <c r="X94" i="3"/>
  <c r="U94" i="3"/>
  <c r="S94" i="3"/>
  <c r="P94" i="3"/>
  <c r="N94" i="3"/>
  <c r="I94" i="3"/>
  <c r="K94" i="3" s="1"/>
  <c r="EC93" i="3"/>
  <c r="CO93" i="3"/>
  <c r="CQ93" i="3" s="1"/>
  <c r="CJ93" i="3"/>
  <c r="CL93" i="3" s="1"/>
  <c r="CG93" i="3"/>
  <c r="CE93" i="3"/>
  <c r="CB93" i="3"/>
  <c r="BZ93" i="3"/>
  <c r="BU93" i="3"/>
  <c r="BW93" i="3" s="1"/>
  <c r="BR93" i="3"/>
  <c r="BP93" i="3"/>
  <c r="BK93" i="3"/>
  <c r="BM93" i="3" s="1"/>
  <c r="BF93" i="3"/>
  <c r="BH93" i="3" s="1"/>
  <c r="BA93" i="3"/>
  <c r="BC93" i="3" s="1"/>
  <c r="AX93" i="3"/>
  <c r="AV93" i="3"/>
  <c r="AQ93" i="3"/>
  <c r="AS93" i="3" s="1"/>
  <c r="AL93" i="3"/>
  <c r="AN93" i="3" s="1"/>
  <c r="AG93" i="3"/>
  <c r="AI93" i="3" s="1"/>
  <c r="AD93" i="3"/>
  <c r="AB93" i="3"/>
  <c r="W93" i="3"/>
  <c r="Y93" i="3" s="1"/>
  <c r="T93" i="3"/>
  <c r="R93" i="3"/>
  <c r="M93" i="3"/>
  <c r="O93" i="3" s="1"/>
  <c r="J93" i="3"/>
  <c r="H93" i="3"/>
  <c r="EC91" i="3"/>
  <c r="CP91" i="3"/>
  <c r="CR91" i="3" s="1"/>
  <c r="CM91" i="3"/>
  <c r="CK91" i="3"/>
  <c r="CH91" i="3"/>
  <c r="CF91" i="3"/>
  <c r="CA91" i="3"/>
  <c r="CC91" i="3" s="1"/>
  <c r="BX91" i="3"/>
  <c r="BV91" i="3"/>
  <c r="BQ91" i="3"/>
  <c r="BS91" i="3" s="1"/>
  <c r="BN91" i="3"/>
  <c r="BL91" i="3"/>
  <c r="BG91" i="3"/>
  <c r="BI91" i="3" s="1"/>
  <c r="BB91" i="3"/>
  <c r="BD91" i="3" s="1"/>
  <c r="AW91" i="3"/>
  <c r="AY91" i="3" s="1"/>
  <c r="AT91" i="3"/>
  <c r="AR91" i="3"/>
  <c r="AM91" i="3"/>
  <c r="AO91" i="3" s="1"/>
  <c r="AH91" i="3"/>
  <c r="AJ91" i="3" s="1"/>
  <c r="AC91" i="3"/>
  <c r="AE91" i="3" s="1"/>
  <c r="X91" i="3"/>
  <c r="Z91" i="3" s="1"/>
  <c r="S91" i="3"/>
  <c r="U91" i="3" s="1"/>
  <c r="N91" i="3"/>
  <c r="P91" i="3" s="1"/>
  <c r="I91" i="3"/>
  <c r="K91" i="3" s="1"/>
  <c r="EC90" i="3"/>
  <c r="CQ90" i="3"/>
  <c r="CO90" i="3"/>
  <c r="CL90" i="3"/>
  <c r="CJ90" i="3"/>
  <c r="CG90" i="3"/>
  <c r="CE90" i="3"/>
  <c r="BZ90" i="3"/>
  <c r="CB90" i="3" s="1"/>
  <c r="BW90" i="3"/>
  <c r="BU90" i="3"/>
  <c r="BP90" i="3"/>
  <c r="BR90" i="3" s="1"/>
  <c r="BM90" i="3"/>
  <c r="BK90" i="3"/>
  <c r="BF90" i="3"/>
  <c r="BH90" i="3" s="1"/>
  <c r="BC90" i="3"/>
  <c r="BA90" i="3"/>
  <c r="AV90" i="3"/>
  <c r="AX90" i="3" s="1"/>
  <c r="AS90" i="3"/>
  <c r="AQ90" i="3"/>
  <c r="AN90" i="3"/>
  <c r="AL90" i="3"/>
  <c r="AI90" i="3"/>
  <c r="AG90" i="3"/>
  <c r="AB90" i="3"/>
  <c r="AD90" i="3" s="1"/>
  <c r="Y90" i="3"/>
  <c r="W90" i="3"/>
  <c r="R90" i="3"/>
  <c r="T90" i="3" s="1"/>
  <c r="O90" i="3"/>
  <c r="M90" i="3"/>
  <c r="H90" i="3"/>
  <c r="J90" i="3" s="1"/>
  <c r="EC88" i="3"/>
  <c r="CR88" i="3"/>
  <c r="CP88" i="3"/>
  <c r="CK88" i="3"/>
  <c r="CM88" i="3" s="1"/>
  <c r="CH88" i="3"/>
  <c r="CF88" i="3"/>
  <c r="CA88" i="3"/>
  <c r="CC88" i="3" s="1"/>
  <c r="BV88" i="3"/>
  <c r="BX88" i="3" s="1"/>
  <c r="BS88" i="3"/>
  <c r="BQ88" i="3"/>
  <c r="BN88" i="3"/>
  <c r="BL88" i="3"/>
  <c r="BI88" i="3"/>
  <c r="BG88" i="3"/>
  <c r="BD88" i="3"/>
  <c r="BB88" i="3"/>
  <c r="AW88" i="3"/>
  <c r="AY88" i="3" s="1"/>
  <c r="AT88" i="3"/>
  <c r="AR88" i="3"/>
  <c r="AO88" i="3"/>
  <c r="AM88" i="3"/>
  <c r="AJ88" i="3"/>
  <c r="AH88" i="3"/>
  <c r="AC88" i="3"/>
  <c r="AE88" i="3" s="1"/>
  <c r="Z88" i="3"/>
  <c r="X88" i="3"/>
  <c r="S88" i="3"/>
  <c r="U88" i="3" s="1"/>
  <c r="N88" i="3"/>
  <c r="P88" i="3" s="1"/>
  <c r="K88" i="3"/>
  <c r="I88" i="3"/>
  <c r="EC87" i="3"/>
  <c r="CQ87" i="3"/>
  <c r="CO87" i="3"/>
  <c r="CJ87" i="3"/>
  <c r="CL87" i="3" s="1"/>
  <c r="CE87" i="3"/>
  <c r="CG87" i="3" s="1"/>
  <c r="BZ87" i="3"/>
  <c r="CB87" i="3" s="1"/>
  <c r="BU87" i="3"/>
  <c r="BW87" i="3" s="1"/>
  <c r="BP87" i="3"/>
  <c r="BR87" i="3" s="1"/>
  <c r="BM87" i="3"/>
  <c r="BK87" i="3"/>
  <c r="BF87" i="3"/>
  <c r="BH87" i="3" s="1"/>
  <c r="BA87" i="3"/>
  <c r="BC87" i="3" s="1"/>
  <c r="AX87" i="3"/>
  <c r="AV87" i="3"/>
  <c r="AQ87" i="3"/>
  <c r="AS87" i="3" s="1"/>
  <c r="AL87" i="3"/>
  <c r="AN87" i="3" s="1"/>
  <c r="AI87" i="3"/>
  <c r="AG87" i="3"/>
  <c r="AB87" i="3"/>
  <c r="AD87" i="3" s="1"/>
  <c r="W87" i="3"/>
  <c r="Y87" i="3" s="1"/>
  <c r="T87" i="3"/>
  <c r="R87" i="3"/>
  <c r="M87" i="3"/>
  <c r="O87" i="3" s="1"/>
  <c r="J87" i="3"/>
  <c r="H87" i="3"/>
  <c r="EC85" i="3"/>
  <c r="CP85" i="3"/>
  <c r="CR85" i="3" s="1"/>
  <c r="CK85" i="3"/>
  <c r="CM85" i="3" s="1"/>
  <c r="CF85" i="3"/>
  <c r="CH85" i="3" s="1"/>
  <c r="CA85" i="3"/>
  <c r="CC85" i="3" s="1"/>
  <c r="BV85" i="3"/>
  <c r="BX85" i="3" s="1"/>
  <c r="BQ85" i="3"/>
  <c r="BS85" i="3" s="1"/>
  <c r="BL85" i="3"/>
  <c r="BN85" i="3" s="1"/>
  <c r="BG85" i="3"/>
  <c r="BI85" i="3" s="1"/>
  <c r="BD85" i="3"/>
  <c r="BB85" i="3"/>
  <c r="AW85" i="3"/>
  <c r="AY85" i="3" s="1"/>
  <c r="AR85" i="3"/>
  <c r="AT85" i="3" s="1"/>
  <c r="AO85" i="3"/>
  <c r="AM85" i="3"/>
  <c r="AH85" i="3"/>
  <c r="AJ85" i="3" s="1"/>
  <c r="AC85" i="3"/>
  <c r="AE85" i="3" s="1"/>
  <c r="Z85" i="3"/>
  <c r="X85" i="3"/>
  <c r="S85" i="3"/>
  <c r="U85" i="3" s="1"/>
  <c r="P85" i="3"/>
  <c r="N85" i="3"/>
  <c r="K85" i="3"/>
  <c r="I85" i="3"/>
  <c r="EC84" i="3"/>
  <c r="CO84" i="3"/>
  <c r="CQ84" i="3" s="1"/>
  <c r="CL84" i="3"/>
  <c r="CJ84" i="3"/>
  <c r="CG84" i="3"/>
  <c r="CE84" i="3"/>
  <c r="CB84" i="3"/>
  <c r="BZ84" i="3"/>
  <c r="BW84" i="3"/>
  <c r="BU84" i="3"/>
  <c r="BP84" i="3"/>
  <c r="BR84" i="3" s="1"/>
  <c r="BM84" i="3"/>
  <c r="BK84" i="3"/>
  <c r="BH84" i="3"/>
  <c r="BF84" i="3"/>
  <c r="BC84" i="3"/>
  <c r="BA84" i="3"/>
  <c r="AX84" i="3"/>
  <c r="AV84" i="3"/>
  <c r="AS84" i="3"/>
  <c r="AQ84" i="3"/>
  <c r="AL84" i="3"/>
  <c r="AN84" i="3" s="1"/>
  <c r="AG84" i="3"/>
  <c r="AI84" i="3" s="1"/>
  <c r="AD84" i="3"/>
  <c r="AB84" i="3"/>
  <c r="Y84" i="3"/>
  <c r="W84" i="3"/>
  <c r="T84" i="3"/>
  <c r="R84" i="3"/>
  <c r="O84" i="3"/>
  <c r="M84" i="3"/>
  <c r="H84" i="3"/>
  <c r="J84" i="3" s="1"/>
  <c r="EC82" i="3"/>
  <c r="CP82" i="3"/>
  <c r="CR82" i="3" s="1"/>
  <c r="CM82" i="3"/>
  <c r="CK82" i="3"/>
  <c r="CH82" i="3"/>
  <c r="CF82" i="3"/>
  <c r="CC82" i="3"/>
  <c r="CA82" i="3"/>
  <c r="BV82" i="3"/>
  <c r="BX82" i="3" s="1"/>
  <c r="BQ82" i="3"/>
  <c r="BS82" i="3" s="1"/>
  <c r="BL82" i="3"/>
  <c r="BN82" i="3" s="1"/>
  <c r="BI82" i="3"/>
  <c r="BG82" i="3"/>
  <c r="BD82" i="3"/>
  <c r="BB82" i="3"/>
  <c r="AY82" i="3"/>
  <c r="AW82" i="3"/>
  <c r="AR82" i="3"/>
  <c r="AT82" i="3" s="1"/>
  <c r="AM82" i="3"/>
  <c r="AO82" i="3" s="1"/>
  <c r="AJ82" i="3"/>
  <c r="AH82" i="3"/>
  <c r="AE82" i="3"/>
  <c r="AC82" i="3"/>
  <c r="Z82" i="3"/>
  <c r="X82" i="3"/>
  <c r="U82" i="3"/>
  <c r="S82" i="3"/>
  <c r="N82" i="3"/>
  <c r="P82" i="3" s="1"/>
  <c r="I82" i="3"/>
  <c r="K82" i="3" s="1"/>
  <c r="EC81" i="3"/>
  <c r="CO81" i="3"/>
  <c r="CQ81" i="3" s="1"/>
  <c r="CJ81" i="3"/>
  <c r="CL81" i="3" s="1"/>
  <c r="CG81" i="3"/>
  <c r="CE81" i="3"/>
  <c r="BZ81" i="3"/>
  <c r="CB81" i="3" s="1"/>
  <c r="BU81" i="3"/>
  <c r="BW81" i="3" s="1"/>
  <c r="BP81" i="3"/>
  <c r="BR81" i="3" s="1"/>
  <c r="BK81" i="3"/>
  <c r="BM81" i="3" s="1"/>
  <c r="BF81" i="3"/>
  <c r="BH81" i="3" s="1"/>
  <c r="BA81" i="3"/>
  <c r="BC81" i="3" s="1"/>
  <c r="AV81" i="3"/>
  <c r="AX81" i="3" s="1"/>
  <c r="AQ81" i="3"/>
  <c r="AS81" i="3" s="1"/>
  <c r="AL81" i="3"/>
  <c r="AN81" i="3" s="1"/>
  <c r="AI81" i="3"/>
  <c r="AG81" i="3"/>
  <c r="AB81" i="3"/>
  <c r="AD81" i="3" s="1"/>
  <c r="W81" i="3"/>
  <c r="Y81" i="3" s="1"/>
  <c r="R81" i="3"/>
  <c r="T81" i="3" s="1"/>
  <c r="M81" i="3"/>
  <c r="O81" i="3" s="1"/>
  <c r="H81" i="3"/>
  <c r="J81" i="3" s="1"/>
  <c r="B81" i="3"/>
  <c r="B82" i="3" s="1"/>
  <c r="B84" i="3" s="1"/>
  <c r="B85" i="3" s="1"/>
  <c r="B87" i="3" s="1"/>
  <c r="B88" i="3" s="1"/>
  <c r="B90" i="3" s="1"/>
  <c r="B91" i="3" s="1"/>
  <c r="B93" i="3" s="1"/>
  <c r="B94" i="3" s="1"/>
  <c r="B96" i="3" s="1"/>
  <c r="B97" i="3" s="1"/>
  <c r="B99" i="3" s="1"/>
  <c r="B100" i="3" s="1"/>
  <c r="B102" i="3" s="1"/>
  <c r="B103" i="3" s="1"/>
  <c r="B105" i="3" s="1"/>
  <c r="B106" i="3" s="1"/>
  <c r="B108" i="3" s="1"/>
  <c r="B109" i="3" s="1"/>
  <c r="B111" i="3" s="1"/>
  <c r="B112" i="3" s="1"/>
  <c r="B114" i="3" s="1"/>
  <c r="B115" i="3" s="1"/>
  <c r="EC79" i="3"/>
  <c r="CP79" i="3"/>
  <c r="CR79" i="3" s="1"/>
  <c r="CK79" i="3"/>
  <c r="CM79" i="3" s="1"/>
  <c r="CF79" i="3"/>
  <c r="CH79" i="3" s="1"/>
  <c r="CA79" i="3"/>
  <c r="CC79" i="3" s="1"/>
  <c r="BV79" i="3"/>
  <c r="BX79" i="3" s="1"/>
  <c r="BQ79" i="3"/>
  <c r="BS79" i="3" s="1"/>
  <c r="BN79" i="3"/>
  <c r="BL79" i="3"/>
  <c r="BG79" i="3"/>
  <c r="BI79" i="3" s="1"/>
  <c r="BB79" i="3"/>
  <c r="BD79" i="3" s="1"/>
  <c r="AY79" i="3"/>
  <c r="AW79" i="3"/>
  <c r="AR79" i="3"/>
  <c r="AT79" i="3" s="1"/>
  <c r="AO79" i="3"/>
  <c r="AM79" i="3"/>
  <c r="AJ79" i="3"/>
  <c r="AH79" i="3"/>
  <c r="AE79" i="3"/>
  <c r="AC79" i="3"/>
  <c r="X79" i="3"/>
  <c r="Z79" i="3" s="1"/>
  <c r="U79" i="3"/>
  <c r="S79" i="3"/>
  <c r="N79" i="3"/>
  <c r="P79" i="3" s="1"/>
  <c r="I79" i="3"/>
  <c r="K79" i="3" s="1"/>
  <c r="B79" i="3"/>
  <c r="EC78" i="3"/>
  <c r="CQ78" i="3"/>
  <c r="CO78" i="3"/>
  <c r="CL78" i="3"/>
  <c r="CJ78" i="3"/>
  <c r="CG78" i="3"/>
  <c r="CE78" i="3"/>
  <c r="CB78" i="3"/>
  <c r="BZ78" i="3"/>
  <c r="BU78" i="3"/>
  <c r="BW78" i="3" s="1"/>
  <c r="BR78" i="3"/>
  <c r="BP78" i="3"/>
  <c r="BM78" i="3"/>
  <c r="BK78" i="3"/>
  <c r="BH78" i="3"/>
  <c r="BF78" i="3"/>
  <c r="BC78" i="3"/>
  <c r="BA78" i="3"/>
  <c r="AX78" i="3"/>
  <c r="AV78" i="3"/>
  <c r="AQ78" i="3"/>
  <c r="AS78" i="3" s="1"/>
  <c r="AN78" i="3"/>
  <c r="AL78" i="3"/>
  <c r="AI78" i="3"/>
  <c r="AG78" i="3"/>
  <c r="AD78" i="3"/>
  <c r="AB78" i="3"/>
  <c r="Y78" i="3"/>
  <c r="W78" i="3"/>
  <c r="T78" i="3"/>
  <c r="R78" i="3"/>
  <c r="M78" i="3"/>
  <c r="O78" i="3" s="1"/>
  <c r="J78" i="3"/>
  <c r="H78" i="3"/>
  <c r="EC76" i="3"/>
  <c r="CP76" i="3"/>
  <c r="CR76" i="3" s="1"/>
  <c r="CM76" i="3"/>
  <c r="CK76" i="3"/>
  <c r="CH76" i="3"/>
  <c r="CF76" i="3"/>
  <c r="CC76" i="3"/>
  <c r="CA76" i="3"/>
  <c r="BX76" i="3"/>
  <c r="BV76" i="3"/>
  <c r="BQ76" i="3"/>
  <c r="BS76" i="3" s="1"/>
  <c r="BL76" i="3"/>
  <c r="BN76" i="3" s="1"/>
  <c r="BI76" i="3"/>
  <c r="BG76" i="3"/>
  <c r="BD76" i="3"/>
  <c r="BB76" i="3"/>
  <c r="AY76" i="3"/>
  <c r="AW76" i="3"/>
  <c r="AT76" i="3"/>
  <c r="AR76" i="3"/>
  <c r="AO76" i="3"/>
  <c r="AM76" i="3"/>
  <c r="AH76" i="3"/>
  <c r="AJ76" i="3" s="1"/>
  <c r="AC76" i="3"/>
  <c r="X76" i="3"/>
  <c r="Z76" i="3" s="1"/>
  <c r="U76" i="3"/>
  <c r="S76" i="3"/>
  <c r="P76" i="3"/>
  <c r="N76" i="3"/>
  <c r="I76" i="3"/>
  <c r="K76" i="3" s="1"/>
  <c r="EC75" i="3"/>
  <c r="CO75" i="3"/>
  <c r="CQ75" i="3" s="1"/>
  <c r="CJ75" i="3"/>
  <c r="CL75" i="3" s="1"/>
  <c r="CG75" i="3"/>
  <c r="CE75" i="3"/>
  <c r="BZ75" i="3"/>
  <c r="CB75" i="3" s="1"/>
  <c r="BU75" i="3"/>
  <c r="BW75" i="3" s="1"/>
  <c r="BP75" i="3"/>
  <c r="BR75" i="3" s="1"/>
  <c r="BM75" i="3"/>
  <c r="BK75" i="3"/>
  <c r="BF75" i="3"/>
  <c r="BH75" i="3" s="1"/>
  <c r="BC75" i="3"/>
  <c r="BA75" i="3"/>
  <c r="AV75" i="3"/>
  <c r="AX75" i="3" s="1"/>
  <c r="AQ75" i="3"/>
  <c r="AS75" i="3" s="1"/>
  <c r="AL75" i="3"/>
  <c r="AN75" i="3" s="1"/>
  <c r="AI75" i="3"/>
  <c r="AG75" i="3"/>
  <c r="AB75" i="3"/>
  <c r="Y75" i="3"/>
  <c r="W75" i="3"/>
  <c r="R75" i="3"/>
  <c r="T75" i="3" s="1"/>
  <c r="M75" i="3"/>
  <c r="O75" i="3" s="1"/>
  <c r="H75" i="3"/>
  <c r="J75" i="3" s="1"/>
  <c r="B75" i="3"/>
  <c r="B76" i="3" s="1"/>
  <c r="B78" i="3" s="1"/>
  <c r="CU72" i="3"/>
  <c r="CW72" i="3" s="1"/>
  <c r="CY72" i="3" s="1"/>
  <c r="DA72" i="3" s="1"/>
  <c r="DC72" i="3" s="1"/>
  <c r="DE72" i="3" s="1"/>
  <c r="DG72" i="3" s="1"/>
  <c r="DI72" i="3" s="1"/>
  <c r="DK72" i="3" s="1"/>
  <c r="DM72" i="3" s="1"/>
  <c r="DO72" i="3" s="1"/>
  <c r="DQ72" i="3" s="1"/>
  <c r="DS72" i="3" s="1"/>
  <c r="DU72" i="3" s="1"/>
  <c r="DW72" i="3" s="1"/>
  <c r="DY72" i="3" s="1"/>
  <c r="EA72" i="3" s="1"/>
  <c r="EA65" i="3"/>
  <c r="DY65" i="3"/>
  <c r="DW65" i="3"/>
  <c r="DU65" i="3"/>
  <c r="DS65" i="3"/>
  <c r="DQ65" i="3"/>
  <c r="DO65" i="3"/>
  <c r="DM65" i="3"/>
  <c r="DK65" i="3"/>
  <c r="DI65" i="3"/>
  <c r="DG65" i="3"/>
  <c r="DE65" i="3"/>
  <c r="DC65" i="3"/>
  <c r="DA65" i="3"/>
  <c r="CY65" i="3"/>
  <c r="CW65" i="3"/>
  <c r="CU65" i="3"/>
  <c r="CS65" i="3"/>
  <c r="EC62" i="3"/>
  <c r="CP62" i="3"/>
  <c r="CR62" i="3" s="1"/>
  <c r="CM62" i="3"/>
  <c r="CK62" i="3"/>
  <c r="CF62" i="3"/>
  <c r="CH62" i="3" s="1"/>
  <c r="CA62" i="3"/>
  <c r="CC62" i="3" s="1"/>
  <c r="BX62" i="3"/>
  <c r="BV62" i="3"/>
  <c r="BS62" i="3"/>
  <c r="BQ62" i="3"/>
  <c r="BN62" i="3"/>
  <c r="BL62" i="3"/>
  <c r="BI62" i="3"/>
  <c r="BG62" i="3"/>
  <c r="BB62" i="3"/>
  <c r="BD62" i="3" s="1"/>
  <c r="AW62" i="3"/>
  <c r="AY62" i="3" s="1"/>
  <c r="AT62" i="3"/>
  <c r="AR62" i="3"/>
  <c r="AO62" i="3"/>
  <c r="AM62" i="3"/>
  <c r="AH62" i="3"/>
  <c r="AJ62" i="3" s="1"/>
  <c r="AE62" i="3"/>
  <c r="AC62" i="3"/>
  <c r="X62" i="3"/>
  <c r="Z62" i="3" s="1"/>
  <c r="S62" i="3"/>
  <c r="U62" i="3" s="1"/>
  <c r="P62" i="3"/>
  <c r="N62" i="3"/>
  <c r="K62" i="3"/>
  <c r="I62" i="3"/>
  <c r="EI61" i="3"/>
  <c r="EC61" i="3"/>
  <c r="CO61" i="3"/>
  <c r="CQ61" i="3" s="1"/>
  <c r="CJ61" i="3"/>
  <c r="CL61" i="3" s="1"/>
  <c r="CG61" i="3"/>
  <c r="CE61" i="3"/>
  <c r="CB61" i="3"/>
  <c r="BZ61" i="3"/>
  <c r="BW61" i="3"/>
  <c r="BU61" i="3"/>
  <c r="BP61" i="3"/>
  <c r="BR61" i="3" s="1"/>
  <c r="BK61" i="3"/>
  <c r="BM61" i="3" s="1"/>
  <c r="BH61" i="3"/>
  <c r="BF61" i="3"/>
  <c r="BC61" i="3"/>
  <c r="BA61" i="3"/>
  <c r="AX61" i="3"/>
  <c r="AV61" i="3"/>
  <c r="AS61" i="3"/>
  <c r="AQ61" i="3"/>
  <c r="AL61" i="3"/>
  <c r="AN61" i="3" s="1"/>
  <c r="AG61" i="3"/>
  <c r="AI61" i="3" s="1"/>
  <c r="AD61" i="3"/>
  <c r="AB61" i="3"/>
  <c r="Y61" i="3"/>
  <c r="W61" i="3"/>
  <c r="T61" i="3"/>
  <c r="R61" i="3"/>
  <c r="M61" i="3"/>
  <c r="O61" i="3" s="1"/>
  <c r="J61" i="3"/>
  <c r="H61" i="3"/>
  <c r="EC59" i="3"/>
  <c r="CR59" i="3"/>
  <c r="CP59" i="3"/>
  <c r="CM59" i="3"/>
  <c r="CK59" i="3"/>
  <c r="CH59" i="3"/>
  <c r="CF59" i="3"/>
  <c r="CA59" i="3"/>
  <c r="CC59" i="3" s="1"/>
  <c r="BX59" i="3"/>
  <c r="BV59" i="3"/>
  <c r="BQ59" i="3"/>
  <c r="BS59" i="3" s="1"/>
  <c r="BL59" i="3"/>
  <c r="BN59" i="3" s="1"/>
  <c r="BI59" i="3"/>
  <c r="BG59" i="3"/>
  <c r="BD59" i="3"/>
  <c r="BB59" i="3"/>
  <c r="AW59" i="3"/>
  <c r="AY59" i="3" s="1"/>
  <c r="AR59" i="3"/>
  <c r="AT59" i="3" s="1"/>
  <c r="AM59" i="3"/>
  <c r="AO59" i="3" s="1"/>
  <c r="AH59" i="3"/>
  <c r="AJ59" i="3" s="1"/>
  <c r="AE59" i="3"/>
  <c r="AC59" i="3"/>
  <c r="X59" i="3"/>
  <c r="U59" i="3"/>
  <c r="S59" i="3"/>
  <c r="N59" i="3"/>
  <c r="P59" i="3" s="1"/>
  <c r="I59" i="3"/>
  <c r="K59" i="3" s="1"/>
  <c r="EI58" i="3"/>
  <c r="EC58" i="3"/>
  <c r="CQ58" i="3"/>
  <c r="CO58" i="3"/>
  <c r="CL58" i="3"/>
  <c r="CJ58" i="3"/>
  <c r="CE58" i="3"/>
  <c r="CG58" i="3" s="1"/>
  <c r="BZ58" i="3"/>
  <c r="CB58" i="3" s="1"/>
  <c r="BW58" i="3"/>
  <c r="BU58" i="3"/>
  <c r="BR58" i="3"/>
  <c r="BP58" i="3"/>
  <c r="BM58" i="3"/>
  <c r="BK58" i="3"/>
  <c r="BH58" i="3"/>
  <c r="BF58" i="3"/>
  <c r="BA58" i="3"/>
  <c r="BC58" i="3" s="1"/>
  <c r="AV58" i="3"/>
  <c r="AX58" i="3" s="1"/>
  <c r="AS58" i="3"/>
  <c r="AQ58" i="3"/>
  <c r="AN58" i="3"/>
  <c r="AL58" i="3"/>
  <c r="AG58" i="3"/>
  <c r="AI58" i="3" s="1"/>
  <c r="AD58" i="3"/>
  <c r="AB58" i="3"/>
  <c r="W58" i="3"/>
  <c r="R58" i="3"/>
  <c r="T58" i="3" s="1"/>
  <c r="O58" i="3"/>
  <c r="M58" i="3"/>
  <c r="J58" i="3"/>
  <c r="H58" i="3"/>
  <c r="EC56" i="3"/>
  <c r="CR56" i="3"/>
  <c r="CP56" i="3"/>
  <c r="CK56" i="3"/>
  <c r="CM56" i="3" s="1"/>
  <c r="CF56" i="3"/>
  <c r="CH56" i="3" s="1"/>
  <c r="CC56" i="3"/>
  <c r="CA56" i="3"/>
  <c r="BV56" i="3"/>
  <c r="BX56" i="3" s="1"/>
  <c r="BQ56" i="3"/>
  <c r="BS56" i="3" s="1"/>
  <c r="BL56" i="3"/>
  <c r="BN56" i="3" s="1"/>
  <c r="BG56" i="3"/>
  <c r="BI56" i="3" s="1"/>
  <c r="BB56" i="3"/>
  <c r="BD56" i="3" s="1"/>
  <c r="AY56" i="3"/>
  <c r="AW56" i="3"/>
  <c r="AR56" i="3"/>
  <c r="AT56" i="3" s="1"/>
  <c r="AO56" i="3"/>
  <c r="AM56" i="3"/>
  <c r="AJ56" i="3"/>
  <c r="AH56" i="3"/>
  <c r="AC56" i="3"/>
  <c r="X56" i="3"/>
  <c r="Z56" i="3" s="1"/>
  <c r="S56" i="3"/>
  <c r="P56" i="3"/>
  <c r="N56" i="3"/>
  <c r="I56" i="3"/>
  <c r="K56" i="3" s="1"/>
  <c r="EC55" i="3"/>
  <c r="CQ55" i="3"/>
  <c r="CO55" i="3"/>
  <c r="CL55" i="3"/>
  <c r="CJ55" i="3"/>
  <c r="CG55" i="3"/>
  <c r="CE55" i="3"/>
  <c r="BZ55" i="3"/>
  <c r="CB55" i="3" s="1"/>
  <c r="BW55" i="3"/>
  <c r="BU55" i="3"/>
  <c r="BP55" i="3"/>
  <c r="BR55" i="3" s="1"/>
  <c r="BK55" i="3"/>
  <c r="BM55" i="3" s="1"/>
  <c r="BF55" i="3"/>
  <c r="BH55" i="3" s="1"/>
  <c r="BA55" i="3"/>
  <c r="BC55" i="3" s="1"/>
  <c r="AV55" i="3"/>
  <c r="AX55" i="3" s="1"/>
  <c r="AS55" i="3"/>
  <c r="AQ55" i="3"/>
  <c r="AL55" i="3"/>
  <c r="AN55" i="3" s="1"/>
  <c r="AI55" i="3"/>
  <c r="AG55" i="3"/>
  <c r="AB55" i="3"/>
  <c r="W55" i="3"/>
  <c r="Y55" i="3" s="1"/>
  <c r="R55" i="3"/>
  <c r="O55" i="3"/>
  <c r="M55" i="3"/>
  <c r="J55" i="3"/>
  <c r="H55" i="3"/>
  <c r="EC53" i="3"/>
  <c r="CP53" i="3"/>
  <c r="CR53" i="3" s="1"/>
  <c r="CK53" i="3"/>
  <c r="CM53" i="3" s="1"/>
  <c r="CF53" i="3"/>
  <c r="CH53" i="3" s="1"/>
  <c r="CA53" i="3"/>
  <c r="CC53" i="3" s="1"/>
  <c r="BX53" i="3"/>
  <c r="BV53" i="3"/>
  <c r="BQ53" i="3"/>
  <c r="BS53" i="3" s="1"/>
  <c r="BN53" i="3"/>
  <c r="BL53" i="3"/>
  <c r="BI53" i="3"/>
  <c r="BG53" i="3"/>
  <c r="BB53" i="3"/>
  <c r="BD53" i="3" s="1"/>
  <c r="AY53" i="3"/>
  <c r="AW53" i="3"/>
  <c r="AR53" i="3"/>
  <c r="AT53" i="3" s="1"/>
  <c r="AM53" i="3"/>
  <c r="AO53" i="3" s="1"/>
  <c r="AJ53" i="3"/>
  <c r="AH53" i="3"/>
  <c r="AC53" i="3"/>
  <c r="AE53" i="3" s="1"/>
  <c r="X53" i="3"/>
  <c r="Z53" i="3" s="1"/>
  <c r="S53" i="3"/>
  <c r="N53" i="3"/>
  <c r="P53" i="3" s="1"/>
  <c r="I53" i="3"/>
  <c r="EC52" i="3"/>
  <c r="CO52" i="3"/>
  <c r="CQ52" i="3" s="1"/>
  <c r="CL52" i="3"/>
  <c r="CJ52" i="3"/>
  <c r="CG52" i="3"/>
  <c r="CE52" i="3"/>
  <c r="BZ52" i="3"/>
  <c r="CB52" i="3" s="1"/>
  <c r="BU52" i="3"/>
  <c r="BW52" i="3" s="1"/>
  <c r="BP52" i="3"/>
  <c r="BR52" i="3" s="1"/>
  <c r="BM52" i="3"/>
  <c r="BK52" i="3"/>
  <c r="BF52" i="3"/>
  <c r="BH52" i="3" s="1"/>
  <c r="BC52" i="3"/>
  <c r="BA52" i="3"/>
  <c r="AV52" i="3"/>
  <c r="AX52" i="3" s="1"/>
  <c r="AQ52" i="3"/>
  <c r="AS52" i="3" s="1"/>
  <c r="AN52" i="3"/>
  <c r="AL52" i="3"/>
  <c r="AG52" i="3"/>
  <c r="AI52" i="3" s="1"/>
  <c r="AB52" i="3"/>
  <c r="AD52" i="3" s="1"/>
  <c r="W52" i="3"/>
  <c r="Y52" i="3" s="1"/>
  <c r="R52" i="3"/>
  <c r="O52" i="3"/>
  <c r="M52" i="3"/>
  <c r="H52" i="3"/>
  <c r="EC50" i="3"/>
  <c r="CR50" i="3"/>
  <c r="CP50" i="3"/>
  <c r="CM50" i="3"/>
  <c r="CK50" i="3"/>
  <c r="CF50" i="3"/>
  <c r="CH50" i="3" s="1"/>
  <c r="CA50" i="3"/>
  <c r="CC50" i="3" s="1"/>
  <c r="BV50" i="3"/>
  <c r="BX50" i="3" s="1"/>
  <c r="BQ50" i="3"/>
  <c r="BS50" i="3" s="1"/>
  <c r="BL50" i="3"/>
  <c r="BN50" i="3" s="1"/>
  <c r="BI50" i="3"/>
  <c r="BG50" i="3"/>
  <c r="BB50" i="3"/>
  <c r="BD50" i="3" s="1"/>
  <c r="AW50" i="3"/>
  <c r="AY50" i="3" s="1"/>
  <c r="AR50" i="3"/>
  <c r="AT50" i="3" s="1"/>
  <c r="AM50" i="3"/>
  <c r="AO50" i="3" s="1"/>
  <c r="AH50" i="3"/>
  <c r="AJ50" i="3" s="1"/>
  <c r="AC50" i="3"/>
  <c r="X50" i="3"/>
  <c r="Z50" i="3" s="1"/>
  <c r="S50" i="3"/>
  <c r="N50" i="3"/>
  <c r="P50" i="3" s="1"/>
  <c r="I50" i="3"/>
  <c r="EC49" i="3"/>
  <c r="CO49" i="3"/>
  <c r="CQ49" i="3" s="1"/>
  <c r="CL49" i="3"/>
  <c r="CJ49" i="3"/>
  <c r="CG49" i="3"/>
  <c r="CE49" i="3"/>
  <c r="CB49" i="3"/>
  <c r="BZ49" i="3"/>
  <c r="BU49" i="3"/>
  <c r="BW49" i="3" s="1"/>
  <c r="BP49" i="3"/>
  <c r="BR49" i="3" s="1"/>
  <c r="BK49" i="3"/>
  <c r="BM49" i="3" s="1"/>
  <c r="BF49" i="3"/>
  <c r="BH49" i="3" s="1"/>
  <c r="BC49" i="3"/>
  <c r="BA49" i="3"/>
  <c r="AV49" i="3"/>
  <c r="AX49" i="3" s="1"/>
  <c r="AQ49" i="3"/>
  <c r="AS49" i="3" s="1"/>
  <c r="AN49" i="3"/>
  <c r="AL49" i="3"/>
  <c r="AI49" i="3"/>
  <c r="AG49" i="3"/>
  <c r="AB49" i="3"/>
  <c r="Y49" i="3"/>
  <c r="W49" i="3"/>
  <c r="R49" i="3"/>
  <c r="M49" i="3"/>
  <c r="O49" i="3" s="1"/>
  <c r="H49" i="3"/>
  <c r="EC47" i="3"/>
  <c r="CR47" i="3"/>
  <c r="CP47" i="3"/>
  <c r="CM47" i="3"/>
  <c r="CK47" i="3"/>
  <c r="CF47" i="3"/>
  <c r="CH47" i="3" s="1"/>
  <c r="CA47" i="3"/>
  <c r="CC47" i="3" s="1"/>
  <c r="BX47" i="3"/>
  <c r="BV47" i="3"/>
  <c r="BS47" i="3"/>
  <c r="BQ47" i="3"/>
  <c r="BL47" i="3"/>
  <c r="BN47" i="3" s="1"/>
  <c r="BI47" i="3"/>
  <c r="BG47" i="3"/>
  <c r="BD47" i="3"/>
  <c r="BB47" i="3"/>
  <c r="AW47" i="3"/>
  <c r="AY47" i="3" s="1"/>
  <c r="AT47" i="3"/>
  <c r="AR47" i="3"/>
  <c r="AM47" i="3"/>
  <c r="AO47" i="3" s="1"/>
  <c r="AH47" i="3"/>
  <c r="AJ47" i="3" s="1"/>
  <c r="AC47" i="3"/>
  <c r="X47" i="3"/>
  <c r="S47" i="3"/>
  <c r="U47" i="3" s="1"/>
  <c r="P47" i="3"/>
  <c r="N47" i="3"/>
  <c r="I47" i="3"/>
  <c r="EC46" i="3"/>
  <c r="CO46" i="3"/>
  <c r="CQ46" i="3" s="1"/>
  <c r="CL46" i="3"/>
  <c r="CJ46" i="3"/>
  <c r="CG46" i="3"/>
  <c r="CE46" i="3"/>
  <c r="BZ46" i="3"/>
  <c r="CB46" i="3" s="1"/>
  <c r="BU46" i="3"/>
  <c r="BW46" i="3" s="1"/>
  <c r="BR46" i="3"/>
  <c r="BP46" i="3"/>
  <c r="BM46" i="3"/>
  <c r="BK46" i="3"/>
  <c r="BH46" i="3"/>
  <c r="BF46" i="3"/>
  <c r="BC46" i="3"/>
  <c r="BA46" i="3"/>
  <c r="AX46" i="3"/>
  <c r="AV46" i="3"/>
  <c r="AQ46" i="3"/>
  <c r="AS46" i="3" s="1"/>
  <c r="AL46" i="3"/>
  <c r="AN46" i="3" s="1"/>
  <c r="AG46" i="3"/>
  <c r="AI46" i="3" s="1"/>
  <c r="AB46" i="3"/>
  <c r="W46" i="3"/>
  <c r="R46" i="3"/>
  <c r="T46" i="3" s="1"/>
  <c r="M46" i="3"/>
  <c r="O46" i="3" s="1"/>
  <c r="H46" i="3"/>
  <c r="EC44" i="3"/>
  <c r="CR44" i="3"/>
  <c r="CP44" i="3"/>
  <c r="CM44" i="3"/>
  <c r="CK44" i="3"/>
  <c r="CF44" i="3"/>
  <c r="CH44" i="3" s="1"/>
  <c r="CC44" i="3"/>
  <c r="CA44" i="3"/>
  <c r="BX44" i="3"/>
  <c r="BV44" i="3"/>
  <c r="BS44" i="3"/>
  <c r="BQ44" i="3"/>
  <c r="BN44" i="3"/>
  <c r="BL44" i="3"/>
  <c r="BI44" i="3"/>
  <c r="BG44" i="3"/>
  <c r="BB44" i="3"/>
  <c r="BD44" i="3" s="1"/>
  <c r="AY44" i="3"/>
  <c r="AW44" i="3"/>
  <c r="AT44" i="3"/>
  <c r="AR44" i="3"/>
  <c r="AM44" i="3"/>
  <c r="AO44" i="3" s="1"/>
  <c r="AJ44" i="3"/>
  <c r="AH44" i="3"/>
  <c r="AC44" i="3"/>
  <c r="X44" i="3"/>
  <c r="Z44" i="3" s="1"/>
  <c r="S44" i="3"/>
  <c r="P44" i="3"/>
  <c r="N44" i="3"/>
  <c r="I44" i="3"/>
  <c r="EC43" i="3"/>
  <c r="CQ43" i="3"/>
  <c r="CO43" i="3"/>
  <c r="CL43" i="3"/>
  <c r="CJ43" i="3"/>
  <c r="CG43" i="3"/>
  <c r="CE43" i="3"/>
  <c r="BZ43" i="3"/>
  <c r="CB43" i="3" s="1"/>
  <c r="BW43" i="3"/>
  <c r="BU43" i="3"/>
  <c r="BR43" i="3"/>
  <c r="BP43" i="3"/>
  <c r="BK43" i="3"/>
  <c r="BM43" i="3" s="1"/>
  <c r="BH43" i="3"/>
  <c r="BF43" i="3"/>
  <c r="BC43" i="3"/>
  <c r="BA43" i="3"/>
  <c r="AV43" i="3"/>
  <c r="AX43" i="3" s="1"/>
  <c r="AS43" i="3"/>
  <c r="AQ43" i="3"/>
  <c r="AN43" i="3"/>
  <c r="AL43" i="3"/>
  <c r="AG43" i="3"/>
  <c r="AI43" i="3" s="1"/>
  <c r="AB43" i="3"/>
  <c r="Y43" i="3"/>
  <c r="W43" i="3"/>
  <c r="R43" i="3"/>
  <c r="O43" i="3"/>
  <c r="M43" i="3"/>
  <c r="H43" i="3"/>
  <c r="EC41" i="3"/>
  <c r="CR41" i="3"/>
  <c r="CP41" i="3"/>
  <c r="CM41" i="3"/>
  <c r="CK41" i="3"/>
  <c r="CF41" i="3"/>
  <c r="CH41" i="3" s="1"/>
  <c r="CC41" i="3"/>
  <c r="CA41" i="3"/>
  <c r="BX41" i="3"/>
  <c r="BV41" i="3"/>
  <c r="BQ41" i="3"/>
  <c r="BS41" i="3" s="1"/>
  <c r="BN41" i="3"/>
  <c r="BL41" i="3"/>
  <c r="BI41" i="3"/>
  <c r="BG41" i="3"/>
  <c r="BB41" i="3"/>
  <c r="BD41" i="3" s="1"/>
  <c r="AY41" i="3"/>
  <c r="AW41" i="3"/>
  <c r="AT41" i="3"/>
  <c r="AR41" i="3"/>
  <c r="AM41" i="3"/>
  <c r="AO41" i="3" s="1"/>
  <c r="AJ41" i="3"/>
  <c r="AH41" i="3"/>
  <c r="AC41" i="3"/>
  <c r="X41" i="3"/>
  <c r="Z41" i="3" s="1"/>
  <c r="S41" i="3"/>
  <c r="P41" i="3"/>
  <c r="N41" i="3"/>
  <c r="I41" i="3"/>
  <c r="EC40" i="3"/>
  <c r="CQ40" i="3"/>
  <c r="CO40" i="3"/>
  <c r="CL40" i="3"/>
  <c r="CJ40" i="3"/>
  <c r="CG40" i="3"/>
  <c r="CE40" i="3"/>
  <c r="CB40" i="3"/>
  <c r="BZ40" i="3"/>
  <c r="BW40" i="3"/>
  <c r="BU40" i="3"/>
  <c r="BR40" i="3"/>
  <c r="BP40" i="3"/>
  <c r="BM40" i="3"/>
  <c r="BK40" i="3"/>
  <c r="BH40" i="3"/>
  <c r="BF40" i="3"/>
  <c r="BC40" i="3"/>
  <c r="BA40" i="3"/>
  <c r="AX40" i="3"/>
  <c r="AV40" i="3"/>
  <c r="AS40" i="3"/>
  <c r="AQ40" i="3"/>
  <c r="AN40" i="3"/>
  <c r="AL40" i="3"/>
  <c r="AI40" i="3"/>
  <c r="AG40" i="3"/>
  <c r="AB40" i="3"/>
  <c r="Y40" i="3"/>
  <c r="W40" i="3"/>
  <c r="R40" i="3"/>
  <c r="O40" i="3"/>
  <c r="M40" i="3"/>
  <c r="H40" i="3"/>
  <c r="EC38" i="3"/>
  <c r="CR38" i="3"/>
  <c r="CP38" i="3"/>
  <c r="CM38" i="3"/>
  <c r="CK38" i="3"/>
  <c r="CF38" i="3"/>
  <c r="CH38" i="3" s="1"/>
  <c r="CC38" i="3"/>
  <c r="CA38" i="3"/>
  <c r="BX38" i="3"/>
  <c r="BV38" i="3"/>
  <c r="BQ38" i="3"/>
  <c r="BS38" i="3" s="1"/>
  <c r="BN38" i="3"/>
  <c r="BL38" i="3"/>
  <c r="BI38" i="3"/>
  <c r="BG38" i="3"/>
  <c r="BB38" i="3"/>
  <c r="BD38" i="3" s="1"/>
  <c r="AY38" i="3"/>
  <c r="AW38" i="3"/>
  <c r="AT38" i="3"/>
  <c r="AR38" i="3"/>
  <c r="AO38" i="3"/>
  <c r="AM38" i="3"/>
  <c r="AJ38" i="3"/>
  <c r="AH38" i="3"/>
  <c r="AE38" i="3"/>
  <c r="AC38" i="3"/>
  <c r="X38" i="3"/>
  <c r="S38" i="3"/>
  <c r="P38" i="3"/>
  <c r="N38" i="3"/>
  <c r="I38" i="3"/>
  <c r="EC37" i="3"/>
  <c r="CQ37" i="3"/>
  <c r="CO37" i="3"/>
  <c r="CL37" i="3"/>
  <c r="CJ37" i="3"/>
  <c r="CG37" i="3"/>
  <c r="CE37" i="3"/>
  <c r="BZ37" i="3"/>
  <c r="CB37" i="3" s="1"/>
  <c r="BW37" i="3"/>
  <c r="BU37" i="3"/>
  <c r="BR37" i="3"/>
  <c r="BP37" i="3"/>
  <c r="BM37" i="3"/>
  <c r="BK37" i="3"/>
  <c r="BH37" i="3"/>
  <c r="BF37" i="3"/>
  <c r="BC37" i="3"/>
  <c r="BA37" i="3"/>
  <c r="AV37" i="3"/>
  <c r="AX37" i="3" s="1"/>
  <c r="AS37" i="3"/>
  <c r="AQ37" i="3"/>
  <c r="AN37" i="3"/>
  <c r="AL37" i="3"/>
  <c r="AI37" i="3"/>
  <c r="AG37" i="3"/>
  <c r="AD37" i="3"/>
  <c r="AB37" i="3"/>
  <c r="W37" i="3"/>
  <c r="R37" i="3"/>
  <c r="O37" i="3"/>
  <c r="M37" i="3"/>
  <c r="H37" i="3"/>
  <c r="EC35" i="3"/>
  <c r="CR35" i="3"/>
  <c r="CP35" i="3"/>
  <c r="CM35" i="3"/>
  <c r="CK35" i="3"/>
  <c r="CF35" i="3"/>
  <c r="CH35" i="3" s="1"/>
  <c r="CC35" i="3"/>
  <c r="CA35" i="3"/>
  <c r="BX35" i="3"/>
  <c r="BV35" i="3"/>
  <c r="BQ35" i="3"/>
  <c r="BS35" i="3" s="1"/>
  <c r="BN35" i="3"/>
  <c r="BL35" i="3"/>
  <c r="BI35" i="3"/>
  <c r="BG35" i="3"/>
  <c r="BB35" i="3"/>
  <c r="BD35" i="3" s="1"/>
  <c r="AY35" i="3"/>
  <c r="AW35" i="3"/>
  <c r="AT35" i="3"/>
  <c r="AR35" i="3"/>
  <c r="AM35" i="3"/>
  <c r="AO35" i="3" s="1"/>
  <c r="AJ35" i="3"/>
  <c r="AH35" i="3"/>
  <c r="AE35" i="3"/>
  <c r="AC35" i="3"/>
  <c r="X35" i="3"/>
  <c r="Z35" i="3" s="1"/>
  <c r="U35" i="3"/>
  <c r="S35" i="3"/>
  <c r="P35" i="3"/>
  <c r="N35" i="3"/>
  <c r="I35" i="3"/>
  <c r="EC34" i="3"/>
  <c r="CQ34" i="3"/>
  <c r="CO34" i="3"/>
  <c r="CL34" i="3"/>
  <c r="CJ34" i="3"/>
  <c r="CG34" i="3"/>
  <c r="CE34" i="3"/>
  <c r="CB34" i="3"/>
  <c r="BZ34" i="3"/>
  <c r="BW34" i="3"/>
  <c r="BU34" i="3"/>
  <c r="BR34" i="3"/>
  <c r="BP34" i="3"/>
  <c r="BM34" i="3"/>
  <c r="BK34" i="3"/>
  <c r="BH34" i="3"/>
  <c r="BF34" i="3"/>
  <c r="BC34" i="3"/>
  <c r="BA34" i="3"/>
  <c r="AX34" i="3"/>
  <c r="AV34" i="3"/>
  <c r="AS34" i="3"/>
  <c r="AQ34" i="3"/>
  <c r="AN34" i="3"/>
  <c r="AL34" i="3"/>
  <c r="AI34" i="3"/>
  <c r="AG34" i="3"/>
  <c r="AB34" i="3"/>
  <c r="Y34" i="3"/>
  <c r="W34" i="3"/>
  <c r="T34" i="3"/>
  <c r="R34" i="3"/>
  <c r="O34" i="3"/>
  <c r="M34" i="3"/>
  <c r="H34" i="3"/>
  <c r="EC32" i="3"/>
  <c r="CR32" i="3"/>
  <c r="CP32" i="3"/>
  <c r="CM32" i="3"/>
  <c r="CK32" i="3"/>
  <c r="CH32" i="3"/>
  <c r="CF32" i="3"/>
  <c r="CC32" i="3"/>
  <c r="CA32" i="3"/>
  <c r="BX32" i="3"/>
  <c r="BV32" i="3"/>
  <c r="BQ32" i="3"/>
  <c r="BS32" i="3" s="1"/>
  <c r="BN32" i="3"/>
  <c r="BL32" i="3"/>
  <c r="BI32" i="3"/>
  <c r="BG32" i="3"/>
  <c r="BD32" i="3"/>
  <c r="BB32" i="3"/>
  <c r="AY32" i="3"/>
  <c r="AW32" i="3"/>
  <c r="AT32" i="3"/>
  <c r="AR32" i="3"/>
  <c r="AM32" i="3"/>
  <c r="AO32" i="3" s="1"/>
  <c r="AJ32" i="3"/>
  <c r="AH32" i="3"/>
  <c r="AC32" i="3"/>
  <c r="X32" i="3"/>
  <c r="Z32" i="3" s="1"/>
  <c r="S32" i="3"/>
  <c r="P32" i="3"/>
  <c r="N32" i="3"/>
  <c r="I32" i="3"/>
  <c r="EC31" i="3"/>
  <c r="CO31" i="3"/>
  <c r="CQ31" i="3" s="1"/>
  <c r="CL31" i="3"/>
  <c r="CJ31" i="3"/>
  <c r="CG31" i="3"/>
  <c r="CE31" i="3"/>
  <c r="CB31" i="3"/>
  <c r="BZ31" i="3"/>
  <c r="BW31" i="3"/>
  <c r="BU31" i="3"/>
  <c r="BR31" i="3"/>
  <c r="BP31" i="3"/>
  <c r="BK31" i="3"/>
  <c r="BM31" i="3" s="1"/>
  <c r="BH31" i="3"/>
  <c r="BF31" i="3"/>
  <c r="BC31" i="3"/>
  <c r="BA31" i="3"/>
  <c r="AX31" i="3"/>
  <c r="AV31" i="3"/>
  <c r="AS31" i="3"/>
  <c r="AQ31" i="3"/>
  <c r="AN31" i="3"/>
  <c r="AL31" i="3"/>
  <c r="AG31" i="3"/>
  <c r="AI31" i="3" s="1"/>
  <c r="AB31" i="3"/>
  <c r="Y31" i="3"/>
  <c r="W31" i="3"/>
  <c r="R31" i="3"/>
  <c r="O31" i="3"/>
  <c r="M31" i="3"/>
  <c r="H31" i="3"/>
  <c r="EC29" i="3"/>
  <c r="CR29" i="3"/>
  <c r="CP29" i="3"/>
  <c r="CK29" i="3"/>
  <c r="CM29" i="3" s="1"/>
  <c r="CH29" i="3"/>
  <c r="CF29" i="3"/>
  <c r="CC29" i="3"/>
  <c r="CA29" i="3"/>
  <c r="BX29" i="3"/>
  <c r="BV29" i="3"/>
  <c r="BQ29" i="3"/>
  <c r="BS29" i="3" s="1"/>
  <c r="BL29" i="3"/>
  <c r="BN29" i="3" s="1"/>
  <c r="BG29" i="3"/>
  <c r="BI29" i="3" s="1"/>
  <c r="BB29" i="3"/>
  <c r="BD29" i="3" s="1"/>
  <c r="AW29" i="3"/>
  <c r="AY29" i="3" s="1"/>
  <c r="DJ29" i="3" s="1"/>
  <c r="AT29" i="3"/>
  <c r="AR29" i="3"/>
  <c r="AM29" i="3"/>
  <c r="AO29" i="3" s="1"/>
  <c r="AH29" i="3"/>
  <c r="AJ29" i="3" s="1"/>
  <c r="AC29" i="3"/>
  <c r="X29" i="3"/>
  <c r="S29" i="3"/>
  <c r="U29" i="3" s="1"/>
  <c r="P29" i="3"/>
  <c r="N29" i="3"/>
  <c r="I29" i="3"/>
  <c r="EC28" i="3"/>
  <c r="CQ28" i="3"/>
  <c r="CO28" i="3"/>
  <c r="CJ28" i="3"/>
  <c r="CL28" i="3" s="1"/>
  <c r="CE28" i="3"/>
  <c r="CG28" i="3" s="1"/>
  <c r="CB28" i="3"/>
  <c r="BZ28" i="3"/>
  <c r="BU28" i="3"/>
  <c r="BW28" i="3" s="1"/>
  <c r="BR28" i="3"/>
  <c r="BP28" i="3"/>
  <c r="BM28" i="3"/>
  <c r="BK28" i="3"/>
  <c r="BF28" i="3"/>
  <c r="BH28" i="3" s="1"/>
  <c r="BA28" i="3"/>
  <c r="BC28" i="3" s="1"/>
  <c r="AX28" i="3"/>
  <c r="AV28" i="3"/>
  <c r="AQ28" i="3"/>
  <c r="AS28" i="3" s="1"/>
  <c r="AN28" i="3"/>
  <c r="AL28" i="3"/>
  <c r="AG28" i="3"/>
  <c r="AI28" i="3" s="1"/>
  <c r="AB28" i="3"/>
  <c r="W28" i="3"/>
  <c r="R28" i="3"/>
  <c r="T28" i="3" s="1"/>
  <c r="M28" i="3"/>
  <c r="O28" i="3" s="1"/>
  <c r="H28" i="3"/>
  <c r="EC26" i="3"/>
  <c r="CP26" i="3"/>
  <c r="CR26" i="3" s="1"/>
  <c r="CK26" i="3"/>
  <c r="CM26" i="3" s="1"/>
  <c r="CF26" i="3"/>
  <c r="CH26" i="3" s="1"/>
  <c r="CA26" i="3"/>
  <c r="CC26" i="3" s="1"/>
  <c r="BX26" i="3"/>
  <c r="BV26" i="3"/>
  <c r="BQ26" i="3"/>
  <c r="BS26" i="3" s="1"/>
  <c r="DR26" i="3" s="1"/>
  <c r="BL26" i="3"/>
  <c r="BN26" i="3" s="1"/>
  <c r="BG26" i="3"/>
  <c r="BI26" i="3" s="1"/>
  <c r="BB26" i="3"/>
  <c r="BD26" i="3" s="1"/>
  <c r="AW26" i="3"/>
  <c r="AY26" i="3" s="1"/>
  <c r="AT26" i="3"/>
  <c r="AR26" i="3"/>
  <c r="AM26" i="3"/>
  <c r="AO26" i="3" s="1"/>
  <c r="AH26" i="3"/>
  <c r="AJ26" i="3" s="1"/>
  <c r="AC26" i="3"/>
  <c r="AE26" i="3" s="1"/>
  <c r="Z26" i="3"/>
  <c r="X26" i="3"/>
  <c r="S26" i="3"/>
  <c r="P26" i="3"/>
  <c r="N26" i="3"/>
  <c r="I26" i="3"/>
  <c r="EC25" i="3"/>
  <c r="DV25" i="3"/>
  <c r="CQ25" i="3"/>
  <c r="CO25" i="3"/>
  <c r="CJ25" i="3"/>
  <c r="CL25" i="3" s="1"/>
  <c r="CE25" i="3"/>
  <c r="CG25" i="3" s="1"/>
  <c r="CB25" i="3"/>
  <c r="BZ25" i="3"/>
  <c r="BU25" i="3"/>
  <c r="BW25" i="3" s="1"/>
  <c r="BR25" i="3"/>
  <c r="BP25" i="3"/>
  <c r="BK25" i="3"/>
  <c r="BM25" i="3" s="1"/>
  <c r="BF25" i="3"/>
  <c r="BH25" i="3" s="1"/>
  <c r="BA25" i="3"/>
  <c r="BC25" i="3" s="1"/>
  <c r="AV25" i="3"/>
  <c r="AX25" i="3" s="1"/>
  <c r="AQ25" i="3"/>
  <c r="AS25" i="3" s="1"/>
  <c r="AN25" i="3"/>
  <c r="AL25" i="3"/>
  <c r="AG25" i="3"/>
  <c r="AI25" i="3" s="1"/>
  <c r="AB25" i="3"/>
  <c r="W25" i="3"/>
  <c r="Y25" i="3" s="1"/>
  <c r="R25" i="3"/>
  <c r="M25" i="3"/>
  <c r="O25" i="3" s="1"/>
  <c r="H25" i="3"/>
  <c r="EC23" i="3"/>
  <c r="CP23" i="3"/>
  <c r="CR23" i="3" s="1"/>
  <c r="CK23" i="3"/>
  <c r="CM23" i="3" s="1"/>
  <c r="CF23" i="3"/>
  <c r="CH23" i="3" s="1"/>
  <c r="CA23" i="3"/>
  <c r="CC23" i="3" s="1"/>
  <c r="BX23" i="3"/>
  <c r="BV23" i="3"/>
  <c r="BS23" i="3"/>
  <c r="BQ23" i="3"/>
  <c r="BL23" i="3"/>
  <c r="BN23" i="3" s="1"/>
  <c r="BG23" i="3"/>
  <c r="BI23" i="3" s="1"/>
  <c r="BD23" i="3"/>
  <c r="BB23" i="3"/>
  <c r="AW23" i="3"/>
  <c r="AY23" i="3" s="1"/>
  <c r="AT23" i="3"/>
  <c r="AR23" i="3"/>
  <c r="AM23" i="3"/>
  <c r="AO23" i="3" s="1"/>
  <c r="AH23" i="3"/>
  <c r="AJ23" i="3" s="1"/>
  <c r="AC23" i="3"/>
  <c r="Z23" i="3"/>
  <c r="X23" i="3"/>
  <c r="S23" i="3"/>
  <c r="P23" i="3"/>
  <c r="N23" i="3"/>
  <c r="I23" i="3"/>
  <c r="EC22" i="3"/>
  <c r="CQ22" i="3"/>
  <c r="CO22" i="3"/>
  <c r="CL22" i="3"/>
  <c r="CJ22" i="3"/>
  <c r="CE22" i="3"/>
  <c r="CG22" i="3" s="1"/>
  <c r="CB22" i="3"/>
  <c r="DV22" i="3" s="1"/>
  <c r="BZ22" i="3"/>
  <c r="BW22" i="3"/>
  <c r="BU22" i="3"/>
  <c r="BP22" i="3"/>
  <c r="BR22" i="3" s="1"/>
  <c r="BM22" i="3"/>
  <c r="BK22" i="3"/>
  <c r="BF22" i="3"/>
  <c r="BH22" i="3" s="1"/>
  <c r="BA22" i="3"/>
  <c r="BC22" i="3" s="1"/>
  <c r="AV22" i="3"/>
  <c r="AX22" i="3" s="1"/>
  <c r="AQ22" i="3"/>
  <c r="AS22" i="3" s="1"/>
  <c r="AL22" i="3"/>
  <c r="AN22" i="3" s="1"/>
  <c r="DF22" i="3" s="1"/>
  <c r="AI22" i="3"/>
  <c r="AG22" i="3"/>
  <c r="AB22" i="3"/>
  <c r="W22" i="3"/>
  <c r="Y22" i="3" s="1"/>
  <c r="R22" i="3"/>
  <c r="O22" i="3"/>
  <c r="CV22" i="3" s="1"/>
  <c r="M22" i="3"/>
  <c r="H22" i="3"/>
  <c r="EC20" i="3"/>
  <c r="CP20" i="3"/>
  <c r="CR20" i="3" s="1"/>
  <c r="CK20" i="3"/>
  <c r="CM20" i="3" s="1"/>
  <c r="CH20" i="3"/>
  <c r="CF20" i="3"/>
  <c r="CC20" i="3"/>
  <c r="CA20" i="3"/>
  <c r="BV20" i="3"/>
  <c r="BX20" i="3" s="1"/>
  <c r="BS20" i="3"/>
  <c r="BQ20" i="3"/>
  <c r="BN20" i="3"/>
  <c r="BL20" i="3"/>
  <c r="BG20" i="3"/>
  <c r="BI20" i="3" s="1"/>
  <c r="BB20" i="3"/>
  <c r="BD20" i="3" s="1"/>
  <c r="AY20" i="3"/>
  <c r="DJ20" i="3" s="1"/>
  <c r="AW20" i="3"/>
  <c r="AT20" i="3"/>
  <c r="AR20" i="3"/>
  <c r="AM20" i="3"/>
  <c r="AO20" i="3" s="1"/>
  <c r="DF20" i="3" s="1"/>
  <c r="AH20" i="3"/>
  <c r="AJ20" i="3" s="1"/>
  <c r="AC20" i="3"/>
  <c r="X20" i="3"/>
  <c r="U20" i="3"/>
  <c r="S20" i="3"/>
  <c r="P20" i="3"/>
  <c r="N20" i="3"/>
  <c r="I20" i="3"/>
  <c r="EC19" i="3"/>
  <c r="CV19" i="3"/>
  <c r="CQ19" i="3"/>
  <c r="CO19" i="3"/>
  <c r="CJ19" i="3"/>
  <c r="CL19" i="3" s="1"/>
  <c r="CE19" i="3"/>
  <c r="CG19" i="3" s="1"/>
  <c r="BZ19" i="3"/>
  <c r="CB19" i="3" s="1"/>
  <c r="DV19" i="3" s="1"/>
  <c r="BU19" i="3"/>
  <c r="BW19" i="3" s="1"/>
  <c r="BP19" i="3"/>
  <c r="BR19" i="3" s="1"/>
  <c r="BM19" i="3"/>
  <c r="BK19" i="3"/>
  <c r="BH19" i="3"/>
  <c r="BF19" i="3"/>
  <c r="BA19" i="3"/>
  <c r="BC19" i="3" s="1"/>
  <c r="DL19" i="3" s="1"/>
  <c r="AX19" i="3"/>
  <c r="AV19" i="3"/>
  <c r="AS19" i="3"/>
  <c r="AQ19" i="3"/>
  <c r="AN19" i="3"/>
  <c r="AL19" i="3"/>
  <c r="AI19" i="3"/>
  <c r="AG19" i="3"/>
  <c r="AB19" i="3"/>
  <c r="W19" i="3"/>
  <c r="T19" i="3"/>
  <c r="R19" i="3"/>
  <c r="M19" i="3"/>
  <c r="O19" i="3" s="1"/>
  <c r="H19" i="3"/>
  <c r="EC17" i="3"/>
  <c r="CR17" i="3"/>
  <c r="CP17" i="3"/>
  <c r="CM17" i="3"/>
  <c r="CK17" i="3"/>
  <c r="CH17" i="3"/>
  <c r="CF17" i="3"/>
  <c r="CA17" i="3"/>
  <c r="CC17" i="3" s="1"/>
  <c r="DV17" i="3" s="1"/>
  <c r="BV17" i="3"/>
  <c r="BX17" i="3" s="1"/>
  <c r="BQ17" i="3"/>
  <c r="BS17" i="3" s="1"/>
  <c r="BN17" i="3"/>
  <c r="BL17" i="3"/>
  <c r="BI17" i="3"/>
  <c r="BG17" i="3"/>
  <c r="BD17" i="3"/>
  <c r="BB17" i="3"/>
  <c r="AW17" i="3"/>
  <c r="AY17" i="3" s="1"/>
  <c r="AR17" i="3"/>
  <c r="AT17" i="3" s="1"/>
  <c r="AM17" i="3"/>
  <c r="AO17" i="3" s="1"/>
  <c r="DF17" i="3" s="1"/>
  <c r="AH17" i="3"/>
  <c r="AJ17" i="3" s="1"/>
  <c r="AC17" i="3"/>
  <c r="X17" i="3"/>
  <c r="S17" i="3"/>
  <c r="U17" i="3" s="1"/>
  <c r="N17" i="3"/>
  <c r="P17" i="3" s="1"/>
  <c r="I17" i="3"/>
  <c r="EC16" i="3"/>
  <c r="CO16" i="3"/>
  <c r="CQ16" i="3" s="1"/>
  <c r="CL16" i="3"/>
  <c r="CJ16" i="3"/>
  <c r="CG16" i="3"/>
  <c r="CE16" i="3"/>
  <c r="CB16" i="3"/>
  <c r="DV16" i="3" s="1"/>
  <c r="DV15" i="3" s="1"/>
  <c r="BY15" i="3" s="1"/>
  <c r="BZ16" i="3"/>
  <c r="BU16" i="3"/>
  <c r="BW16" i="3" s="1"/>
  <c r="BP16" i="3"/>
  <c r="BR16" i="3" s="1"/>
  <c r="BK16" i="3"/>
  <c r="BM16" i="3" s="1"/>
  <c r="BH16" i="3"/>
  <c r="BF16" i="3"/>
  <c r="BC16" i="3"/>
  <c r="BA16" i="3"/>
  <c r="AV16" i="3"/>
  <c r="AX16" i="3" s="1"/>
  <c r="AQ16" i="3"/>
  <c r="AS16" i="3" s="1"/>
  <c r="AL16" i="3"/>
  <c r="AN16" i="3" s="1"/>
  <c r="AG16" i="3"/>
  <c r="AI16" i="3" s="1"/>
  <c r="AD16" i="3"/>
  <c r="AB16" i="3"/>
  <c r="W16" i="3"/>
  <c r="T16" i="3"/>
  <c r="R16" i="3"/>
  <c r="M16" i="3"/>
  <c r="O16" i="3" s="1"/>
  <c r="H16" i="3"/>
  <c r="EC14" i="3"/>
  <c r="CP14" i="3"/>
  <c r="CR14" i="3" s="1"/>
  <c r="EB14" i="3" s="1"/>
  <c r="CM14" i="3"/>
  <c r="CK14" i="3"/>
  <c r="CF14" i="3"/>
  <c r="CH14" i="3" s="1"/>
  <c r="DX14" i="3" s="1"/>
  <c r="CA14" i="3"/>
  <c r="CC14" i="3" s="1"/>
  <c r="DV14" i="3" s="1"/>
  <c r="BV14" i="3"/>
  <c r="BX14" i="3" s="1"/>
  <c r="BQ14" i="3"/>
  <c r="BS14" i="3" s="1"/>
  <c r="DR14" i="3" s="1"/>
  <c r="BL14" i="3"/>
  <c r="BN14" i="3" s="1"/>
  <c r="DP14" i="3" s="1"/>
  <c r="BI14" i="3"/>
  <c r="BG14" i="3"/>
  <c r="BD14" i="3"/>
  <c r="BB14" i="3"/>
  <c r="AW14" i="3"/>
  <c r="AY14" i="3" s="1"/>
  <c r="AR14" i="3"/>
  <c r="AT14" i="3" s="1"/>
  <c r="AM14" i="3"/>
  <c r="AO14" i="3" s="1"/>
  <c r="DF14" i="3" s="1"/>
  <c r="AJ14" i="3"/>
  <c r="AH14" i="3"/>
  <c r="AC14" i="3"/>
  <c r="X14" i="3"/>
  <c r="Z14" i="3" s="1"/>
  <c r="S14" i="3"/>
  <c r="N14" i="3"/>
  <c r="P14" i="3" s="1"/>
  <c r="I14" i="3"/>
  <c r="EU13" i="3"/>
  <c r="EC13" i="3"/>
  <c r="CO13" i="3"/>
  <c r="CQ13" i="3" s="1"/>
  <c r="CL13" i="3"/>
  <c r="CJ13" i="3"/>
  <c r="CE13" i="3"/>
  <c r="CG13" i="3" s="1"/>
  <c r="CB13" i="3"/>
  <c r="BZ13" i="3"/>
  <c r="BW13" i="3"/>
  <c r="BU13" i="3"/>
  <c r="BR13" i="3"/>
  <c r="BP13" i="3"/>
  <c r="BK13" i="3"/>
  <c r="BM13" i="3" s="1"/>
  <c r="BH13" i="3"/>
  <c r="BF13" i="3"/>
  <c r="BA13" i="3"/>
  <c r="BC13" i="3" s="1"/>
  <c r="AX13" i="3"/>
  <c r="AV13" i="3"/>
  <c r="AS13" i="3"/>
  <c r="AQ13" i="3"/>
  <c r="AN13" i="3"/>
  <c r="DF13" i="3" s="1"/>
  <c r="AL13" i="3"/>
  <c r="AG13" i="3"/>
  <c r="AI13" i="3" s="1"/>
  <c r="AD13" i="3"/>
  <c r="AB13" i="3"/>
  <c r="W13" i="3"/>
  <c r="Y13" i="3" s="1"/>
  <c r="R13" i="3"/>
  <c r="O13" i="3"/>
  <c r="M13" i="3"/>
  <c r="H13" i="3"/>
  <c r="EU12" i="3"/>
  <c r="EU11" i="3"/>
  <c r="EC11" i="3"/>
  <c r="DL11" i="3"/>
  <c r="CP11" i="3"/>
  <c r="CR11" i="3" s="1"/>
  <c r="CM11" i="3"/>
  <c r="DZ11" i="3" s="1"/>
  <c r="CK11" i="3"/>
  <c r="CH11" i="3"/>
  <c r="CF11" i="3"/>
  <c r="CC11" i="3"/>
  <c r="DV11" i="3" s="1"/>
  <c r="CA11" i="3"/>
  <c r="BV11" i="3"/>
  <c r="BX11" i="3" s="1"/>
  <c r="DT11" i="3" s="1"/>
  <c r="BS11" i="3"/>
  <c r="BQ11" i="3"/>
  <c r="BL11" i="3"/>
  <c r="BN11" i="3" s="1"/>
  <c r="BI11" i="3"/>
  <c r="DN11" i="3" s="1"/>
  <c r="BG11" i="3"/>
  <c r="BD11" i="3"/>
  <c r="BB11" i="3"/>
  <c r="AY11" i="3"/>
  <c r="AW11" i="3"/>
  <c r="AT11" i="3"/>
  <c r="AR11" i="3"/>
  <c r="AO11" i="3"/>
  <c r="AM11" i="3"/>
  <c r="AH11" i="3"/>
  <c r="AJ11" i="3" s="1"/>
  <c r="AE11" i="3"/>
  <c r="AC11" i="3"/>
  <c r="Z11" i="3"/>
  <c r="X11" i="3"/>
  <c r="S11" i="3"/>
  <c r="N11" i="3"/>
  <c r="P11" i="3" s="1"/>
  <c r="CV11" i="3" s="1"/>
  <c r="I11" i="3"/>
  <c r="EU10" i="3"/>
  <c r="EC10" i="3"/>
  <c r="CQ10" i="3"/>
  <c r="CO10" i="3"/>
  <c r="CL10" i="3"/>
  <c r="CJ10" i="3"/>
  <c r="CE10" i="3"/>
  <c r="CG10" i="3" s="1"/>
  <c r="BZ10" i="3"/>
  <c r="CB10" i="3" s="1"/>
  <c r="BU10" i="3"/>
  <c r="BW10" i="3" s="1"/>
  <c r="BR10" i="3"/>
  <c r="BP10" i="3"/>
  <c r="BM10" i="3"/>
  <c r="BK10" i="3"/>
  <c r="BF10" i="3"/>
  <c r="BH10" i="3" s="1"/>
  <c r="BA10" i="3"/>
  <c r="BC10" i="3" s="1"/>
  <c r="DL10" i="3" s="1"/>
  <c r="DL9" i="3" s="1"/>
  <c r="AZ9" i="3" s="1"/>
  <c r="AV10" i="3"/>
  <c r="AX10" i="3" s="1"/>
  <c r="AQ10" i="3"/>
  <c r="AS10" i="3" s="1"/>
  <c r="AN10" i="3"/>
  <c r="AL10" i="3"/>
  <c r="AI10" i="3"/>
  <c r="AG10" i="3"/>
  <c r="AB10" i="3"/>
  <c r="AD10" i="3" s="1"/>
  <c r="W10" i="3"/>
  <c r="R10" i="3"/>
  <c r="M10" i="3"/>
  <c r="O10" i="3" s="1"/>
  <c r="CV10" i="3" s="1"/>
  <c r="J10" i="3"/>
  <c r="H10" i="3"/>
  <c r="EU9" i="3"/>
  <c r="EC8" i="3"/>
  <c r="DN8" i="3"/>
  <c r="DL8" i="3"/>
  <c r="CP8" i="3"/>
  <c r="CR8" i="3" s="1"/>
  <c r="CM8" i="3"/>
  <c r="CK8" i="3"/>
  <c r="CH8" i="3"/>
  <c r="CF8" i="3"/>
  <c r="CC8" i="3"/>
  <c r="CA8" i="3"/>
  <c r="BX8" i="3"/>
  <c r="DT26" i="3" s="1"/>
  <c r="BV8" i="3"/>
  <c r="BQ8" i="3"/>
  <c r="BS8" i="3" s="1"/>
  <c r="DR23" i="3" s="1"/>
  <c r="BN8" i="3"/>
  <c r="BL8" i="3"/>
  <c r="BI8" i="3"/>
  <c r="BG8" i="3"/>
  <c r="BD8" i="3"/>
  <c r="BB8" i="3"/>
  <c r="AY8" i="3"/>
  <c r="AW8" i="3"/>
  <c r="AR8" i="3"/>
  <c r="AT8" i="3" s="1"/>
  <c r="AM8" i="3"/>
  <c r="AO8" i="3" s="1"/>
  <c r="AH8" i="3"/>
  <c r="AJ8" i="3" s="1"/>
  <c r="AE8" i="3"/>
  <c r="AC8" i="3"/>
  <c r="X8" i="3"/>
  <c r="S8" i="3"/>
  <c r="U8" i="3" s="1"/>
  <c r="P8" i="3"/>
  <c r="N8" i="3"/>
  <c r="I8" i="3"/>
  <c r="K11" i="3" s="1"/>
  <c r="EC7" i="3"/>
  <c r="CO7" i="3"/>
  <c r="CJ7" i="3"/>
  <c r="R2" i="4" s="1"/>
  <c r="CG7" i="3"/>
  <c r="CE7" i="3"/>
  <c r="CB7" i="3"/>
  <c r="DV7" i="3" s="1"/>
  <c r="BZ7" i="3"/>
  <c r="BU7" i="3"/>
  <c r="BP7" i="3"/>
  <c r="BK7" i="3"/>
  <c r="BF7" i="3"/>
  <c r="L2" i="4" s="1"/>
  <c r="BC7" i="3"/>
  <c r="DL13" i="3" s="1"/>
  <c r="BA7" i="3"/>
  <c r="AV7" i="3"/>
  <c r="AQ7" i="3"/>
  <c r="I2" i="4" s="1"/>
  <c r="AN7" i="3"/>
  <c r="AL7" i="3"/>
  <c r="AG7" i="3"/>
  <c r="AB7" i="3"/>
  <c r="W7" i="3"/>
  <c r="T7" i="3"/>
  <c r="R7" i="3"/>
  <c r="T25" i="3" s="1"/>
  <c r="O7" i="3"/>
  <c r="CV28" i="3" s="1"/>
  <c r="M7" i="3"/>
  <c r="H7" i="3"/>
  <c r="J13" i="3" s="1"/>
  <c r="CU1" i="3"/>
  <c r="CW1" i="3" s="1"/>
  <c r="CY1" i="3" s="1"/>
  <c r="DA1" i="3" s="1"/>
  <c r="DC1" i="3" s="1"/>
  <c r="DE1" i="3" s="1"/>
  <c r="DG1" i="3" s="1"/>
  <c r="DI1" i="3" s="1"/>
  <c r="DK1" i="3" s="1"/>
  <c r="DM1" i="3" s="1"/>
  <c r="DO1" i="3" s="1"/>
  <c r="DQ1" i="3" s="1"/>
  <c r="DS1" i="3" s="1"/>
  <c r="DU1" i="3" s="1"/>
  <c r="DW1" i="3" s="1"/>
  <c r="DY1" i="3" s="1"/>
  <c r="EA1" i="3" s="1"/>
  <c r="A61" i="2"/>
  <c r="A60" i="2"/>
  <c r="A58" i="2"/>
  <c r="A57" i="2"/>
  <c r="A55" i="2"/>
  <c r="A54" i="2"/>
  <c r="A52" i="2"/>
  <c r="A51" i="2"/>
  <c r="A49" i="2"/>
  <c r="A48" i="2"/>
  <c r="A46" i="2"/>
  <c r="A45" i="2"/>
  <c r="A43" i="2"/>
  <c r="A42" i="2"/>
  <c r="A40" i="2"/>
  <c r="A39" i="2"/>
  <c r="A37" i="2"/>
  <c r="A36" i="2"/>
  <c r="A34" i="2"/>
  <c r="A33" i="2"/>
  <c r="A31" i="2"/>
  <c r="A30" i="2"/>
  <c r="A28" i="2"/>
  <c r="A27" i="2"/>
  <c r="A25" i="2"/>
  <c r="A24" i="2"/>
  <c r="A22" i="2"/>
  <c r="A21" i="2"/>
  <c r="A19" i="2"/>
  <c r="A18" i="2"/>
  <c r="A16" i="2"/>
  <c r="A15" i="2"/>
  <c r="A13" i="2"/>
  <c r="A12" i="2"/>
  <c r="A10" i="2"/>
  <c r="A9" i="2"/>
  <c r="A7" i="2"/>
  <c r="A6" i="2"/>
  <c r="AM67" i="1"/>
  <c r="AL67" i="1"/>
  <c r="AJ67" i="1"/>
  <c r="AH67" i="1"/>
  <c r="AF67" i="1"/>
  <c r="AD67" i="1"/>
  <c r="AB67" i="1"/>
  <c r="Z67" i="1"/>
  <c r="X67" i="1"/>
  <c r="V67" i="1"/>
  <c r="T67" i="1"/>
  <c r="R67" i="1"/>
  <c r="P67" i="1"/>
  <c r="N67" i="1"/>
  <c r="L67" i="1"/>
  <c r="J67" i="1"/>
  <c r="H67" i="1"/>
  <c r="F67" i="1"/>
  <c r="D67" i="1"/>
  <c r="AM65" i="1"/>
  <c r="AL65" i="1"/>
  <c r="AJ65" i="1"/>
  <c r="AH65" i="1"/>
  <c r="AF65" i="1"/>
  <c r="AD65" i="1"/>
  <c r="AB65" i="1"/>
  <c r="Z65" i="1"/>
  <c r="X65" i="1"/>
  <c r="V65" i="1"/>
  <c r="T65" i="1"/>
  <c r="R65" i="1"/>
  <c r="P65" i="1"/>
  <c r="N65" i="1"/>
  <c r="L65" i="1"/>
  <c r="J65" i="1"/>
  <c r="H65" i="1"/>
  <c r="F65" i="1"/>
  <c r="D65" i="1"/>
  <c r="DD17" i="3" l="1"/>
  <c r="DD112" i="3"/>
  <c r="DD44" i="3"/>
  <c r="DD41" i="3"/>
  <c r="DD8" i="3"/>
  <c r="DD35" i="3"/>
  <c r="CV9" i="3"/>
  <c r="L9" i="3" s="1"/>
  <c r="DH11" i="3"/>
  <c r="DH17" i="3"/>
  <c r="DX23" i="3"/>
  <c r="DF26" i="3"/>
  <c r="DH115" i="3"/>
  <c r="DH109" i="3"/>
  <c r="DH91" i="3"/>
  <c r="DH76" i="3"/>
  <c r="DH100" i="3"/>
  <c r="DH59" i="3"/>
  <c r="DH32" i="3"/>
  <c r="DH38" i="3"/>
  <c r="DH14" i="3"/>
  <c r="DH8" i="3"/>
  <c r="DH23" i="3"/>
  <c r="DH26" i="3"/>
  <c r="DH20" i="3"/>
  <c r="DD19" i="3"/>
  <c r="DX8" i="3"/>
  <c r="DR10" i="3"/>
  <c r="EB88" i="3"/>
  <c r="EB79" i="3"/>
  <c r="EB56" i="3"/>
  <c r="EB41" i="3"/>
  <c r="EB38" i="3"/>
  <c r="EB8" i="3"/>
  <c r="EB11" i="3"/>
  <c r="DD13" i="3"/>
  <c r="DT20" i="3"/>
  <c r="DF12" i="3"/>
  <c r="AK12" i="3" s="1"/>
  <c r="DT13" i="3"/>
  <c r="DP8" i="3"/>
  <c r="DD11" i="3"/>
  <c r="CX108" i="3"/>
  <c r="K2" i="4"/>
  <c r="DX102" i="3"/>
  <c r="DX78" i="3"/>
  <c r="DX34" i="3"/>
  <c r="DX37" i="3"/>
  <c r="DX61" i="3"/>
  <c r="DX16" i="3"/>
  <c r="DX31" i="3"/>
  <c r="CV109" i="3"/>
  <c r="CV76" i="3"/>
  <c r="CV26" i="3"/>
  <c r="CV8" i="3"/>
  <c r="CV38" i="3"/>
  <c r="DV91" i="3"/>
  <c r="DV100" i="3"/>
  <c r="DV62" i="3"/>
  <c r="DV50" i="3"/>
  <c r="DV82" i="3"/>
  <c r="DV44" i="3"/>
  <c r="DV29" i="3"/>
  <c r="DV8" i="3"/>
  <c r="DV6" i="3" s="1"/>
  <c r="BY6" i="3" s="1"/>
  <c r="DV53" i="3"/>
  <c r="DV10" i="3"/>
  <c r="DV9" i="3" s="1"/>
  <c r="BY9" i="3" s="1"/>
  <c r="DD14" i="3"/>
  <c r="DN14" i="3"/>
  <c r="CV17" i="3"/>
  <c r="EB17" i="3"/>
  <c r="DX20" i="3"/>
  <c r="DD23" i="3"/>
  <c r="DT23" i="3"/>
  <c r="CV25" i="3"/>
  <c r="CV24" i="3" s="1"/>
  <c r="L24" i="3" s="1"/>
  <c r="DH29" i="3"/>
  <c r="DZ29" i="3"/>
  <c r="DH35" i="3"/>
  <c r="T37" i="3"/>
  <c r="DL37" i="3"/>
  <c r="DR38" i="3"/>
  <c r="DL16" i="3"/>
  <c r="DN19" i="3"/>
  <c r="DL20" i="3"/>
  <c r="DL18" i="3" s="1"/>
  <c r="AZ18" i="3" s="1"/>
  <c r="EB20" i="3"/>
  <c r="K29" i="3"/>
  <c r="DL29" i="3"/>
  <c r="EB29" i="3"/>
  <c r="DF46" i="3"/>
  <c r="DN50" i="3"/>
  <c r="E2" i="4"/>
  <c r="Y37" i="3"/>
  <c r="Y16" i="3"/>
  <c r="CZ40" i="3" s="1"/>
  <c r="Y46" i="3"/>
  <c r="CV20" i="3"/>
  <c r="CV18" i="3" s="1"/>
  <c r="L18" i="3" s="1"/>
  <c r="DP11" i="3"/>
  <c r="F2" i="4"/>
  <c r="AD75" i="3"/>
  <c r="DB78" i="3" s="1"/>
  <c r="AD40" i="3"/>
  <c r="AD34" i="3"/>
  <c r="AD19" i="3"/>
  <c r="AD22" i="3"/>
  <c r="AD43" i="3"/>
  <c r="BH7" i="3"/>
  <c r="DN10" i="3" s="1"/>
  <c r="DN9" i="3" s="1"/>
  <c r="BE9" i="3" s="1"/>
  <c r="S2" i="4"/>
  <c r="CQ7" i="3"/>
  <c r="EB13" i="3" s="1"/>
  <c r="EB12" i="3" s="1"/>
  <c r="CN12" i="3" s="1"/>
  <c r="DL109" i="3"/>
  <c r="DL94" i="3"/>
  <c r="DL106" i="3"/>
  <c r="DL97" i="3"/>
  <c r="DL62" i="3"/>
  <c r="DL82" i="3"/>
  <c r="DL88" i="3"/>
  <c r="DR8" i="3"/>
  <c r="T10" i="3"/>
  <c r="CX61" i="3" s="1"/>
  <c r="CV13" i="3"/>
  <c r="DJ14" i="3"/>
  <c r="DF16" i="3"/>
  <c r="DF15" i="3" s="1"/>
  <c r="AK15" i="3" s="1"/>
  <c r="Z17" i="3"/>
  <c r="DN20" i="3"/>
  <c r="DZ23" i="3"/>
  <c r="EB26" i="3"/>
  <c r="DF28" i="3"/>
  <c r="DV28" i="3"/>
  <c r="DV27" i="3" s="1"/>
  <c r="BY27" i="3" s="1"/>
  <c r="DN29" i="3"/>
  <c r="CV29" i="3"/>
  <c r="CV27" i="3" s="1"/>
  <c r="L27" i="3" s="1"/>
  <c r="DL32" i="3"/>
  <c r="DF38" i="3"/>
  <c r="DH34" i="3"/>
  <c r="DH33" i="3" s="1"/>
  <c r="AP33" i="3" s="1"/>
  <c r="L29" i="4"/>
  <c r="L27" i="4"/>
  <c r="L25" i="4"/>
  <c r="L23" i="4"/>
  <c r="L21" i="4"/>
  <c r="L19" i="4"/>
  <c r="L17" i="4"/>
  <c r="L15" i="4"/>
  <c r="L13" i="4"/>
  <c r="L11" i="4"/>
  <c r="L9" i="4"/>
  <c r="L7" i="4"/>
  <c r="L5" i="4"/>
  <c r="L3" i="4"/>
  <c r="L28" i="4"/>
  <c r="L24" i="4"/>
  <c r="L20" i="4"/>
  <c r="L16" i="4"/>
  <c r="L12" i="4"/>
  <c r="L8" i="4"/>
  <c r="L4" i="4"/>
  <c r="L30" i="4"/>
  <c r="L26" i="4"/>
  <c r="L22" i="4"/>
  <c r="L18" i="4"/>
  <c r="L14" i="4"/>
  <c r="L10" i="4"/>
  <c r="L6" i="4"/>
  <c r="AD7" i="3"/>
  <c r="M2" i="4"/>
  <c r="BM7" i="3"/>
  <c r="DP19" i="3" s="1"/>
  <c r="DX7" i="3"/>
  <c r="Z8" i="3"/>
  <c r="CZ35" i="3" s="1"/>
  <c r="DZ97" i="3"/>
  <c r="DZ109" i="3"/>
  <c r="DZ59" i="3"/>
  <c r="DZ47" i="3"/>
  <c r="DZ50" i="3"/>
  <c r="DZ56" i="3"/>
  <c r="DZ44" i="3"/>
  <c r="Y10" i="3"/>
  <c r="DR11" i="3"/>
  <c r="DZ14" i="3"/>
  <c r="DL22" i="3"/>
  <c r="DJ26" i="3"/>
  <c r="U32" i="3"/>
  <c r="DF85" i="3"/>
  <c r="Y7" i="3"/>
  <c r="CZ13" i="3" s="1"/>
  <c r="CL7" i="3"/>
  <c r="DZ16" i="3" s="1"/>
  <c r="G2" i="4"/>
  <c r="AI7" i="3"/>
  <c r="DD28" i="3" s="1"/>
  <c r="DD27" i="3" s="1"/>
  <c r="AF27" i="3" s="1"/>
  <c r="N2" i="4"/>
  <c r="CV7" i="3"/>
  <c r="DN106" i="3"/>
  <c r="DN109" i="3"/>
  <c r="DN97" i="3"/>
  <c r="DN85" i="3"/>
  <c r="DN59" i="3"/>
  <c r="DN100" i="3"/>
  <c r="DN94" i="3"/>
  <c r="DN62" i="3"/>
  <c r="DN47" i="3"/>
  <c r="DZ8" i="3"/>
  <c r="DP10" i="3"/>
  <c r="DF11" i="3"/>
  <c r="DR13" i="3"/>
  <c r="DR12" i="3" s="1"/>
  <c r="BO12" i="3" s="1"/>
  <c r="K14" i="3"/>
  <c r="DL14" i="3"/>
  <c r="DL12" i="3" s="1"/>
  <c r="AZ12" i="3" s="1"/>
  <c r="DT17" i="3"/>
  <c r="DR19" i="3"/>
  <c r="Z20" i="3"/>
  <c r="J22" i="3"/>
  <c r="DN22" i="3"/>
  <c r="K23" i="3"/>
  <c r="CV23" i="3"/>
  <c r="CV21" i="3" s="1"/>
  <c r="L21" i="3" s="1"/>
  <c r="DD25" i="3"/>
  <c r="DL26" i="3"/>
  <c r="DR29" i="3"/>
  <c r="DD37" i="3"/>
  <c r="K38" i="3"/>
  <c r="CT100" i="3" s="1"/>
  <c r="DJ103" i="3"/>
  <c r="DJ85" i="3"/>
  <c r="DJ94" i="3"/>
  <c r="DJ8" i="3"/>
  <c r="DF23" i="3"/>
  <c r="DF21" i="3" s="1"/>
  <c r="AK21" i="3" s="1"/>
  <c r="DX88" i="3"/>
  <c r="DX94" i="3"/>
  <c r="DX85" i="3"/>
  <c r="DX76" i="3"/>
  <c r="DX50" i="3"/>
  <c r="DX35" i="3"/>
  <c r="EB10" i="3"/>
  <c r="H2" i="4"/>
  <c r="BR7" i="3"/>
  <c r="DR28" i="3" s="1"/>
  <c r="CV14" i="3"/>
  <c r="DN17" i="3"/>
  <c r="DX25" i="3"/>
  <c r="DN26" i="3"/>
  <c r="EB32" i="3"/>
  <c r="DR41" i="3"/>
  <c r="DF96" i="3"/>
  <c r="DF93" i="3"/>
  <c r="DF87" i="3"/>
  <c r="DF55" i="3"/>
  <c r="DF7" i="3"/>
  <c r="DP106" i="3"/>
  <c r="DP97" i="3"/>
  <c r="DP88" i="3"/>
  <c r="DP56" i="3"/>
  <c r="DP35" i="3"/>
  <c r="DP32" i="3"/>
  <c r="DP59" i="3"/>
  <c r="DF10" i="3"/>
  <c r="DF9" i="3" s="1"/>
  <c r="AK9" i="3" s="1"/>
  <c r="U14" i="3"/>
  <c r="J16" i="3"/>
  <c r="DP17" i="3"/>
  <c r="DF19" i="3"/>
  <c r="DF18" i="3" s="1"/>
  <c r="AK18" i="3" s="1"/>
  <c r="DD20" i="3"/>
  <c r="DR20" i="3"/>
  <c r="DP20" i="3"/>
  <c r="DN23" i="3"/>
  <c r="DJ23" i="3"/>
  <c r="DL28" i="3"/>
  <c r="DL27" i="3" s="1"/>
  <c r="AZ27" i="3" s="1"/>
  <c r="EB28" i="3"/>
  <c r="EB27" i="3" s="1"/>
  <c r="CN27" i="3" s="1"/>
  <c r="Z29" i="3"/>
  <c r="DT29" i="3"/>
  <c r="AD31" i="3"/>
  <c r="DP31" i="3"/>
  <c r="O2" i="4"/>
  <c r="DR17" i="3"/>
  <c r="DD32" i="3"/>
  <c r="DR32" i="3"/>
  <c r="DT37" i="3"/>
  <c r="DT41" i="3"/>
  <c r="CV43" i="3"/>
  <c r="R30" i="4"/>
  <c r="R28" i="4"/>
  <c r="R26" i="4"/>
  <c r="R24" i="4"/>
  <c r="R22" i="4"/>
  <c r="R20" i="4"/>
  <c r="R18" i="4"/>
  <c r="R16" i="4"/>
  <c r="R14" i="4"/>
  <c r="R12" i="4"/>
  <c r="R10" i="4"/>
  <c r="R8" i="4"/>
  <c r="R6" i="4"/>
  <c r="R4" i="4"/>
  <c r="R27" i="4"/>
  <c r="R23" i="4"/>
  <c r="R19" i="4"/>
  <c r="R15" i="4"/>
  <c r="R11" i="4"/>
  <c r="R7" i="4"/>
  <c r="R3" i="4"/>
  <c r="R5" i="4"/>
  <c r="R29" i="4"/>
  <c r="R25" i="4"/>
  <c r="R17" i="4"/>
  <c r="R9" i="4"/>
  <c r="R21" i="4"/>
  <c r="R13" i="4"/>
  <c r="U56" i="3"/>
  <c r="U41" i="3"/>
  <c r="CX100" i="3" s="1"/>
  <c r="U44" i="3"/>
  <c r="U38" i="3"/>
  <c r="DX26" i="3"/>
  <c r="B2" i="4"/>
  <c r="J52" i="3"/>
  <c r="J43" i="3"/>
  <c r="J31" i="3"/>
  <c r="J37" i="3"/>
  <c r="J40" i="3"/>
  <c r="J28" i="3"/>
  <c r="J34" i="3"/>
  <c r="J25" i="3"/>
  <c r="CT55" i="3" s="1"/>
  <c r="I30" i="4"/>
  <c r="I28" i="4"/>
  <c r="I26" i="4"/>
  <c r="I24" i="4"/>
  <c r="I22" i="4"/>
  <c r="I20" i="4"/>
  <c r="I18" i="4"/>
  <c r="I16" i="4"/>
  <c r="I14" i="4"/>
  <c r="I12" i="4"/>
  <c r="I10" i="4"/>
  <c r="I8" i="4"/>
  <c r="I6" i="4"/>
  <c r="I4" i="4"/>
  <c r="I29" i="4"/>
  <c r="I27" i="4"/>
  <c r="I25" i="4"/>
  <c r="I23" i="4"/>
  <c r="I21" i="4"/>
  <c r="I19" i="4"/>
  <c r="I17" i="4"/>
  <c r="I15" i="4"/>
  <c r="I13" i="4"/>
  <c r="I11" i="4"/>
  <c r="I9" i="4"/>
  <c r="I7" i="4"/>
  <c r="I5" i="4"/>
  <c r="I3" i="4"/>
  <c r="CV16" i="3"/>
  <c r="CV15" i="3" s="1"/>
  <c r="L15" i="3" s="1"/>
  <c r="DX17" i="3"/>
  <c r="DX19" i="3"/>
  <c r="U23" i="3"/>
  <c r="C2" i="4"/>
  <c r="AS7" i="3"/>
  <c r="DH16" i="3" s="1"/>
  <c r="DH15" i="3" s="1"/>
  <c r="AP15" i="3" s="1"/>
  <c r="DF112" i="3"/>
  <c r="DF106" i="3"/>
  <c r="DF103" i="3"/>
  <c r="DF62" i="3"/>
  <c r="DF41" i="3"/>
  <c r="DF8" i="3"/>
  <c r="DJ11" i="3"/>
  <c r="DV13" i="3"/>
  <c r="DV12" i="3" s="1"/>
  <c r="BY12" i="3" s="1"/>
  <c r="DJ17" i="3"/>
  <c r="DH19" i="3"/>
  <c r="DZ20" i="3"/>
  <c r="DF44" i="3"/>
  <c r="DR100" i="3"/>
  <c r="DR82" i="3"/>
  <c r="DR59" i="3"/>
  <c r="DR47" i="3"/>
  <c r="DR35" i="3"/>
  <c r="DH13" i="3"/>
  <c r="DH12" i="3" s="1"/>
  <c r="AP12" i="3" s="1"/>
  <c r="CV108" i="3"/>
  <c r="CV107" i="3" s="1"/>
  <c r="L107" i="3" s="1"/>
  <c r="CV102" i="3"/>
  <c r="CV90" i="3"/>
  <c r="CV87" i="3"/>
  <c r="CV78" i="3"/>
  <c r="CV77" i="3" s="1"/>
  <c r="L77" i="3" s="1"/>
  <c r="CV46" i="3"/>
  <c r="CV40" i="3"/>
  <c r="CV34" i="3"/>
  <c r="J2" i="4"/>
  <c r="DV96" i="3"/>
  <c r="DV78" i="3"/>
  <c r="DV93" i="3"/>
  <c r="DV58" i="3"/>
  <c r="DV75" i="3"/>
  <c r="DV55" i="3"/>
  <c r="K47" i="3"/>
  <c r="K44" i="3"/>
  <c r="K53" i="3"/>
  <c r="K8" i="3"/>
  <c r="K26" i="3"/>
  <c r="DT109" i="3"/>
  <c r="DT79" i="3"/>
  <c r="DT97" i="3"/>
  <c r="DT76" i="3"/>
  <c r="DT53" i="3"/>
  <c r="DT44" i="3"/>
  <c r="DT32" i="3"/>
  <c r="DT82" i="3"/>
  <c r="DT8" i="3"/>
  <c r="DX10" i="3"/>
  <c r="U11" i="3"/>
  <c r="CX106" i="3" s="1"/>
  <c r="DZ17" i="3"/>
  <c r="J19" i="3"/>
  <c r="DV20" i="3"/>
  <c r="DV18" i="3" s="1"/>
  <c r="BY18" i="3" s="1"/>
  <c r="DL25" i="3"/>
  <c r="DL24" i="3" s="1"/>
  <c r="AZ24" i="3" s="1"/>
  <c r="DP28" i="3"/>
  <c r="DF29" i="3"/>
  <c r="DT35" i="3"/>
  <c r="DP40" i="3"/>
  <c r="DL102" i="3"/>
  <c r="DL93" i="3"/>
  <c r="DL99" i="3"/>
  <c r="DL61" i="3"/>
  <c r="DL60" i="3" s="1"/>
  <c r="AZ60" i="3" s="1"/>
  <c r="DL49" i="3"/>
  <c r="DL58" i="3"/>
  <c r="DL75" i="3"/>
  <c r="DL74" i="3" s="1"/>
  <c r="AZ74" i="3" s="1"/>
  <c r="DL43" i="3"/>
  <c r="DL52" i="3"/>
  <c r="DL34" i="3"/>
  <c r="DL31" i="3"/>
  <c r="DL30" i="3" s="1"/>
  <c r="AZ30" i="3" s="1"/>
  <c r="J7" i="3"/>
  <c r="CT58" i="3" s="1"/>
  <c r="BW7" i="3"/>
  <c r="DT16" i="3" s="1"/>
  <c r="DT15" i="3" s="1"/>
  <c r="BT15" i="3" s="1"/>
  <c r="DD10" i="3"/>
  <c r="DD9" i="3" s="1"/>
  <c r="AF9" i="3" s="1"/>
  <c r="D2" i="4"/>
  <c r="T31" i="3"/>
  <c r="T22" i="3"/>
  <c r="T43" i="3"/>
  <c r="T49" i="3"/>
  <c r="T40" i="3"/>
  <c r="AX7" i="3"/>
  <c r="DJ31" i="3" s="1"/>
  <c r="DL7" i="3"/>
  <c r="DL6" i="3" s="1"/>
  <c r="AZ6" i="3" s="1"/>
  <c r="DX11" i="3"/>
  <c r="T13" i="3"/>
  <c r="CX75" i="3" s="1"/>
  <c r="DX13" i="3"/>
  <c r="DX12" i="3" s="1"/>
  <c r="CD12" i="3" s="1"/>
  <c r="DT14" i="3"/>
  <c r="DP16" i="3"/>
  <c r="DP15" i="3" s="1"/>
  <c r="BJ15" i="3" s="1"/>
  <c r="K17" i="3"/>
  <c r="DL17" i="3"/>
  <c r="EB19" i="3"/>
  <c r="EB18" i="3" s="1"/>
  <c r="CN18" i="3" s="1"/>
  <c r="K20" i="3"/>
  <c r="DT22" i="3"/>
  <c r="DT21" i="3" s="1"/>
  <c r="BT21" i="3" s="1"/>
  <c r="DN25" i="3"/>
  <c r="DN24" i="3" s="1"/>
  <c r="BE24" i="3" s="1"/>
  <c r="DF25" i="3"/>
  <c r="DF24" i="3" s="1"/>
  <c r="AK24" i="3" s="1"/>
  <c r="Y28" i="3"/>
  <c r="DX29" i="3"/>
  <c r="DF34" i="3"/>
  <c r="DL38" i="3"/>
  <c r="DP43" i="3"/>
  <c r="DV37" i="3"/>
  <c r="DP38" i="3"/>
  <c r="DR44" i="3"/>
  <c r="EB50" i="3"/>
  <c r="DF52" i="3"/>
  <c r="DR55" i="3"/>
  <c r="DR34" i="3"/>
  <c r="DR33" i="3" s="1"/>
  <c r="BO33" i="3" s="1"/>
  <c r="DN35" i="3"/>
  <c r="EB35" i="3"/>
  <c r="DD38" i="3"/>
  <c r="DH41" i="3"/>
  <c r="EC65" i="3"/>
  <c r="CZ55" i="3"/>
  <c r="P2" i="4"/>
  <c r="Z59" i="3"/>
  <c r="DV23" i="3"/>
  <c r="DV21" i="3" s="1"/>
  <c r="BY21" i="3" s="1"/>
  <c r="DD26" i="3"/>
  <c r="CV37" i="3"/>
  <c r="CV36" i="3" s="1"/>
  <c r="L36" i="3" s="1"/>
  <c r="DL40" i="3"/>
  <c r="DX40" i="3"/>
  <c r="K41" i="3"/>
  <c r="DX41" i="3"/>
  <c r="DH43" i="3"/>
  <c r="DV43" i="3"/>
  <c r="DV42" i="3" s="1"/>
  <c r="BY42" i="3" s="1"/>
  <c r="DD46" i="3"/>
  <c r="DR46" i="3"/>
  <c r="DN49" i="3"/>
  <c r="DZ52" i="3"/>
  <c r="DH53" i="3"/>
  <c r="AD55" i="3"/>
  <c r="Q2" i="4"/>
  <c r="AE76" i="3"/>
  <c r="AE44" i="3"/>
  <c r="AE50" i="3"/>
  <c r="AE32" i="3"/>
  <c r="AE47" i="3"/>
  <c r="AE20" i="3"/>
  <c r="DB112" i="3" s="1"/>
  <c r="DV26" i="3"/>
  <c r="DV24" i="3" s="1"/>
  <c r="BY24" i="3" s="1"/>
  <c r="AD28" i="3"/>
  <c r="DP29" i="3"/>
  <c r="DZ37" i="3"/>
  <c r="DT38" i="3"/>
  <c r="DZ40" i="3"/>
  <c r="DZ39" i="3" s="1"/>
  <c r="CI39" i="3" s="1"/>
  <c r="CV41" i="3"/>
  <c r="DL41" i="3"/>
  <c r="DZ41" i="3"/>
  <c r="DX43" i="3"/>
  <c r="DV46" i="3"/>
  <c r="CV47" i="3"/>
  <c r="DR75" i="3"/>
  <c r="DV34" i="3"/>
  <c r="DN37" i="3"/>
  <c r="DJ44" i="3"/>
  <c r="DX44" i="3"/>
  <c r="CV50" i="3"/>
  <c r="DR50" i="3"/>
  <c r="DN52" i="3"/>
  <c r="DX22" i="3"/>
  <c r="DX21" i="3" s="1"/>
  <c r="CD21" i="3" s="1"/>
  <c r="EB23" i="3"/>
  <c r="AE29" i="3"/>
  <c r="CV31" i="3"/>
  <c r="DV31" i="3"/>
  <c r="DF32" i="3"/>
  <c r="DF35" i="3"/>
  <c r="DV38" i="3"/>
  <c r="DD40" i="3"/>
  <c r="DD39" i="3" s="1"/>
  <c r="AF39" i="3" s="1"/>
  <c r="DN41" i="3"/>
  <c r="DZ43" i="3"/>
  <c r="DZ42" i="3" s="1"/>
  <c r="CI42" i="3" s="1"/>
  <c r="CV44" i="3"/>
  <c r="DL44" i="3"/>
  <c r="DL23" i="3"/>
  <c r="AD25" i="3"/>
  <c r="DZ26" i="3"/>
  <c r="DD29" i="3"/>
  <c r="DP37" i="3"/>
  <c r="DJ38" i="3"/>
  <c r="DX38" i="3"/>
  <c r="CV53" i="3"/>
  <c r="DD62" i="3"/>
  <c r="K32" i="3"/>
  <c r="K35" i="3"/>
  <c r="CT59" i="3" s="1"/>
  <c r="DV35" i="3"/>
  <c r="AE41" i="3"/>
  <c r="DP41" i="3"/>
  <c r="EB43" i="3"/>
  <c r="DN44" i="3"/>
  <c r="DD56" i="3"/>
  <c r="DV56" i="3"/>
  <c r="Y19" i="3"/>
  <c r="CZ22" i="3" s="1"/>
  <c r="DP23" i="3"/>
  <c r="DH28" i="3"/>
  <c r="DH27" i="3" s="1"/>
  <c r="AP27" i="3" s="1"/>
  <c r="DX28" i="3"/>
  <c r="DX27" i="3" s="1"/>
  <c r="CD27" i="3" s="1"/>
  <c r="DV32" i="3"/>
  <c r="DZ34" i="3"/>
  <c r="Z38" i="3"/>
  <c r="DT47" i="3"/>
  <c r="DF49" i="3"/>
  <c r="DP53" i="3"/>
  <c r="AE14" i="3"/>
  <c r="AE17" i="3"/>
  <c r="U26" i="3"/>
  <c r="CX29" i="3" s="1"/>
  <c r="CV32" i="3"/>
  <c r="DJ32" i="3"/>
  <c r="CV35" i="3"/>
  <c r="DJ35" i="3"/>
  <c r="DH40" i="3"/>
  <c r="DT40" i="3"/>
  <c r="DT39" i="3" s="1"/>
  <c r="BT39" i="3" s="1"/>
  <c r="DD43" i="3"/>
  <c r="DD42" i="3" s="1"/>
  <c r="AF42" i="3" s="1"/>
  <c r="DF50" i="3"/>
  <c r="DV52" i="3"/>
  <c r="DV51" i="3" s="1"/>
  <c r="BY51" i="3" s="1"/>
  <c r="DN55" i="3"/>
  <c r="DF56" i="3"/>
  <c r="AE23" i="3"/>
  <c r="DP26" i="3"/>
  <c r="DN31" i="3"/>
  <c r="EB31" i="3"/>
  <c r="EB30" i="3" s="1"/>
  <c r="CN30" i="3" s="1"/>
  <c r="DX32" i="3"/>
  <c r="DD34" i="3"/>
  <c r="DD33" i="3" s="1"/>
  <c r="AF33" i="3" s="1"/>
  <c r="DP34" i="3"/>
  <c r="DP33" i="3" s="1"/>
  <c r="BJ33" i="3" s="1"/>
  <c r="DL35" i="3"/>
  <c r="DZ35" i="3"/>
  <c r="DH47" i="3"/>
  <c r="DX47" i="3"/>
  <c r="CV55" i="3"/>
  <c r="DR61" i="3"/>
  <c r="EB47" i="3"/>
  <c r="EB49" i="3"/>
  <c r="DD50" i="3"/>
  <c r="DT52" i="3"/>
  <c r="DT51" i="3" s="1"/>
  <c r="BT51" i="3" s="1"/>
  <c r="DL55" i="3"/>
  <c r="DF58" i="3"/>
  <c r="DT58" i="3"/>
  <c r="CV75" i="3"/>
  <c r="CV74" i="3" s="1"/>
  <c r="L74" i="3" s="1"/>
  <c r="DN75" i="3"/>
  <c r="DF40" i="3"/>
  <c r="DF39" i="3" s="1"/>
  <c r="AK39" i="3" s="1"/>
  <c r="DR40" i="3"/>
  <c r="DR39" i="3" s="1"/>
  <c r="BO39" i="3" s="1"/>
  <c r="AD46" i="3"/>
  <c r="Z47" i="3"/>
  <c r="CZ82" i="3" s="1"/>
  <c r="DP47" i="3"/>
  <c r="DH50" i="3"/>
  <c r="U53" i="3"/>
  <c r="DP55" i="3"/>
  <c r="DH58" i="3"/>
  <c r="DH57" i="3" s="1"/>
  <c r="AP57" i="3" s="1"/>
  <c r="DX58" i="3"/>
  <c r="DN38" i="3"/>
  <c r="DZ38" i="3"/>
  <c r="EB44" i="3"/>
  <c r="AD49" i="3"/>
  <c r="DR53" i="3"/>
  <c r="DH56" i="3"/>
  <c r="DT59" i="3"/>
  <c r="DD61" i="3"/>
  <c r="DN90" i="3"/>
  <c r="DZ91" i="3"/>
  <c r="DF37" i="3"/>
  <c r="DF36" i="3" s="1"/>
  <c r="AK36" i="3" s="1"/>
  <c r="DR37" i="3"/>
  <c r="DP44" i="3"/>
  <c r="DT46" i="3"/>
  <c r="DT45" i="3" s="1"/>
  <c r="BT45" i="3" s="1"/>
  <c r="DD47" i="3"/>
  <c r="DJ52" i="3"/>
  <c r="DJ51" i="3" s="1"/>
  <c r="AU51" i="3" s="1"/>
  <c r="DD59" i="3"/>
  <c r="DV59" i="3"/>
  <c r="EB76" i="3"/>
  <c r="DV40" i="3"/>
  <c r="DV39" i="3" s="1"/>
  <c r="BY39" i="3" s="1"/>
  <c r="DH46" i="3"/>
  <c r="DH45" i="3" s="1"/>
  <c r="AP45" i="3" s="1"/>
  <c r="DF47" i="3"/>
  <c r="EB52" i="3"/>
  <c r="EB51" i="3" s="1"/>
  <c r="CN51" i="3" s="1"/>
  <c r="DD53" i="3"/>
  <c r="DJ56" i="3"/>
  <c r="DF59" i="3"/>
  <c r="DN76" i="3"/>
  <c r="DP82" i="3"/>
  <c r="DH88" i="3"/>
  <c r="DV47" i="3"/>
  <c r="DV49" i="3"/>
  <c r="K50" i="3"/>
  <c r="DP50" i="3"/>
  <c r="DF53" i="3"/>
  <c r="DH61" i="3"/>
  <c r="DV61" i="3"/>
  <c r="DZ62" i="3"/>
  <c r="DP76" i="3"/>
  <c r="DX53" i="3"/>
  <c r="DN56" i="3"/>
  <c r="DZ75" i="3"/>
  <c r="DF79" i="3"/>
  <c r="DZ79" i="3"/>
  <c r="DR85" i="3"/>
  <c r="DJ41" i="3"/>
  <c r="DV41" i="3"/>
  <c r="J46" i="3"/>
  <c r="DJ47" i="3"/>
  <c r="DH49" i="3"/>
  <c r="DX49" i="3"/>
  <c r="DX48" i="3" s="1"/>
  <c r="CD48" i="3" s="1"/>
  <c r="U50" i="3"/>
  <c r="DT50" i="3"/>
  <c r="CV52" i="3"/>
  <c r="DZ53" i="3"/>
  <c r="CV61" i="3"/>
  <c r="DF81" i="3"/>
  <c r="CV84" i="3"/>
  <c r="DN32" i="3"/>
  <c r="DZ32" i="3"/>
  <c r="DR43" i="3"/>
  <c r="DH44" i="3"/>
  <c r="DL46" i="3"/>
  <c r="DZ46" i="3"/>
  <c r="DZ45" i="3" s="1"/>
  <c r="CI45" i="3" s="1"/>
  <c r="J49" i="3"/>
  <c r="T52" i="3"/>
  <c r="DJ53" i="3"/>
  <c r="EB53" i="3"/>
  <c r="DH55" i="3"/>
  <c r="DH54" i="3" s="1"/>
  <c r="AP54" i="3" s="1"/>
  <c r="DZ55" i="3"/>
  <c r="DR56" i="3"/>
  <c r="DD58" i="3"/>
  <c r="DF78" i="3"/>
  <c r="DH81" i="3"/>
  <c r="DX84" i="3"/>
  <c r="DX83" i="3" s="1"/>
  <c r="CD83" i="3" s="1"/>
  <c r="DF31" i="3"/>
  <c r="DF30" i="3" s="1"/>
  <c r="AK30" i="3" s="1"/>
  <c r="DR31" i="3"/>
  <c r="DR30" i="3" s="1"/>
  <c r="BO30" i="3" s="1"/>
  <c r="DF43" i="3"/>
  <c r="DF42" i="3" s="1"/>
  <c r="AK42" i="3" s="1"/>
  <c r="DL47" i="3"/>
  <c r="CV49" i="3"/>
  <c r="DZ49" i="3"/>
  <c r="DZ48" i="3" s="1"/>
  <c r="CI48" i="3" s="1"/>
  <c r="DL53" i="3"/>
  <c r="DT56" i="3"/>
  <c r="CV59" i="3"/>
  <c r="EB59" i="3"/>
  <c r="DP62" i="3"/>
  <c r="CV79" i="3"/>
  <c r="DT87" i="3"/>
  <c r="DX56" i="3"/>
  <c r="DZ58" i="3"/>
  <c r="DZ57" i="3" s="1"/>
  <c r="CI57" i="3" s="1"/>
  <c r="DR62" i="3"/>
  <c r="DD76" i="3"/>
  <c r="DR76" i="3"/>
  <c r="DJ81" i="3"/>
  <c r="DL84" i="3"/>
  <c r="DD87" i="3"/>
  <c r="DD86" i="3" s="1"/>
  <c r="AF86" i="3" s="1"/>
  <c r="DD55" i="3"/>
  <c r="DD54" i="3" s="1"/>
  <c r="AF54" i="3" s="1"/>
  <c r="DT55" i="3"/>
  <c r="DT54" i="3" s="1"/>
  <c r="BT54" i="3" s="1"/>
  <c r="CV58" i="3"/>
  <c r="DL81" i="3"/>
  <c r="DL80" i="3" s="1"/>
  <c r="AZ80" i="3" s="1"/>
  <c r="DD82" i="3"/>
  <c r="DD49" i="3"/>
  <c r="CV56" i="3"/>
  <c r="CX58" i="3"/>
  <c r="EB58" i="3"/>
  <c r="DJ59" i="3"/>
  <c r="DX59" i="3"/>
  <c r="DZ61" i="3"/>
  <c r="DZ60" i="3" s="1"/>
  <c r="CI60" i="3" s="1"/>
  <c r="DT62" i="3"/>
  <c r="DJ79" i="3"/>
  <c r="DN81" i="3"/>
  <c r="DF82" i="3"/>
  <c r="EB84" i="3"/>
  <c r="DB88" i="3"/>
  <c r="DX46" i="3"/>
  <c r="DX45" i="3" s="1"/>
  <c r="CD45" i="3" s="1"/>
  <c r="DD52" i="3"/>
  <c r="DD51" i="3" s="1"/>
  <c r="AF51" i="3" s="1"/>
  <c r="DR52" i="3"/>
  <c r="Y58" i="3"/>
  <c r="CZ87" i="3" s="1"/>
  <c r="DH82" i="3"/>
  <c r="DZ85" i="3"/>
  <c r="DX55" i="3"/>
  <c r="DP58" i="3"/>
  <c r="DP57" i="3" s="1"/>
  <c r="BJ57" i="3" s="1"/>
  <c r="DL59" i="3"/>
  <c r="DN61" i="3"/>
  <c r="DN60" i="3" s="1"/>
  <c r="BE60" i="3" s="1"/>
  <c r="CT62" i="3"/>
  <c r="DH62" i="3"/>
  <c r="DX62" i="3"/>
  <c r="DT75" i="3"/>
  <c r="DT74" i="3" s="1"/>
  <c r="BT74" i="3" s="1"/>
  <c r="DV76" i="3"/>
  <c r="AF69" i="1" s="1"/>
  <c r="DL78" i="3"/>
  <c r="DN79" i="3"/>
  <c r="DP84" i="3"/>
  <c r="DD88" i="3"/>
  <c r="CZ91" i="3"/>
  <c r="DB58" i="3"/>
  <c r="DP61" i="3"/>
  <c r="CZ78" i="3"/>
  <c r="DZ78" i="3"/>
  <c r="DT81" i="3"/>
  <c r="DT80" i="3" s="1"/>
  <c r="BT80" i="3" s="1"/>
  <c r="DD84" i="3"/>
  <c r="DH85" i="3"/>
  <c r="DR88" i="3"/>
  <c r="DF75" i="3"/>
  <c r="DJ76" i="3"/>
  <c r="DV81" i="3"/>
  <c r="DV80" i="3" s="1"/>
  <c r="BY80" i="3" s="1"/>
  <c r="DF88" i="3"/>
  <c r="DT88" i="3"/>
  <c r="DX90" i="3"/>
  <c r="DN96" i="3"/>
  <c r="DN95" i="3" s="1"/>
  <c r="BE95" i="3" s="1"/>
  <c r="T55" i="3"/>
  <c r="EB62" i="3"/>
  <c r="DH75" i="3"/>
  <c r="DH74" i="3" s="1"/>
  <c r="AP74" i="3" s="1"/>
  <c r="DX75" i="3"/>
  <c r="DX74" i="3" s="1"/>
  <c r="CD74" i="3" s="1"/>
  <c r="DR79" i="3"/>
  <c r="DB81" i="3"/>
  <c r="EB82" i="3"/>
  <c r="DF91" i="3"/>
  <c r="DJ50" i="3"/>
  <c r="DX52" i="3"/>
  <c r="DN53" i="3"/>
  <c r="EB55" i="3"/>
  <c r="EB54" i="3" s="1"/>
  <c r="CN54" i="3" s="1"/>
  <c r="DF61" i="3"/>
  <c r="DL76" i="3"/>
  <c r="DX81" i="3"/>
  <c r="DP87" i="3"/>
  <c r="DP86" i="3" s="1"/>
  <c r="BJ86" i="3" s="1"/>
  <c r="DZ90" i="3"/>
  <c r="DZ89" i="3" s="1"/>
  <c r="CI89" i="3" s="1"/>
  <c r="DJ97" i="3"/>
  <c r="DL50" i="3"/>
  <c r="DT61" i="3"/>
  <c r="DT60" i="3" s="1"/>
  <c r="BT60" i="3" s="1"/>
  <c r="DD78" i="3"/>
  <c r="DD79" i="3"/>
  <c r="DV79" i="3"/>
  <c r="DD81" i="3"/>
  <c r="DD80" i="3" s="1"/>
  <c r="AF80" i="3" s="1"/>
  <c r="DZ81" i="3"/>
  <c r="CV85" i="3"/>
  <c r="DL90" i="3"/>
  <c r="CT97" i="3"/>
  <c r="DV103" i="3"/>
  <c r="DX93" i="3"/>
  <c r="DL96" i="3"/>
  <c r="DZ96" i="3"/>
  <c r="DZ95" i="3" s="1"/>
  <c r="CI95" i="3" s="1"/>
  <c r="DH103" i="3"/>
  <c r="DX103" i="3"/>
  <c r="DZ103" i="3"/>
  <c r="DZ76" i="3"/>
  <c r="DN78" i="3"/>
  <c r="DN77" i="3" s="1"/>
  <c r="BE77" i="3" s="1"/>
  <c r="EB81" i="3"/>
  <c r="CV82" i="3"/>
  <c r="DJ82" i="3"/>
  <c r="DX82" i="3"/>
  <c r="DL85" i="3"/>
  <c r="DR87" i="3"/>
  <c r="DR86" i="3" s="1"/>
  <c r="BO86" i="3" s="1"/>
  <c r="DV88" i="3"/>
  <c r="CZ90" i="3"/>
  <c r="DX91" i="3"/>
  <c r="CV99" i="3"/>
  <c r="DP102" i="3"/>
  <c r="DP101" i="3" s="1"/>
  <c r="BJ101" i="3" s="1"/>
  <c r="DJ111" i="3"/>
  <c r="DX111" i="3"/>
  <c r="DD94" i="3"/>
  <c r="DT94" i="3"/>
  <c r="DH97" i="3"/>
  <c r="DV97" i="3"/>
  <c r="CX99" i="3"/>
  <c r="DR102" i="3"/>
  <c r="EB103" i="3"/>
  <c r="DL108" i="3"/>
  <c r="DL107" i="3" s="1"/>
  <c r="AZ107" i="3" s="1"/>
  <c r="DL79" i="3"/>
  <c r="CX85" i="3"/>
  <c r="DV87" i="3"/>
  <c r="DV86" i="3" s="1"/>
  <c r="BY86" i="3" s="1"/>
  <c r="DJ88" i="3"/>
  <c r="DN93" i="3"/>
  <c r="DN92" i="3" s="1"/>
  <c r="BE92" i="3" s="1"/>
  <c r="DF94" i="3"/>
  <c r="DV94" i="3"/>
  <c r="DX97" i="3"/>
  <c r="DD100" i="3"/>
  <c r="DT100" i="3"/>
  <c r="CV88" i="3"/>
  <c r="DZ88" i="3"/>
  <c r="DR90" i="3"/>
  <c r="DL91" i="3"/>
  <c r="DL56" i="3"/>
  <c r="DJ62" i="3"/>
  <c r="DR78" i="3"/>
  <c r="DP81" i="3"/>
  <c r="DN82" i="3"/>
  <c r="DR84" i="3"/>
  <c r="DZ87" i="3"/>
  <c r="DZ86" i="3" s="1"/>
  <c r="CI86" i="3" s="1"/>
  <c r="DV102" i="3"/>
  <c r="DV101" i="3" s="1"/>
  <c r="BY101" i="3" s="1"/>
  <c r="CZ103" i="3"/>
  <c r="CV62" i="3"/>
  <c r="EB75" i="3"/>
  <c r="EB74" i="3" s="1"/>
  <c r="CN74" i="3" s="1"/>
  <c r="DF76" i="3"/>
  <c r="DT78" i="3"/>
  <c r="DP79" i="3"/>
  <c r="CV81" i="3"/>
  <c r="CV80" i="3" s="1"/>
  <c r="L80" i="3" s="1"/>
  <c r="DF84" i="3"/>
  <c r="DF83" i="3" s="1"/>
  <c r="AK83" i="3" s="1"/>
  <c r="DT85" i="3"/>
  <c r="DR93" i="3"/>
  <c r="DZ94" i="3"/>
  <c r="EB97" i="3"/>
  <c r="DJ105" i="3"/>
  <c r="DH78" i="3"/>
  <c r="DD85" i="3"/>
  <c r="DV85" i="3"/>
  <c r="CV91" i="3"/>
  <c r="DP91" i="3"/>
  <c r="DT93" i="3"/>
  <c r="DH96" i="3"/>
  <c r="DL105" i="3"/>
  <c r="DL104" i="3" s="1"/>
  <c r="AZ104" i="3" s="1"/>
  <c r="AE56" i="3"/>
  <c r="DR58" i="3"/>
  <c r="DR57" i="3" s="1"/>
  <c r="BO57" i="3" s="1"/>
  <c r="DR91" i="3"/>
  <c r="CV96" i="3"/>
  <c r="DV99" i="3"/>
  <c r="DV98" i="3" s="1"/>
  <c r="BY98" i="3" s="1"/>
  <c r="DJ91" i="3"/>
  <c r="DH94" i="3"/>
  <c r="DX96" i="3"/>
  <c r="CV97" i="3"/>
  <c r="DF102" i="3"/>
  <c r="DF101" i="3" s="1"/>
  <c r="AK101" i="3" s="1"/>
  <c r="DH79" i="3"/>
  <c r="EB91" i="3"/>
  <c r="DZ93" i="3"/>
  <c r="CV94" i="3"/>
  <c r="CZ96" i="3"/>
  <c r="DR99" i="3"/>
  <c r="DR98" i="3" s="1"/>
  <c r="BO98" i="3" s="1"/>
  <c r="DH102" i="3"/>
  <c r="DN103" i="3"/>
  <c r="DX79" i="3"/>
  <c r="DN91" i="3"/>
  <c r="EB93" i="3"/>
  <c r="DD99" i="3"/>
  <c r="DT99" i="3"/>
  <c r="DF100" i="3"/>
  <c r="CX84" i="3"/>
  <c r="DV84" i="3"/>
  <c r="DV83" i="3" s="1"/>
  <c r="BY83" i="3" s="1"/>
  <c r="DH87" i="3"/>
  <c r="DH86" i="3" s="1"/>
  <c r="AP86" i="3" s="1"/>
  <c r="DX87" i="3"/>
  <c r="DX86" i="3" s="1"/>
  <c r="CD86" i="3" s="1"/>
  <c r="DF90" i="3"/>
  <c r="DF89" i="3" s="1"/>
  <c r="AK89" i="3" s="1"/>
  <c r="DP96" i="3"/>
  <c r="DP95" i="3" s="1"/>
  <c r="BJ95" i="3" s="1"/>
  <c r="DZ102" i="3"/>
  <c r="DP103" i="3"/>
  <c r="DP105" i="3"/>
  <c r="DP104" i="3" s="1"/>
  <c r="BJ104" i="3" s="1"/>
  <c r="EB85" i="3"/>
  <c r="DT90" i="3"/>
  <c r="DT89" i="3" s="1"/>
  <c r="BT89" i="3" s="1"/>
  <c r="CV93" i="3"/>
  <c r="EB94" i="3"/>
  <c r="DD96" i="3"/>
  <c r="DX100" i="3"/>
  <c r="CX102" i="3"/>
  <c r="DN88" i="3"/>
  <c r="DV90" i="3"/>
  <c r="DV89" i="3" s="1"/>
  <c r="BY89" i="3" s="1"/>
  <c r="DR97" i="3"/>
  <c r="DH99" i="3"/>
  <c r="DH98" i="3" s="1"/>
  <c r="AP98" i="3" s="1"/>
  <c r="DX99" i="3"/>
  <c r="CV100" i="3"/>
  <c r="DJ100" i="3"/>
  <c r="EB102" i="3"/>
  <c r="EB101" i="3" s="1"/>
  <c r="CN101" i="3" s="1"/>
  <c r="DR105" i="3"/>
  <c r="DN112" i="3"/>
  <c r="DL87" i="3"/>
  <c r="DL86" i="3" s="1"/>
  <c r="AZ86" i="3" s="1"/>
  <c r="DP94" i="3"/>
  <c r="DD97" i="3"/>
  <c r="DJ99" i="3"/>
  <c r="DL100" i="3"/>
  <c r="DZ100" i="3"/>
  <c r="CV106" i="3"/>
  <c r="DP75" i="3"/>
  <c r="DP74" i="3" s="1"/>
  <c r="BJ74" i="3" s="1"/>
  <c r="DZ82" i="3"/>
  <c r="DP85" i="3"/>
  <c r="DN87" i="3"/>
  <c r="CX90" i="3"/>
  <c r="DD91" i="3"/>
  <c r="DT91" i="3"/>
  <c r="CZ93" i="3"/>
  <c r="DR94" i="3"/>
  <c r="DT96" i="3"/>
  <c r="DT95" i="3" s="1"/>
  <c r="BT95" i="3" s="1"/>
  <c r="DF97" i="3"/>
  <c r="DZ99" i="3"/>
  <c r="DZ98" i="3" s="1"/>
  <c r="CI98" i="3" s="1"/>
  <c r="EB100" i="3"/>
  <c r="EB99" i="3"/>
  <c r="DL103" i="3"/>
  <c r="DF108" i="3"/>
  <c r="DZ108" i="3"/>
  <c r="DZ107" i="3" s="1"/>
  <c r="CI107" i="3" s="1"/>
  <c r="CV111" i="3"/>
  <c r="DJ114" i="3"/>
  <c r="DJ113" i="3" s="1"/>
  <c r="AU113" i="3" s="1"/>
  <c r="DR115" i="3"/>
  <c r="DR106" i="3"/>
  <c r="DD109" i="3"/>
  <c r="DN114" i="3"/>
  <c r="DF115" i="3"/>
  <c r="DD106" i="3"/>
  <c r="DT106" i="3"/>
  <c r="DF109" i="3"/>
  <c r="CZ111" i="3"/>
  <c r="DN111" i="3"/>
  <c r="DN110" i="3" s="1"/>
  <c r="BE110" i="3" s="1"/>
  <c r="CX114" i="3"/>
  <c r="DP114" i="3"/>
  <c r="DP93" i="3"/>
  <c r="DP100" i="3"/>
  <c r="DD103" i="3"/>
  <c r="DR103" i="3"/>
  <c r="DF105" i="3"/>
  <c r="DF104" i="3" s="1"/>
  <c r="AK104" i="3" s="1"/>
  <c r="DT105" i="3"/>
  <c r="DV106" i="3"/>
  <c r="DN108" i="3"/>
  <c r="DN107" i="3" s="1"/>
  <c r="BE107" i="3" s="1"/>
  <c r="CZ114" i="3"/>
  <c r="DN102" i="3"/>
  <c r="DV105" i="3"/>
  <c r="DV109" i="3"/>
  <c r="DP111" i="3"/>
  <c r="EB96" i="3"/>
  <c r="DT103" i="3"/>
  <c r="DH106" i="3"/>
  <c r="DX106" i="3"/>
  <c r="DR108" i="3"/>
  <c r="DH112" i="3"/>
  <c r="DZ112" i="3"/>
  <c r="DX105" i="3"/>
  <c r="DJ106" i="3"/>
  <c r="DZ106" i="3"/>
  <c r="DT108" i="3"/>
  <c r="DT107" i="3" s="1"/>
  <c r="BT107" i="3" s="1"/>
  <c r="DJ109" i="3"/>
  <c r="DR111" i="3"/>
  <c r="EB112" i="3"/>
  <c r="CT96" i="3"/>
  <c r="DR96" i="3"/>
  <c r="CV105" i="3"/>
  <c r="CV104" i="3" s="1"/>
  <c r="L104" i="3" s="1"/>
  <c r="DZ105" i="3"/>
  <c r="DV108" i="3"/>
  <c r="DT111" i="3"/>
  <c r="DJ112" i="3"/>
  <c r="DX114" i="3"/>
  <c r="DF99" i="3"/>
  <c r="DF98" i="3" s="1"/>
  <c r="AK98" i="3" s="1"/>
  <c r="CX105" i="3"/>
  <c r="DD108" i="3"/>
  <c r="DX108" i="3"/>
  <c r="CV103" i="3"/>
  <c r="DN105" i="3"/>
  <c r="DN104" i="3" s="1"/>
  <c r="BE104" i="3" s="1"/>
  <c r="EB109" i="3"/>
  <c r="DH111" i="3"/>
  <c r="DH110" i="3" s="1"/>
  <c r="AP110" i="3" s="1"/>
  <c r="DV111" i="3"/>
  <c r="DV110" i="3" s="1"/>
  <c r="BY110" i="3" s="1"/>
  <c r="CV112" i="3"/>
  <c r="DL112" i="3"/>
  <c r="CV114" i="3"/>
  <c r="DD115" i="3"/>
  <c r="DT115" i="3"/>
  <c r="DX109" i="3"/>
  <c r="DF111" i="3"/>
  <c r="DF110" i="3" s="1"/>
  <c r="AK110" i="3" s="1"/>
  <c r="DP112" i="3"/>
  <c r="DR114" i="3"/>
  <c r="DR113" i="3" s="1"/>
  <c r="BO113" i="3" s="1"/>
  <c r="DV115" i="3"/>
  <c r="AN4" i="13"/>
  <c r="AM4" i="13"/>
  <c r="Y26" i="7"/>
  <c r="I17" i="10"/>
  <c r="EB106" i="3"/>
  <c r="DR112" i="3"/>
  <c r="DT114" i="3"/>
  <c r="DJ115" i="3"/>
  <c r="DX115" i="3"/>
  <c r="EB108" i="3"/>
  <c r="DT112" i="3"/>
  <c r="DD114" i="3"/>
  <c r="DV114" i="3"/>
  <c r="DV113" i="3" s="1"/>
  <c r="BY113" i="3" s="1"/>
  <c r="CV115" i="3"/>
  <c r="V15" i="8"/>
  <c r="DP109" i="3"/>
  <c r="DF114" i="3"/>
  <c r="DL115" i="3"/>
  <c r="DZ115" i="3"/>
  <c r="DV112" i="3"/>
  <c r="DP108" i="3"/>
  <c r="DR109" i="3"/>
  <c r="DL111" i="3"/>
  <c r="DZ111" i="3"/>
  <c r="DZ110" i="3" s="1"/>
  <c r="CI110" i="3" s="1"/>
  <c r="DX112" i="3"/>
  <c r="DH114" i="3"/>
  <c r="DN115" i="3"/>
  <c r="EB115" i="3"/>
  <c r="BT23" i="6"/>
  <c r="R26" i="7"/>
  <c r="EB114" i="3"/>
  <c r="S26" i="7"/>
  <c r="DL114" i="3"/>
  <c r="DL113" i="3" s="1"/>
  <c r="AZ113" i="3" s="1"/>
  <c r="DP115" i="3"/>
  <c r="BJ23" i="6"/>
  <c r="BV23" i="6"/>
  <c r="DR107" i="3" l="1"/>
  <c r="BO107" i="3" s="1"/>
  <c r="DT104" i="3"/>
  <c r="BT104" i="3" s="1"/>
  <c r="DD98" i="3"/>
  <c r="AF98" i="3" s="1"/>
  <c r="DT92" i="3"/>
  <c r="BT92" i="3" s="1"/>
  <c r="EB48" i="3"/>
  <c r="CN48" i="3" s="1"/>
  <c r="DL110" i="3"/>
  <c r="AZ110" i="3" s="1"/>
  <c r="EB80" i="3"/>
  <c r="CN80" i="3" s="1"/>
  <c r="DJ30" i="3"/>
  <c r="AU30" i="3" s="1"/>
  <c r="DX24" i="3"/>
  <c r="CD24" i="3" s="1"/>
  <c r="DZ15" i="3"/>
  <c r="CI15" i="3" s="1"/>
  <c r="EB107" i="3"/>
  <c r="CN107" i="3" s="1"/>
  <c r="DT77" i="3"/>
  <c r="BT77" i="3" s="1"/>
  <c r="DJ110" i="3"/>
  <c r="AU110" i="3" s="1"/>
  <c r="DF60" i="3"/>
  <c r="AK60" i="3" s="1"/>
  <c r="DD48" i="3"/>
  <c r="AF48" i="3" s="1"/>
  <c r="DL36" i="3"/>
  <c r="AZ36" i="3" s="1"/>
  <c r="DP107" i="3"/>
  <c r="BJ107" i="3" s="1"/>
  <c r="DD107" i="3"/>
  <c r="AF107" i="3" s="1"/>
  <c r="DR110" i="3"/>
  <c r="BO110" i="3" s="1"/>
  <c r="DJ98" i="3"/>
  <c r="AU98" i="3" s="1"/>
  <c r="DR89" i="3"/>
  <c r="BO89" i="3" s="1"/>
  <c r="CV98" i="3"/>
  <c r="L98" i="3" s="1"/>
  <c r="DX89" i="3"/>
  <c r="CD89" i="3" s="1"/>
  <c r="DP36" i="3"/>
  <c r="BJ36" i="3" s="1"/>
  <c r="DV33" i="3"/>
  <c r="BY33" i="3" s="1"/>
  <c r="DR27" i="3"/>
  <c r="BO27" i="3" s="1"/>
  <c r="DR18" i="3"/>
  <c r="BO18" i="3" s="1"/>
  <c r="DP110" i="3"/>
  <c r="BJ110" i="3" s="1"/>
  <c r="DL45" i="3"/>
  <c r="AZ45" i="3" s="1"/>
  <c r="DV30" i="3"/>
  <c r="BY30" i="3" s="1"/>
  <c r="DR45" i="3"/>
  <c r="BO45" i="3" s="1"/>
  <c r="DF6" i="3"/>
  <c r="AK6" i="3" s="1"/>
  <c r="EB113" i="3"/>
  <c r="CN113" i="3" s="1"/>
  <c r="DP113" i="3"/>
  <c r="BJ113" i="3" s="1"/>
  <c r="DJ104" i="3"/>
  <c r="AU104" i="3" s="1"/>
  <c r="DH80" i="3"/>
  <c r="AP80" i="3" s="1"/>
  <c r="CV30" i="3"/>
  <c r="L30" i="3" s="1"/>
  <c r="DD45" i="3"/>
  <c r="AF45" i="3" s="1"/>
  <c r="DP30" i="3"/>
  <c r="BJ30" i="3" s="1"/>
  <c r="EB9" i="3"/>
  <c r="CN9" i="3" s="1"/>
  <c r="DR9" i="3"/>
  <c r="BO9" i="3" s="1"/>
  <c r="DF113" i="3"/>
  <c r="AK113" i="3" s="1"/>
  <c r="CV113" i="3"/>
  <c r="L113" i="3" s="1"/>
  <c r="DX113" i="3"/>
  <c r="CD113" i="3" s="1"/>
  <c r="CV110" i="3"/>
  <c r="L110" i="3" s="1"/>
  <c r="DX54" i="3"/>
  <c r="CD54" i="3" s="1"/>
  <c r="DV60" i="3"/>
  <c r="BY60" i="3" s="1"/>
  <c r="DT57" i="3"/>
  <c r="BT57" i="3" s="1"/>
  <c r="DV45" i="3"/>
  <c r="BY45" i="3" s="1"/>
  <c r="DX9" i="3"/>
  <c r="CD9" i="3" s="1"/>
  <c r="DD36" i="3"/>
  <c r="AF36" i="3" s="1"/>
  <c r="DP18" i="3"/>
  <c r="BJ18" i="3" s="1"/>
  <c r="DT12" i="3"/>
  <c r="BT12" i="3" s="1"/>
  <c r="DL92" i="3"/>
  <c r="AZ92" i="3" s="1"/>
  <c r="DR104" i="3"/>
  <c r="BO104" i="3" s="1"/>
  <c r="DZ92" i="3"/>
  <c r="CI92" i="3" s="1"/>
  <c r="DR83" i="3"/>
  <c r="BO83" i="3" s="1"/>
  <c r="DX92" i="3"/>
  <c r="CD92" i="3" s="1"/>
  <c r="DF74" i="3"/>
  <c r="AK74" i="3" s="1"/>
  <c r="DL83" i="3"/>
  <c r="AZ83" i="3" s="1"/>
  <c r="DH39" i="3"/>
  <c r="AP39" i="3" s="1"/>
  <c r="DZ33" i="3"/>
  <c r="CI33" i="3" s="1"/>
  <c r="DH18" i="3"/>
  <c r="AP18" i="3" s="1"/>
  <c r="CV6" i="3"/>
  <c r="L6" i="3" s="1"/>
  <c r="T69" i="1"/>
  <c r="DH113" i="3"/>
  <c r="AP113" i="3" s="1"/>
  <c r="DV107" i="3"/>
  <c r="BY107" i="3" s="1"/>
  <c r="DJ80" i="3"/>
  <c r="AU80" i="3" s="1"/>
  <c r="CV83" i="3"/>
  <c r="L83" i="3" s="1"/>
  <c r="DP9" i="3"/>
  <c r="BJ9" i="3" s="1"/>
  <c r="DX36" i="3"/>
  <c r="CD36" i="3" s="1"/>
  <c r="DD18" i="3"/>
  <c r="AF18" i="3" s="1"/>
  <c r="CT57" i="3"/>
  <c r="DB26" i="3"/>
  <c r="DB8" i="3"/>
  <c r="O29" i="4"/>
  <c r="O27" i="4"/>
  <c r="O25" i="4"/>
  <c r="O23" i="4"/>
  <c r="O21" i="4"/>
  <c r="O19" i="4"/>
  <c r="O17" i="4"/>
  <c r="O15" i="4"/>
  <c r="O13" i="4"/>
  <c r="O11" i="4"/>
  <c r="O9" i="4"/>
  <c r="O7" i="4"/>
  <c r="O5" i="4"/>
  <c r="O3" i="4"/>
  <c r="O30" i="4"/>
  <c r="O28" i="4"/>
  <c r="O26" i="4"/>
  <c r="O24" i="4"/>
  <c r="O22" i="4"/>
  <c r="O20" i="4"/>
  <c r="O18" i="4"/>
  <c r="O16" i="4"/>
  <c r="O14" i="4"/>
  <c r="O12" i="4"/>
  <c r="O10" i="4"/>
  <c r="O8" i="4"/>
  <c r="O6" i="4"/>
  <c r="O4" i="4"/>
  <c r="F30" i="4"/>
  <c r="F28" i="4"/>
  <c r="F26" i="4"/>
  <c r="F24" i="4"/>
  <c r="F22" i="4"/>
  <c r="F20" i="4"/>
  <c r="F18" i="4"/>
  <c r="DB32" i="3" s="1"/>
  <c r="F16" i="4"/>
  <c r="DB23" i="3" s="1"/>
  <c r="F14" i="4"/>
  <c r="F12" i="4"/>
  <c r="DB47" i="3" s="1"/>
  <c r="F10" i="4"/>
  <c r="F8" i="4"/>
  <c r="F6" i="4"/>
  <c r="F4" i="4"/>
  <c r="F29" i="4"/>
  <c r="F25" i="4"/>
  <c r="F21" i="4"/>
  <c r="F17" i="4"/>
  <c r="DB49" i="3" s="1"/>
  <c r="DB48" i="3" s="1"/>
  <c r="AA48" i="3" s="1"/>
  <c r="F13" i="4"/>
  <c r="F9" i="4"/>
  <c r="DB29" i="3" s="1"/>
  <c r="F5" i="4"/>
  <c r="F27" i="4"/>
  <c r="F23" i="4"/>
  <c r="F19" i="4"/>
  <c r="F15" i="4"/>
  <c r="F11" i="4"/>
  <c r="F7" i="4"/>
  <c r="DB10" i="3" s="1"/>
  <c r="F3" i="4"/>
  <c r="DF45" i="3"/>
  <c r="AK45" i="3" s="1"/>
  <c r="DX33" i="3"/>
  <c r="CD33" i="3" s="1"/>
  <c r="R69" i="1"/>
  <c r="CT114" i="3"/>
  <c r="DL33" i="3"/>
  <c r="AZ33" i="3" s="1"/>
  <c r="DX95" i="3"/>
  <c r="CD95" i="3" s="1"/>
  <c r="DX80" i="3"/>
  <c r="CD80" i="3" s="1"/>
  <c r="CZ84" i="3"/>
  <c r="AB69" i="1"/>
  <c r="DF77" i="3"/>
  <c r="AK77" i="3" s="1"/>
  <c r="DH48" i="3"/>
  <c r="AP48" i="3" s="1"/>
  <c r="Z69" i="1"/>
  <c r="EB42" i="3"/>
  <c r="CN42" i="3" s="1"/>
  <c r="DN51" i="3"/>
  <c r="BE51" i="3" s="1"/>
  <c r="DX42" i="3"/>
  <c r="CD42" i="3" s="1"/>
  <c r="DL51" i="3"/>
  <c r="AZ51" i="3" s="1"/>
  <c r="DP27" i="3"/>
  <c r="BJ27" i="3" s="1"/>
  <c r="CV86" i="3"/>
  <c r="L86" i="3" s="1"/>
  <c r="DP49" i="3"/>
  <c r="DP48" i="3" s="1"/>
  <c r="BJ48" i="3" s="1"/>
  <c r="CX19" i="3"/>
  <c r="CX20" i="3"/>
  <c r="DX77" i="3"/>
  <c r="CD77" i="3" s="1"/>
  <c r="DR22" i="3"/>
  <c r="DR21" i="3" s="1"/>
  <c r="BO21" i="3" s="1"/>
  <c r="DP13" i="3"/>
  <c r="DP12" i="3" s="1"/>
  <c r="BJ12" i="3" s="1"/>
  <c r="CT102" i="3"/>
  <c r="DJ108" i="3"/>
  <c r="DJ107" i="3" s="1"/>
  <c r="AU107" i="3" s="1"/>
  <c r="DJ96" i="3"/>
  <c r="DJ95" i="3" s="1"/>
  <c r="AU95" i="3" s="1"/>
  <c r="DJ90" i="3"/>
  <c r="DJ89" i="3" s="1"/>
  <c r="AU89" i="3" s="1"/>
  <c r="DJ61" i="3"/>
  <c r="DJ60" i="3" s="1"/>
  <c r="AU60" i="3" s="1"/>
  <c r="DJ58" i="3"/>
  <c r="DJ57" i="3" s="1"/>
  <c r="AU57" i="3" s="1"/>
  <c r="DJ75" i="3"/>
  <c r="DJ74" i="3" s="1"/>
  <c r="AU74" i="3" s="1"/>
  <c r="DJ7" i="3"/>
  <c r="DJ6" i="3" s="1"/>
  <c r="AU6" i="3" s="1"/>
  <c r="CT115" i="3"/>
  <c r="CT108" i="3"/>
  <c r="CX112" i="3"/>
  <c r="CT105" i="3"/>
  <c r="DF107" i="3"/>
  <c r="AK107" i="3" s="1"/>
  <c r="CZ105" i="3"/>
  <c r="DJ84" i="3"/>
  <c r="DJ83" i="3" s="1"/>
  <c r="AU83" i="3" s="1"/>
  <c r="DH101" i="3"/>
  <c r="AP101" i="3" s="1"/>
  <c r="DH95" i="3"/>
  <c r="AP95" i="3" s="1"/>
  <c r="CX88" i="3"/>
  <c r="AJ69" i="1"/>
  <c r="DZ80" i="3"/>
  <c r="CI80" i="3" s="1"/>
  <c r="V69" i="1"/>
  <c r="CT87" i="3"/>
  <c r="DP83" i="3"/>
  <c r="BJ83" i="3" s="1"/>
  <c r="N69" i="1"/>
  <c r="DJ55" i="3"/>
  <c r="DJ54" i="3" s="1"/>
  <c r="AU54" i="3" s="1"/>
  <c r="DD57" i="3"/>
  <c r="AF57" i="3" s="1"/>
  <c r="DR42" i="3"/>
  <c r="BO42" i="3" s="1"/>
  <c r="DJ43" i="3"/>
  <c r="DJ42" i="3" s="1"/>
  <c r="AU42" i="3" s="1"/>
  <c r="DB50" i="3"/>
  <c r="DH42" i="3"/>
  <c r="AP42" i="3" s="1"/>
  <c r="DV36" i="3"/>
  <c r="BY36" i="3" s="1"/>
  <c r="DL42" i="3"/>
  <c r="AZ42" i="3" s="1"/>
  <c r="CX28" i="3"/>
  <c r="CX27" i="3" s="1"/>
  <c r="Q27" i="3" s="1"/>
  <c r="DV54" i="3"/>
  <c r="BY54" i="3" s="1"/>
  <c r="CV89" i="3"/>
  <c r="L89" i="3" s="1"/>
  <c r="DB35" i="3"/>
  <c r="DB79" i="3"/>
  <c r="DB77" i="3" s="1"/>
  <c r="AA77" i="3" s="1"/>
  <c r="AH69" i="1"/>
  <c r="DD93" i="3"/>
  <c r="DD92" i="3" s="1"/>
  <c r="AF92" i="3" s="1"/>
  <c r="DX101" i="3"/>
  <c r="CD101" i="3" s="1"/>
  <c r="CX16" i="3"/>
  <c r="DJ16" i="3"/>
  <c r="DJ15" i="3" s="1"/>
  <c r="AU15" i="3" s="1"/>
  <c r="DT10" i="3"/>
  <c r="DT9" i="3" s="1"/>
  <c r="BT9" i="3" s="1"/>
  <c r="DJ22" i="3"/>
  <c r="DJ21" i="3" s="1"/>
  <c r="AU21" i="3" s="1"/>
  <c r="CT95" i="3"/>
  <c r="DB75" i="3"/>
  <c r="DB56" i="3"/>
  <c r="DF48" i="3"/>
  <c r="AK48" i="3" s="1"/>
  <c r="CZ76" i="3"/>
  <c r="CT111" i="3"/>
  <c r="CT82" i="3"/>
  <c r="DB44" i="3"/>
  <c r="CX35" i="3"/>
  <c r="CZ26" i="3"/>
  <c r="DV74" i="3"/>
  <c r="BY74" i="3" s="1"/>
  <c r="CV101" i="3"/>
  <c r="L101" i="3" s="1"/>
  <c r="DX18" i="3"/>
  <c r="CD18" i="3" s="1"/>
  <c r="DB59" i="3"/>
  <c r="DB57" i="3" s="1"/>
  <c r="AA57" i="3" s="1"/>
  <c r="EB111" i="3"/>
  <c r="EB110" i="3" s="1"/>
  <c r="CN110" i="3" s="1"/>
  <c r="EB105" i="3"/>
  <c r="EB104" i="3" s="1"/>
  <c r="CN104" i="3" s="1"/>
  <c r="EB87" i="3"/>
  <c r="EB86" i="3" s="1"/>
  <c r="CN86" i="3" s="1"/>
  <c r="EB90" i="3"/>
  <c r="EB89" i="3" s="1"/>
  <c r="CN89" i="3" s="1"/>
  <c r="EB78" i="3"/>
  <c r="EB77" i="3" s="1"/>
  <c r="CN77" i="3" s="1"/>
  <c r="EB46" i="3"/>
  <c r="EB45" i="3" s="1"/>
  <c r="CN45" i="3" s="1"/>
  <c r="EB61" i="3"/>
  <c r="EB60" i="3" s="1"/>
  <c r="CN60" i="3" s="1"/>
  <c r="EB40" i="3"/>
  <c r="EB39" i="3" s="1"/>
  <c r="CN39" i="3" s="1"/>
  <c r="EB34" i="3"/>
  <c r="EB33" i="3" s="1"/>
  <c r="CN33" i="3" s="1"/>
  <c r="EB37" i="3"/>
  <c r="EB36" i="3" s="1"/>
  <c r="CN36" i="3" s="1"/>
  <c r="EB7" i="3"/>
  <c r="EB6" i="3" s="1"/>
  <c r="CN6" i="3" s="1"/>
  <c r="EB22" i="3"/>
  <c r="EB21" i="3" s="1"/>
  <c r="CN21" i="3" s="1"/>
  <c r="EB25" i="3"/>
  <c r="EB24" i="3" s="1"/>
  <c r="CN24" i="3" s="1"/>
  <c r="DH31" i="3"/>
  <c r="DH30" i="3" s="1"/>
  <c r="AP30" i="3" s="1"/>
  <c r="K30" i="4"/>
  <c r="K28" i="4"/>
  <c r="K26" i="4"/>
  <c r="K24" i="4"/>
  <c r="K22" i="4"/>
  <c r="K20" i="4"/>
  <c r="K18" i="4"/>
  <c r="K16" i="4"/>
  <c r="K14" i="4"/>
  <c r="K12" i="4"/>
  <c r="K10" i="4"/>
  <c r="K8" i="4"/>
  <c r="K6" i="4"/>
  <c r="K4" i="4"/>
  <c r="K29" i="4"/>
  <c r="K27" i="4"/>
  <c r="K25" i="4"/>
  <c r="K23" i="4"/>
  <c r="K21" i="4"/>
  <c r="K19" i="4"/>
  <c r="K17" i="4"/>
  <c r="K15" i="4"/>
  <c r="K13" i="4"/>
  <c r="K11" i="4"/>
  <c r="K9" i="4"/>
  <c r="K7" i="4"/>
  <c r="K5" i="4"/>
  <c r="K3" i="4"/>
  <c r="DB20" i="3"/>
  <c r="CX107" i="3"/>
  <c r="Q107" i="3" s="1"/>
  <c r="CT79" i="3"/>
  <c r="X69" i="1"/>
  <c r="DB53" i="3"/>
  <c r="DB52" i="3"/>
  <c r="CZ44" i="3"/>
  <c r="CZ41" i="3"/>
  <c r="CZ39" i="3" s="1"/>
  <c r="V39" i="3" s="1"/>
  <c r="DJ40" i="3"/>
  <c r="DJ39" i="3" s="1"/>
  <c r="AU39" i="3" s="1"/>
  <c r="DB111" i="3"/>
  <c r="DB110" i="3" s="1"/>
  <c r="AA110" i="3" s="1"/>
  <c r="CT112" i="3"/>
  <c r="DB108" i="3"/>
  <c r="CX83" i="3"/>
  <c r="Q83" i="3" s="1"/>
  <c r="DR92" i="3"/>
  <c r="BO92" i="3" s="1"/>
  <c r="CZ89" i="3"/>
  <c r="V89" i="3" s="1"/>
  <c r="DN80" i="3"/>
  <c r="BE80" i="3" s="1"/>
  <c r="CT56" i="3"/>
  <c r="CT54" i="3" s="1"/>
  <c r="DT110" i="3"/>
  <c r="BT110" i="3" s="1"/>
  <c r="CZ108" i="3"/>
  <c r="EB95" i="3"/>
  <c r="CN95" i="3" s="1"/>
  <c r="EB98" i="3"/>
  <c r="CN98" i="3" s="1"/>
  <c r="DN86" i="3"/>
  <c r="BE86" i="3" s="1"/>
  <c r="CZ79" i="3"/>
  <c r="DB105" i="3"/>
  <c r="DZ101" i="3"/>
  <c r="CI101" i="3" s="1"/>
  <c r="CX103" i="3"/>
  <c r="CX101" i="3" s="1"/>
  <c r="Q101" i="3" s="1"/>
  <c r="DB99" i="3"/>
  <c r="CT88" i="3"/>
  <c r="DR101" i="3"/>
  <c r="BO101" i="3" s="1"/>
  <c r="DD83" i="3"/>
  <c r="AF83" i="3" s="1"/>
  <c r="CZ52" i="3"/>
  <c r="DZ54" i="3"/>
  <c r="CI54" i="3" s="1"/>
  <c r="DH60" i="3"/>
  <c r="AP60" i="3" s="1"/>
  <c r="DR36" i="3"/>
  <c r="BO36" i="3" s="1"/>
  <c r="DR60" i="3"/>
  <c r="BO60" i="3" s="1"/>
  <c r="DN30" i="3"/>
  <c r="BE30" i="3" s="1"/>
  <c r="DB25" i="3"/>
  <c r="DB24" i="3" s="1"/>
  <c r="AA24" i="3" s="1"/>
  <c r="CX34" i="3"/>
  <c r="DJ37" i="3"/>
  <c r="DJ36" i="3" s="1"/>
  <c r="AU36" i="3" s="1"/>
  <c r="DP42" i="3"/>
  <c r="BJ42" i="3" s="1"/>
  <c r="DL57" i="3"/>
  <c r="AZ57" i="3" s="1"/>
  <c r="DV57" i="3"/>
  <c r="BY57" i="3" s="1"/>
  <c r="DH37" i="3"/>
  <c r="DH36" i="3" s="1"/>
  <c r="AP36" i="3" s="1"/>
  <c r="DB31" i="3"/>
  <c r="DF54" i="3"/>
  <c r="AK54" i="3" s="1"/>
  <c r="DB85" i="3"/>
  <c r="DL21" i="3"/>
  <c r="AZ21" i="3" s="1"/>
  <c r="DJ34" i="3"/>
  <c r="DJ33" i="3" s="1"/>
  <c r="AU33" i="3" s="1"/>
  <c r="S30" i="4"/>
  <c r="S28" i="4"/>
  <c r="S26" i="4"/>
  <c r="S24" i="4"/>
  <c r="S22" i="4"/>
  <c r="S20" i="4"/>
  <c r="S18" i="4"/>
  <c r="S16" i="4"/>
  <c r="S14" i="4"/>
  <c r="S12" i="4"/>
  <c r="S10" i="4"/>
  <c r="S8" i="4"/>
  <c r="S6" i="4"/>
  <c r="S4" i="4"/>
  <c r="S27" i="4"/>
  <c r="S23" i="4"/>
  <c r="S19" i="4"/>
  <c r="S15" i="4"/>
  <c r="S11" i="4"/>
  <c r="S7" i="4"/>
  <c r="S3" i="4"/>
  <c r="S29" i="4"/>
  <c r="S25" i="4"/>
  <c r="S21" i="4"/>
  <c r="S17" i="4"/>
  <c r="S13" i="4"/>
  <c r="S9" i="4"/>
  <c r="S5" i="4"/>
  <c r="DR25" i="3"/>
  <c r="DR24" i="3" s="1"/>
  <c r="BO24" i="3" s="1"/>
  <c r="DZ13" i="3"/>
  <c r="DZ12" i="3" s="1"/>
  <c r="CI12" i="3" s="1"/>
  <c r="CX46" i="3"/>
  <c r="DT19" i="3"/>
  <c r="DT18" i="3" s="1"/>
  <c r="BT18" i="3" s="1"/>
  <c r="CX109" i="3"/>
  <c r="CZ97" i="3"/>
  <c r="CX97" i="3"/>
  <c r="CX98" i="3"/>
  <c r="Q98" i="3" s="1"/>
  <c r="CX79" i="3"/>
  <c r="DJ78" i="3"/>
  <c r="DJ77" i="3" s="1"/>
  <c r="AU77" i="3" s="1"/>
  <c r="CV57" i="3"/>
  <c r="L57" i="3" s="1"/>
  <c r="DB38" i="3"/>
  <c r="CZ100" i="3"/>
  <c r="DB61" i="3"/>
  <c r="DJ28" i="3"/>
  <c r="DJ27" i="3" s="1"/>
  <c r="AU27" i="3" s="1"/>
  <c r="Q29" i="4"/>
  <c r="Q27" i="4"/>
  <c r="Q25" i="4"/>
  <c r="Q23" i="4"/>
  <c r="Q21" i="4"/>
  <c r="Q19" i="4"/>
  <c r="Q17" i="4"/>
  <c r="Q15" i="4"/>
  <c r="Q13" i="4"/>
  <c r="Q11" i="4"/>
  <c r="Q9" i="4"/>
  <c r="Q7" i="4"/>
  <c r="Q5" i="4"/>
  <c r="Q3" i="4"/>
  <c r="Q30" i="4"/>
  <c r="Q28" i="4"/>
  <c r="Q26" i="4"/>
  <c r="Q24" i="4"/>
  <c r="Q22" i="4"/>
  <c r="Q20" i="4"/>
  <c r="Q18" i="4"/>
  <c r="Q16" i="4"/>
  <c r="Q14" i="4"/>
  <c r="Q12" i="4"/>
  <c r="Q10" i="4"/>
  <c r="Q8" i="4"/>
  <c r="Q6" i="4"/>
  <c r="Q4" i="4"/>
  <c r="DX39" i="3"/>
  <c r="CD39" i="3" s="1"/>
  <c r="DL48" i="3"/>
  <c r="AZ48" i="3" s="1"/>
  <c r="CZ23" i="3"/>
  <c r="CZ21" i="3" s="1"/>
  <c r="V21" i="3" s="1"/>
  <c r="AD69" i="1"/>
  <c r="DV92" i="3"/>
  <c r="BY92" i="3" s="1"/>
  <c r="DJ25" i="3"/>
  <c r="DJ24" i="3" s="1"/>
  <c r="AU24" i="3" s="1"/>
  <c r="CV42" i="3"/>
  <c r="L42" i="3" s="1"/>
  <c r="CT16" i="3"/>
  <c r="DF86" i="3"/>
  <c r="AK86" i="3" s="1"/>
  <c r="DB97" i="3"/>
  <c r="DD24" i="3"/>
  <c r="AF24" i="3" s="1"/>
  <c r="N29" i="4"/>
  <c r="N27" i="4"/>
  <c r="N25" i="4"/>
  <c r="N23" i="4"/>
  <c r="N21" i="4"/>
  <c r="N19" i="4"/>
  <c r="N17" i="4"/>
  <c r="N15" i="4"/>
  <c r="N13" i="4"/>
  <c r="N11" i="4"/>
  <c r="N9" i="4"/>
  <c r="N7" i="4"/>
  <c r="N5" i="4"/>
  <c r="N3" i="4"/>
  <c r="N30" i="4"/>
  <c r="N28" i="4"/>
  <c r="N26" i="4"/>
  <c r="N24" i="4"/>
  <c r="N22" i="4"/>
  <c r="N20" i="4"/>
  <c r="N18" i="4"/>
  <c r="N16" i="4"/>
  <c r="N14" i="4"/>
  <c r="N12" i="4"/>
  <c r="N10" i="4"/>
  <c r="N8" i="4"/>
  <c r="N6" i="4"/>
  <c r="N4" i="4"/>
  <c r="CZ106" i="3"/>
  <c r="CZ94" i="3"/>
  <c r="CZ92" i="3" s="1"/>
  <c r="V92" i="3" s="1"/>
  <c r="CZ88" i="3"/>
  <c r="CZ86" i="3" s="1"/>
  <c r="V86" i="3" s="1"/>
  <c r="CZ62" i="3"/>
  <c r="CZ85" i="3"/>
  <c r="CZ56" i="3"/>
  <c r="CZ53" i="3"/>
  <c r="CZ32" i="3"/>
  <c r="CV12" i="3"/>
  <c r="L12" i="3" s="1"/>
  <c r="DN99" i="3"/>
  <c r="DN98" i="3" s="1"/>
  <c r="BE98" i="3" s="1"/>
  <c r="DN84" i="3"/>
  <c r="DN83" i="3" s="1"/>
  <c r="BE83" i="3" s="1"/>
  <c r="DN58" i="3"/>
  <c r="DN57" i="3" s="1"/>
  <c r="BE57" i="3" s="1"/>
  <c r="DN43" i="3"/>
  <c r="DN42" i="3" s="1"/>
  <c r="BE42" i="3" s="1"/>
  <c r="DN40" i="3"/>
  <c r="DN39" i="3" s="1"/>
  <c r="BE39" i="3" s="1"/>
  <c r="DN46" i="3"/>
  <c r="DN45" i="3" s="1"/>
  <c r="BE45" i="3" s="1"/>
  <c r="DN34" i="3"/>
  <c r="DN33" i="3" s="1"/>
  <c r="BE33" i="3" s="1"/>
  <c r="DN16" i="3"/>
  <c r="DN15" i="3" s="1"/>
  <c r="BE15" i="3" s="1"/>
  <c r="DN7" i="3"/>
  <c r="DN6" i="3" s="1"/>
  <c r="BE6" i="3" s="1"/>
  <c r="DH22" i="3"/>
  <c r="DH21" i="3" s="1"/>
  <c r="AP21" i="3" s="1"/>
  <c r="DB84" i="3"/>
  <c r="DT98" i="3"/>
  <c r="BT98" i="3" s="1"/>
  <c r="CZ95" i="3"/>
  <c r="V95" i="3" s="1"/>
  <c r="CV95" i="3"/>
  <c r="L95" i="3" s="1"/>
  <c r="DD77" i="3"/>
  <c r="AF77" i="3" s="1"/>
  <c r="DX51" i="3"/>
  <c r="CD51" i="3" s="1"/>
  <c r="DZ77" i="3"/>
  <c r="CI77" i="3" s="1"/>
  <c r="DL77" i="3"/>
  <c r="AZ77" i="3" s="1"/>
  <c r="DT86" i="3"/>
  <c r="BT86" i="3" s="1"/>
  <c r="CV48" i="3"/>
  <c r="L48" i="3" s="1"/>
  <c r="DF80" i="3"/>
  <c r="AK80" i="3" s="1"/>
  <c r="DX57" i="3"/>
  <c r="CD57" i="3" s="1"/>
  <c r="DN74" i="3"/>
  <c r="BE74" i="3" s="1"/>
  <c r="CV54" i="3"/>
  <c r="L54" i="3" s="1"/>
  <c r="DB62" i="3"/>
  <c r="DN36" i="3"/>
  <c r="BE36" i="3" s="1"/>
  <c r="DL39" i="3"/>
  <c r="AZ39" i="3" s="1"/>
  <c r="DF33" i="3"/>
  <c r="AK33" i="3" s="1"/>
  <c r="D29" i="4"/>
  <c r="D27" i="4"/>
  <c r="D25" i="4"/>
  <c r="D23" i="4"/>
  <c r="D21" i="4"/>
  <c r="D19" i="4"/>
  <c r="D17" i="4"/>
  <c r="D15" i="4"/>
  <c r="D13" i="4"/>
  <c r="CX40" i="3" s="1"/>
  <c r="D11" i="4"/>
  <c r="D9" i="4"/>
  <c r="CX25" i="3" s="1"/>
  <c r="D7" i="4"/>
  <c r="CX37" i="3" s="1"/>
  <c r="D5" i="4"/>
  <c r="CX13" i="3" s="1"/>
  <c r="D3" i="4"/>
  <c r="CX22" i="3" s="1"/>
  <c r="D30" i="4"/>
  <c r="D28" i="4"/>
  <c r="D26" i="4"/>
  <c r="D24" i="4"/>
  <c r="D22" i="4"/>
  <c r="D20" i="4"/>
  <c r="D18" i="4"/>
  <c r="D16" i="4"/>
  <c r="D14" i="4"/>
  <c r="CX49" i="3" s="1"/>
  <c r="D12" i="4"/>
  <c r="CX55" i="3" s="1"/>
  <c r="D10" i="4"/>
  <c r="CX41" i="3" s="1"/>
  <c r="D8" i="4"/>
  <c r="CX56" i="3" s="1"/>
  <c r="D6" i="4"/>
  <c r="CX31" i="3" s="1"/>
  <c r="D4" i="4"/>
  <c r="CX23" i="3" s="1"/>
  <c r="DV77" i="3"/>
  <c r="BY77" i="3" s="1"/>
  <c r="CX14" i="3"/>
  <c r="DF92" i="3"/>
  <c r="AK92" i="3" s="1"/>
  <c r="DB109" i="3"/>
  <c r="DD111" i="3"/>
  <c r="DD110" i="3" s="1"/>
  <c r="AF110" i="3" s="1"/>
  <c r="DD102" i="3"/>
  <c r="DD101" i="3" s="1"/>
  <c r="AF101" i="3" s="1"/>
  <c r="DD90" i="3"/>
  <c r="DD89" i="3" s="1"/>
  <c r="AF89" i="3" s="1"/>
  <c r="DD105" i="3"/>
  <c r="DD104" i="3" s="1"/>
  <c r="AF104" i="3" s="1"/>
  <c r="DD75" i="3"/>
  <c r="DD74" i="3" s="1"/>
  <c r="AF74" i="3" s="1"/>
  <c r="DD7" i="3"/>
  <c r="DD6" i="3" s="1"/>
  <c r="AF6" i="3" s="1"/>
  <c r="DD16" i="3"/>
  <c r="DD15" i="3" s="1"/>
  <c r="AF15" i="3" s="1"/>
  <c r="DX6" i="3"/>
  <c r="CD6" i="3" s="1"/>
  <c r="CX10" i="3"/>
  <c r="F69" i="1"/>
  <c r="CX87" i="3"/>
  <c r="CX86" i="3" s="1"/>
  <c r="Q86" i="3" s="1"/>
  <c r="DD22" i="3"/>
  <c r="DD21" i="3" s="1"/>
  <c r="AF21" i="3" s="1"/>
  <c r="DJ10" i="3"/>
  <c r="DJ9" i="3" s="1"/>
  <c r="AU9" i="3" s="1"/>
  <c r="CX47" i="3"/>
  <c r="EB16" i="3"/>
  <c r="EB15" i="3" s="1"/>
  <c r="CN15" i="3" s="1"/>
  <c r="DN13" i="3"/>
  <c r="DN12" i="3" s="1"/>
  <c r="BE12" i="3" s="1"/>
  <c r="CT38" i="3"/>
  <c r="CX115" i="3"/>
  <c r="CX113" i="3" s="1"/>
  <c r="Q113" i="3" s="1"/>
  <c r="DZ104" i="3"/>
  <c r="CI104" i="3" s="1"/>
  <c r="DN113" i="3"/>
  <c r="BE113" i="3" s="1"/>
  <c r="DL95" i="3"/>
  <c r="AZ95" i="3" s="1"/>
  <c r="CX76" i="3"/>
  <c r="CZ77" i="3"/>
  <c r="V77" i="3" s="1"/>
  <c r="DB87" i="3"/>
  <c r="DB86" i="3" s="1"/>
  <c r="AA86" i="3" s="1"/>
  <c r="CV60" i="3"/>
  <c r="L60" i="3" s="1"/>
  <c r="DN89" i="3"/>
  <c r="BE89" i="3" s="1"/>
  <c r="DJ49" i="3"/>
  <c r="DJ48" i="3" s="1"/>
  <c r="AU48" i="3" s="1"/>
  <c r="CZ31" i="3"/>
  <c r="CZ30" i="3" s="1"/>
  <c r="V30" i="3" s="1"/>
  <c r="DJ46" i="3"/>
  <c r="DJ45" i="3" s="1"/>
  <c r="AU45" i="3" s="1"/>
  <c r="DZ36" i="3"/>
  <c r="CI36" i="3" s="1"/>
  <c r="DB55" i="3"/>
  <c r="DB54" i="3" s="1"/>
  <c r="AA54" i="3" s="1"/>
  <c r="DL98" i="3"/>
  <c r="AZ98" i="3" s="1"/>
  <c r="DV95" i="3"/>
  <c r="BY95" i="3" s="1"/>
  <c r="DH93" i="3"/>
  <c r="DH92" i="3" s="1"/>
  <c r="AP92" i="3" s="1"/>
  <c r="DH90" i="3"/>
  <c r="DH89" i="3" s="1"/>
  <c r="AP89" i="3" s="1"/>
  <c r="DH105" i="3"/>
  <c r="DH104" i="3" s="1"/>
  <c r="AP104" i="3" s="1"/>
  <c r="DH84" i="3"/>
  <c r="DH83" i="3" s="1"/>
  <c r="AP83" i="3" s="1"/>
  <c r="DH108" i="3"/>
  <c r="DH107" i="3" s="1"/>
  <c r="AP107" i="3" s="1"/>
  <c r="DH52" i="3"/>
  <c r="DH51" i="3" s="1"/>
  <c r="AP51" i="3" s="1"/>
  <c r="DH7" i="3"/>
  <c r="DH6" i="3" s="1"/>
  <c r="AP6" i="3" s="1"/>
  <c r="B29" i="4"/>
  <c r="B27" i="4"/>
  <c r="B25" i="4"/>
  <c r="B23" i="4"/>
  <c r="B21" i="4"/>
  <c r="B19" i="4"/>
  <c r="B17" i="4"/>
  <c r="B15" i="4"/>
  <c r="CT50" i="3" s="1"/>
  <c r="B13" i="4"/>
  <c r="CT8" i="3" s="1"/>
  <c r="B11" i="4"/>
  <c r="CT44" i="3" s="1"/>
  <c r="B9" i="4"/>
  <c r="CT17" i="3" s="1"/>
  <c r="B7" i="4"/>
  <c r="B5" i="4"/>
  <c r="CT11" i="3" s="1"/>
  <c r="B3" i="4"/>
  <c r="CT14" i="3" s="1"/>
  <c r="B30" i="4"/>
  <c r="B28" i="4"/>
  <c r="B26" i="4"/>
  <c r="B24" i="4"/>
  <c r="B22" i="4"/>
  <c r="B20" i="4"/>
  <c r="B18" i="4"/>
  <c r="CT41" i="3" s="1"/>
  <c r="B16" i="4"/>
  <c r="CT52" i="3" s="1"/>
  <c r="B14" i="4"/>
  <c r="CT20" i="3" s="1"/>
  <c r="B12" i="4"/>
  <c r="B10" i="4"/>
  <c r="CT53" i="3" s="1"/>
  <c r="B8" i="4"/>
  <c r="CT29" i="3" s="1"/>
  <c r="B6" i="4"/>
  <c r="B4" i="4"/>
  <c r="CT25" i="3" s="1"/>
  <c r="DT36" i="3"/>
  <c r="BT36" i="3" s="1"/>
  <c r="DF95" i="3"/>
  <c r="AK95" i="3" s="1"/>
  <c r="DB106" i="3"/>
  <c r="CT23" i="3"/>
  <c r="G30" i="4"/>
  <c r="G28" i="4"/>
  <c r="G26" i="4"/>
  <c r="G24" i="4"/>
  <c r="G22" i="4"/>
  <c r="G20" i="4"/>
  <c r="G18" i="4"/>
  <c r="G16" i="4"/>
  <c r="G14" i="4"/>
  <c r="G12" i="4"/>
  <c r="G10" i="4"/>
  <c r="G8" i="4"/>
  <c r="G6" i="4"/>
  <c r="G4" i="4"/>
  <c r="G29" i="4"/>
  <c r="G25" i="4"/>
  <c r="G21" i="4"/>
  <c r="G17" i="4"/>
  <c r="G13" i="4"/>
  <c r="G9" i="4"/>
  <c r="G5" i="4"/>
  <c r="G27" i="4"/>
  <c r="G23" i="4"/>
  <c r="G19" i="4"/>
  <c r="G15" i="4"/>
  <c r="G11" i="4"/>
  <c r="G7" i="4"/>
  <c r="G3" i="4"/>
  <c r="DP90" i="3"/>
  <c r="DP89" i="3" s="1"/>
  <c r="BJ89" i="3" s="1"/>
  <c r="DP78" i="3"/>
  <c r="DP77" i="3" s="1"/>
  <c r="BJ77" i="3" s="1"/>
  <c r="DP99" i="3"/>
  <c r="DP98" i="3" s="1"/>
  <c r="BJ98" i="3" s="1"/>
  <c r="DP52" i="3"/>
  <c r="DP51" i="3" s="1"/>
  <c r="BJ51" i="3" s="1"/>
  <c r="DP46" i="3"/>
  <c r="DP45" i="3" s="1"/>
  <c r="BJ45" i="3" s="1"/>
  <c r="DP7" i="3"/>
  <c r="DP6" i="3" s="1"/>
  <c r="BJ6" i="3" s="1"/>
  <c r="DP22" i="3"/>
  <c r="DP21" i="3" s="1"/>
  <c r="BJ21" i="3" s="1"/>
  <c r="DB11" i="3"/>
  <c r="DB22" i="3"/>
  <c r="DP25" i="3"/>
  <c r="DP24" i="3" s="1"/>
  <c r="BJ24" i="3" s="1"/>
  <c r="CX78" i="3"/>
  <c r="CX77" i="3" s="1"/>
  <c r="Q77" i="3" s="1"/>
  <c r="DJ19" i="3"/>
  <c r="DJ18" i="3" s="1"/>
  <c r="AU18" i="3" s="1"/>
  <c r="CX62" i="3"/>
  <c r="ED62" i="3" s="1"/>
  <c r="DD31" i="3"/>
  <c r="DD30" i="3" s="1"/>
  <c r="AF30" i="3" s="1"/>
  <c r="CX104" i="3"/>
  <c r="Q104" i="3" s="1"/>
  <c r="DB103" i="3"/>
  <c r="DJ102" i="3"/>
  <c r="DJ101" i="3" s="1"/>
  <c r="AU101" i="3" s="1"/>
  <c r="CT106" i="3"/>
  <c r="CT109" i="3"/>
  <c r="DB82" i="3"/>
  <c r="DB80" i="3" s="1"/>
  <c r="AA80" i="3" s="1"/>
  <c r="DP80" i="3"/>
  <c r="BJ80" i="3" s="1"/>
  <c r="CZ115" i="3"/>
  <c r="CZ113" i="3" s="1"/>
  <c r="V113" i="3" s="1"/>
  <c r="DV104" i="3"/>
  <c r="BY104" i="3" s="1"/>
  <c r="DB100" i="3"/>
  <c r="DD95" i="3"/>
  <c r="AF95" i="3" s="1"/>
  <c r="CX94" i="3"/>
  <c r="DB96" i="3"/>
  <c r="CX91" i="3"/>
  <c r="CX89" i="3" s="1"/>
  <c r="Q89" i="3" s="1"/>
  <c r="CX81" i="3"/>
  <c r="DR77" i="3"/>
  <c r="BO77" i="3" s="1"/>
  <c r="CT76" i="3"/>
  <c r="DR51" i="3"/>
  <c r="BO51" i="3" s="1"/>
  <c r="DB94" i="3"/>
  <c r="CX52" i="3"/>
  <c r="DV48" i="3"/>
  <c r="BY48" i="3" s="1"/>
  <c r="DD60" i="3"/>
  <c r="AF60" i="3" s="1"/>
  <c r="DP54" i="3"/>
  <c r="BJ54" i="3" s="1"/>
  <c r="DR74" i="3"/>
  <c r="BO74" i="3" s="1"/>
  <c r="DR54" i="3"/>
  <c r="BO54" i="3" s="1"/>
  <c r="J30" i="4"/>
  <c r="J28" i="4"/>
  <c r="J26" i="4"/>
  <c r="J24" i="4"/>
  <c r="J22" i="4"/>
  <c r="J20" i="4"/>
  <c r="J18" i="4"/>
  <c r="J16" i="4"/>
  <c r="J14" i="4"/>
  <c r="J12" i="4"/>
  <c r="J10" i="4"/>
  <c r="J8" i="4"/>
  <c r="J6" i="4"/>
  <c r="J4" i="4"/>
  <c r="J29" i="4"/>
  <c r="J27" i="4"/>
  <c r="J25" i="4"/>
  <c r="J23" i="4"/>
  <c r="J21" i="4"/>
  <c r="J19" i="4"/>
  <c r="J17" i="4"/>
  <c r="J15" i="4"/>
  <c r="J13" i="4"/>
  <c r="J11" i="4"/>
  <c r="J9" i="4"/>
  <c r="J7" i="4"/>
  <c r="J5" i="4"/>
  <c r="J3" i="4"/>
  <c r="C29" i="4"/>
  <c r="C27" i="4"/>
  <c r="C25" i="4"/>
  <c r="C23" i="4"/>
  <c r="C21" i="4"/>
  <c r="C19" i="4"/>
  <c r="C17" i="4"/>
  <c r="C15" i="4"/>
  <c r="C13" i="4"/>
  <c r="C11" i="4"/>
  <c r="C9" i="4"/>
  <c r="C7" i="4"/>
  <c r="C5" i="4"/>
  <c r="C3" i="4"/>
  <c r="C30" i="4"/>
  <c r="C28" i="4"/>
  <c r="C26" i="4"/>
  <c r="C24" i="4"/>
  <c r="C22" i="4"/>
  <c r="C20" i="4"/>
  <c r="C18" i="4"/>
  <c r="C16" i="4"/>
  <c r="C14" i="4"/>
  <c r="C12" i="4"/>
  <c r="C10" i="4"/>
  <c r="C8" i="4"/>
  <c r="C6" i="4"/>
  <c r="C4" i="4"/>
  <c r="CX7" i="3"/>
  <c r="DN21" i="3"/>
  <c r="BE21" i="3" s="1"/>
  <c r="DZ114" i="3"/>
  <c r="DZ113" i="3" s="1"/>
  <c r="CI113" i="3" s="1"/>
  <c r="DZ84" i="3"/>
  <c r="DZ83" i="3" s="1"/>
  <c r="CI83" i="3" s="1"/>
  <c r="DZ7" i="3"/>
  <c r="DZ6" i="3" s="1"/>
  <c r="CI6" i="3" s="1"/>
  <c r="DZ28" i="3"/>
  <c r="DZ27" i="3" s="1"/>
  <c r="CI27" i="3" s="1"/>
  <c r="DZ31" i="3"/>
  <c r="DZ30" i="3" s="1"/>
  <c r="CI30" i="3" s="1"/>
  <c r="DZ19" i="3"/>
  <c r="DZ18" i="3" s="1"/>
  <c r="CI18" i="3" s="1"/>
  <c r="DZ10" i="3"/>
  <c r="DZ9" i="3" s="1"/>
  <c r="CI9" i="3" s="1"/>
  <c r="DZ22" i="3"/>
  <c r="DZ21" i="3" s="1"/>
  <c r="CI21" i="3" s="1"/>
  <c r="M29" i="4"/>
  <c r="M27" i="4"/>
  <c r="M25" i="4"/>
  <c r="M23" i="4"/>
  <c r="M21" i="4"/>
  <c r="M19" i="4"/>
  <c r="M17" i="4"/>
  <c r="M15" i="4"/>
  <c r="M13" i="4"/>
  <c r="M11" i="4"/>
  <c r="M9" i="4"/>
  <c r="M7" i="4"/>
  <c r="M5" i="4"/>
  <c r="M3" i="4"/>
  <c r="M28" i="4"/>
  <c r="M24" i="4"/>
  <c r="M20" i="4"/>
  <c r="M16" i="4"/>
  <c r="M12" i="4"/>
  <c r="M8" i="4"/>
  <c r="M4" i="4"/>
  <c r="M30" i="4"/>
  <c r="M26" i="4"/>
  <c r="M22" i="4"/>
  <c r="M18" i="4"/>
  <c r="M14" i="4"/>
  <c r="M10" i="4"/>
  <c r="M6" i="4"/>
  <c r="DN18" i="3"/>
  <c r="BE18" i="3" s="1"/>
  <c r="DX30" i="3"/>
  <c r="CD30" i="3" s="1"/>
  <c r="CX111" i="3"/>
  <c r="CX110" i="3" s="1"/>
  <c r="Q110" i="3" s="1"/>
  <c r="CX17" i="3"/>
  <c r="DD12" i="3"/>
  <c r="AF12" i="3" s="1"/>
  <c r="P29" i="4"/>
  <c r="P27" i="4"/>
  <c r="P25" i="4"/>
  <c r="P23" i="4"/>
  <c r="P21" i="4"/>
  <c r="P19" i="4"/>
  <c r="P17" i="4"/>
  <c r="P15" i="4"/>
  <c r="P13" i="4"/>
  <c r="P11" i="4"/>
  <c r="P9" i="4"/>
  <c r="P7" i="4"/>
  <c r="P5" i="4"/>
  <c r="P3" i="4"/>
  <c r="P30" i="4"/>
  <c r="P28" i="4"/>
  <c r="P26" i="4"/>
  <c r="P24" i="4"/>
  <c r="P22" i="4"/>
  <c r="P20" i="4"/>
  <c r="P18" i="4"/>
  <c r="P16" i="4"/>
  <c r="P14" i="4"/>
  <c r="P12" i="4"/>
  <c r="P10" i="4"/>
  <c r="P8" i="4"/>
  <c r="P6" i="4"/>
  <c r="P4" i="4"/>
  <c r="DD113" i="3"/>
  <c r="AF113" i="3" s="1"/>
  <c r="EB83" i="3"/>
  <c r="CN83" i="3" s="1"/>
  <c r="DT113" i="3"/>
  <c r="BT113" i="3" s="1"/>
  <c r="CZ112" i="3"/>
  <c r="CZ110" i="3" s="1"/>
  <c r="V110" i="3" s="1"/>
  <c r="DX104" i="3"/>
  <c r="CD104" i="3" s="1"/>
  <c r="CT99" i="3"/>
  <c r="CZ109" i="3"/>
  <c r="CT103" i="3"/>
  <c r="ED103" i="3" s="1"/>
  <c r="DN101" i="3"/>
  <c r="BE101" i="3" s="1"/>
  <c r="DP92" i="3"/>
  <c r="BJ92" i="3" s="1"/>
  <c r="CT93" i="3"/>
  <c r="EB92" i="3"/>
  <c r="CN92" i="3" s="1"/>
  <c r="DJ87" i="3"/>
  <c r="DJ86" i="3" s="1"/>
  <c r="AU86" i="3" s="1"/>
  <c r="DH77" i="3"/>
  <c r="AP77" i="3" s="1"/>
  <c r="P69" i="1"/>
  <c r="DP60" i="3"/>
  <c r="BJ60" i="3" s="1"/>
  <c r="DB90" i="3"/>
  <c r="CT75" i="3"/>
  <c r="CZ50" i="3"/>
  <c r="CV51" i="3"/>
  <c r="L51" i="3" s="1"/>
  <c r="DZ74" i="3"/>
  <c r="CI74" i="3" s="1"/>
  <c r="AL69" i="1"/>
  <c r="DF57" i="3"/>
  <c r="AK57" i="3" s="1"/>
  <c r="DN54" i="3"/>
  <c r="BE54" i="3" s="1"/>
  <c r="DB17" i="3"/>
  <c r="CZ43" i="3"/>
  <c r="CZ42" i="3" s="1"/>
  <c r="V42" i="3" s="1"/>
  <c r="CZ25" i="3"/>
  <c r="DZ51" i="3"/>
  <c r="CI51" i="3" s="1"/>
  <c r="DF51" i="3"/>
  <c r="AK51" i="3" s="1"/>
  <c r="DT102" i="3"/>
  <c r="DT101" i="3" s="1"/>
  <c r="BT101" i="3" s="1"/>
  <c r="DT84" i="3"/>
  <c r="DT83" i="3" s="1"/>
  <c r="BT83" i="3" s="1"/>
  <c r="DT49" i="3"/>
  <c r="DT48" i="3" s="1"/>
  <c r="BT48" i="3" s="1"/>
  <c r="DT28" i="3"/>
  <c r="DT27" i="3" s="1"/>
  <c r="BT27" i="3" s="1"/>
  <c r="DT34" i="3"/>
  <c r="DT33" i="3" s="1"/>
  <c r="BT33" i="3" s="1"/>
  <c r="DT43" i="3"/>
  <c r="DT42" i="3" s="1"/>
  <c r="BT42" i="3" s="1"/>
  <c r="DT31" i="3"/>
  <c r="DT30" i="3" s="1"/>
  <c r="BT30" i="3" s="1"/>
  <c r="DT7" i="3"/>
  <c r="DT6" i="3" s="1"/>
  <c r="BT6" i="3" s="1"/>
  <c r="DT25" i="3"/>
  <c r="DT24" i="3" s="1"/>
  <c r="BT24" i="3" s="1"/>
  <c r="DL101" i="3"/>
  <c r="AZ101" i="3" s="1"/>
  <c r="DJ13" i="3"/>
  <c r="DJ12" i="3" s="1"/>
  <c r="AU12" i="3" s="1"/>
  <c r="CV33" i="3"/>
  <c r="L33" i="3" s="1"/>
  <c r="CX38" i="3"/>
  <c r="DZ25" i="3"/>
  <c r="DZ24" i="3" s="1"/>
  <c r="CI24" i="3" s="1"/>
  <c r="DR81" i="3"/>
  <c r="DR80" i="3" s="1"/>
  <c r="BO80" i="3" s="1"/>
  <c r="DR49" i="3"/>
  <c r="DR48" i="3" s="1"/>
  <c r="BO48" i="3" s="1"/>
  <c r="DR7" i="3"/>
  <c r="DR6" i="3" s="1"/>
  <c r="BO6" i="3" s="1"/>
  <c r="CZ102" i="3"/>
  <c r="CZ101" i="3" s="1"/>
  <c r="V101" i="3" s="1"/>
  <c r="CZ99" i="3"/>
  <c r="CZ98" i="3" s="1"/>
  <c r="V98" i="3" s="1"/>
  <c r="CZ61" i="3"/>
  <c r="CZ60" i="3" s="1"/>
  <c r="V60" i="3" s="1"/>
  <c r="CZ75" i="3"/>
  <c r="CZ74" i="3" s="1"/>
  <c r="V74" i="3" s="1"/>
  <c r="CZ34" i="3"/>
  <c r="CZ33" i="3" s="1"/>
  <c r="V33" i="3" s="1"/>
  <c r="DB102" i="3"/>
  <c r="DB101" i="3" s="1"/>
  <c r="AA101" i="3" s="1"/>
  <c r="DB114" i="3"/>
  <c r="DB37" i="3"/>
  <c r="DB36" i="3" s="1"/>
  <c r="AA36" i="3" s="1"/>
  <c r="DB7" i="3"/>
  <c r="DB6" i="3" s="1"/>
  <c r="AA6" i="3" s="1"/>
  <c r="DF27" i="3"/>
  <c r="AK27" i="3" s="1"/>
  <c r="DB34" i="3"/>
  <c r="DB33" i="3" s="1"/>
  <c r="AA33" i="3" s="1"/>
  <c r="DL15" i="3"/>
  <c r="AZ15" i="3" s="1"/>
  <c r="DX15" i="3"/>
  <c r="CD15" i="3" s="1"/>
  <c r="CX93" i="3"/>
  <c r="CX92" i="3" s="1"/>
  <c r="Q92" i="3" s="1"/>
  <c r="DR16" i="3"/>
  <c r="DR15" i="3" s="1"/>
  <c r="BO15" i="3" s="1"/>
  <c r="CV45" i="3"/>
  <c r="L45" i="3" s="1"/>
  <c r="DL89" i="3"/>
  <c r="AZ89" i="3" s="1"/>
  <c r="CZ54" i="3"/>
  <c r="V54" i="3" s="1"/>
  <c r="DB115" i="3"/>
  <c r="DX107" i="3"/>
  <c r="CD107" i="3" s="1"/>
  <c r="DR95" i="3"/>
  <c r="BO95" i="3" s="1"/>
  <c r="DB93" i="3"/>
  <c r="DB92" i="3" s="1"/>
  <c r="AA92" i="3" s="1"/>
  <c r="DX98" i="3"/>
  <c r="CD98" i="3" s="1"/>
  <c r="CV92" i="3"/>
  <c r="L92" i="3" s="1"/>
  <c r="DJ93" i="3"/>
  <c r="DJ92" i="3" s="1"/>
  <c r="AU92" i="3" s="1"/>
  <c r="CZ81" i="3"/>
  <c r="CZ80" i="3" s="1"/>
  <c r="V80" i="3" s="1"/>
  <c r="CT78" i="3"/>
  <c r="DX110" i="3"/>
  <c r="CD110" i="3" s="1"/>
  <c r="DB91" i="3"/>
  <c r="CX82" i="3"/>
  <c r="CX59" i="3"/>
  <c r="CX57" i="3" s="1"/>
  <c r="Q57" i="3" s="1"/>
  <c r="EB57" i="3"/>
  <c r="CN57" i="3" s="1"/>
  <c r="CT49" i="3"/>
  <c r="CT61" i="3"/>
  <c r="DL54" i="3"/>
  <c r="AZ54" i="3" s="1"/>
  <c r="DB14" i="3"/>
  <c r="CZ49" i="3"/>
  <c r="CZ48" i="3" s="1"/>
  <c r="V48" i="3" s="1"/>
  <c r="DN48" i="3"/>
  <c r="BE48" i="3" s="1"/>
  <c r="DH10" i="3"/>
  <c r="DH9" i="3" s="1"/>
  <c r="AP9" i="3" s="1"/>
  <c r="CT84" i="3"/>
  <c r="CT81" i="3"/>
  <c r="CT90" i="3"/>
  <c r="CT7" i="3"/>
  <c r="DP39" i="3"/>
  <c r="BJ39" i="3" s="1"/>
  <c r="CT94" i="3"/>
  <c r="ED94" i="3" s="1"/>
  <c r="CT91" i="3"/>
  <c r="CT85" i="3"/>
  <c r="ED85" i="3" s="1"/>
  <c r="CV39" i="3"/>
  <c r="L39" i="3" s="1"/>
  <c r="CX44" i="3"/>
  <c r="DH25" i="3"/>
  <c r="DH24" i="3" s="1"/>
  <c r="AP24" i="3" s="1"/>
  <c r="H30" i="4"/>
  <c r="H28" i="4"/>
  <c r="H26" i="4"/>
  <c r="H24" i="4"/>
  <c r="H22" i="4"/>
  <c r="H20" i="4"/>
  <c r="H18" i="4"/>
  <c r="H16" i="4"/>
  <c r="H14" i="4"/>
  <c r="H12" i="4"/>
  <c r="H10" i="4"/>
  <c r="H8" i="4"/>
  <c r="H6" i="4"/>
  <c r="H4" i="4"/>
  <c r="H29" i="4"/>
  <c r="H27" i="4"/>
  <c r="H25" i="4"/>
  <c r="H23" i="4"/>
  <c r="H21" i="4"/>
  <c r="H19" i="4"/>
  <c r="H17" i="4"/>
  <c r="H15" i="4"/>
  <c r="H13" i="4"/>
  <c r="H11" i="4"/>
  <c r="H9" i="4"/>
  <c r="H7" i="4"/>
  <c r="H5" i="4"/>
  <c r="H3" i="4"/>
  <c r="DB40" i="3"/>
  <c r="E29" i="4"/>
  <c r="E27" i="4"/>
  <c r="E25" i="4"/>
  <c r="E23" i="4"/>
  <c r="E21" i="4"/>
  <c r="E19" i="4"/>
  <c r="E17" i="4"/>
  <c r="E15" i="4"/>
  <c r="E13" i="4"/>
  <c r="E11" i="4"/>
  <c r="E9" i="4"/>
  <c r="CZ47" i="3" s="1"/>
  <c r="E7" i="4"/>
  <c r="CZ38" i="3" s="1"/>
  <c r="E5" i="4"/>
  <c r="CZ11" i="3" s="1"/>
  <c r="E3" i="4"/>
  <c r="CZ10" i="3" s="1"/>
  <c r="E30" i="4"/>
  <c r="E28" i="4"/>
  <c r="E26" i="4"/>
  <c r="E24" i="4"/>
  <c r="E22" i="4"/>
  <c r="E20" i="4"/>
  <c r="E18" i="4"/>
  <c r="E16" i="4"/>
  <c r="E14" i="4"/>
  <c r="E12" i="4"/>
  <c r="E10" i="4"/>
  <c r="CZ59" i="3" s="1"/>
  <c r="E8" i="4"/>
  <c r="CZ46" i="3" s="1"/>
  <c r="CZ45" i="3" s="1"/>
  <c r="V45" i="3" s="1"/>
  <c r="E6" i="4"/>
  <c r="CZ29" i="3" s="1"/>
  <c r="E4" i="4"/>
  <c r="CZ17" i="3" s="1"/>
  <c r="DX60" i="3"/>
  <c r="CD60" i="3" s="1"/>
  <c r="CX96" i="3"/>
  <c r="ED96" i="3" s="1"/>
  <c r="CZ14" i="3"/>
  <c r="CZ12" i="3" s="1"/>
  <c r="V12" i="3" s="1"/>
  <c r="DN28" i="3"/>
  <c r="DN27" i="3" s="1"/>
  <c r="BE27" i="3" s="1"/>
  <c r="CX54" i="3" l="1"/>
  <c r="Q54" i="3" s="1"/>
  <c r="DB9" i="3"/>
  <c r="AA9" i="3" s="1"/>
  <c r="CZ7" i="3"/>
  <c r="CZ6" i="3" s="1"/>
  <c r="V6" i="3" s="1"/>
  <c r="DB13" i="3"/>
  <c r="CX8" i="3"/>
  <c r="ED97" i="3"/>
  <c r="CZ24" i="3"/>
  <c r="V24" i="3" s="1"/>
  <c r="CZ16" i="3"/>
  <c r="CZ15" i="3" s="1"/>
  <c r="V15" i="3" s="1"/>
  <c r="CT37" i="3"/>
  <c r="CT36" i="3" s="1"/>
  <c r="DB19" i="3"/>
  <c r="DB18" i="3" s="1"/>
  <c r="AA18" i="3" s="1"/>
  <c r="DB41" i="3"/>
  <c r="ED41" i="3" s="1"/>
  <c r="CX6" i="3"/>
  <c r="Q6" i="3" s="1"/>
  <c r="CT13" i="3"/>
  <c r="ED13" i="3" s="1"/>
  <c r="DB30" i="3"/>
  <c r="AA30" i="3" s="1"/>
  <c r="CZ37" i="3"/>
  <c r="CZ36" i="3" s="1"/>
  <c r="V36" i="3" s="1"/>
  <c r="CX36" i="3"/>
  <c r="Q36" i="3" s="1"/>
  <c r="ED100" i="3"/>
  <c r="ED44" i="3"/>
  <c r="ED91" i="3"/>
  <c r="CZ9" i="3"/>
  <c r="V9" i="3" s="1"/>
  <c r="DB51" i="3"/>
  <c r="AA51" i="3" s="1"/>
  <c r="DB39" i="3"/>
  <c r="AA39" i="3" s="1"/>
  <c r="ED109" i="3"/>
  <c r="ED106" i="3"/>
  <c r="ED25" i="3"/>
  <c r="ED29" i="3"/>
  <c r="CX12" i="3"/>
  <c r="Q12" i="3" s="1"/>
  <c r="ED17" i="3"/>
  <c r="ED52" i="3"/>
  <c r="CT51" i="3"/>
  <c r="CX39" i="3"/>
  <c r="Q39" i="3" s="1"/>
  <c r="G54" i="3"/>
  <c r="EC54" i="3" s="1"/>
  <c r="C54" i="3" s="1"/>
  <c r="F54" i="3"/>
  <c r="ED54" i="3"/>
  <c r="F56" i="3"/>
  <c r="CT26" i="3"/>
  <c r="CT24" i="3" s="1"/>
  <c r="CT19" i="3"/>
  <c r="CZ58" i="3"/>
  <c r="CZ8" i="3"/>
  <c r="ED8" i="3" s="1"/>
  <c r="DB16" i="3"/>
  <c r="DB15" i="3" s="1"/>
  <c r="AA15" i="3" s="1"/>
  <c r="CX32" i="3"/>
  <c r="CX30" i="3" s="1"/>
  <c r="Q30" i="3" s="1"/>
  <c r="ED115" i="3"/>
  <c r="ED14" i="3"/>
  <c r="ED75" i="3"/>
  <c r="CT74" i="3"/>
  <c r="CT98" i="3"/>
  <c r="ED99" i="3"/>
  <c r="CX21" i="3"/>
  <c r="Q21" i="3" s="1"/>
  <c r="CZ20" i="3"/>
  <c r="ED20" i="3" s="1"/>
  <c r="CX11" i="3"/>
  <c r="CX9" i="3" s="1"/>
  <c r="Q9" i="3" s="1"/>
  <c r="ED61" i="3"/>
  <c r="CT60" i="3"/>
  <c r="DB28" i="3"/>
  <c r="DB27" i="3" s="1"/>
  <c r="AA27" i="3" s="1"/>
  <c r="DB89" i="3"/>
  <c r="AA89" i="3" s="1"/>
  <c r="H69" i="1"/>
  <c r="CZ51" i="3"/>
  <c r="V51" i="3" s="1"/>
  <c r="CZ107" i="3"/>
  <c r="V107" i="3" s="1"/>
  <c r="CX43" i="3"/>
  <c r="CX42" i="3" s="1"/>
  <c r="Q42" i="3" s="1"/>
  <c r="G95" i="3"/>
  <c r="ED114" i="3"/>
  <c r="CT113" i="3"/>
  <c r="ED55" i="3"/>
  <c r="CT6" i="3"/>
  <c r="ED56" i="3"/>
  <c r="CX18" i="3"/>
  <c r="Q18" i="3" s="1"/>
  <c r="CT34" i="3"/>
  <c r="CX60" i="3"/>
  <c r="Q60" i="3" s="1"/>
  <c r="CT89" i="3"/>
  <c r="ED90" i="3"/>
  <c r="CT22" i="3"/>
  <c r="DB43" i="3"/>
  <c r="DB42" i="3" s="1"/>
  <c r="AA42" i="3" s="1"/>
  <c r="CT43" i="3"/>
  <c r="CT35" i="3"/>
  <c r="ED35" i="3" s="1"/>
  <c r="ED88" i="3"/>
  <c r="CT40" i="3"/>
  <c r="DB46" i="3"/>
  <c r="DB45" i="3" s="1"/>
  <c r="AA45" i="3" s="1"/>
  <c r="CZ28" i="3"/>
  <c r="CZ27" i="3" s="1"/>
  <c r="V27" i="3" s="1"/>
  <c r="ED76" i="3"/>
  <c r="D69" i="1"/>
  <c r="CT32" i="3"/>
  <c r="ED32" i="3" s="1"/>
  <c r="DB76" i="3"/>
  <c r="L69" i="1" s="1"/>
  <c r="DB98" i="3"/>
  <c r="AA98" i="3" s="1"/>
  <c r="ED79" i="3"/>
  <c r="CT46" i="3"/>
  <c r="CZ104" i="3"/>
  <c r="V104" i="3" s="1"/>
  <c r="CT28" i="3"/>
  <c r="CT83" i="3"/>
  <c r="ED84" i="3"/>
  <c r="DB21" i="3"/>
  <c r="AA21" i="3" s="1"/>
  <c r="DB12" i="3"/>
  <c r="AA12" i="3" s="1"/>
  <c r="DB60" i="3"/>
  <c r="AA60" i="3" s="1"/>
  <c r="CT10" i="3"/>
  <c r="CX33" i="3"/>
  <c r="Q33" i="3" s="1"/>
  <c r="ED82" i="3"/>
  <c r="CX50" i="3"/>
  <c r="ED50" i="3" s="1"/>
  <c r="CX53" i="3"/>
  <c r="ED53" i="3" s="1"/>
  <c r="ED23" i="3"/>
  <c r="CX15" i="3"/>
  <c r="Q15" i="3" s="1"/>
  <c r="CT104" i="3"/>
  <c r="ED105" i="3"/>
  <c r="ED102" i="3"/>
  <c r="CT101" i="3"/>
  <c r="CT47" i="3"/>
  <c r="ED47" i="3" s="1"/>
  <c r="ED16" i="3"/>
  <c r="CT15" i="3"/>
  <c r="CT80" i="3"/>
  <c r="ED81" i="3"/>
  <c r="CX95" i="3"/>
  <c r="Q95" i="3" s="1"/>
  <c r="CT92" i="3"/>
  <c r="ED93" i="3"/>
  <c r="CT12" i="3"/>
  <c r="CT77" i="3"/>
  <c r="ED78" i="3"/>
  <c r="DB83" i="3"/>
  <c r="AA83" i="3" s="1"/>
  <c r="CX45" i="3"/>
  <c r="Q45" i="3" s="1"/>
  <c r="CT31" i="3"/>
  <c r="DB104" i="3"/>
  <c r="AA104" i="3" s="1"/>
  <c r="DB107" i="3"/>
  <c r="AA107" i="3" s="1"/>
  <c r="CT110" i="3"/>
  <c r="ED111" i="3"/>
  <c r="G57" i="3"/>
  <c r="CT48" i="3"/>
  <c r="ED49" i="3"/>
  <c r="DB113" i="3"/>
  <c r="AA113" i="3" s="1"/>
  <c r="CX80" i="3"/>
  <c r="Q80" i="3" s="1"/>
  <c r="ED38" i="3"/>
  <c r="CZ19" i="3"/>
  <c r="CZ18" i="3" s="1"/>
  <c r="V18" i="3" s="1"/>
  <c r="DB95" i="3"/>
  <c r="AA95" i="3" s="1"/>
  <c r="ED112" i="3"/>
  <c r="J69" i="1"/>
  <c r="CT86" i="3"/>
  <c r="ED87" i="3"/>
  <c r="ED59" i="3"/>
  <c r="CX26" i="3"/>
  <c r="CX24" i="3" s="1"/>
  <c r="Q24" i="3" s="1"/>
  <c r="CT107" i="3"/>
  <c r="ED108" i="3"/>
  <c r="CZ83" i="3"/>
  <c r="V83" i="3" s="1"/>
  <c r="CX74" i="3"/>
  <c r="Q74" i="3" s="1"/>
  <c r="ED7" i="3" l="1"/>
  <c r="CX51" i="3"/>
  <c r="Q51" i="3" s="1"/>
  <c r="ED95" i="3"/>
  <c r="ED37" i="3"/>
  <c r="F26" i="3"/>
  <c r="G24" i="3"/>
  <c r="EC24" i="3" s="1"/>
  <c r="C24" i="3" s="1"/>
  <c r="ED24" i="3"/>
  <c r="F24" i="3"/>
  <c r="CT33" i="3"/>
  <c r="ED34" i="3"/>
  <c r="F98" i="3"/>
  <c r="ED98" i="3"/>
  <c r="G98" i="3"/>
  <c r="EC98" i="3" s="1"/>
  <c r="C98" i="3" s="1"/>
  <c r="CX48" i="3"/>
  <c r="Q48" i="3" s="1"/>
  <c r="G86" i="3"/>
  <c r="EC86" i="3" s="1"/>
  <c r="C86" i="3" s="1"/>
  <c r="ED86" i="3"/>
  <c r="F86" i="3"/>
  <c r="ED92" i="3"/>
  <c r="G92" i="3"/>
  <c r="EC92" i="3" s="1"/>
  <c r="C92" i="3" s="1"/>
  <c r="F92" i="3"/>
  <c r="ED28" i="3"/>
  <c r="CT27" i="3"/>
  <c r="G74" i="3"/>
  <c r="ED77" i="3"/>
  <c r="G77" i="3"/>
  <c r="EC77" i="3" s="1"/>
  <c r="C77" i="3" s="1"/>
  <c r="F77" i="3"/>
  <c r="ED89" i="3"/>
  <c r="G89" i="3"/>
  <c r="EC89" i="3" s="1"/>
  <c r="C89" i="3" s="1"/>
  <c r="F89" i="3"/>
  <c r="G12" i="3"/>
  <c r="EC12" i="3" s="1"/>
  <c r="C12" i="3" s="1"/>
  <c r="F12" i="3"/>
  <c r="F14" i="3"/>
  <c r="ED12" i="3"/>
  <c r="ED104" i="3"/>
  <c r="G104" i="3"/>
  <c r="EC104" i="3" s="1"/>
  <c r="C104" i="3" s="1"/>
  <c r="F104" i="3"/>
  <c r="F83" i="3"/>
  <c r="G83" i="3"/>
  <c r="EC83" i="3" s="1"/>
  <c r="C83" i="3" s="1"/>
  <c r="ED83" i="3"/>
  <c r="CT39" i="3"/>
  <c r="ED40" i="3"/>
  <c r="ED110" i="3"/>
  <c r="G110" i="3"/>
  <c r="EC110" i="3" s="1"/>
  <c r="C110" i="3" s="1"/>
  <c r="F110" i="3"/>
  <c r="CT45" i="3"/>
  <c r="ED46" i="3"/>
  <c r="G6" i="3"/>
  <c r="EC6" i="3" s="1"/>
  <c r="C6" i="3" s="1"/>
  <c r="F8" i="3"/>
  <c r="F6" i="3"/>
  <c r="ED6" i="3"/>
  <c r="G80" i="3"/>
  <c r="EC80" i="3" s="1"/>
  <c r="C80" i="3" s="1"/>
  <c r="F80" i="3"/>
  <c r="ED80" i="3"/>
  <c r="ED11" i="3"/>
  <c r="CT42" i="3"/>
  <c r="ED43" i="3"/>
  <c r="ED60" i="3"/>
  <c r="G60" i="3"/>
  <c r="EC60" i="3" s="1"/>
  <c r="C60" i="3" s="1"/>
  <c r="F60" i="3"/>
  <c r="F62" i="3"/>
  <c r="ED10" i="3"/>
  <c r="CT9" i="3"/>
  <c r="ED113" i="3"/>
  <c r="G113" i="3"/>
  <c r="EC113" i="3" s="1"/>
  <c r="C113" i="3" s="1"/>
  <c r="F113" i="3"/>
  <c r="G15" i="3"/>
  <c r="EC15" i="3" s="1"/>
  <c r="C15" i="3" s="1"/>
  <c r="F17" i="3"/>
  <c r="F15" i="3"/>
  <c r="ED15" i="3"/>
  <c r="F36" i="3"/>
  <c r="ED36" i="3"/>
  <c r="G36" i="3"/>
  <c r="EC36" i="3" s="1"/>
  <c r="C36" i="3" s="1"/>
  <c r="F38" i="3"/>
  <c r="ED31" i="3"/>
  <c r="CT30" i="3"/>
  <c r="ED22" i="3"/>
  <c r="CT21" i="3"/>
  <c r="F95" i="3"/>
  <c r="CZ57" i="3"/>
  <c r="ED58" i="3"/>
  <c r="F51" i="3"/>
  <c r="ED51" i="3"/>
  <c r="F53" i="3"/>
  <c r="G51" i="3"/>
  <c r="EC51" i="3" s="1"/>
  <c r="C51" i="3" s="1"/>
  <c r="G107" i="3"/>
  <c r="EC107" i="3" s="1"/>
  <c r="C107" i="3" s="1"/>
  <c r="ED107" i="3"/>
  <c r="F107" i="3"/>
  <c r="G101" i="3"/>
  <c r="EC101" i="3" s="1"/>
  <c r="C101" i="3" s="1"/>
  <c r="ED101" i="3"/>
  <c r="F101" i="3"/>
  <c r="G48" i="3"/>
  <c r="EC48" i="3" s="1"/>
  <c r="C48" i="3" s="1"/>
  <c r="F50" i="3"/>
  <c r="ED48" i="3"/>
  <c r="F48" i="3"/>
  <c r="EC95" i="3"/>
  <c r="C95" i="3" s="1"/>
  <c r="DB74" i="3"/>
  <c r="AA74" i="3" s="1"/>
  <c r="ED19" i="3"/>
  <c r="CT18" i="3"/>
  <c r="ED26" i="3"/>
  <c r="F74" i="3" l="1"/>
  <c r="ED45" i="3"/>
  <c r="F47" i="3"/>
  <c r="G45" i="3"/>
  <c r="EC45" i="3" s="1"/>
  <c r="C45" i="3" s="1"/>
  <c r="F45" i="3"/>
  <c r="EC74" i="3"/>
  <c r="C74" i="3" s="1"/>
  <c r="B74" i="3" s="1"/>
  <c r="V57" i="3"/>
  <c r="EC57" i="3" s="1"/>
  <c r="C57" i="3" s="1"/>
  <c r="F59" i="3"/>
  <c r="F57" i="3"/>
  <c r="ED57" i="3"/>
  <c r="F42" i="3"/>
  <c r="G42" i="3"/>
  <c r="EC42" i="3" s="1"/>
  <c r="C42" i="3" s="1"/>
  <c r="ED42" i="3"/>
  <c r="F44" i="3"/>
  <c r="ED74" i="3"/>
  <c r="F29" i="3"/>
  <c r="G27" i="3"/>
  <c r="EC27" i="3" s="1"/>
  <c r="C27" i="3" s="1"/>
  <c r="F27" i="3"/>
  <c r="ED27" i="3"/>
  <c r="F23" i="3"/>
  <c r="G21" i="3"/>
  <c r="EC21" i="3" s="1"/>
  <c r="C21" i="3" s="1"/>
  <c r="ED21" i="3"/>
  <c r="F21" i="3"/>
  <c r="F33" i="3"/>
  <c r="F35" i="3"/>
  <c r="ED33" i="3"/>
  <c r="G33" i="3"/>
  <c r="EC33" i="3" s="1"/>
  <c r="C33" i="3" s="1"/>
  <c r="F30" i="3"/>
  <c r="F32" i="3"/>
  <c r="ED30" i="3"/>
  <c r="G30" i="3"/>
  <c r="EC30" i="3" s="1"/>
  <c r="C30" i="3" s="1"/>
  <c r="B30" i="3" s="1"/>
  <c r="F39" i="3"/>
  <c r="ED39" i="3"/>
  <c r="G39" i="3"/>
  <c r="EC39" i="3" s="1"/>
  <c r="C39" i="3" s="1"/>
  <c r="F41" i="3"/>
  <c r="F20" i="3"/>
  <c r="ED18" i="3"/>
  <c r="F18" i="3"/>
  <c r="G18" i="3"/>
  <c r="EC18" i="3" s="1"/>
  <c r="C18" i="3" s="1"/>
  <c r="F11" i="3"/>
  <c r="G9" i="3"/>
  <c r="EC9" i="3" s="1"/>
  <c r="C9" i="3" s="1"/>
  <c r="B15" i="3" s="1"/>
  <c r="ED9" i="3"/>
  <c r="F9" i="3"/>
  <c r="B16" i="3" l="1"/>
  <c r="B17" i="3"/>
  <c r="B54" i="3"/>
  <c r="B77" i="3"/>
  <c r="B45" i="3"/>
  <c r="B32" i="3"/>
  <c r="B31" i="3"/>
  <c r="B12" i="3"/>
  <c r="B110" i="3"/>
  <c r="B21" i="3"/>
  <c r="B42" i="3"/>
  <c r="B18" i="3"/>
  <c r="B51" i="3"/>
  <c r="B98" i="3"/>
  <c r="B9" i="3"/>
  <c r="B101" i="3"/>
  <c r="B83" i="3"/>
  <c r="B113" i="3"/>
  <c r="B86" i="3"/>
  <c r="B104" i="3"/>
  <c r="B107" i="3"/>
  <c r="B92" i="3"/>
  <c r="B6" i="3"/>
  <c r="B33" i="3"/>
  <c r="B24" i="3"/>
  <c r="B60" i="3"/>
  <c r="B89" i="3"/>
  <c r="B27" i="3"/>
  <c r="B57" i="3"/>
  <c r="B95" i="3"/>
  <c r="B39" i="3"/>
  <c r="B80" i="3"/>
  <c r="B48" i="3"/>
  <c r="B36" i="3"/>
  <c r="B44" i="3" l="1"/>
  <c r="B43" i="3"/>
  <c r="B35" i="3"/>
  <c r="B34" i="3"/>
  <c r="B20" i="3"/>
  <c r="B19" i="3"/>
  <c r="B38" i="3"/>
  <c r="B37" i="3"/>
  <c r="B23" i="3"/>
  <c r="B22" i="3"/>
  <c r="B13" i="3"/>
  <c r="B14" i="3"/>
  <c r="B41" i="3"/>
  <c r="B40" i="3"/>
  <c r="B49" i="3"/>
  <c r="B50" i="3"/>
  <c r="B59" i="3"/>
  <c r="B58" i="3"/>
  <c r="B47" i="3"/>
  <c r="B46" i="3"/>
  <c r="B10" i="3"/>
  <c r="B11" i="3"/>
  <c r="B55" i="3"/>
  <c r="B56" i="3"/>
  <c r="B7" i="3"/>
  <c r="B8" i="3"/>
  <c r="B8" i="2" s="1"/>
  <c r="B5" i="2"/>
  <c r="K48" i="2"/>
  <c r="C52" i="2"/>
  <c r="B29" i="3"/>
  <c r="B28" i="3"/>
  <c r="B61" i="3"/>
  <c r="B62" i="3"/>
  <c r="B25" i="3"/>
  <c r="B26" i="3"/>
  <c r="B52" i="3"/>
  <c r="B53" i="3"/>
  <c r="K10" i="2" l="1"/>
  <c r="J10" i="2"/>
  <c r="K15" i="2"/>
  <c r="K60" i="2"/>
  <c r="J61" i="2"/>
  <c r="K24" i="2"/>
  <c r="B26" i="2"/>
  <c r="K43" i="2"/>
  <c r="K39" i="2"/>
  <c r="C58" i="2"/>
  <c r="J7" i="2"/>
  <c r="J12" i="2"/>
  <c r="J40" i="2"/>
  <c r="K9" i="2"/>
  <c r="B23" i="2"/>
  <c r="B14" i="2"/>
  <c r="K49" i="2"/>
  <c r="B29" i="2"/>
  <c r="C22" i="2"/>
  <c r="K61" i="2"/>
  <c r="J9" i="2"/>
  <c r="K33" i="2"/>
  <c r="J28" i="2"/>
  <c r="K58" i="2"/>
  <c r="C28" i="2"/>
  <c r="C16" i="2"/>
  <c r="K42" i="2"/>
  <c r="J13" i="2"/>
  <c r="B17" i="2"/>
  <c r="C19" i="2"/>
  <c r="J34" i="2"/>
  <c r="J18" i="2"/>
  <c r="J33" i="2"/>
  <c r="C43" i="2"/>
  <c r="C7" i="2"/>
  <c r="K40" i="2"/>
  <c r="J52" i="2"/>
  <c r="J31" i="2"/>
  <c r="J19" i="2"/>
  <c r="J49" i="2"/>
  <c r="J36" i="2"/>
  <c r="K36" i="2"/>
  <c r="C25" i="2"/>
  <c r="J26" i="2"/>
  <c r="K26" i="2"/>
  <c r="C26" i="2"/>
  <c r="K13" i="2"/>
  <c r="J30" i="2"/>
  <c r="J25" i="2"/>
  <c r="C40" i="2"/>
  <c r="K7" i="2"/>
  <c r="C34" i="2"/>
  <c r="B59" i="2"/>
  <c r="J42" i="2"/>
  <c r="K21" i="2"/>
  <c r="J27" i="2"/>
  <c r="C61" i="2"/>
  <c r="J48" i="2"/>
  <c r="J58" i="2"/>
  <c r="B53" i="2"/>
  <c r="B50" i="2"/>
  <c r="J22" i="2"/>
  <c r="K30" i="2"/>
  <c r="J39" i="2"/>
  <c r="C13" i="2"/>
  <c r="J21" i="2"/>
  <c r="B35" i="2"/>
  <c r="K45" i="2"/>
  <c r="K16" i="2"/>
  <c r="C37" i="2"/>
  <c r="B11" i="2"/>
  <c r="B32" i="2"/>
  <c r="C49" i="2"/>
  <c r="J46" i="2"/>
  <c r="B47" i="2"/>
  <c r="J8" i="2"/>
  <c r="C8" i="2"/>
  <c r="K8" i="2"/>
  <c r="K52" i="2"/>
  <c r="C31" i="2"/>
  <c r="J55" i="2"/>
  <c r="B56" i="2"/>
  <c r="B38" i="2"/>
  <c r="J57" i="2"/>
  <c r="K27" i="2"/>
  <c r="C5" i="2"/>
  <c r="J5" i="2"/>
  <c r="K5" i="2"/>
  <c r="J37" i="2"/>
  <c r="C55" i="2"/>
  <c r="C10" i="2"/>
  <c r="K34" i="2"/>
  <c r="B44" i="2"/>
  <c r="J60" i="2"/>
  <c r="K31" i="2"/>
  <c r="J54" i="2"/>
  <c r="K18" i="2"/>
  <c r="K37" i="2"/>
  <c r="K51" i="2"/>
  <c r="K46" i="2"/>
  <c r="J15" i="2"/>
  <c r="K12" i="2"/>
  <c r="B41" i="2"/>
  <c r="K55" i="2"/>
  <c r="K6" i="2"/>
  <c r="C46" i="2"/>
  <c r="B20" i="2"/>
  <c r="K57" i="2"/>
  <c r="K22" i="2"/>
  <c r="J51" i="2"/>
  <c r="K28" i="2"/>
  <c r="J45" i="2"/>
  <c r="K19" i="2"/>
  <c r="K25" i="2"/>
  <c r="J24" i="2"/>
  <c r="J43" i="2"/>
  <c r="K54" i="2"/>
  <c r="J6" i="2"/>
  <c r="J16" i="2"/>
  <c r="C38" i="2" l="1"/>
  <c r="K38" i="2"/>
  <c r="J38" i="2"/>
  <c r="C11" i="2"/>
  <c r="K11" i="2"/>
  <c r="J11" i="2"/>
  <c r="J44" i="2"/>
  <c r="K44" i="2"/>
  <c r="C44" i="2"/>
  <c r="K56" i="2"/>
  <c r="J56" i="2"/>
  <c r="C56" i="2"/>
  <c r="C41" i="2"/>
  <c r="J41" i="2"/>
  <c r="K41" i="2"/>
  <c r="K35" i="2"/>
  <c r="J35" i="2"/>
  <c r="C35" i="2"/>
  <c r="K29" i="2"/>
  <c r="J29" i="2"/>
  <c r="C29" i="2"/>
  <c r="K59" i="2"/>
  <c r="J59" i="2"/>
  <c r="C59" i="2"/>
  <c r="K17" i="2"/>
  <c r="J17" i="2"/>
  <c r="C17" i="2"/>
  <c r="K20" i="2"/>
  <c r="C20" i="2"/>
  <c r="J20" i="2"/>
  <c r="J14" i="2"/>
  <c r="K14" i="2"/>
  <c r="C14" i="2"/>
  <c r="C47" i="2"/>
  <c r="K47" i="2"/>
  <c r="J47" i="2"/>
  <c r="J23" i="2"/>
  <c r="K23" i="2"/>
  <c r="C23" i="2"/>
  <c r="K50" i="2"/>
  <c r="J50" i="2"/>
  <c r="C50" i="2"/>
  <c r="K32" i="2"/>
  <c r="J32" i="2"/>
  <c r="C32" i="2"/>
  <c r="J53" i="2"/>
  <c r="K53" i="2"/>
  <c r="C53" i="2"/>
</calcChain>
</file>

<file path=xl/sharedStrings.xml><?xml version="1.0" encoding="utf-8"?>
<sst xmlns="http://schemas.openxmlformats.org/spreadsheetml/2006/main" count="1162" uniqueCount="367">
  <si>
    <r>
      <rPr>
        <sz val="8"/>
        <color rgb="FF000000"/>
        <rFont val="Georgia"/>
        <family val="2"/>
        <charset val="1"/>
      </rPr>
      <t xml:space="preserve">Rounds </t>
    </r>
    <r>
      <rPr>
        <sz val="8"/>
        <color rgb="FFFFF8C2"/>
        <rFont val="Georgia"/>
        <family val="1"/>
        <charset val="1"/>
      </rPr>
      <t>[Min Points]</t>
    </r>
  </si>
  <si>
    <t>WEEK</t>
  </si>
  <si>
    <t>Apr 29th</t>
  </si>
  <si>
    <t>May 6th</t>
  </si>
  <si>
    <t>May 13th</t>
  </si>
  <si>
    <t>May 20th</t>
  </si>
  <si>
    <t>May 27th</t>
  </si>
  <si>
    <t>June 3rd</t>
  </si>
  <si>
    <t>June 17th</t>
  </si>
  <si>
    <t>June 24th</t>
  </si>
  <si>
    <t>July 1st</t>
  </si>
  <si>
    <t>July 8th</t>
  </si>
  <si>
    <t>July 15th</t>
  </si>
  <si>
    <t>July 22nd</t>
  </si>
  <si>
    <t>July 29th</t>
  </si>
  <si>
    <t>Aug 5th</t>
  </si>
  <si>
    <t>Aug 12th</t>
  </si>
  <si>
    <t>Aug 19th</t>
  </si>
  <si>
    <t>Aug 26th</t>
  </si>
  <si>
    <t>Sept 2nd</t>
  </si>
  <si>
    <t>TOTAL</t>
  </si>
  <si>
    <t>AVG</t>
  </si>
  <si>
    <t>Side Game</t>
  </si>
  <si>
    <t>Closest to Pin</t>
  </si>
  <si>
    <t>Most Net Pars</t>
  </si>
  <si>
    <t>Most Under Par</t>
  </si>
  <si>
    <t>Skins</t>
  </si>
  <si>
    <t>Winner</t>
  </si>
  <si>
    <t>RA,MB,JP,HBH</t>
  </si>
  <si>
    <t>HBH, MW, Bags</t>
  </si>
  <si>
    <t>JBx3, CPx2, MBx2, KC, MWx2</t>
  </si>
  <si>
    <t>CP</t>
  </si>
  <si>
    <t>TEES</t>
  </si>
  <si>
    <t>Blue</t>
  </si>
  <si>
    <t>Rain Out</t>
  </si>
  <si>
    <t>Black</t>
  </si>
  <si>
    <t>White</t>
  </si>
  <si>
    <t>Matt White</t>
  </si>
  <si>
    <t>Harvey Points</t>
  </si>
  <si>
    <t>cash +/-</t>
  </si>
  <si>
    <t>Chris Preston</t>
  </si>
  <si>
    <t>Jeff Madden</t>
  </si>
  <si>
    <t>Kyle Cox</t>
  </si>
  <si>
    <t>Ben McGinnis</t>
  </si>
  <si>
    <t>Scotty Pierson</t>
  </si>
  <si>
    <t>Ronnie A.</t>
  </si>
  <si>
    <t>Jeff Biederman</t>
  </si>
  <si>
    <t>Chris McNeely</t>
  </si>
  <si>
    <t>Nathan Copley</t>
  </si>
  <si>
    <t>Mike Bonner</t>
  </si>
  <si>
    <t>Josh Stoll</t>
  </si>
  <si>
    <t>Chris Keaton</t>
  </si>
  <si>
    <t>Jay Patterson</t>
  </si>
  <si>
    <t>Alan Beasley</t>
  </si>
  <si>
    <t>A. Dawson</t>
  </si>
  <si>
    <t>Matt Jaquint</t>
  </si>
  <si>
    <t>Sean Wilson</t>
  </si>
  <si>
    <t>Moses</t>
  </si>
  <si>
    <t>AVERAGE</t>
  </si>
  <si>
    <r>
      <rPr>
        <sz val="10"/>
        <color rgb="FF000000"/>
        <rFont val="Georgia"/>
        <family val="2"/>
        <charset val="1"/>
      </rPr>
      <t xml:space="preserve">Rounds </t>
    </r>
    <r>
      <rPr>
        <sz val="10"/>
        <color rgb="FFFFF185"/>
        <rFont val="Georgia"/>
        <family val="1"/>
        <charset val="1"/>
      </rPr>
      <t>Min</t>
    </r>
  </si>
  <si>
    <t>Aug 20th</t>
  </si>
  <si>
    <t>Holes &lt; Par</t>
  </si>
  <si>
    <t>Winners</t>
  </si>
  <si>
    <t>Cox?</t>
  </si>
  <si>
    <t>Score</t>
  </si>
  <si>
    <t>Harvey</t>
  </si>
  <si>
    <t>Money</t>
  </si>
  <si>
    <t>H Rank</t>
  </si>
  <si>
    <t>M Rank</t>
  </si>
  <si>
    <t>MW</t>
  </si>
  <si>
    <t>MW1</t>
  </si>
  <si>
    <t>Groups</t>
  </si>
  <si>
    <t>MW2</t>
  </si>
  <si>
    <t>Points</t>
  </si>
  <si>
    <t>Total Points Out</t>
  </si>
  <si>
    <t>5 foursomes – first gets 20, last gets 1</t>
  </si>
  <si>
    <t>CP1</t>
  </si>
  <si>
    <t>4 foursomes – first gets 18, last gets 3</t>
  </si>
  <si>
    <t>CP2</t>
  </si>
  <si>
    <t>3 foursomes – first gets 16, last gets 5</t>
  </si>
  <si>
    <t>JM</t>
  </si>
  <si>
    <t>2 foursomes – first gets 14, last gets 7</t>
  </si>
  <si>
    <t>JM1</t>
  </si>
  <si>
    <t>1 foursome – first gets 12, last gets 9</t>
  </si>
  <si>
    <t>JM2</t>
  </si>
  <si>
    <t>KC</t>
  </si>
  <si>
    <t>KC1</t>
  </si>
  <si>
    <t>Basically, one point for every player and you take two from the top and the bottom</t>
  </si>
  <si>
    <t>KC2</t>
  </si>
  <si>
    <t>BM</t>
  </si>
  <si>
    <t>BM1</t>
  </si>
  <si>
    <t>BM2</t>
  </si>
  <si>
    <t>Count the rounds and divide by 4 to determine the points</t>
  </si>
  <si>
    <t>SP</t>
  </si>
  <si>
    <t xml:space="preserve">Rank the scores and add the points based on count above. </t>
  </si>
  <si>
    <t>SP1</t>
  </si>
  <si>
    <t>SP2</t>
  </si>
  <si>
    <t>RA</t>
  </si>
  <si>
    <t>FERROR(AVERAGE(OFFSET('Data - For Rank'!B$2,Standings!I6,0,COUNTIF(Standings!$I$6:I$62,Standings!I6)))+IFERROR(VLOOKUP((COUNT($G$6:$G$62)/4),$EQ$8:$ER$12,2,FALSE),0),"")</t>
  </si>
  <si>
    <t>RA1</t>
  </si>
  <si>
    <t>RA2</t>
  </si>
  <si>
    <t>JB</t>
  </si>
  <si>
    <t>JB1</t>
  </si>
  <si>
    <t>JB2</t>
  </si>
  <si>
    <t>CM</t>
  </si>
  <si>
    <t>CM1</t>
  </si>
  <si>
    <t>CM2</t>
  </si>
  <si>
    <t>NC</t>
  </si>
  <si>
    <t>NC1</t>
  </si>
  <si>
    <t>NC2</t>
  </si>
  <si>
    <t>MB</t>
  </si>
  <si>
    <t>MB1</t>
  </si>
  <si>
    <t>MB2</t>
  </si>
  <si>
    <t>JS</t>
  </si>
  <si>
    <t>JS1</t>
  </si>
  <si>
    <t>JS2</t>
  </si>
  <si>
    <t>CK</t>
  </si>
  <si>
    <t>CK1</t>
  </si>
  <si>
    <t>CK2</t>
  </si>
  <si>
    <t>JP</t>
  </si>
  <si>
    <t>JP1</t>
  </si>
  <si>
    <t>JP2</t>
  </si>
  <si>
    <t>AB</t>
  </si>
  <si>
    <t>AB1</t>
  </si>
  <si>
    <t>AB2</t>
  </si>
  <si>
    <t>AD</t>
  </si>
  <si>
    <t>AD1</t>
  </si>
  <si>
    <t>AD2</t>
  </si>
  <si>
    <t>MJ</t>
  </si>
  <si>
    <t>MJ1</t>
  </si>
  <si>
    <t>MJ2</t>
  </si>
  <si>
    <t>SW</t>
  </si>
  <si>
    <t>SW1</t>
  </si>
  <si>
    <t>SW2</t>
  </si>
  <si>
    <t>Moses1</t>
  </si>
  <si>
    <t>Moses2</t>
  </si>
  <si>
    <t>(Looks at both)</t>
  </si>
  <si>
    <t>Subs</t>
  </si>
  <si>
    <t>Week</t>
  </si>
  <si>
    <t>Tees</t>
  </si>
  <si>
    <t>TK</t>
  </si>
  <si>
    <t>Teddy Kluemper</t>
  </si>
  <si>
    <t>TK2</t>
  </si>
  <si>
    <t>TK1</t>
  </si>
  <si>
    <t>Sub13</t>
  </si>
  <si>
    <t>Sub1312</t>
  </si>
  <si>
    <t>Sub1311</t>
  </si>
  <si>
    <t>Sub12</t>
  </si>
  <si>
    <t>Sub1212</t>
  </si>
  <si>
    <t>Sub1211</t>
  </si>
  <si>
    <t>Sub11</t>
  </si>
  <si>
    <t>Sub1112</t>
  </si>
  <si>
    <t>Sub1111</t>
  </si>
  <si>
    <t>Sub101</t>
  </si>
  <si>
    <t>Sub10</t>
  </si>
  <si>
    <t>Sub1012</t>
  </si>
  <si>
    <t>Sub1011</t>
  </si>
  <si>
    <t>Sup9</t>
  </si>
  <si>
    <t>Sub9</t>
  </si>
  <si>
    <t>Sup92</t>
  </si>
  <si>
    <t>Sup91</t>
  </si>
  <si>
    <t>Sub8</t>
  </si>
  <si>
    <t>Sub82</t>
  </si>
  <si>
    <t>Sub81</t>
  </si>
  <si>
    <t>Sub7</t>
  </si>
  <si>
    <t>Sub72</t>
  </si>
  <si>
    <t>Sub71</t>
  </si>
  <si>
    <t>Sub6</t>
  </si>
  <si>
    <t>Sub62</t>
  </si>
  <si>
    <t>Sub61</t>
  </si>
  <si>
    <t>Sub5</t>
  </si>
  <si>
    <t>Sub52</t>
  </si>
  <si>
    <t>Sub51</t>
  </si>
  <si>
    <t>Sub4</t>
  </si>
  <si>
    <t>Sub42</t>
  </si>
  <si>
    <t>Sub41</t>
  </si>
  <si>
    <t>Sub3</t>
  </si>
  <si>
    <t>Sub32</t>
  </si>
  <si>
    <t>Sub31</t>
  </si>
  <si>
    <t>Sub14</t>
  </si>
  <si>
    <t>Sub142</t>
  </si>
  <si>
    <t>Sub141</t>
  </si>
  <si>
    <t>Sub2</t>
  </si>
  <si>
    <t>Sub22</t>
  </si>
  <si>
    <t>Sub21</t>
  </si>
  <si>
    <t>Rank</t>
  </si>
  <si>
    <t>Wolf Cup</t>
  </si>
  <si>
    <t>Betting Sheet</t>
  </si>
  <si>
    <t>Name_________________________________________</t>
  </si>
  <si>
    <t>In Season</t>
  </si>
  <si>
    <t>2015-2021</t>
  </si>
  <si>
    <t>3 year average</t>
  </si>
  <si>
    <t>Past 12 months</t>
  </si>
  <si>
    <t>Handicap</t>
  </si>
  <si>
    <t>Avg rounds played 3 yrs</t>
  </si>
  <si>
    <t>3 Yr Avg Points</t>
  </si>
  <si>
    <t>Name</t>
  </si>
  <si>
    <t>Highest Finish</t>
  </si>
  <si>
    <t xml:space="preserve">Rounds Played </t>
  </si>
  <si>
    <t>Avg Points</t>
  </si>
  <si>
    <t>Lowest Hdcp</t>
  </si>
  <si>
    <t>Current Hdcp</t>
  </si>
  <si>
    <t>Sandbagger Rating</t>
  </si>
  <si>
    <t>Odds</t>
  </si>
  <si>
    <t>$ Bets</t>
  </si>
  <si>
    <t>2021 Finish</t>
  </si>
  <si>
    <t>2020 Finish</t>
  </si>
  <si>
    <t>2019 Finish</t>
  </si>
  <si>
    <t>2018 Finish</t>
  </si>
  <si>
    <t>2017 Finish</t>
  </si>
  <si>
    <t>2016 Finish</t>
  </si>
  <si>
    <t>2015 Finish</t>
  </si>
  <si>
    <t>4 - 1</t>
  </si>
  <si>
    <t>Jason Moses</t>
  </si>
  <si>
    <t>1000 - 1</t>
  </si>
  <si>
    <t xml:space="preserve"> 7 - 2</t>
  </si>
  <si>
    <t>Ronnie Adkins</t>
  </si>
  <si>
    <t>5  - 1</t>
  </si>
  <si>
    <t>6 - 1</t>
  </si>
  <si>
    <t>7 - 1</t>
  </si>
  <si>
    <t>8 - 1</t>
  </si>
  <si>
    <t>5 - 1</t>
  </si>
  <si>
    <t>20 - 1</t>
  </si>
  <si>
    <t>Jeff Bierderman</t>
  </si>
  <si>
    <t>10 - 1</t>
  </si>
  <si>
    <t>DNF</t>
  </si>
  <si>
    <t>Scottie Pierson</t>
  </si>
  <si>
    <t>Scoittie Pierson</t>
  </si>
  <si>
    <t>Group A</t>
  </si>
  <si>
    <t>Group B</t>
  </si>
  <si>
    <t>Group C</t>
  </si>
  <si>
    <t>Group D</t>
  </si>
  <si>
    <t>Madden</t>
  </si>
  <si>
    <t>Bagger</t>
  </si>
  <si>
    <t>Keaton</t>
  </si>
  <si>
    <t>Ronnie</t>
  </si>
  <si>
    <t>Jay</t>
  </si>
  <si>
    <t>Dawson</t>
  </si>
  <si>
    <t>Josh</t>
  </si>
  <si>
    <t>Kyle</t>
  </si>
  <si>
    <t>Scottie</t>
  </si>
  <si>
    <t>Copley</t>
  </si>
  <si>
    <t>Biederman</t>
  </si>
  <si>
    <t>Preston</t>
  </si>
  <si>
    <t>Ben</t>
  </si>
  <si>
    <t>Score/$/Points</t>
  </si>
  <si>
    <t>HBH</t>
  </si>
  <si>
    <t>BDM</t>
  </si>
  <si>
    <t>JAY</t>
  </si>
  <si>
    <t>KYLE</t>
  </si>
  <si>
    <t>Bonner</t>
  </si>
  <si>
    <t>Jaquint</t>
  </si>
  <si>
    <t>Scotty</t>
  </si>
  <si>
    <t xml:space="preserve">Ronnie </t>
  </si>
  <si>
    <t>Stoll</t>
  </si>
  <si>
    <t>Beasley</t>
  </si>
  <si>
    <t>Pierson</t>
  </si>
  <si>
    <t>X</t>
  </si>
  <si>
    <t>McGinnis</t>
  </si>
  <si>
    <t>Kluemper</t>
  </si>
  <si>
    <t>Patterson</t>
  </si>
  <si>
    <t>Cox</t>
  </si>
  <si>
    <t>go aggressive on Subs early in the year and have 3 foursomes for the most part.  See if any of the subs become full timers</t>
  </si>
  <si>
    <t>1:00 pm Group</t>
  </si>
  <si>
    <t xml:space="preserve">Name </t>
  </si>
  <si>
    <t>1:10 pm Group</t>
  </si>
  <si>
    <t>1:20 pm Group</t>
  </si>
  <si>
    <t>1:30 pm Group</t>
  </si>
  <si>
    <t>1:40 pm Group</t>
  </si>
  <si>
    <t>matt white</t>
  </si>
  <si>
    <t>group 1</t>
  </si>
  <si>
    <t>group 2</t>
  </si>
  <si>
    <t>group 3</t>
  </si>
  <si>
    <t>group 4</t>
  </si>
  <si>
    <t>SUBS:</t>
  </si>
  <si>
    <t>pods</t>
  </si>
  <si>
    <t>top3</t>
  </si>
  <si>
    <t>plays</t>
  </si>
  <si>
    <t>HOLE</t>
  </si>
  <si>
    <t>PAR</t>
  </si>
  <si>
    <t>Bags</t>
  </si>
  <si>
    <t>Round</t>
  </si>
  <si>
    <t>FINAL</t>
  </si>
  <si>
    <t>PLAYOFFS</t>
  </si>
  <si>
    <t>banquet</t>
  </si>
  <si>
    <t>Week 1</t>
  </si>
  <si>
    <t>Revenue</t>
  </si>
  <si>
    <t>Week 2</t>
  </si>
  <si>
    <t>Week 3</t>
  </si>
  <si>
    <t>Expenses</t>
  </si>
  <si>
    <t>Week 4</t>
  </si>
  <si>
    <t>Weekly Cash prize</t>
  </si>
  <si>
    <t>Week 5</t>
  </si>
  <si>
    <t>2nd place</t>
  </si>
  <si>
    <t>Week 6</t>
  </si>
  <si>
    <t>3rd place</t>
  </si>
  <si>
    <t>Week 7</t>
  </si>
  <si>
    <t>plaque &amp; trophy</t>
  </si>
  <si>
    <t>estimate</t>
  </si>
  <si>
    <t>Week 8</t>
  </si>
  <si>
    <t>jacket</t>
  </si>
  <si>
    <t>Week 9</t>
  </si>
  <si>
    <t>plus embroidery</t>
  </si>
  <si>
    <t>Week 10</t>
  </si>
  <si>
    <t>Week 11</t>
  </si>
  <si>
    <t>carryover from '20</t>
  </si>
  <si>
    <t>Week 12</t>
  </si>
  <si>
    <t>Week 13</t>
  </si>
  <si>
    <t>Total</t>
  </si>
  <si>
    <t>Week 14</t>
  </si>
  <si>
    <t>Week 15</t>
  </si>
  <si>
    <t>Remaining</t>
  </si>
  <si>
    <t>Week 16</t>
  </si>
  <si>
    <t>Week 17</t>
  </si>
  <si>
    <t>Matt Jaqunit</t>
  </si>
  <si>
    <t>Week 18</t>
  </si>
  <si>
    <t>Week 19</t>
  </si>
  <si>
    <t>Bonus Points</t>
  </si>
  <si>
    <t>Bobby Marshall</t>
  </si>
  <si>
    <t>Paul Jacobson</t>
  </si>
  <si>
    <t>(bad weather)</t>
  </si>
  <si>
    <t>Mark Newfeld</t>
  </si>
  <si>
    <t>Tim Biller</t>
  </si>
  <si>
    <t>Nick Mayo</t>
  </si>
  <si>
    <t>Brandon Cline</t>
  </si>
  <si>
    <t>Tyler Hutchinson</t>
  </si>
  <si>
    <t>Marc Hettlinger</t>
  </si>
  <si>
    <t>Brad "El Nino" Wright</t>
  </si>
  <si>
    <t>Ryan "Fridge" Wingrove</t>
  </si>
  <si>
    <t>eric blake</t>
  </si>
  <si>
    <t>Mike Barbera</t>
  </si>
  <si>
    <t>Reggie Opimo</t>
  </si>
  <si>
    <t>Seth Ransbottom</t>
  </si>
  <si>
    <t>Cledus T. Judd</t>
  </si>
  <si>
    <t>Allan Thacker</t>
  </si>
  <si>
    <t>Joe White</t>
  </si>
  <si>
    <t>Matt Boggs</t>
  </si>
  <si>
    <t>Cody Rohrig</t>
  </si>
  <si>
    <t>Kurt Fleckenstein</t>
  </si>
  <si>
    <t>Steven Turner</t>
  </si>
  <si>
    <t>Corky Hammers</t>
  </si>
  <si>
    <t>Robbie Simmons</t>
  </si>
  <si>
    <t>Sid Torlone</t>
  </si>
  <si>
    <t>Ryan Stoler</t>
  </si>
  <si>
    <t>Ben Hardman</t>
  </si>
  <si>
    <t>Nathan Adkins</t>
  </si>
  <si>
    <t>Steve Flesher</t>
  </si>
  <si>
    <t>Rick Ellison</t>
  </si>
  <si>
    <t>Monte Ward</t>
  </si>
  <si>
    <t>Joe Randolph</t>
  </si>
  <si>
    <t>Apr 30th</t>
  </si>
  <si>
    <t>May 7th</t>
  </si>
  <si>
    <t>May 14th</t>
  </si>
  <si>
    <t>May 21st</t>
  </si>
  <si>
    <t>May 28th</t>
  </si>
  <si>
    <t>June 4th</t>
  </si>
  <si>
    <t>June 18th</t>
  </si>
  <si>
    <t>June 25th</t>
  </si>
  <si>
    <t>July 2nd</t>
  </si>
  <si>
    <t>July 9th</t>
  </si>
  <si>
    <t>July 16th</t>
  </si>
  <si>
    <t>July 23rd</t>
  </si>
  <si>
    <t>July 30th</t>
  </si>
  <si>
    <t>Aug 6th</t>
  </si>
  <si>
    <t>Aug 13th</t>
  </si>
  <si>
    <t>Aug 27th</t>
  </si>
  <si>
    <t>Sept 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</si>
</sst>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\$#,##0_);[Red]&quot;($&quot;#,##0\)"/>
    <numFmt numFmtId="166" formatCode="\$#,##0"/>
    <numFmt numFmtId="167" formatCode="_(\$* #,##0.00_);_(\$* \(#,##0.00\);_(\$* \-??_);_(@_)"/>
    <numFmt numFmtId="168" formatCode="\$#,##0.00_);[Red]&quot;($&quot;#,##0.00\)"/>
  </numFmts>
  <fonts count="31" x14ac:knownFonts="1">
    <font>
      <sz val="11"/>
      <color rgb="FF000000"/>
      <name val="Georgia"/>
      <family val="2"/>
      <charset val="1"/>
    </font>
    <font>
      <sz val="10"/>
      <color rgb="FF000000"/>
      <name val="Georgia"/>
      <family val="2"/>
      <charset val="1"/>
    </font>
    <font>
      <sz val="8"/>
      <color rgb="FF000000"/>
      <name val="Georgia"/>
      <family val="2"/>
      <charset val="1"/>
    </font>
    <font>
      <sz val="8"/>
      <color rgb="FFFFF8C2"/>
      <name val="Georgia"/>
      <family val="1"/>
      <charset val="1"/>
    </font>
    <font>
      <sz val="8"/>
      <name val="Georgia"/>
      <family val="1"/>
      <charset val="1"/>
    </font>
    <font>
      <sz val="8"/>
      <color rgb="FF000000"/>
      <name val="Georgia"/>
      <family val="1"/>
      <charset val="1"/>
    </font>
    <font>
      <sz val="8"/>
      <color rgb="FFFF0000"/>
      <name val="Georgia"/>
      <family val="2"/>
      <charset val="1"/>
    </font>
    <font>
      <b/>
      <sz val="9"/>
      <color rgb="FF000000"/>
      <name val="Georgia"/>
      <family val="2"/>
      <charset val="1"/>
    </font>
    <font>
      <sz val="9"/>
      <color rgb="FF000000"/>
      <name val="Georgia"/>
      <family val="1"/>
      <charset val="1"/>
    </font>
    <font>
      <b/>
      <sz val="9"/>
      <color rgb="FF000000"/>
      <name val="Georgia"/>
      <family val="1"/>
      <charset val="1"/>
    </font>
    <font>
      <sz val="8"/>
      <color rgb="FFFFFFFF"/>
      <name val="Georgia"/>
      <family val="2"/>
      <charset val="1"/>
    </font>
    <font>
      <sz val="9"/>
      <color rgb="FF000000"/>
      <name val="Georgia"/>
      <family val="2"/>
      <charset val="1"/>
    </font>
    <font>
      <sz val="10"/>
      <name val="Georgia"/>
      <family val="2"/>
      <charset val="1"/>
    </font>
    <font>
      <sz val="10"/>
      <color rgb="FFFFF185"/>
      <name val="Georgia"/>
      <family val="1"/>
      <charset val="1"/>
    </font>
    <font>
      <sz val="8"/>
      <name val="Georgia"/>
      <family val="2"/>
      <charset val="1"/>
    </font>
    <font>
      <b/>
      <sz val="10"/>
      <color rgb="FF000000"/>
      <name val="Georgia"/>
      <family val="2"/>
      <charset val="1"/>
    </font>
    <font>
      <sz val="11"/>
      <color rgb="FFFFFFFF"/>
      <name val="Georgia"/>
      <family val="2"/>
      <charset val="1"/>
    </font>
    <font>
      <b/>
      <sz val="11"/>
      <color rgb="FF000000"/>
      <name val="Georgia"/>
      <family val="1"/>
      <charset val="1"/>
    </font>
    <font>
      <sz val="11"/>
      <color rgb="FF000000"/>
      <name val="Calibri"/>
      <family val="2"/>
      <charset val="1"/>
    </font>
    <font>
      <sz val="11"/>
      <name val="Georgia"/>
      <family val="1"/>
      <charset val="1"/>
    </font>
    <font>
      <sz val="10"/>
      <name val="Georgia"/>
      <family val="1"/>
      <charset val="1"/>
    </font>
    <font>
      <sz val="8"/>
      <color rgb="FFFFFFFF"/>
      <name val="Georgia"/>
      <family val="1"/>
      <charset val="1"/>
    </font>
    <font>
      <b/>
      <i/>
      <sz val="10"/>
      <name val="Georgia"/>
      <family val="1"/>
      <charset val="1"/>
    </font>
    <font>
      <b/>
      <i/>
      <sz val="14"/>
      <color rgb="FF000000"/>
      <name val="Georgia"/>
      <family val="1"/>
      <charset val="1"/>
    </font>
    <font>
      <b/>
      <i/>
      <sz val="11"/>
      <color rgb="FF000000"/>
      <name val="Georgia"/>
      <family val="1"/>
      <charset val="1"/>
    </font>
    <font>
      <sz val="11"/>
      <name val="Georgia"/>
      <family val="2"/>
      <charset val="1"/>
    </font>
    <font>
      <sz val="11"/>
      <color rgb="FF000000"/>
      <name val="Georgia"/>
      <family val="1"/>
      <charset val="1"/>
    </font>
    <font>
      <i/>
      <sz val="11"/>
      <color rgb="FF000000"/>
      <name val="Georgia"/>
      <family val="1"/>
      <charset val="1"/>
    </font>
    <font>
      <sz val="10"/>
      <color rgb="FF000000"/>
      <name val="Georgia"/>
      <family val="1"/>
      <charset val="1"/>
    </font>
    <font>
      <sz val="11"/>
      <color rgb="FF000000"/>
      <name val="Georgia"/>
      <family val="2"/>
      <charset val="1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1DEDF"/>
      </patternFill>
    </fill>
    <fill>
      <patternFill patternType="solid">
        <fgColor rgb="FFF2F2F2"/>
        <bgColor rgb="FFE8EFEF"/>
      </patternFill>
    </fill>
    <fill>
      <patternFill patternType="solid">
        <fgColor rgb="FFFFF8C2"/>
        <bgColor rgb="FFF2F2F2"/>
      </patternFill>
    </fill>
    <fill>
      <patternFill patternType="solid">
        <fgColor rgb="FF92D050"/>
        <bgColor rgb="FF8CADAE"/>
      </patternFill>
    </fill>
    <fill>
      <patternFill patternType="solid">
        <fgColor rgb="FFD1DEDF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E8EFEF"/>
        <bgColor rgb="FFF2F2F2"/>
      </patternFill>
    </fill>
    <fill>
      <patternFill patternType="solid">
        <fgColor rgb="FFC5D1D7"/>
        <bgColor rgb="FFD1DEDF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rgb="FF8CADAE"/>
      </bottom>
      <diagonal/>
    </border>
    <border>
      <left/>
      <right/>
      <top style="thin">
        <color rgb="FF8CADAE"/>
      </top>
      <bottom/>
      <diagonal/>
    </border>
    <border>
      <left style="thin">
        <color rgb="FF8CADAE"/>
      </left>
      <right style="thin">
        <color rgb="FF8CADAE"/>
      </right>
      <top style="thin">
        <color rgb="FF8CADAE"/>
      </top>
      <bottom style="thin">
        <color rgb="FF8CADAE"/>
      </bottom>
      <diagonal/>
    </border>
    <border>
      <left style="thin">
        <color rgb="FF8CADAE"/>
      </left>
      <right style="thin">
        <color rgb="FF8CADAE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7" fontId="29" fillId="0" borderId="0" applyBorder="0" applyProtection="0"/>
    <xf numFmtId="9" fontId="29" fillId="0" borderId="0" applyBorder="0" applyProtection="0"/>
  </cellStyleXfs>
  <cellXfs count="219">
    <xf numFmtId="0" fontId="0" fillId="0" borderId="0" xfId="0"/>
    <xf numFmtId="0" fontId="14" fillId="7" borderId="3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0" xfId="0" applyFont="1" applyFill="1" applyBorder="1" applyAlignment="1">
      <alignment horizontal="center" textRotation="180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wrapText="1"/>
    </xf>
    <xf numFmtId="0" fontId="2" fillId="2" borderId="0" xfId="0" applyFont="1" applyFill="1" applyBorder="1" applyAlignment="1">
      <alignment horizontal="center" textRotation="180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 applyProtection="1">
      <alignment horizontal="center" vertical="center" wrapText="1"/>
      <protection locked="0"/>
    </xf>
    <xf numFmtId="164" fontId="7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1" fillId="2" borderId="0" xfId="0" applyFont="1" applyFill="1" applyBorder="1"/>
    <xf numFmtId="0" fontId="8" fillId="3" borderId="0" xfId="0" applyFont="1" applyFill="1" applyBorder="1" applyProtection="1">
      <protection locked="0"/>
    </xf>
    <xf numFmtId="164" fontId="9" fillId="0" borderId="0" xfId="0" applyNumberFormat="1" applyFont="1" applyBorder="1"/>
    <xf numFmtId="164" fontId="2" fillId="0" borderId="0" xfId="0" applyNumberFormat="1" applyFont="1" applyBorder="1"/>
    <xf numFmtId="0" fontId="10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64" fontId="8" fillId="0" borderId="0" xfId="0" applyNumberFormat="1" applyFont="1" applyBorder="1"/>
    <xf numFmtId="164" fontId="1" fillId="0" borderId="0" xfId="0" applyNumberFormat="1" applyFont="1" applyBorder="1"/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165" fontId="8" fillId="3" borderId="1" xfId="0" applyNumberFormat="1" applyFont="1" applyFill="1" applyBorder="1" applyProtection="1">
      <protection locked="0"/>
    </xf>
    <xf numFmtId="164" fontId="8" fillId="0" borderId="1" xfId="0" applyNumberFormat="1" applyFont="1" applyBorder="1"/>
    <xf numFmtId="166" fontId="11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0" fontId="8" fillId="0" borderId="0" xfId="0" applyFont="1" applyBorder="1"/>
    <xf numFmtId="0" fontId="0" fillId="0" borderId="1" xfId="0" applyFont="1" applyBorder="1" applyAlignment="1">
      <alignment horizontal="right"/>
    </xf>
    <xf numFmtId="1" fontId="8" fillId="3" borderId="0" xfId="0" applyNumberFormat="1" applyFont="1" applyFill="1" applyBorder="1" applyProtection="1">
      <protection locked="0"/>
    </xf>
    <xf numFmtId="0" fontId="0" fillId="0" borderId="0" xfId="0" applyFont="1"/>
    <xf numFmtId="164" fontId="11" fillId="0" borderId="0" xfId="0" applyNumberFormat="1" applyFont="1" applyAlignment="1">
      <alignment horizontal="center"/>
    </xf>
    <xf numFmtId="0" fontId="11" fillId="0" borderId="0" xfId="0" applyFont="1" applyBorder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Border="1"/>
    <xf numFmtId="1" fontId="0" fillId="0" borderId="0" xfId="0" applyNumberFormat="1" applyBorder="1"/>
    <xf numFmtId="1" fontId="2" fillId="0" borderId="0" xfId="0" applyNumberFormat="1" applyFont="1" applyBorder="1"/>
    <xf numFmtId="0" fontId="0" fillId="0" borderId="0" xfId="0" applyBorder="1" applyAlignment="1">
      <alignment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5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15" fillId="7" borderId="10" xfId="0" applyFont="1" applyFill="1" applyBorder="1" applyAlignment="1">
      <alignment horizontal="center" vertical="center"/>
    </xf>
    <xf numFmtId="2" fontId="15" fillId="7" borderId="10" xfId="0" applyNumberFormat="1" applyFont="1" applyFill="1" applyBorder="1" applyAlignment="1">
      <alignment horizontal="center" vertical="center"/>
    </xf>
    <xf numFmtId="0" fontId="16" fillId="0" borderId="0" xfId="0" applyFont="1" applyBorder="1"/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1" fillId="4" borderId="11" xfId="0" applyNumberFormat="1" applyFont="1" applyFill="1" applyBorder="1" applyAlignment="1">
      <alignment horizontal="center"/>
    </xf>
    <xf numFmtId="166" fontId="0" fillId="0" borderId="1" xfId="0" applyNumberFormat="1" applyFont="1" applyBorder="1"/>
    <xf numFmtId="164" fontId="0" fillId="0" borderId="1" xfId="0" applyNumberFormat="1" applyFont="1" applyBorder="1"/>
    <xf numFmtId="166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0" xfId="0" applyBorder="1"/>
    <xf numFmtId="166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16" fontId="2" fillId="2" borderId="0" xfId="0" applyNumberFormat="1" applyFont="1" applyFill="1" applyBorder="1" applyAlignment="1">
      <alignment horizontal="center" textRotation="180"/>
    </xf>
    <xf numFmtId="164" fontId="1" fillId="2" borderId="0" xfId="0" applyNumberFormat="1" applyFont="1" applyFill="1" applyBorder="1"/>
    <xf numFmtId="0" fontId="17" fillId="0" borderId="0" xfId="0" applyFont="1" applyBorder="1"/>
    <xf numFmtId="0" fontId="2" fillId="0" borderId="0" xfId="0" applyFont="1"/>
    <xf numFmtId="165" fontId="8" fillId="4" borderId="1" xfId="0" applyNumberFormat="1" applyFont="1" applyFill="1" applyBorder="1"/>
    <xf numFmtId="164" fontId="8" fillId="4" borderId="1" xfId="0" applyNumberFormat="1" applyFont="1" applyFill="1" applyBorder="1"/>
    <xf numFmtId="164" fontId="7" fillId="0" borderId="0" xfId="0" applyNumberFormat="1" applyFont="1" applyAlignment="1">
      <alignment horizontal="center"/>
    </xf>
    <xf numFmtId="0" fontId="18" fillId="0" borderId="0" xfId="0" applyFont="1" applyAlignment="1">
      <alignment vertical="center"/>
    </xf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15" xfId="0" applyFont="1" applyBorder="1"/>
    <xf numFmtId="0" fontId="0" fillId="0" borderId="15" xfId="0" applyBorder="1"/>
    <xf numFmtId="165" fontId="0" fillId="0" borderId="15" xfId="0" applyNumberFormat="1" applyBorder="1"/>
    <xf numFmtId="0" fontId="2" fillId="0" borderId="15" xfId="0" applyFont="1" applyBorder="1"/>
    <xf numFmtId="0" fontId="0" fillId="0" borderId="1" xfId="0" applyFont="1" applyBorder="1"/>
    <xf numFmtId="0" fontId="6" fillId="0" borderId="0" xfId="0" applyFont="1" applyBorder="1" applyAlignment="1">
      <alignment horizontal="left"/>
    </xf>
    <xf numFmtId="0" fontId="0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19" fillId="0" borderId="0" xfId="0" applyFont="1" applyBorder="1" applyProtection="1">
      <protection locked="0"/>
    </xf>
    <xf numFmtId="0" fontId="20" fillId="2" borderId="0" xfId="0" applyFont="1" applyFill="1" applyBorder="1"/>
    <xf numFmtId="0" fontId="21" fillId="0" borderId="0" xfId="0" applyFont="1" applyBorder="1" applyAlignment="1">
      <alignment horizontal="center"/>
    </xf>
    <xf numFmtId="0" fontId="20" fillId="0" borderId="0" xfId="0" applyFont="1" applyBorder="1" applyAlignment="1">
      <alignment horizontal="right"/>
    </xf>
    <xf numFmtId="164" fontId="20" fillId="4" borderId="0" xfId="0" applyNumberFormat="1" applyFont="1" applyFill="1" applyBorder="1" applyAlignment="1">
      <alignment horizontal="right"/>
    </xf>
    <xf numFmtId="0" fontId="21" fillId="0" borderId="1" xfId="0" applyFont="1" applyBorder="1" applyAlignment="1">
      <alignment horizontal="center"/>
    </xf>
    <xf numFmtId="0" fontId="19" fillId="0" borderId="0" xfId="0" applyFont="1" applyBorder="1" applyAlignment="1">
      <alignment horizontal="right"/>
    </xf>
    <xf numFmtId="0" fontId="20" fillId="0" borderId="1" xfId="0" applyFont="1" applyBorder="1" applyAlignment="1">
      <alignment horizontal="right"/>
    </xf>
    <xf numFmtId="0" fontId="22" fillId="0" borderId="0" xfId="0" applyFont="1" applyBorder="1" applyAlignment="1" applyProtection="1">
      <protection locked="0"/>
    </xf>
    <xf numFmtId="0" fontId="0" fillId="8" borderId="17" xfId="0" applyFill="1" applyBorder="1"/>
    <xf numFmtId="16" fontId="0" fillId="0" borderId="0" xfId="0" applyNumberFormat="1"/>
    <xf numFmtId="0" fontId="0" fillId="0" borderId="0" xfId="0"/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4" fillId="0" borderId="0" xfId="0" applyFont="1"/>
    <xf numFmtId="0" fontId="17" fillId="0" borderId="0" xfId="0" applyFont="1"/>
    <xf numFmtId="0" fontId="24" fillId="0" borderId="0" xfId="0" applyFont="1" applyAlignment="1">
      <alignment horizontal="center"/>
    </xf>
    <xf numFmtId="14" fontId="24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4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9" borderId="18" xfId="0" applyFont="1" applyFill="1" applyBorder="1"/>
    <xf numFmtId="2" fontId="0" fillId="9" borderId="18" xfId="0" applyNumberFormat="1" applyFont="1" applyFill="1" applyBorder="1" applyAlignment="1">
      <alignment horizontal="center"/>
    </xf>
    <xf numFmtId="2" fontId="0" fillId="0" borderId="0" xfId="0" applyNumberFormat="1"/>
    <xf numFmtId="0" fontId="0" fillId="0" borderId="0" xfId="0" applyFont="1" applyAlignment="1">
      <alignment horizontal="center"/>
    </xf>
    <xf numFmtId="0" fontId="0" fillId="0" borderId="18" xfId="0" applyFont="1" applyBorder="1"/>
    <xf numFmtId="2" fontId="0" fillId="0" borderId="18" xfId="0" applyNumberFormat="1" applyFont="1" applyBorder="1" applyAlignment="1">
      <alignment horizontal="center"/>
    </xf>
    <xf numFmtId="0" fontId="0" fillId="0" borderId="19" xfId="0" applyFont="1" applyBorder="1"/>
    <xf numFmtId="0" fontId="0" fillId="9" borderId="19" xfId="0" applyFont="1" applyFill="1" applyBorder="1"/>
    <xf numFmtId="0" fontId="11" fillId="0" borderId="0" xfId="0" applyFont="1"/>
    <xf numFmtId="0" fontId="11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Border="1" applyAlignment="1">
      <alignment horizontal="center" wrapText="1"/>
    </xf>
    <xf numFmtId="0" fontId="11" fillId="0" borderId="0" xfId="0" applyFont="1" applyBorder="1" applyAlignment="1">
      <alignment horizontal="center"/>
    </xf>
    <xf numFmtId="0" fontId="11" fillId="0" borderId="20" xfId="0" applyFont="1" applyBorder="1"/>
    <xf numFmtId="165" fontId="11" fillId="0" borderId="20" xfId="0" applyNumberFormat="1" applyFont="1" applyBorder="1"/>
    <xf numFmtId="0" fontId="11" fillId="0" borderId="0" xfId="0" applyFont="1" applyBorder="1"/>
    <xf numFmtId="0" fontId="0" fillId="0" borderId="0" xfId="0" applyAlignment="1"/>
    <xf numFmtId="0" fontId="0" fillId="10" borderId="0" xfId="0" applyFont="1" applyFill="1" applyAlignment="1"/>
    <xf numFmtId="0" fontId="0" fillId="10" borderId="0" xfId="0" applyFont="1" applyFill="1" applyAlignment="1">
      <alignment horizontal="center"/>
    </xf>
    <xf numFmtId="165" fontId="11" fillId="0" borderId="20" xfId="0" applyNumberFormat="1" applyFont="1" applyBorder="1" applyAlignment="1">
      <alignment horizontal="center"/>
    </xf>
    <xf numFmtId="0" fontId="0" fillId="0" borderId="0" xfId="0" applyFont="1" applyBorder="1" applyAlignment="1"/>
    <xf numFmtId="0" fontId="0" fillId="10" borderId="0" xfId="0" applyFill="1" applyBorder="1" applyAlignment="1">
      <alignment horizontal="center"/>
    </xf>
    <xf numFmtId="0" fontId="11" fillId="0" borderId="20" xfId="0" applyFont="1" applyBorder="1"/>
    <xf numFmtId="165" fontId="11" fillId="0" borderId="20" xfId="0" applyNumberFormat="1" applyFont="1" applyBorder="1"/>
    <xf numFmtId="0" fontId="0" fillId="10" borderId="0" xfId="0" applyFont="1" applyFill="1" applyBorder="1" applyAlignment="1"/>
    <xf numFmtId="0" fontId="0" fillId="10" borderId="0" xfId="0" applyFill="1"/>
    <xf numFmtId="0" fontId="11" fillId="0" borderId="1" xfId="0" applyFont="1" applyBorder="1"/>
    <xf numFmtId="0" fontId="0" fillId="0" borderId="1" xfId="0" applyBorder="1"/>
    <xf numFmtId="0" fontId="0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49" fontId="0" fillId="0" borderId="20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20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 applyBorder="1" applyAlignment="1" applyProtection="1"/>
    <xf numFmtId="49" fontId="0" fillId="0" borderId="0" xfId="0" applyNumberFormat="1" applyFont="1" applyAlignment="1">
      <alignment horizontal="center" vertical="center"/>
    </xf>
    <xf numFmtId="0" fontId="0" fillId="0" borderId="20" xfId="0" applyFont="1" applyBorder="1"/>
    <xf numFmtId="0" fontId="25" fillId="0" borderId="0" xfId="0" applyFont="1" applyAlignment="1">
      <alignment horizontal="center"/>
    </xf>
    <xf numFmtId="0" fontId="26" fillId="0" borderId="20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7" fillId="0" borderId="0" xfId="0" applyFont="1"/>
    <xf numFmtId="164" fontId="15" fillId="0" borderId="0" xfId="0" applyNumberFormat="1" applyFont="1" applyBorder="1" applyAlignment="1">
      <alignment horizontal="center"/>
    </xf>
    <xf numFmtId="1" fontId="9" fillId="0" borderId="0" xfId="0" applyNumberFormat="1" applyFont="1" applyBorder="1"/>
    <xf numFmtId="164" fontId="17" fillId="0" borderId="0" xfId="0" applyNumberFormat="1" applyFont="1" applyBorder="1" applyAlignment="1">
      <alignment horizontal="center"/>
    </xf>
    <xf numFmtId="164" fontId="17" fillId="0" borderId="0" xfId="0" applyNumberFormat="1" applyFont="1" applyBorder="1"/>
    <xf numFmtId="164" fontId="11" fillId="0" borderId="0" xfId="0" applyNumberFormat="1" applyFont="1" applyBorder="1"/>
    <xf numFmtId="0" fontId="2" fillId="0" borderId="1" xfId="0" applyFont="1" applyBorder="1" applyAlignment="1">
      <alignment horizontal="center"/>
    </xf>
    <xf numFmtId="166" fontId="11" fillId="0" borderId="1" xfId="0" applyNumberFormat="1" applyFont="1" applyBorder="1"/>
    <xf numFmtId="164" fontId="11" fillId="0" borderId="1" xfId="0" applyNumberFormat="1" applyFont="1" applyBorder="1"/>
    <xf numFmtId="164" fontId="0" fillId="0" borderId="1" xfId="0" applyNumberFormat="1" applyBorder="1"/>
    <xf numFmtId="0" fontId="1" fillId="0" borderId="1" xfId="0" applyFont="1" applyBorder="1" applyAlignment="1">
      <alignment horizontal="right"/>
    </xf>
    <xf numFmtId="166" fontId="11" fillId="0" borderId="0" xfId="0" applyNumberFormat="1" applyFont="1" applyBorder="1"/>
    <xf numFmtId="166" fontId="0" fillId="0" borderId="0" xfId="0" applyNumberFormat="1" applyBorder="1"/>
    <xf numFmtId="167" fontId="0" fillId="0" borderId="0" xfId="1" applyFont="1" applyBorder="1" applyAlignment="1" applyProtection="1"/>
    <xf numFmtId="0" fontId="1" fillId="5" borderId="0" xfId="0" applyFont="1" applyFill="1" applyBorder="1"/>
    <xf numFmtId="165" fontId="0" fillId="0" borderId="0" xfId="0" applyNumberFormat="1"/>
    <xf numFmtId="165" fontId="0" fillId="0" borderId="0" xfId="1" applyNumberFormat="1" applyFont="1" applyBorder="1" applyAlignment="1" applyProtection="1"/>
    <xf numFmtId="18" fontId="0" fillId="0" borderId="0" xfId="0" applyNumberFormat="1"/>
    <xf numFmtId="168" fontId="0" fillId="0" borderId="0" xfId="0" applyNumberFormat="1"/>
    <xf numFmtId="0" fontId="12" fillId="5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left"/>
    </xf>
    <xf numFmtId="0" fontId="0" fillId="5" borderId="0" xfId="0" applyFont="1" applyFill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64" fontId="15" fillId="0" borderId="0" xfId="0" applyNumberFormat="1" applyFont="1" applyAlignment="1">
      <alignment horizontal="center"/>
    </xf>
    <xf numFmtId="164" fontId="28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1" fillId="7" borderId="0" xfId="0" applyFont="1" applyFill="1"/>
    <xf numFmtId="0" fontId="4" fillId="7" borderId="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2" fillId="0" borderId="2" xfId="0" applyFont="1" applyBorder="1" applyAlignment="1">
      <alignment horizontal="right" wrapText="1"/>
    </xf>
    <xf numFmtId="0" fontId="0" fillId="0" borderId="0" xfId="0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1">
    <dxf>
      <font>
        <color rgb="FF00B0F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8C2"/>
      <rgbColor rgb="FFE8EFEF"/>
      <rgbColor rgb="FF660066"/>
      <rgbColor rgb="FFFF8080"/>
      <rgbColor rgb="FF0066CC"/>
      <rgbColor rgb="FFC5D1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D1DEDF"/>
      <rgbColor rgb="FFFFF185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8CADA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28575</xdr:rowOff>
        </xdr:from>
        <xdr:to>
          <xdr:col>4</xdr:col>
          <xdr:colOff>923925</xdr:colOff>
          <xdr:row>4</xdr:row>
          <xdr:rowOff>-247650</xdr:rowOff>
        </xdr:to>
        <xdr:sp macro="" textlink="">
          <xdr:nvSpPr>
            <xdr:cNvPr id="1001" name="Button 2" descr="Sort and Paste" hidden="1">
              <a:extLst>
                <a:ext uri="{63B3BB69-23CF-44E3-9099-C40C66FF867C}">
                  <a14:compatExt spid="_x0000_s1001"/>
                </a:ext>
                <a:ext uri="{FF2B5EF4-FFF2-40B4-BE49-F238E27FC236}">
                  <a16:creationId xmlns:a16="http://schemas.microsoft.com/office/drawing/2014/main" id="{00000000-0008-0000-0200-0000E90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Sort and Paste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69</xdr:row>
          <xdr:rowOff>9525</xdr:rowOff>
        </xdr:from>
        <xdr:to>
          <xdr:col>4</xdr:col>
          <xdr:colOff>419100</xdr:colOff>
          <xdr:row>71</xdr:row>
          <xdr:rowOff>47625</xdr:rowOff>
        </xdr:to>
        <xdr:sp macro="" textlink="">
          <xdr:nvSpPr>
            <xdr:cNvPr id="1002" name="Button 3" descr="Sort Subs" hidden="1">
              <a:extLst>
                <a:ext uri="{63B3BB69-23CF-44E3-9099-C40C66FF867C}">
                  <a14:compatExt spid="_x0000_s1002"/>
                </a:ext>
                <a:ext uri="{FF2B5EF4-FFF2-40B4-BE49-F238E27FC236}">
                  <a16:creationId xmlns:a16="http://schemas.microsoft.com/office/drawing/2014/main" id="{00000000-0008-0000-0200-0000EA0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Sort Subs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28575</xdr:rowOff>
        </xdr:from>
        <xdr:to>
          <xdr:col>4</xdr:col>
          <xdr:colOff>923925</xdr:colOff>
          <xdr:row>4</xdr:row>
          <xdr:rowOff>247650</xdr:rowOff>
        </xdr:to>
        <xdr:sp macro="" textlink="">
          <xdr:nvSpPr>
            <xdr:cNvPr id="1026" name="shape_0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91440" tIns="45720" rIns="91440" bIns="4572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Georgia"/>
                </a:rPr>
                <a:t>Sort and Paste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69</xdr:row>
          <xdr:rowOff>9525</xdr:rowOff>
        </xdr:from>
        <xdr:to>
          <xdr:col>4</xdr:col>
          <xdr:colOff>419100</xdr:colOff>
          <xdr:row>71</xdr:row>
          <xdr:rowOff>47625</xdr:rowOff>
        </xdr:to>
        <xdr:sp macro="" textlink="">
          <xdr:nvSpPr>
            <xdr:cNvPr id="1025" name="shape_0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91440" tIns="45720" rIns="91440" bIns="4572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Georgia"/>
                </a:rPr>
                <a:t>Sort Subs</a:t>
              </a:r>
            </a:p>
          </xdr:txBody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I25" totalsRowShown="0">
  <autoFilter ref="A6:I25" xr:uid="{00000000-0009-0000-0100-000001000000}"/>
  <tableColumns count="9">
    <tableColumn id="1" xr3:uid="{00000000-0010-0000-0000-000001000000}" name="Name"/>
    <tableColumn id="2" xr3:uid="{00000000-0010-0000-0000-000002000000}" name="Highest Finish"/>
    <tableColumn id="3" xr3:uid="{00000000-0010-0000-0000-000003000000}" name="Rounds Played "/>
    <tableColumn id="4" xr3:uid="{00000000-0010-0000-0000-000004000000}" name="Avg Points"/>
    <tableColumn id="5" xr3:uid="{00000000-0010-0000-0000-000005000000}" name="Lowest Hdcp"/>
    <tableColumn id="6" xr3:uid="{00000000-0010-0000-0000-000006000000}" name="Current Hdcp"/>
    <tableColumn id="7" xr3:uid="{00000000-0010-0000-0000-000007000000}" name="Sandbagger Rating"/>
    <tableColumn id="8" xr3:uid="{00000000-0010-0000-0000-000008000000}" name="Odds"/>
    <tableColumn id="9" xr3:uid="{00000000-0010-0000-0000-000009000000}" name="$ Be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0"/>
  <sheetViews>
    <sheetView topLeftCell="A34" zoomScaleNormal="100" zoomScalePageLayoutView="60" workbookViewId="0">
      <selection activeCell="J67" sqref="J67"/>
    </sheetView>
  </sheetViews>
  <sheetFormatPr defaultColWidth="8.88671875" defaultRowHeight="14.25" x14ac:dyDescent="0.2"/>
  <cols>
    <col min="1" max="1" width="5.21875" style="15" customWidth="1"/>
    <col min="2" max="2" width="12.109375" style="15" customWidth="1"/>
    <col min="3" max="3" width="4.5546875" style="16" customWidth="1"/>
    <col min="4" max="4" width="6.6640625" style="16" customWidth="1"/>
    <col min="5" max="5" width="4.44140625" style="15" customWidth="1"/>
    <col min="6" max="6" width="8.33203125" style="15" hidden="1" customWidth="1"/>
    <col min="7" max="7" width="4.5546875" style="15" hidden="1" customWidth="1"/>
    <col min="8" max="8" width="5.33203125" style="15" customWidth="1"/>
    <col min="9" max="9" width="4.21875" style="15" customWidth="1"/>
    <col min="10" max="10" width="5.5546875" style="15" customWidth="1"/>
    <col min="11" max="11" width="4.44140625" style="15" customWidth="1"/>
    <col min="12" max="12" width="6.44140625" customWidth="1"/>
    <col min="13" max="13" width="4.44140625" customWidth="1"/>
    <col min="14" max="14" width="4.88671875" customWidth="1"/>
    <col min="15" max="15" width="4.44140625" customWidth="1"/>
    <col min="16" max="16" width="5.5546875" customWidth="1"/>
    <col min="17" max="17" width="3.5546875" customWidth="1"/>
    <col min="18" max="18" width="5.21875" style="15" customWidth="1"/>
    <col min="19" max="19" width="4.44140625" style="15" customWidth="1"/>
    <col min="20" max="20" width="5.88671875" style="15" customWidth="1"/>
    <col min="21" max="21" width="3.5546875" style="15" customWidth="1"/>
    <col min="22" max="22" width="4.77734375" style="15" customWidth="1"/>
    <col min="23" max="23" width="3.5546875" style="15" customWidth="1"/>
    <col min="24" max="24" width="5.21875" style="15" customWidth="1"/>
    <col min="25" max="25" width="3.5546875" style="15" customWidth="1"/>
    <col min="26" max="26" width="4.88671875" style="15" customWidth="1"/>
    <col min="27" max="27" width="3.5546875" style="15" customWidth="1"/>
    <col min="28" max="28" width="5.21875" style="15" customWidth="1"/>
    <col min="29" max="29" width="4.44140625" style="15" customWidth="1"/>
    <col min="30" max="30" width="4.77734375" style="15" customWidth="1"/>
    <col min="31" max="31" width="3.5546875" style="15" customWidth="1"/>
    <col min="32" max="32" width="5.21875" style="15" customWidth="1"/>
    <col min="33" max="33" width="3.5546875" style="15" customWidth="1"/>
    <col min="34" max="34" width="4.6640625" style="15" customWidth="1"/>
    <col min="35" max="35" width="3.5546875" style="15" customWidth="1"/>
    <col min="36" max="36" width="4.77734375" style="15" customWidth="1"/>
    <col min="37" max="37" width="3.5546875" style="15" customWidth="1"/>
    <col min="38" max="38" width="4.33203125" style="15" customWidth="1"/>
    <col min="39" max="39" width="4.44140625" style="15" customWidth="1"/>
    <col min="40" max="40" width="6.21875" style="15" customWidth="1"/>
    <col min="41" max="41" width="3.88671875" style="15" customWidth="1"/>
    <col min="42" max="1024" width="8.88671875" style="15"/>
  </cols>
  <sheetData>
    <row r="1" spans="1:41" ht="14.25" customHeight="1" x14ac:dyDescent="0.2">
      <c r="B1" s="17"/>
      <c r="C1" s="14" t="s">
        <v>0</v>
      </c>
      <c r="D1" s="13">
        <v>1</v>
      </c>
      <c r="E1" s="13"/>
      <c r="F1" s="13">
        <v>2</v>
      </c>
      <c r="G1" s="13"/>
      <c r="H1" s="13">
        <v>3</v>
      </c>
      <c r="I1" s="13"/>
      <c r="J1" s="13">
        <v>4</v>
      </c>
      <c r="K1" s="13"/>
      <c r="L1" s="13">
        <v>5</v>
      </c>
      <c r="M1" s="13"/>
      <c r="N1" s="13">
        <v>6</v>
      </c>
      <c r="O1" s="13"/>
      <c r="P1" s="13">
        <v>7</v>
      </c>
      <c r="Q1" s="13"/>
      <c r="R1" s="13">
        <v>8</v>
      </c>
      <c r="S1" s="13"/>
      <c r="T1" s="13">
        <v>9</v>
      </c>
      <c r="U1" s="13"/>
      <c r="V1" s="13">
        <v>10</v>
      </c>
      <c r="W1" s="13"/>
      <c r="X1" s="13">
        <v>11</v>
      </c>
      <c r="Y1" s="13"/>
      <c r="Z1" s="13">
        <v>12</v>
      </c>
      <c r="AA1" s="13"/>
      <c r="AB1" s="13">
        <v>13</v>
      </c>
      <c r="AC1" s="13"/>
      <c r="AD1" s="13">
        <v>14</v>
      </c>
      <c r="AE1" s="13"/>
      <c r="AF1" s="13">
        <v>15</v>
      </c>
      <c r="AG1" s="13"/>
      <c r="AH1" s="13">
        <v>16</v>
      </c>
      <c r="AI1" s="13"/>
      <c r="AJ1" s="13">
        <v>17</v>
      </c>
      <c r="AK1" s="13"/>
      <c r="AL1" s="13">
        <v>18</v>
      </c>
      <c r="AM1" s="13"/>
      <c r="AN1" s="17"/>
      <c r="AO1" s="19"/>
    </row>
    <row r="2" spans="1:41" x14ac:dyDescent="0.2">
      <c r="B2" s="20" t="s">
        <v>1</v>
      </c>
      <c r="C2" s="14"/>
      <c r="D2" s="12" t="s">
        <v>2</v>
      </c>
      <c r="E2" s="12"/>
      <c r="F2" s="12" t="s">
        <v>3</v>
      </c>
      <c r="G2" s="12"/>
      <c r="H2" s="12" t="s">
        <v>4</v>
      </c>
      <c r="I2" s="12"/>
      <c r="J2" s="12" t="s">
        <v>5</v>
      </c>
      <c r="K2" s="12"/>
      <c r="L2" s="12" t="s">
        <v>6</v>
      </c>
      <c r="M2" s="12"/>
      <c r="N2" s="12" t="s">
        <v>7</v>
      </c>
      <c r="O2" s="12"/>
      <c r="P2" s="12" t="s">
        <v>8</v>
      </c>
      <c r="Q2" s="12"/>
      <c r="R2" s="12" t="s">
        <v>9</v>
      </c>
      <c r="S2" s="12"/>
      <c r="T2" s="12" t="s">
        <v>10</v>
      </c>
      <c r="U2" s="12"/>
      <c r="V2" s="12" t="s">
        <v>11</v>
      </c>
      <c r="W2" s="12"/>
      <c r="X2" s="12" t="s">
        <v>12</v>
      </c>
      <c r="Y2" s="12"/>
      <c r="Z2" s="12" t="s">
        <v>13</v>
      </c>
      <c r="AA2" s="12"/>
      <c r="AB2" s="12" t="s">
        <v>14</v>
      </c>
      <c r="AC2" s="12"/>
      <c r="AD2" s="12" t="s">
        <v>15</v>
      </c>
      <c r="AE2" s="12"/>
      <c r="AF2" s="12" t="s">
        <v>16</v>
      </c>
      <c r="AG2" s="12"/>
      <c r="AH2" s="12" t="s">
        <v>17</v>
      </c>
      <c r="AI2" s="12"/>
      <c r="AJ2" s="12" t="s">
        <v>18</v>
      </c>
      <c r="AK2" s="12"/>
      <c r="AL2" s="12" t="s">
        <v>19</v>
      </c>
      <c r="AM2" s="12"/>
      <c r="AN2" s="22" t="s">
        <v>20</v>
      </c>
      <c r="AO2" s="23" t="s">
        <v>21</v>
      </c>
    </row>
    <row r="3" spans="1:41" ht="27.75" customHeight="1" x14ac:dyDescent="0.2">
      <c r="B3" s="20" t="s">
        <v>22</v>
      </c>
      <c r="C3" s="14"/>
      <c r="D3" s="11" t="s">
        <v>23</v>
      </c>
      <c r="E3" s="11"/>
      <c r="F3" s="11" t="s">
        <v>24</v>
      </c>
      <c r="G3" s="11"/>
      <c r="H3" s="11" t="s">
        <v>25</v>
      </c>
      <c r="I3" s="11"/>
      <c r="J3" s="11" t="s">
        <v>26</v>
      </c>
      <c r="K3" s="11"/>
      <c r="L3" s="11" t="s">
        <v>23</v>
      </c>
      <c r="M3" s="11"/>
      <c r="N3" s="11" t="s">
        <v>24</v>
      </c>
      <c r="O3" s="11"/>
      <c r="P3" s="11" t="s">
        <v>25</v>
      </c>
      <c r="Q3" s="11"/>
      <c r="R3" s="11" t="s">
        <v>26</v>
      </c>
      <c r="S3" s="11"/>
      <c r="T3" s="11" t="s">
        <v>23</v>
      </c>
      <c r="U3" s="11"/>
      <c r="V3" s="11" t="s">
        <v>24</v>
      </c>
      <c r="W3" s="11"/>
      <c r="X3" s="11" t="s">
        <v>25</v>
      </c>
      <c r="Y3" s="11"/>
      <c r="Z3" s="11" t="s">
        <v>26</v>
      </c>
      <c r="AA3" s="11"/>
      <c r="AB3" s="11" t="s">
        <v>23</v>
      </c>
      <c r="AC3" s="11"/>
      <c r="AD3" s="11" t="s">
        <v>24</v>
      </c>
      <c r="AE3" s="11"/>
      <c r="AF3" s="11" t="s">
        <v>25</v>
      </c>
      <c r="AG3" s="11"/>
      <c r="AH3" s="11" t="s">
        <v>26</v>
      </c>
      <c r="AI3" s="11"/>
      <c r="AJ3" s="11" t="s">
        <v>23</v>
      </c>
      <c r="AK3" s="11"/>
      <c r="AL3" s="11" t="s">
        <v>24</v>
      </c>
      <c r="AM3" s="11"/>
      <c r="AN3" s="11"/>
      <c r="AO3" s="11"/>
    </row>
    <row r="4" spans="1:41" ht="45" customHeight="1" x14ac:dyDescent="0.2">
      <c r="B4" s="24" t="s">
        <v>27</v>
      </c>
      <c r="C4" s="14"/>
      <c r="D4" s="10" t="s">
        <v>28</v>
      </c>
      <c r="E4" s="10"/>
      <c r="F4" s="10"/>
      <c r="G4" s="10"/>
      <c r="H4" s="9" t="s">
        <v>29</v>
      </c>
      <c r="I4" s="9"/>
      <c r="J4" s="9" t="s">
        <v>30</v>
      </c>
      <c r="K4" s="9"/>
      <c r="L4" s="9" t="s">
        <v>31</v>
      </c>
      <c r="M4" s="9"/>
      <c r="N4" s="9"/>
      <c r="O4" s="9"/>
      <c r="P4" s="10"/>
      <c r="Q4" s="10"/>
      <c r="R4" s="8"/>
      <c r="S4" s="8"/>
      <c r="T4" s="9"/>
      <c r="U4" s="9"/>
      <c r="V4" s="10"/>
      <c r="W4" s="10"/>
      <c r="X4" s="10"/>
      <c r="Y4" s="10"/>
      <c r="Z4" s="9"/>
      <c r="AA4" s="9"/>
      <c r="AB4" s="10"/>
      <c r="AC4" s="10"/>
      <c r="AD4" s="10"/>
      <c r="AE4" s="10"/>
      <c r="AF4" s="7"/>
      <c r="AG4" s="7"/>
      <c r="AH4" s="7"/>
      <c r="AI4" s="7"/>
      <c r="AJ4" s="10"/>
      <c r="AK4" s="10"/>
      <c r="AL4" s="10"/>
      <c r="AM4" s="10"/>
      <c r="AN4" s="26"/>
      <c r="AO4" s="23"/>
    </row>
    <row r="5" spans="1:41" ht="14.25" customHeight="1" x14ac:dyDescent="0.2">
      <c r="B5" s="27" t="s">
        <v>32</v>
      </c>
      <c r="C5" s="27"/>
      <c r="D5" s="11" t="s">
        <v>33</v>
      </c>
      <c r="E5" s="11"/>
      <c r="F5" s="15" t="s">
        <v>34</v>
      </c>
      <c r="H5" s="11" t="s">
        <v>35</v>
      </c>
      <c r="I5" s="11"/>
      <c r="J5" s="28" t="s">
        <v>36</v>
      </c>
      <c r="K5" s="28"/>
      <c r="L5" s="28" t="s">
        <v>33</v>
      </c>
      <c r="M5" s="28"/>
      <c r="N5" s="28" t="s">
        <v>35</v>
      </c>
      <c r="O5" s="28"/>
      <c r="P5" s="28" t="s">
        <v>36</v>
      </c>
      <c r="Q5" s="28"/>
      <c r="R5" s="28" t="s">
        <v>33</v>
      </c>
      <c r="S5" s="28"/>
      <c r="T5" s="28" t="s">
        <v>35</v>
      </c>
      <c r="U5" s="28"/>
      <c r="V5" s="28" t="s">
        <v>36</v>
      </c>
      <c r="W5" s="28"/>
      <c r="X5" s="28" t="s">
        <v>33</v>
      </c>
      <c r="Y5" s="28"/>
      <c r="Z5" s="28" t="s">
        <v>35</v>
      </c>
      <c r="AA5" s="28"/>
      <c r="AB5" s="28" t="s">
        <v>36</v>
      </c>
      <c r="AC5" s="28"/>
      <c r="AD5" s="28" t="s">
        <v>33</v>
      </c>
      <c r="AE5" s="28"/>
      <c r="AF5" s="28" t="s">
        <v>35</v>
      </c>
      <c r="AG5" s="28"/>
      <c r="AH5" s="28" t="s">
        <v>36</v>
      </c>
      <c r="AI5" s="28"/>
      <c r="AJ5" s="28" t="s">
        <v>33</v>
      </c>
      <c r="AK5" s="28"/>
      <c r="AL5" s="28" t="s">
        <v>35</v>
      </c>
      <c r="AM5" s="28"/>
      <c r="AN5" s="23"/>
      <c r="AO5" s="23"/>
    </row>
    <row r="6" spans="1:41" x14ac:dyDescent="0.2">
      <c r="A6" s="21">
        <v>1</v>
      </c>
      <c r="B6" s="29" t="s">
        <v>37</v>
      </c>
      <c r="C6" s="30">
        <v>4</v>
      </c>
      <c r="D6" s="31">
        <v>84</v>
      </c>
      <c r="E6" s="32">
        <v>20.5</v>
      </c>
      <c r="F6" s="31"/>
      <c r="G6" s="32"/>
      <c r="H6" s="31">
        <v>79</v>
      </c>
      <c r="I6" s="32">
        <v>31</v>
      </c>
      <c r="J6" s="31">
        <v>82</v>
      </c>
      <c r="K6" s="32">
        <v>26.5</v>
      </c>
      <c r="L6" s="31">
        <v>86</v>
      </c>
      <c r="M6" s="32">
        <v>26.5</v>
      </c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26">
        <v>104.5</v>
      </c>
      <c r="AO6" s="33">
        <v>26.125</v>
      </c>
    </row>
    <row r="7" spans="1:41" x14ac:dyDescent="0.2">
      <c r="A7" s="34">
        <v>1.1100000000000001</v>
      </c>
      <c r="B7" s="35" t="s">
        <v>38</v>
      </c>
      <c r="C7" s="35"/>
      <c r="D7" s="31">
        <v>32</v>
      </c>
      <c r="E7" s="36">
        <v>12.5</v>
      </c>
      <c r="F7" s="31"/>
      <c r="G7" s="36"/>
      <c r="H7" s="31">
        <v>39</v>
      </c>
      <c r="I7" s="36">
        <v>15</v>
      </c>
      <c r="J7" s="31">
        <v>32</v>
      </c>
      <c r="K7" s="36">
        <v>12.5</v>
      </c>
      <c r="L7" s="31">
        <v>30</v>
      </c>
      <c r="M7" s="36">
        <v>8.5</v>
      </c>
      <c r="N7" s="31"/>
      <c r="O7" s="36"/>
      <c r="P7" s="31"/>
      <c r="Q7" s="36"/>
      <c r="R7" s="31"/>
      <c r="S7" s="36"/>
      <c r="T7" s="31"/>
      <c r="U7" s="36"/>
      <c r="V7" s="31"/>
      <c r="W7" s="36"/>
      <c r="X7" s="31"/>
      <c r="Y7" s="36"/>
      <c r="Z7" s="31"/>
      <c r="AA7" s="36"/>
      <c r="AB7" s="31"/>
      <c r="AC7" s="36"/>
      <c r="AD7" s="31"/>
      <c r="AE7" s="36"/>
      <c r="AF7" s="31"/>
      <c r="AG7" s="36"/>
      <c r="AH7" s="31"/>
      <c r="AI7" s="36"/>
      <c r="AJ7" s="31"/>
      <c r="AK7" s="36"/>
      <c r="AL7" s="31"/>
      <c r="AM7" s="36"/>
      <c r="AN7" s="37">
        <v>33.25</v>
      </c>
      <c r="AO7" s="33">
        <v>12.125</v>
      </c>
    </row>
    <row r="8" spans="1:41" x14ac:dyDescent="0.2">
      <c r="A8" s="38">
        <v>1.0209999999999999</v>
      </c>
      <c r="B8" s="39" t="s">
        <v>39</v>
      </c>
      <c r="C8" s="40">
        <v>20.5</v>
      </c>
      <c r="D8" s="41">
        <v>-9</v>
      </c>
      <c r="E8" s="42">
        <v>8</v>
      </c>
      <c r="F8" s="41"/>
      <c r="G8" s="42"/>
      <c r="H8" s="41">
        <v>30</v>
      </c>
      <c r="I8" s="42">
        <v>16</v>
      </c>
      <c r="J8" s="41">
        <v>43</v>
      </c>
      <c r="K8" s="42">
        <v>14</v>
      </c>
      <c r="L8" s="41">
        <v>40</v>
      </c>
      <c r="M8" s="42">
        <v>18</v>
      </c>
      <c r="N8" s="41"/>
      <c r="O8" s="42"/>
      <c r="P8" s="41"/>
      <c r="Q8" s="42"/>
      <c r="R8" s="41"/>
      <c r="S8" s="42"/>
      <c r="T8" s="41"/>
      <c r="U8" s="42"/>
      <c r="V8" s="41"/>
      <c r="W8" s="42"/>
      <c r="X8" s="41"/>
      <c r="Y8" s="42"/>
      <c r="Z8" s="41"/>
      <c r="AA8" s="42"/>
      <c r="AB8" s="41"/>
      <c r="AC8" s="42"/>
      <c r="AD8" s="41"/>
      <c r="AE8" s="42"/>
      <c r="AF8" s="41"/>
      <c r="AG8" s="42"/>
      <c r="AH8" s="41"/>
      <c r="AI8" s="42"/>
      <c r="AJ8" s="41"/>
      <c r="AK8" s="42"/>
      <c r="AL8" s="41"/>
      <c r="AM8" s="42"/>
      <c r="AN8" s="43">
        <v>104</v>
      </c>
      <c r="AO8" s="44">
        <v>14</v>
      </c>
    </row>
    <row r="9" spans="1:41" x14ac:dyDescent="0.2">
      <c r="A9" s="21">
        <v>2</v>
      </c>
      <c r="B9" s="29" t="s">
        <v>40</v>
      </c>
      <c r="C9" s="30">
        <v>4</v>
      </c>
      <c r="D9" s="31">
        <v>82</v>
      </c>
      <c r="E9" s="32">
        <v>22</v>
      </c>
      <c r="F9" s="31"/>
      <c r="G9" s="32"/>
      <c r="H9" s="31">
        <v>81</v>
      </c>
      <c r="I9" s="32">
        <v>23.5</v>
      </c>
      <c r="J9" s="31">
        <v>76</v>
      </c>
      <c r="K9" s="32">
        <v>26</v>
      </c>
      <c r="L9" s="31">
        <v>80</v>
      </c>
      <c r="M9" s="32">
        <v>22.5</v>
      </c>
      <c r="N9" s="31"/>
      <c r="O9" s="32"/>
      <c r="P9" s="31"/>
      <c r="Q9" s="32"/>
      <c r="R9" s="31"/>
      <c r="S9" s="32"/>
      <c r="T9" s="31"/>
      <c r="U9" s="32"/>
      <c r="V9" s="31"/>
      <c r="W9" s="32"/>
      <c r="X9" s="31"/>
      <c r="Y9" s="32"/>
      <c r="Z9" s="31"/>
      <c r="AA9" s="32"/>
      <c r="AB9" s="31"/>
      <c r="AC9" s="32"/>
      <c r="AD9" s="31"/>
      <c r="AE9" s="32"/>
      <c r="AF9" s="31"/>
      <c r="AG9" s="32"/>
      <c r="AH9" s="31"/>
      <c r="AI9" s="32"/>
      <c r="AJ9" s="31"/>
      <c r="AK9" s="32"/>
      <c r="AL9" s="31"/>
      <c r="AM9" s="32"/>
      <c r="AN9" s="26">
        <v>94</v>
      </c>
      <c r="AO9" s="33">
        <v>23.5</v>
      </c>
    </row>
    <row r="10" spans="1:41" x14ac:dyDescent="0.2">
      <c r="A10" s="34">
        <v>2.12</v>
      </c>
      <c r="B10" s="35" t="s">
        <v>38</v>
      </c>
      <c r="C10" s="35"/>
      <c r="D10" s="31">
        <v>29</v>
      </c>
      <c r="E10" s="36">
        <v>6</v>
      </c>
      <c r="F10" s="31"/>
      <c r="G10" s="36"/>
      <c r="H10" s="31">
        <v>32</v>
      </c>
      <c r="I10" s="36">
        <v>11</v>
      </c>
      <c r="J10" s="31">
        <v>33</v>
      </c>
      <c r="K10" s="36">
        <v>14</v>
      </c>
      <c r="L10" s="31">
        <v>33</v>
      </c>
      <c r="M10" s="36">
        <v>14</v>
      </c>
      <c r="N10" s="31"/>
      <c r="O10" s="36"/>
      <c r="P10" s="31"/>
      <c r="Q10" s="36"/>
      <c r="R10" s="31"/>
      <c r="S10" s="36"/>
      <c r="T10" s="31"/>
      <c r="U10" s="36"/>
      <c r="V10" s="31"/>
      <c r="W10" s="36"/>
      <c r="X10" s="31"/>
      <c r="Y10" s="36"/>
      <c r="Z10" s="31"/>
      <c r="AA10" s="36"/>
      <c r="AB10" s="31"/>
      <c r="AC10" s="36"/>
      <c r="AD10" s="31"/>
      <c r="AE10" s="36"/>
      <c r="AF10" s="31"/>
      <c r="AG10" s="36"/>
      <c r="AH10" s="31"/>
      <c r="AI10" s="36"/>
      <c r="AJ10" s="31"/>
      <c r="AK10" s="36"/>
      <c r="AL10" s="31"/>
      <c r="AM10" s="36"/>
      <c r="AN10" s="37">
        <v>31.75</v>
      </c>
      <c r="AO10" s="33">
        <v>11.25</v>
      </c>
    </row>
    <row r="11" spans="1:41" x14ac:dyDescent="0.2">
      <c r="A11" s="38">
        <v>2.0219999999999998</v>
      </c>
      <c r="B11" s="39" t="s">
        <v>39</v>
      </c>
      <c r="C11" s="40">
        <v>22</v>
      </c>
      <c r="D11" s="41">
        <v>12</v>
      </c>
      <c r="E11" s="42">
        <v>16</v>
      </c>
      <c r="F11" s="41"/>
      <c r="G11" s="42"/>
      <c r="H11" s="41">
        <v>4</v>
      </c>
      <c r="I11" s="42">
        <v>12.5</v>
      </c>
      <c r="J11" s="41">
        <v>13</v>
      </c>
      <c r="K11" s="42">
        <v>12</v>
      </c>
      <c r="L11" s="41">
        <v>-6</v>
      </c>
      <c r="M11" s="42">
        <v>8.5</v>
      </c>
      <c r="N11" s="41"/>
      <c r="O11" s="42"/>
      <c r="P11" s="41"/>
      <c r="Q11" s="42"/>
      <c r="R11" s="41"/>
      <c r="S11" s="42"/>
      <c r="T11" s="41"/>
      <c r="U11" s="42"/>
      <c r="V11" s="41"/>
      <c r="W11" s="42"/>
      <c r="X11" s="41"/>
      <c r="Y11" s="42"/>
      <c r="Z11" s="41"/>
      <c r="AA11" s="42"/>
      <c r="AB11" s="41"/>
      <c r="AC11" s="42"/>
      <c r="AD11" s="41"/>
      <c r="AE11" s="42"/>
      <c r="AF11" s="41"/>
      <c r="AG11" s="42"/>
      <c r="AH11" s="41"/>
      <c r="AI11" s="42"/>
      <c r="AJ11" s="41"/>
      <c r="AK11" s="42"/>
      <c r="AL11" s="41"/>
      <c r="AM11" s="42"/>
      <c r="AN11" s="43">
        <v>23</v>
      </c>
      <c r="AO11" s="44">
        <v>12.25</v>
      </c>
    </row>
    <row r="12" spans="1:41" x14ac:dyDescent="0.2">
      <c r="A12" s="21">
        <v>3</v>
      </c>
      <c r="B12" s="45" t="s">
        <v>41</v>
      </c>
      <c r="C12" s="30">
        <v>3</v>
      </c>
      <c r="D12" s="31">
        <v>77</v>
      </c>
      <c r="E12" s="32">
        <v>36</v>
      </c>
      <c r="F12" s="31"/>
      <c r="G12" s="32"/>
      <c r="H12" s="31">
        <v>83</v>
      </c>
      <c r="I12" s="32">
        <v>26.5</v>
      </c>
      <c r="J12" s="31"/>
      <c r="K12" s="32"/>
      <c r="L12" s="31">
        <v>85</v>
      </c>
      <c r="M12" s="32">
        <v>31</v>
      </c>
      <c r="N12" s="31"/>
      <c r="O12" s="32"/>
      <c r="P12" s="31"/>
      <c r="Q12" s="32"/>
      <c r="R12" s="31"/>
      <c r="S12" s="32"/>
      <c r="T12" s="31"/>
      <c r="U12" s="32"/>
      <c r="V12" s="31"/>
      <c r="W12" s="32"/>
      <c r="X12" s="31"/>
      <c r="Y12" s="32"/>
      <c r="Z12" s="31"/>
      <c r="AA12" s="32"/>
      <c r="AB12" s="31"/>
      <c r="AC12" s="32"/>
      <c r="AD12" s="31"/>
      <c r="AE12" s="32"/>
      <c r="AF12" s="31"/>
      <c r="AG12" s="32"/>
      <c r="AH12" s="31"/>
      <c r="AI12" s="32"/>
      <c r="AJ12" s="31"/>
      <c r="AK12" s="32"/>
      <c r="AL12" s="31"/>
      <c r="AM12" s="32"/>
      <c r="AN12" s="26">
        <v>93.5</v>
      </c>
      <c r="AO12" s="33">
        <v>31.1666666666667</v>
      </c>
    </row>
    <row r="13" spans="1:41" x14ac:dyDescent="0.2">
      <c r="A13" s="34">
        <v>3.13</v>
      </c>
      <c r="B13" s="35" t="s">
        <v>38</v>
      </c>
      <c r="C13" s="35"/>
      <c r="D13" s="31">
        <v>40</v>
      </c>
      <c r="E13" s="36">
        <v>18</v>
      </c>
      <c r="F13" s="31"/>
      <c r="G13" s="36"/>
      <c r="H13" s="31">
        <v>37</v>
      </c>
      <c r="I13" s="36">
        <v>14</v>
      </c>
      <c r="J13" s="31"/>
      <c r="K13" s="36"/>
      <c r="L13" s="31">
        <v>33</v>
      </c>
      <c r="M13" s="36">
        <v>14</v>
      </c>
      <c r="N13" s="31"/>
      <c r="O13" s="36"/>
      <c r="P13" s="31"/>
      <c r="Q13" s="36"/>
      <c r="R13" s="31"/>
      <c r="S13" s="36"/>
      <c r="T13" s="31"/>
      <c r="U13" s="36"/>
      <c r="V13" s="31"/>
      <c r="W13" s="36"/>
      <c r="X13" s="31"/>
      <c r="Y13" s="36"/>
      <c r="Z13" s="31"/>
      <c r="AA13" s="36"/>
      <c r="AB13" s="31"/>
      <c r="AC13" s="36"/>
      <c r="AD13" s="31"/>
      <c r="AE13" s="36"/>
      <c r="AF13" s="31"/>
      <c r="AG13" s="36"/>
      <c r="AH13" s="31"/>
      <c r="AI13" s="36"/>
      <c r="AJ13" s="31"/>
      <c r="AK13" s="36"/>
      <c r="AL13" s="31"/>
      <c r="AM13" s="36"/>
      <c r="AN13" s="37">
        <v>36.6666666666667</v>
      </c>
      <c r="AO13" s="33">
        <v>15.3333333333333</v>
      </c>
    </row>
    <row r="14" spans="1:41" x14ac:dyDescent="0.2">
      <c r="A14" s="38">
        <v>3.0230000000000001</v>
      </c>
      <c r="B14" s="39" t="s">
        <v>39</v>
      </c>
      <c r="C14" s="40">
        <v>26.5</v>
      </c>
      <c r="D14" s="41">
        <v>35</v>
      </c>
      <c r="E14" s="42">
        <v>18</v>
      </c>
      <c r="F14" s="41"/>
      <c r="G14" s="42"/>
      <c r="H14" s="41">
        <v>4</v>
      </c>
      <c r="I14" s="42">
        <v>12.5</v>
      </c>
      <c r="J14" s="41"/>
      <c r="K14" s="42"/>
      <c r="L14" s="41">
        <v>38</v>
      </c>
      <c r="M14" s="42">
        <v>17</v>
      </c>
      <c r="N14" s="41"/>
      <c r="O14" s="42"/>
      <c r="P14" s="41"/>
      <c r="Q14" s="42"/>
      <c r="R14" s="41"/>
      <c r="S14" s="42"/>
      <c r="T14" s="41"/>
      <c r="U14" s="42"/>
      <c r="V14" s="41"/>
      <c r="W14" s="42"/>
      <c r="X14" s="41"/>
      <c r="Y14" s="42"/>
      <c r="Z14" s="41"/>
      <c r="AA14" s="42"/>
      <c r="AB14" s="41"/>
      <c r="AC14" s="42"/>
      <c r="AD14" s="41"/>
      <c r="AE14" s="42"/>
      <c r="AF14" s="41"/>
      <c r="AG14" s="42"/>
      <c r="AH14" s="41"/>
      <c r="AI14" s="42"/>
      <c r="AJ14" s="41"/>
      <c r="AK14" s="42"/>
      <c r="AL14" s="41"/>
      <c r="AM14" s="42"/>
      <c r="AN14" s="43">
        <v>77</v>
      </c>
      <c r="AO14" s="44">
        <v>15.8333333333333</v>
      </c>
    </row>
    <row r="15" spans="1:41" x14ac:dyDescent="0.2">
      <c r="A15" s="21">
        <v>4</v>
      </c>
      <c r="B15" s="46" t="s">
        <v>42</v>
      </c>
      <c r="C15" s="30">
        <v>3</v>
      </c>
      <c r="D15" s="31">
        <v>83</v>
      </c>
      <c r="E15" s="32">
        <v>26.5</v>
      </c>
      <c r="F15" s="31"/>
      <c r="G15" s="32"/>
      <c r="H15" s="31"/>
      <c r="I15" s="32"/>
      <c r="J15" s="31">
        <v>84</v>
      </c>
      <c r="K15" s="32">
        <v>24</v>
      </c>
      <c r="L15" s="31">
        <v>87</v>
      </c>
      <c r="M15" s="32">
        <v>23</v>
      </c>
      <c r="N15" s="31"/>
      <c r="O15" s="32"/>
      <c r="P15" s="31"/>
      <c r="Q15" s="32"/>
      <c r="R15" s="31"/>
      <c r="S15" s="32"/>
      <c r="T15" s="31"/>
      <c r="U15" s="32"/>
      <c r="V15" s="31"/>
      <c r="W15" s="32"/>
      <c r="X15" s="31"/>
      <c r="Y15" s="32"/>
      <c r="Z15" s="31"/>
      <c r="AA15" s="32"/>
      <c r="AB15" s="31"/>
      <c r="AC15" s="32"/>
      <c r="AD15" s="31"/>
      <c r="AE15" s="32"/>
      <c r="AF15" s="31"/>
      <c r="AG15" s="32"/>
      <c r="AH15" s="31"/>
      <c r="AI15" s="32"/>
      <c r="AJ15" s="31"/>
      <c r="AK15" s="32"/>
      <c r="AL15" s="31"/>
      <c r="AM15" s="32"/>
      <c r="AN15" s="26">
        <v>73.5</v>
      </c>
      <c r="AO15" s="33">
        <v>24.5</v>
      </c>
    </row>
    <row r="16" spans="1:41" x14ac:dyDescent="0.2">
      <c r="A16" s="34">
        <v>4.1399999999999997</v>
      </c>
      <c r="B16" s="35" t="s">
        <v>38</v>
      </c>
      <c r="C16" s="35"/>
      <c r="D16" s="31">
        <v>33</v>
      </c>
      <c r="E16" s="36">
        <v>14.5</v>
      </c>
      <c r="F16" s="31"/>
      <c r="G16" s="36"/>
      <c r="H16" s="31"/>
      <c r="I16" s="36"/>
      <c r="J16" s="31">
        <v>30</v>
      </c>
      <c r="K16" s="36">
        <v>11</v>
      </c>
      <c r="L16" s="31">
        <v>31</v>
      </c>
      <c r="M16" s="36">
        <v>11</v>
      </c>
      <c r="N16" s="31"/>
      <c r="O16" s="36"/>
      <c r="P16" s="31"/>
      <c r="Q16" s="36"/>
      <c r="R16" s="31"/>
      <c r="S16" s="36"/>
      <c r="T16" s="31"/>
      <c r="U16" s="36"/>
      <c r="V16" s="31"/>
      <c r="W16" s="36"/>
      <c r="X16" s="31"/>
      <c r="Y16" s="36"/>
      <c r="Z16" s="31"/>
      <c r="AA16" s="36"/>
      <c r="AB16" s="31"/>
      <c r="AC16" s="36"/>
      <c r="AD16" s="31"/>
      <c r="AE16" s="36"/>
      <c r="AF16" s="31"/>
      <c r="AG16" s="36"/>
      <c r="AH16" s="31"/>
      <c r="AI16" s="36"/>
      <c r="AJ16" s="31"/>
      <c r="AK16" s="36"/>
      <c r="AL16" s="31"/>
      <c r="AM16" s="36"/>
      <c r="AN16" s="37">
        <v>31.3333333333333</v>
      </c>
      <c r="AO16" s="33">
        <v>12.1666666666667</v>
      </c>
    </row>
    <row r="17" spans="1:41" x14ac:dyDescent="0.2">
      <c r="A17" s="38">
        <v>4.024</v>
      </c>
      <c r="B17" s="39" t="s">
        <v>39</v>
      </c>
      <c r="C17" s="40">
        <v>23</v>
      </c>
      <c r="D17" s="41">
        <v>5</v>
      </c>
      <c r="E17" s="42">
        <v>12</v>
      </c>
      <c r="F17" s="41"/>
      <c r="G17" s="42"/>
      <c r="H17" s="41"/>
      <c r="I17" s="42"/>
      <c r="J17" s="41">
        <v>41</v>
      </c>
      <c r="K17" s="42">
        <v>13</v>
      </c>
      <c r="L17" s="41">
        <v>8</v>
      </c>
      <c r="M17" s="42">
        <v>12</v>
      </c>
      <c r="N17" s="41"/>
      <c r="O17" s="42"/>
      <c r="P17" s="41"/>
      <c r="Q17" s="42"/>
      <c r="R17" s="41"/>
      <c r="S17" s="42"/>
      <c r="T17" s="41"/>
      <c r="U17" s="42"/>
      <c r="V17" s="41"/>
      <c r="W17" s="42"/>
      <c r="X17" s="41"/>
      <c r="Y17" s="42"/>
      <c r="Z17" s="41"/>
      <c r="AA17" s="42"/>
      <c r="AB17" s="41"/>
      <c r="AC17" s="42"/>
      <c r="AD17" s="41"/>
      <c r="AE17" s="42"/>
      <c r="AF17" s="41"/>
      <c r="AG17" s="42"/>
      <c r="AH17" s="41"/>
      <c r="AI17" s="42"/>
      <c r="AJ17" s="41"/>
      <c r="AK17" s="42"/>
      <c r="AL17" s="41"/>
      <c r="AM17" s="42"/>
      <c r="AN17" s="43">
        <v>54</v>
      </c>
      <c r="AO17" s="44">
        <v>12.3333333333333</v>
      </c>
    </row>
    <row r="18" spans="1:41" x14ac:dyDescent="0.2">
      <c r="A18" s="21">
        <v>4</v>
      </c>
      <c r="B18" s="29" t="s">
        <v>43</v>
      </c>
      <c r="C18" s="30">
        <v>3</v>
      </c>
      <c r="D18" s="31">
        <v>80</v>
      </c>
      <c r="E18" s="32">
        <v>23</v>
      </c>
      <c r="F18" s="31"/>
      <c r="G18" s="32"/>
      <c r="H18" s="31"/>
      <c r="I18" s="32"/>
      <c r="J18" s="31">
        <v>81</v>
      </c>
      <c r="K18" s="32">
        <v>21.5</v>
      </c>
      <c r="L18" s="31">
        <v>83</v>
      </c>
      <c r="M18" s="32">
        <v>29</v>
      </c>
      <c r="N18" s="31"/>
      <c r="O18" s="32"/>
      <c r="P18" s="31"/>
      <c r="Q18" s="32"/>
      <c r="R18" s="31"/>
      <c r="S18" s="32"/>
      <c r="T18" s="31"/>
      <c r="U18" s="32"/>
      <c r="V18" s="31"/>
      <c r="W18" s="32"/>
      <c r="X18" s="31"/>
      <c r="Y18" s="32"/>
      <c r="Z18" s="31"/>
      <c r="AA18" s="32"/>
      <c r="AB18" s="31"/>
      <c r="AC18" s="32"/>
      <c r="AD18" s="31"/>
      <c r="AE18" s="32"/>
      <c r="AF18" s="31"/>
      <c r="AG18" s="32"/>
      <c r="AH18" s="31"/>
      <c r="AI18" s="32"/>
      <c r="AJ18" s="31"/>
      <c r="AK18" s="32"/>
      <c r="AL18" s="31"/>
      <c r="AM18" s="32"/>
      <c r="AN18" s="26">
        <v>73.5</v>
      </c>
      <c r="AO18" s="33">
        <v>24.5</v>
      </c>
    </row>
    <row r="19" spans="1:41" x14ac:dyDescent="0.2">
      <c r="A19" s="34">
        <v>4.1500000000000004</v>
      </c>
      <c r="B19" s="35" t="s">
        <v>38</v>
      </c>
      <c r="C19" s="35"/>
      <c r="D19" s="31">
        <v>34</v>
      </c>
      <c r="E19" s="36">
        <v>16</v>
      </c>
      <c r="F19" s="31"/>
      <c r="G19" s="36"/>
      <c r="H19" s="31"/>
      <c r="I19" s="36"/>
      <c r="J19" s="31">
        <v>32</v>
      </c>
      <c r="K19" s="36">
        <v>12.5</v>
      </c>
      <c r="L19" s="31">
        <v>33</v>
      </c>
      <c r="M19" s="36">
        <v>14</v>
      </c>
      <c r="N19" s="31"/>
      <c r="O19" s="36"/>
      <c r="P19" s="31"/>
      <c r="Q19" s="36"/>
      <c r="R19" s="31"/>
      <c r="S19" s="36"/>
      <c r="T19" s="31"/>
      <c r="U19" s="36"/>
      <c r="V19" s="31"/>
      <c r="W19" s="36"/>
      <c r="X19" s="31"/>
      <c r="Y19" s="36"/>
      <c r="Z19" s="31"/>
      <c r="AA19" s="36"/>
      <c r="AB19" s="31"/>
      <c r="AC19" s="36"/>
      <c r="AD19" s="31"/>
      <c r="AE19" s="36"/>
      <c r="AF19" s="31"/>
      <c r="AG19" s="36"/>
      <c r="AH19" s="31"/>
      <c r="AI19" s="36"/>
      <c r="AJ19" s="31"/>
      <c r="AK19" s="36"/>
      <c r="AL19" s="31"/>
      <c r="AM19" s="36"/>
      <c r="AN19" s="37">
        <v>33</v>
      </c>
      <c r="AO19" s="33">
        <v>14.1666666666667</v>
      </c>
    </row>
    <row r="20" spans="1:41" x14ac:dyDescent="0.2">
      <c r="A20" s="38">
        <v>4.0250000000000004</v>
      </c>
      <c r="B20" s="39" t="s">
        <v>39</v>
      </c>
      <c r="C20" s="40">
        <v>21.5</v>
      </c>
      <c r="D20" s="41">
        <v>-10</v>
      </c>
      <c r="E20" s="42">
        <v>7</v>
      </c>
      <c r="F20" s="41"/>
      <c r="G20" s="42"/>
      <c r="H20" s="41"/>
      <c r="I20" s="42"/>
      <c r="J20" s="41">
        <v>-15</v>
      </c>
      <c r="K20" s="42">
        <v>9</v>
      </c>
      <c r="L20" s="41">
        <v>20</v>
      </c>
      <c r="M20" s="42">
        <v>15</v>
      </c>
      <c r="N20" s="41"/>
      <c r="O20" s="42"/>
      <c r="P20" s="41"/>
      <c r="Q20" s="42"/>
      <c r="R20" s="41"/>
      <c r="S20" s="42"/>
      <c r="T20" s="41"/>
      <c r="U20" s="42"/>
      <c r="V20" s="41"/>
      <c r="W20" s="42"/>
      <c r="X20" s="41"/>
      <c r="Y20" s="42"/>
      <c r="Z20" s="41"/>
      <c r="AA20" s="42"/>
      <c r="AB20" s="41"/>
      <c r="AC20" s="42"/>
      <c r="AD20" s="41"/>
      <c r="AE20" s="42"/>
      <c r="AF20" s="41"/>
      <c r="AG20" s="42"/>
      <c r="AH20" s="41"/>
      <c r="AI20" s="42"/>
      <c r="AJ20" s="41"/>
      <c r="AK20" s="42"/>
      <c r="AL20" s="41"/>
      <c r="AM20" s="42"/>
      <c r="AN20" s="43">
        <v>-5</v>
      </c>
      <c r="AO20" s="44">
        <v>10.3333333333333</v>
      </c>
    </row>
    <row r="21" spans="1:41" x14ac:dyDescent="0.2">
      <c r="A21" s="21">
        <v>6</v>
      </c>
      <c r="B21" s="47" t="s">
        <v>44</v>
      </c>
      <c r="C21" s="30">
        <v>3</v>
      </c>
      <c r="D21" s="31">
        <v>96</v>
      </c>
      <c r="E21" s="32">
        <v>27</v>
      </c>
      <c r="F21" s="31"/>
      <c r="G21" s="32"/>
      <c r="H21" s="31">
        <v>89</v>
      </c>
      <c r="I21" s="32">
        <v>31</v>
      </c>
      <c r="J21" s="31"/>
      <c r="K21" s="32"/>
      <c r="L21" s="31">
        <v>100</v>
      </c>
      <c r="M21" s="32">
        <v>12</v>
      </c>
      <c r="N21" s="31"/>
      <c r="O21" s="32"/>
      <c r="P21" s="31"/>
      <c r="Q21" s="32"/>
      <c r="R21" s="31"/>
      <c r="S21" s="32"/>
      <c r="T21" s="31"/>
      <c r="U21" s="32"/>
      <c r="V21" s="31"/>
      <c r="W21" s="32"/>
      <c r="X21" s="31"/>
      <c r="Y21" s="32"/>
      <c r="Z21" s="31"/>
      <c r="AA21" s="32"/>
      <c r="AB21" s="31"/>
      <c r="AC21" s="32"/>
      <c r="AD21" s="31"/>
      <c r="AE21" s="32"/>
      <c r="AF21" s="31"/>
      <c r="AG21" s="32"/>
      <c r="AH21" s="31"/>
      <c r="AI21" s="32"/>
      <c r="AJ21" s="31"/>
      <c r="AK21" s="32"/>
      <c r="AL21" s="31"/>
      <c r="AM21" s="32"/>
      <c r="AN21" s="26">
        <v>70</v>
      </c>
      <c r="AO21" s="33">
        <v>23.3333333333333</v>
      </c>
    </row>
    <row r="22" spans="1:41" x14ac:dyDescent="0.2">
      <c r="A22" s="34">
        <v>6.16</v>
      </c>
      <c r="B22" s="35" t="s">
        <v>38</v>
      </c>
      <c r="C22" s="35"/>
      <c r="D22" s="31">
        <v>31</v>
      </c>
      <c r="E22" s="36">
        <v>10</v>
      </c>
      <c r="F22" s="31"/>
      <c r="G22" s="36"/>
      <c r="H22" s="31">
        <v>40</v>
      </c>
      <c r="I22" s="36">
        <v>16</v>
      </c>
      <c r="J22" s="31"/>
      <c r="K22" s="36"/>
      <c r="L22" s="31">
        <v>27</v>
      </c>
      <c r="M22" s="36">
        <v>7</v>
      </c>
      <c r="N22" s="31"/>
      <c r="O22" s="36"/>
      <c r="P22" s="31"/>
      <c r="Q22" s="36"/>
      <c r="R22" s="31"/>
      <c r="S22" s="36"/>
      <c r="T22" s="31"/>
      <c r="U22" s="36"/>
      <c r="V22" s="31"/>
      <c r="W22" s="36"/>
      <c r="X22" s="31"/>
      <c r="Y22" s="36"/>
      <c r="Z22" s="31"/>
      <c r="AA22" s="36"/>
      <c r="AB22" s="31"/>
      <c r="AC22" s="36"/>
      <c r="AD22" s="31"/>
      <c r="AE22" s="36"/>
      <c r="AF22" s="31"/>
      <c r="AG22" s="36"/>
      <c r="AH22" s="31"/>
      <c r="AI22" s="36"/>
      <c r="AJ22" s="31"/>
      <c r="AK22" s="36"/>
      <c r="AL22" s="31"/>
      <c r="AM22" s="36"/>
      <c r="AN22" s="37">
        <v>32.6666666666667</v>
      </c>
      <c r="AO22" s="33">
        <v>11</v>
      </c>
    </row>
    <row r="23" spans="1:41" x14ac:dyDescent="0.2">
      <c r="A23" s="38">
        <v>6.0259999999999998</v>
      </c>
      <c r="B23" s="39" t="s">
        <v>39</v>
      </c>
      <c r="C23" s="40">
        <v>12</v>
      </c>
      <c r="D23" s="41">
        <v>27</v>
      </c>
      <c r="E23" s="42">
        <v>17</v>
      </c>
      <c r="F23" s="41"/>
      <c r="G23" s="42"/>
      <c r="H23" s="41">
        <v>21</v>
      </c>
      <c r="I23" s="42">
        <v>15</v>
      </c>
      <c r="J23" s="41"/>
      <c r="K23" s="42"/>
      <c r="L23" s="41">
        <v>-20</v>
      </c>
      <c r="M23" s="42">
        <v>5</v>
      </c>
      <c r="N23" s="41"/>
      <c r="O23" s="42"/>
      <c r="P23" s="41"/>
      <c r="Q23" s="42"/>
      <c r="R23" s="41"/>
      <c r="S23" s="42"/>
      <c r="T23" s="41"/>
      <c r="U23" s="42"/>
      <c r="V23" s="41"/>
      <c r="W23" s="42"/>
      <c r="X23" s="41"/>
      <c r="Y23" s="42"/>
      <c r="Z23" s="41"/>
      <c r="AA23" s="42"/>
      <c r="AB23" s="41"/>
      <c r="AC23" s="42"/>
      <c r="AD23" s="41"/>
      <c r="AE23" s="42"/>
      <c r="AF23" s="41"/>
      <c r="AG23" s="42"/>
      <c r="AH23" s="41"/>
      <c r="AI23" s="42"/>
      <c r="AJ23" s="41"/>
      <c r="AK23" s="42"/>
      <c r="AL23" s="41"/>
      <c r="AM23" s="42"/>
      <c r="AN23" s="43">
        <v>28</v>
      </c>
      <c r="AO23" s="44">
        <v>12.3333333333333</v>
      </c>
    </row>
    <row r="24" spans="1:41" x14ac:dyDescent="0.2">
      <c r="A24" s="21">
        <v>6</v>
      </c>
      <c r="B24" s="46" t="s">
        <v>45</v>
      </c>
      <c r="C24" s="30">
        <v>3</v>
      </c>
      <c r="D24" s="31">
        <v>77</v>
      </c>
      <c r="E24" s="32">
        <v>31.5</v>
      </c>
      <c r="F24" s="31"/>
      <c r="G24" s="32"/>
      <c r="H24" s="31">
        <v>87</v>
      </c>
      <c r="I24" s="32">
        <v>15</v>
      </c>
      <c r="J24" s="31"/>
      <c r="K24" s="32"/>
      <c r="L24" s="31">
        <v>81</v>
      </c>
      <c r="M24" s="32">
        <v>23.5</v>
      </c>
      <c r="N24" s="31"/>
      <c r="O24" s="32"/>
      <c r="P24" s="31"/>
      <c r="Q24" s="32"/>
      <c r="R24" s="31"/>
      <c r="S24" s="32"/>
      <c r="T24" s="31"/>
      <c r="U24" s="32"/>
      <c r="V24" s="31"/>
      <c r="W24" s="32"/>
      <c r="X24" s="31"/>
      <c r="Y24" s="32"/>
      <c r="Z24" s="31"/>
      <c r="AA24" s="32"/>
      <c r="AB24" s="31"/>
      <c r="AC24" s="32"/>
      <c r="AD24" s="31"/>
      <c r="AE24" s="32"/>
      <c r="AF24" s="31"/>
      <c r="AG24" s="32"/>
      <c r="AH24" s="31"/>
      <c r="AI24" s="32"/>
      <c r="AJ24" s="31"/>
      <c r="AK24" s="32"/>
      <c r="AL24" s="31"/>
      <c r="AM24" s="32"/>
      <c r="AN24" s="26">
        <v>70</v>
      </c>
      <c r="AO24" s="33">
        <v>23.3333333333333</v>
      </c>
    </row>
    <row r="25" spans="1:41" x14ac:dyDescent="0.2">
      <c r="A25" s="34">
        <v>6.17</v>
      </c>
      <c r="B25" s="35" t="s">
        <v>38</v>
      </c>
      <c r="C25" s="48"/>
      <c r="D25" s="31">
        <v>39</v>
      </c>
      <c r="E25" s="36">
        <v>17</v>
      </c>
      <c r="F25" s="31"/>
      <c r="G25" s="36"/>
      <c r="H25" s="31">
        <v>31</v>
      </c>
      <c r="I25" s="36">
        <v>10</v>
      </c>
      <c r="J25" s="31"/>
      <c r="K25" s="36"/>
      <c r="L25" s="31">
        <v>34</v>
      </c>
      <c r="M25" s="36">
        <v>16.5</v>
      </c>
      <c r="N25" s="31"/>
      <c r="O25" s="36"/>
      <c r="P25" s="31"/>
      <c r="Q25" s="36"/>
      <c r="R25" s="31"/>
      <c r="S25" s="36"/>
      <c r="T25" s="31"/>
      <c r="U25" s="36"/>
      <c r="V25" s="31"/>
      <c r="W25" s="36"/>
      <c r="X25" s="31"/>
      <c r="Y25" s="36"/>
      <c r="Z25" s="31"/>
      <c r="AA25" s="36"/>
      <c r="AB25" s="31"/>
      <c r="AC25" s="36"/>
      <c r="AD25" s="31"/>
      <c r="AE25" s="36"/>
      <c r="AF25" s="31"/>
      <c r="AG25" s="36"/>
      <c r="AH25" s="31"/>
      <c r="AI25" s="36"/>
      <c r="AJ25" s="31"/>
      <c r="AK25" s="36"/>
      <c r="AL25" s="31"/>
      <c r="AM25" s="36"/>
      <c r="AN25" s="37">
        <v>34.6666666666667</v>
      </c>
      <c r="AO25" s="33">
        <v>14.5</v>
      </c>
    </row>
    <row r="26" spans="1:41" x14ac:dyDescent="0.2">
      <c r="A26" s="38">
        <v>6.0270000000000001</v>
      </c>
      <c r="B26" s="39" t="s">
        <v>39</v>
      </c>
      <c r="C26" s="40">
        <v>15</v>
      </c>
      <c r="D26" s="41">
        <v>10</v>
      </c>
      <c r="E26" s="42">
        <v>14.5</v>
      </c>
      <c r="F26" s="41"/>
      <c r="G26" s="42"/>
      <c r="H26" s="41">
        <v>-32</v>
      </c>
      <c r="I26" s="42">
        <v>5</v>
      </c>
      <c r="J26" s="41"/>
      <c r="K26" s="42"/>
      <c r="L26" s="41">
        <v>-8</v>
      </c>
      <c r="M26" s="42">
        <v>7</v>
      </c>
      <c r="N26" s="41"/>
      <c r="O26" s="42"/>
      <c r="P26" s="41"/>
      <c r="Q26" s="42"/>
      <c r="R26" s="41"/>
      <c r="S26" s="42"/>
      <c r="T26" s="41"/>
      <c r="U26" s="42"/>
      <c r="V26" s="41"/>
      <c r="W26" s="42"/>
      <c r="X26" s="41"/>
      <c r="Y26" s="42"/>
      <c r="Z26" s="41"/>
      <c r="AA26" s="42"/>
      <c r="AB26" s="41"/>
      <c r="AC26" s="42"/>
      <c r="AD26" s="41"/>
      <c r="AE26" s="42"/>
      <c r="AF26" s="41"/>
      <c r="AG26" s="42"/>
      <c r="AH26" s="41"/>
      <c r="AI26" s="42"/>
      <c r="AJ26" s="41"/>
      <c r="AK26" s="42"/>
      <c r="AL26" s="41"/>
      <c r="AM26" s="42"/>
      <c r="AN26" s="43">
        <v>-30</v>
      </c>
      <c r="AO26" s="44">
        <v>8.8333333333333304</v>
      </c>
    </row>
    <row r="27" spans="1:41" x14ac:dyDescent="0.2">
      <c r="A27" s="21">
        <v>8</v>
      </c>
      <c r="B27" s="29" t="s">
        <v>46</v>
      </c>
      <c r="C27" s="30">
        <v>3</v>
      </c>
      <c r="D27" s="31">
        <v>90</v>
      </c>
      <c r="E27" s="32">
        <v>23</v>
      </c>
      <c r="F27" s="31"/>
      <c r="G27" s="32"/>
      <c r="H27" s="31"/>
      <c r="I27" s="32"/>
      <c r="J27" s="31">
        <v>91</v>
      </c>
      <c r="K27" s="32">
        <v>19.5</v>
      </c>
      <c r="L27" s="31">
        <v>94</v>
      </c>
      <c r="M27" s="32">
        <v>23</v>
      </c>
      <c r="N27" s="31"/>
      <c r="O27" s="32"/>
      <c r="P27" s="31"/>
      <c r="Q27" s="32"/>
      <c r="R27" s="31"/>
      <c r="S27" s="32"/>
      <c r="T27" s="31"/>
      <c r="U27" s="32"/>
      <c r="V27" s="31"/>
      <c r="W27" s="32"/>
      <c r="X27" s="31"/>
      <c r="Y27" s="32"/>
      <c r="Z27" s="31"/>
      <c r="AA27" s="32"/>
      <c r="AB27" s="31"/>
      <c r="AC27" s="32"/>
      <c r="AD27" s="31"/>
      <c r="AE27" s="32"/>
      <c r="AF27" s="31"/>
      <c r="AG27" s="32"/>
      <c r="AH27" s="31"/>
      <c r="AI27" s="32"/>
      <c r="AJ27" s="31"/>
      <c r="AK27" s="32"/>
      <c r="AL27" s="31"/>
      <c r="AM27" s="32"/>
      <c r="AN27" s="26">
        <v>65.5</v>
      </c>
      <c r="AO27" s="33">
        <v>21.8333333333333</v>
      </c>
    </row>
    <row r="28" spans="1:41" x14ac:dyDescent="0.2">
      <c r="A28" s="34">
        <v>8.18</v>
      </c>
      <c r="B28" s="35" t="s">
        <v>38</v>
      </c>
      <c r="C28" s="35"/>
      <c r="D28" s="31">
        <v>31</v>
      </c>
      <c r="E28" s="36">
        <v>10</v>
      </c>
      <c r="F28" s="31"/>
      <c r="G28" s="36"/>
      <c r="H28" s="31"/>
      <c r="I28" s="36"/>
      <c r="J28" s="31">
        <v>28</v>
      </c>
      <c r="K28" s="36">
        <v>8.5</v>
      </c>
      <c r="L28" s="31">
        <v>31</v>
      </c>
      <c r="M28" s="36">
        <v>11</v>
      </c>
      <c r="N28" s="31"/>
      <c r="O28" s="36"/>
      <c r="P28" s="31"/>
      <c r="Q28" s="36"/>
      <c r="R28" s="31"/>
      <c r="S28" s="36"/>
      <c r="T28" s="31"/>
      <c r="U28" s="36"/>
      <c r="V28" s="31"/>
      <c r="W28" s="36"/>
      <c r="X28" s="31"/>
      <c r="Y28" s="36"/>
      <c r="Z28" s="31"/>
      <c r="AA28" s="36"/>
      <c r="AB28" s="31"/>
      <c r="AC28" s="36"/>
      <c r="AD28" s="31"/>
      <c r="AE28" s="36"/>
      <c r="AF28" s="31"/>
      <c r="AG28" s="36"/>
      <c r="AH28" s="31"/>
      <c r="AI28" s="36"/>
      <c r="AJ28" s="31"/>
      <c r="AK28" s="36"/>
      <c r="AL28" s="31"/>
      <c r="AM28" s="36"/>
      <c r="AN28" s="37">
        <v>30</v>
      </c>
      <c r="AO28" s="33">
        <v>9.8333333333333304</v>
      </c>
    </row>
    <row r="29" spans="1:41" x14ac:dyDescent="0.2">
      <c r="A29" s="38">
        <v>8.0280000000000005</v>
      </c>
      <c r="B29" s="39" t="s">
        <v>39</v>
      </c>
      <c r="C29" s="40">
        <v>19.5</v>
      </c>
      <c r="D29" s="41">
        <v>6</v>
      </c>
      <c r="E29" s="42">
        <v>13</v>
      </c>
      <c r="F29" s="41"/>
      <c r="G29" s="42"/>
      <c r="H29" s="41"/>
      <c r="I29" s="42"/>
      <c r="J29" s="41">
        <v>-11</v>
      </c>
      <c r="K29" s="42">
        <v>11</v>
      </c>
      <c r="L29" s="41">
        <v>8</v>
      </c>
      <c r="M29" s="42">
        <v>12</v>
      </c>
      <c r="N29" s="41"/>
      <c r="O29" s="42"/>
      <c r="P29" s="41"/>
      <c r="Q29" s="42"/>
      <c r="R29" s="41"/>
      <c r="S29" s="42"/>
      <c r="T29" s="41"/>
      <c r="U29" s="42"/>
      <c r="V29" s="41"/>
      <c r="W29" s="42"/>
      <c r="X29" s="41"/>
      <c r="Y29" s="42"/>
      <c r="Z29" s="41"/>
      <c r="AA29" s="42"/>
      <c r="AB29" s="41"/>
      <c r="AC29" s="42"/>
      <c r="AD29" s="41"/>
      <c r="AE29" s="42"/>
      <c r="AF29" s="41"/>
      <c r="AG29" s="42"/>
      <c r="AH29" s="41"/>
      <c r="AI29" s="42"/>
      <c r="AJ29" s="41"/>
      <c r="AK29" s="42"/>
      <c r="AL29" s="41"/>
      <c r="AM29" s="42"/>
      <c r="AN29" s="43">
        <v>3</v>
      </c>
      <c r="AO29" s="44">
        <v>12</v>
      </c>
    </row>
    <row r="30" spans="1:41" x14ac:dyDescent="0.2">
      <c r="A30" s="21">
        <v>9</v>
      </c>
      <c r="B30" s="29" t="s">
        <v>47</v>
      </c>
      <c r="C30" s="30">
        <v>3</v>
      </c>
      <c r="D30" s="31">
        <v>96</v>
      </c>
      <c r="E30" s="32">
        <v>24.5</v>
      </c>
      <c r="F30" s="31"/>
      <c r="G30" s="32"/>
      <c r="H30" s="31">
        <v>95</v>
      </c>
      <c r="I30" s="32">
        <v>27</v>
      </c>
      <c r="J30" s="31"/>
      <c r="K30" s="32"/>
      <c r="L30" s="31">
        <v>102</v>
      </c>
      <c r="M30" s="32">
        <v>9</v>
      </c>
      <c r="N30" s="31"/>
      <c r="O30" s="32"/>
      <c r="P30" s="31"/>
      <c r="Q30" s="32"/>
      <c r="R30" s="31"/>
      <c r="S30" s="32"/>
      <c r="T30" s="31"/>
      <c r="U30" s="32"/>
      <c r="V30" s="31"/>
      <c r="W30" s="32"/>
      <c r="X30" s="31"/>
      <c r="Y30" s="32"/>
      <c r="Z30" s="31"/>
      <c r="AA30" s="32"/>
      <c r="AB30" s="31"/>
      <c r="AC30" s="32"/>
      <c r="AD30" s="31"/>
      <c r="AE30" s="32"/>
      <c r="AF30" s="31"/>
      <c r="AG30" s="32"/>
      <c r="AH30" s="31"/>
      <c r="AI30" s="32"/>
      <c r="AJ30" s="31"/>
      <c r="AK30" s="32"/>
      <c r="AL30" s="31"/>
      <c r="AM30" s="32"/>
      <c r="AN30" s="26">
        <v>60.5</v>
      </c>
      <c r="AO30" s="33">
        <v>20.1666666666667</v>
      </c>
    </row>
    <row r="31" spans="1:41" x14ac:dyDescent="0.2">
      <c r="A31" s="34">
        <v>9.19</v>
      </c>
      <c r="B31" s="35" t="s">
        <v>38</v>
      </c>
      <c r="C31" s="35"/>
      <c r="D31" s="31">
        <v>31</v>
      </c>
      <c r="E31" s="36">
        <v>10</v>
      </c>
      <c r="F31" s="31"/>
      <c r="G31" s="36"/>
      <c r="H31" s="31">
        <v>35</v>
      </c>
      <c r="I31" s="36">
        <v>13</v>
      </c>
      <c r="J31" s="31"/>
      <c r="K31" s="36"/>
      <c r="L31" s="31">
        <v>23</v>
      </c>
      <c r="M31" s="36">
        <v>6</v>
      </c>
      <c r="N31" s="31"/>
      <c r="O31" s="36"/>
      <c r="P31" s="31"/>
      <c r="Q31" s="36"/>
      <c r="R31" s="31"/>
      <c r="S31" s="36"/>
      <c r="T31" s="31"/>
      <c r="U31" s="36"/>
      <c r="V31" s="31"/>
      <c r="W31" s="36"/>
      <c r="X31" s="31"/>
      <c r="Y31" s="36"/>
      <c r="Z31" s="31"/>
      <c r="AA31" s="36"/>
      <c r="AB31" s="31"/>
      <c r="AC31" s="36"/>
      <c r="AD31" s="31"/>
      <c r="AE31" s="36"/>
      <c r="AF31" s="31"/>
      <c r="AG31" s="36"/>
      <c r="AH31" s="31"/>
      <c r="AI31" s="36"/>
      <c r="AJ31" s="31"/>
      <c r="AK31" s="36"/>
      <c r="AL31" s="31"/>
      <c r="AM31" s="36"/>
      <c r="AN31" s="37">
        <v>29.6666666666667</v>
      </c>
      <c r="AO31" s="33">
        <v>9.6666666666666696</v>
      </c>
    </row>
    <row r="32" spans="1:41" x14ac:dyDescent="0.2">
      <c r="A32" s="38">
        <v>9.0289999999999999</v>
      </c>
      <c r="B32" s="39" t="s">
        <v>39</v>
      </c>
      <c r="C32" s="40">
        <v>9</v>
      </c>
      <c r="D32" s="41">
        <v>10</v>
      </c>
      <c r="E32" s="42">
        <v>14.5</v>
      </c>
      <c r="F32" s="41"/>
      <c r="G32" s="42"/>
      <c r="H32" s="41">
        <v>17</v>
      </c>
      <c r="I32" s="42">
        <v>14</v>
      </c>
      <c r="J32" s="41"/>
      <c r="K32" s="42"/>
      <c r="L32" s="41">
        <v>-74</v>
      </c>
      <c r="M32" s="42">
        <v>3</v>
      </c>
      <c r="N32" s="41"/>
      <c r="O32" s="42"/>
      <c r="P32" s="41"/>
      <c r="Q32" s="42"/>
      <c r="R32" s="41"/>
      <c r="S32" s="42"/>
      <c r="T32" s="41"/>
      <c r="U32" s="42"/>
      <c r="V32" s="41"/>
      <c r="W32" s="42"/>
      <c r="X32" s="41"/>
      <c r="Y32" s="42"/>
      <c r="Z32" s="41"/>
      <c r="AA32" s="42"/>
      <c r="AB32" s="41"/>
      <c r="AC32" s="42"/>
      <c r="AD32" s="41"/>
      <c r="AE32" s="42"/>
      <c r="AF32" s="41"/>
      <c r="AG32" s="42"/>
      <c r="AH32" s="41"/>
      <c r="AI32" s="42"/>
      <c r="AJ32" s="41"/>
      <c r="AK32" s="42"/>
      <c r="AL32" s="41"/>
      <c r="AM32" s="42"/>
      <c r="AN32" s="43">
        <v>-47</v>
      </c>
      <c r="AO32" s="44">
        <v>10.5</v>
      </c>
    </row>
    <row r="33" spans="1:41" x14ac:dyDescent="0.2">
      <c r="A33" s="21">
        <v>10</v>
      </c>
      <c r="B33" s="29" t="s">
        <v>48</v>
      </c>
      <c r="C33" s="30">
        <v>2</v>
      </c>
      <c r="D33" s="31">
        <v>85</v>
      </c>
      <c r="E33" s="32">
        <v>22</v>
      </c>
      <c r="F33" s="31"/>
      <c r="G33" s="32"/>
      <c r="H33" s="31"/>
      <c r="I33" s="32"/>
      <c r="J33" s="31"/>
      <c r="K33" s="32"/>
      <c r="L33" s="31">
        <v>80</v>
      </c>
      <c r="M33" s="32">
        <v>34</v>
      </c>
      <c r="N33" s="31"/>
      <c r="O33" s="32"/>
      <c r="P33" s="31"/>
      <c r="Q33" s="32"/>
      <c r="R33" s="31"/>
      <c r="S33" s="32"/>
      <c r="T33" s="31"/>
      <c r="U33" s="32"/>
      <c r="V33" s="31"/>
      <c r="W33" s="32"/>
      <c r="X33" s="31"/>
      <c r="Y33" s="32"/>
      <c r="Z33" s="31"/>
      <c r="AA33" s="32"/>
      <c r="AB33" s="31"/>
      <c r="AC33" s="32"/>
      <c r="AD33" s="31"/>
      <c r="AE33" s="32"/>
      <c r="AF33" s="31"/>
      <c r="AG33" s="32"/>
      <c r="AH33" s="31"/>
      <c r="AI33" s="32"/>
      <c r="AJ33" s="31"/>
      <c r="AK33" s="32"/>
      <c r="AL33" s="31"/>
      <c r="AM33" s="32"/>
      <c r="AN33" s="26">
        <v>56</v>
      </c>
      <c r="AO33" s="33">
        <v>28</v>
      </c>
    </row>
    <row r="34" spans="1:41" x14ac:dyDescent="0.2">
      <c r="A34" s="34">
        <v>10.111000000000001</v>
      </c>
      <c r="B34" s="35" t="s">
        <v>38</v>
      </c>
      <c r="C34" s="35"/>
      <c r="D34" s="31">
        <v>32</v>
      </c>
      <c r="E34" s="36">
        <v>12.5</v>
      </c>
      <c r="F34" s="31"/>
      <c r="G34" s="36"/>
      <c r="H34" s="31"/>
      <c r="I34" s="36"/>
      <c r="J34" s="31"/>
      <c r="K34" s="36"/>
      <c r="L34" s="31">
        <v>37</v>
      </c>
      <c r="M34" s="36">
        <v>18</v>
      </c>
      <c r="N34" s="31"/>
      <c r="O34" s="36"/>
      <c r="P34" s="31"/>
      <c r="Q34" s="36"/>
      <c r="R34" s="31"/>
      <c r="S34" s="36"/>
      <c r="T34" s="31"/>
      <c r="U34" s="36"/>
      <c r="V34" s="31"/>
      <c r="W34" s="36"/>
      <c r="X34" s="31"/>
      <c r="Y34" s="36"/>
      <c r="Z34" s="31"/>
      <c r="AA34" s="36"/>
      <c r="AB34" s="31"/>
      <c r="AC34" s="36"/>
      <c r="AD34" s="31"/>
      <c r="AE34" s="36"/>
      <c r="AF34" s="31"/>
      <c r="AG34" s="36"/>
      <c r="AH34" s="31"/>
      <c r="AI34" s="36"/>
      <c r="AJ34" s="31"/>
      <c r="AK34" s="36"/>
      <c r="AL34" s="31"/>
      <c r="AM34" s="36"/>
      <c r="AN34" s="37">
        <v>34.5</v>
      </c>
      <c r="AO34" s="33">
        <v>15.25</v>
      </c>
    </row>
    <row r="35" spans="1:41" x14ac:dyDescent="0.2">
      <c r="A35" s="38">
        <v>10.021100000000001</v>
      </c>
      <c r="B35" s="39" t="s">
        <v>39</v>
      </c>
      <c r="C35" s="40">
        <v>22</v>
      </c>
      <c r="D35" s="41">
        <v>-8</v>
      </c>
      <c r="E35" s="42">
        <v>9.5</v>
      </c>
      <c r="F35" s="41"/>
      <c r="G35" s="42"/>
      <c r="H35" s="41"/>
      <c r="I35" s="42"/>
      <c r="J35" s="41"/>
      <c r="K35" s="42"/>
      <c r="L35" s="41">
        <v>28</v>
      </c>
      <c r="M35" s="42">
        <v>16</v>
      </c>
      <c r="N35" s="41"/>
      <c r="O35" s="42"/>
      <c r="P35" s="41"/>
      <c r="Q35" s="42"/>
      <c r="R35" s="41"/>
      <c r="S35" s="42"/>
      <c r="T35" s="41"/>
      <c r="U35" s="42"/>
      <c r="V35" s="41"/>
      <c r="W35" s="42"/>
      <c r="X35" s="41"/>
      <c r="Y35" s="42"/>
      <c r="Z35" s="41"/>
      <c r="AA35" s="42"/>
      <c r="AB35" s="41"/>
      <c r="AC35" s="42"/>
      <c r="AD35" s="41"/>
      <c r="AE35" s="42"/>
      <c r="AF35" s="41"/>
      <c r="AG35" s="42"/>
      <c r="AH35" s="41"/>
      <c r="AI35" s="42"/>
      <c r="AJ35" s="41"/>
      <c r="AK35" s="42"/>
      <c r="AL35" s="41"/>
      <c r="AM35" s="42"/>
      <c r="AN35" s="43">
        <v>20</v>
      </c>
      <c r="AO35" s="44">
        <v>12.75</v>
      </c>
    </row>
    <row r="36" spans="1:41" x14ac:dyDescent="0.2">
      <c r="A36" s="21">
        <v>11</v>
      </c>
      <c r="B36" s="45" t="s">
        <v>49</v>
      </c>
      <c r="C36" s="30">
        <v>3</v>
      </c>
      <c r="D36" s="31">
        <v>89</v>
      </c>
      <c r="E36" s="32">
        <v>18.5</v>
      </c>
      <c r="F36" s="31"/>
      <c r="G36" s="32"/>
      <c r="H36" s="31">
        <v>91</v>
      </c>
      <c r="I36" s="32">
        <v>19</v>
      </c>
      <c r="J36" s="31">
        <v>93</v>
      </c>
      <c r="K36" s="32">
        <v>17</v>
      </c>
      <c r="L36" s="31"/>
      <c r="M36" s="32"/>
      <c r="N36" s="31"/>
      <c r="O36" s="32"/>
      <c r="P36" s="31"/>
      <c r="Q36" s="32"/>
      <c r="R36" s="31"/>
      <c r="S36" s="32"/>
      <c r="T36" s="31"/>
      <c r="U36" s="32"/>
      <c r="V36" s="31"/>
      <c r="W36" s="32"/>
      <c r="X36" s="31"/>
      <c r="Y36" s="32"/>
      <c r="Z36" s="31"/>
      <c r="AA36" s="32"/>
      <c r="AB36" s="31"/>
      <c r="AC36" s="32"/>
      <c r="AD36" s="31"/>
      <c r="AE36" s="32"/>
      <c r="AF36" s="31"/>
      <c r="AG36" s="32"/>
      <c r="AH36" s="31"/>
      <c r="AI36" s="32"/>
      <c r="AJ36" s="31"/>
      <c r="AK36" s="32"/>
      <c r="AL36" s="31"/>
      <c r="AM36" s="32"/>
      <c r="AN36" s="26">
        <v>54.5</v>
      </c>
      <c r="AO36" s="33">
        <v>18.1666666666667</v>
      </c>
    </row>
    <row r="37" spans="1:41" x14ac:dyDescent="0.2">
      <c r="A37" s="34">
        <v>11.112</v>
      </c>
      <c r="B37" s="35" t="s">
        <v>38</v>
      </c>
      <c r="C37" s="35"/>
      <c r="D37" s="31">
        <v>33</v>
      </c>
      <c r="E37" s="36">
        <v>14.5</v>
      </c>
      <c r="F37" s="31"/>
      <c r="G37" s="36"/>
      <c r="H37" s="31">
        <v>33</v>
      </c>
      <c r="I37" s="36">
        <v>12</v>
      </c>
      <c r="J37" s="31">
        <v>26</v>
      </c>
      <c r="K37" s="36">
        <v>7</v>
      </c>
      <c r="L37" s="31"/>
      <c r="M37" s="36"/>
      <c r="N37" s="31"/>
      <c r="O37" s="36"/>
      <c r="P37" s="31"/>
      <c r="Q37" s="36"/>
      <c r="R37" s="31"/>
      <c r="S37" s="36"/>
      <c r="T37" s="31"/>
      <c r="U37" s="36"/>
      <c r="V37" s="31"/>
      <c r="W37" s="36"/>
      <c r="X37" s="31"/>
      <c r="Y37" s="36"/>
      <c r="Z37" s="31"/>
      <c r="AA37" s="36"/>
      <c r="AB37" s="31"/>
      <c r="AC37" s="36"/>
      <c r="AD37" s="31"/>
      <c r="AE37" s="36"/>
      <c r="AF37" s="31"/>
      <c r="AG37" s="36"/>
      <c r="AH37" s="31"/>
      <c r="AI37" s="36"/>
      <c r="AJ37" s="31"/>
      <c r="AK37" s="36"/>
      <c r="AL37" s="31"/>
      <c r="AM37" s="36"/>
      <c r="AN37" s="37">
        <v>30.6666666666667</v>
      </c>
      <c r="AO37" s="33">
        <v>11.1666666666667</v>
      </c>
    </row>
    <row r="38" spans="1:41" x14ac:dyDescent="0.2">
      <c r="A38" s="38">
        <v>11.0212</v>
      </c>
      <c r="B38" s="49" t="s">
        <v>39</v>
      </c>
      <c r="C38" s="40">
        <v>17</v>
      </c>
      <c r="D38" s="41">
        <v>-15</v>
      </c>
      <c r="E38" s="42">
        <v>4</v>
      </c>
      <c r="F38" s="41"/>
      <c r="G38" s="42"/>
      <c r="H38" s="41">
        <v>-12</v>
      </c>
      <c r="I38" s="42">
        <v>7</v>
      </c>
      <c r="J38" s="41">
        <v>-13</v>
      </c>
      <c r="K38" s="42">
        <v>10</v>
      </c>
      <c r="L38" s="41"/>
      <c r="M38" s="42"/>
      <c r="N38" s="41"/>
      <c r="O38" s="42"/>
      <c r="P38" s="41"/>
      <c r="Q38" s="42"/>
      <c r="R38" s="41"/>
      <c r="S38" s="42"/>
      <c r="T38" s="41"/>
      <c r="U38" s="42"/>
      <c r="V38" s="41"/>
      <c r="W38" s="42"/>
      <c r="X38" s="41"/>
      <c r="Y38" s="42"/>
      <c r="Z38" s="41"/>
      <c r="AA38" s="42"/>
      <c r="AB38" s="41"/>
      <c r="AC38" s="42"/>
      <c r="AD38" s="41"/>
      <c r="AE38" s="42"/>
      <c r="AF38" s="41"/>
      <c r="AG38" s="42"/>
      <c r="AH38" s="41"/>
      <c r="AI38" s="42"/>
      <c r="AJ38" s="41"/>
      <c r="AK38" s="42"/>
      <c r="AL38" s="41"/>
      <c r="AM38" s="42"/>
      <c r="AN38" s="43">
        <v>-40</v>
      </c>
      <c r="AO38" s="44">
        <v>7</v>
      </c>
    </row>
    <row r="39" spans="1:41" x14ac:dyDescent="0.2">
      <c r="A39" s="21">
        <v>12</v>
      </c>
      <c r="B39" s="29" t="s">
        <v>50</v>
      </c>
      <c r="C39" s="30">
        <v>3</v>
      </c>
      <c r="D39" s="31">
        <v>93</v>
      </c>
      <c r="E39" s="32">
        <v>10.5</v>
      </c>
      <c r="F39" s="31"/>
      <c r="G39" s="32"/>
      <c r="H39" s="31">
        <v>101</v>
      </c>
      <c r="I39" s="32">
        <v>14.5</v>
      </c>
      <c r="J39" s="31"/>
      <c r="K39" s="32"/>
      <c r="L39" s="31">
        <v>92</v>
      </c>
      <c r="M39" s="32">
        <v>25</v>
      </c>
      <c r="N39" s="31"/>
      <c r="O39" s="32"/>
      <c r="P39" s="31"/>
      <c r="Q39" s="32"/>
      <c r="R39" s="31"/>
      <c r="S39" s="32"/>
      <c r="T39" s="31"/>
      <c r="U39" s="32"/>
      <c r="V39" s="31"/>
      <c r="W39" s="32"/>
      <c r="X39" s="31"/>
      <c r="Y39" s="32"/>
      <c r="Z39" s="31"/>
      <c r="AA39" s="32"/>
      <c r="AB39" s="31"/>
      <c r="AC39" s="32"/>
      <c r="AD39" s="31"/>
      <c r="AE39" s="32"/>
      <c r="AF39" s="31"/>
      <c r="AG39" s="32"/>
      <c r="AH39" s="31"/>
      <c r="AI39" s="32"/>
      <c r="AJ39" s="31"/>
      <c r="AK39" s="32"/>
      <c r="AL39" s="31"/>
      <c r="AM39" s="32"/>
      <c r="AN39" s="26">
        <v>50</v>
      </c>
      <c r="AO39" s="33">
        <v>16.6666666666667</v>
      </c>
    </row>
    <row r="40" spans="1:41" x14ac:dyDescent="0.2">
      <c r="A40" s="34">
        <v>12.113</v>
      </c>
      <c r="B40" s="35" t="s">
        <v>38</v>
      </c>
      <c r="C40" s="35"/>
      <c r="D40" s="31">
        <v>30</v>
      </c>
      <c r="E40" s="36">
        <v>7.5</v>
      </c>
      <c r="F40" s="31"/>
      <c r="G40" s="36"/>
      <c r="H40" s="31">
        <v>24</v>
      </c>
      <c r="I40" s="36">
        <v>6</v>
      </c>
      <c r="J40" s="31"/>
      <c r="K40" s="36"/>
      <c r="L40" s="31">
        <v>31</v>
      </c>
      <c r="M40" s="36">
        <v>11</v>
      </c>
      <c r="N40" s="31"/>
      <c r="O40" s="36"/>
      <c r="P40" s="31"/>
      <c r="Q40" s="36"/>
      <c r="R40" s="31"/>
      <c r="S40" s="36"/>
      <c r="T40" s="31"/>
      <c r="U40" s="36"/>
      <c r="V40" s="31"/>
      <c r="W40" s="36"/>
      <c r="X40" s="31"/>
      <c r="Y40" s="36"/>
      <c r="Z40" s="31"/>
      <c r="AA40" s="36"/>
      <c r="AB40" s="31"/>
      <c r="AC40" s="36"/>
      <c r="AD40" s="31"/>
      <c r="AE40" s="36"/>
      <c r="AF40" s="31"/>
      <c r="AG40" s="36"/>
      <c r="AH40" s="31"/>
      <c r="AI40" s="36"/>
      <c r="AJ40" s="31"/>
      <c r="AK40" s="36"/>
      <c r="AL40" s="31"/>
      <c r="AM40" s="36"/>
      <c r="AN40" s="37">
        <v>28.3333333333333</v>
      </c>
      <c r="AO40" s="33">
        <v>8.1666666666666696</v>
      </c>
    </row>
    <row r="41" spans="1:41" x14ac:dyDescent="0.2">
      <c r="A41" s="38">
        <v>12.0213</v>
      </c>
      <c r="B41" s="39" t="s">
        <v>39</v>
      </c>
      <c r="C41" s="40">
        <v>10.5</v>
      </c>
      <c r="D41" s="41">
        <v>-27</v>
      </c>
      <c r="E41" s="42">
        <v>3</v>
      </c>
      <c r="F41" s="41"/>
      <c r="G41" s="42"/>
      <c r="H41" s="41">
        <v>-9</v>
      </c>
      <c r="I41" s="42">
        <v>8.5</v>
      </c>
      <c r="J41" s="41"/>
      <c r="K41" s="42"/>
      <c r="L41" s="41">
        <v>18</v>
      </c>
      <c r="M41" s="42">
        <v>14</v>
      </c>
      <c r="N41" s="41"/>
      <c r="O41" s="42"/>
      <c r="P41" s="41"/>
      <c r="Q41" s="42"/>
      <c r="R41" s="41"/>
      <c r="S41" s="42"/>
      <c r="T41" s="41"/>
      <c r="U41" s="42"/>
      <c r="V41" s="41"/>
      <c r="W41" s="42"/>
      <c r="X41" s="41"/>
      <c r="Y41" s="42"/>
      <c r="Z41" s="41"/>
      <c r="AA41" s="42"/>
      <c r="AB41" s="41"/>
      <c r="AC41" s="42"/>
      <c r="AD41" s="41"/>
      <c r="AE41" s="42"/>
      <c r="AF41" s="41"/>
      <c r="AG41" s="42"/>
      <c r="AH41" s="41"/>
      <c r="AI41" s="42"/>
      <c r="AJ41" s="41"/>
      <c r="AK41" s="42"/>
      <c r="AL41" s="41"/>
      <c r="AM41" s="42"/>
      <c r="AN41" s="43">
        <v>-18</v>
      </c>
      <c r="AO41" s="44">
        <v>8.5</v>
      </c>
    </row>
    <row r="42" spans="1:41" x14ac:dyDescent="0.2">
      <c r="A42" s="21">
        <v>13</v>
      </c>
      <c r="B42" s="47" t="s">
        <v>51</v>
      </c>
      <c r="C42" s="30">
        <v>3</v>
      </c>
      <c r="D42" s="31">
        <v>99</v>
      </c>
      <c r="E42" s="32">
        <v>17</v>
      </c>
      <c r="F42" s="31"/>
      <c r="G42" s="32"/>
      <c r="H42" s="31">
        <v>103</v>
      </c>
      <c r="I42" s="32">
        <v>17.5</v>
      </c>
      <c r="J42" s="31"/>
      <c r="K42" s="32"/>
      <c r="L42" s="31">
        <v>107</v>
      </c>
      <c r="M42" s="32">
        <v>9</v>
      </c>
      <c r="N42" s="31"/>
      <c r="O42" s="32"/>
      <c r="P42" s="31"/>
      <c r="Q42" s="32"/>
      <c r="R42" s="31"/>
      <c r="S42" s="32"/>
      <c r="T42" s="31"/>
      <c r="U42" s="32"/>
      <c r="V42" s="31"/>
      <c r="W42" s="32"/>
      <c r="X42" s="31"/>
      <c r="Y42" s="32"/>
      <c r="Z42" s="31"/>
      <c r="AA42" s="32"/>
      <c r="AB42" s="31"/>
      <c r="AC42" s="32"/>
      <c r="AD42" s="31"/>
      <c r="AE42" s="32"/>
      <c r="AF42" s="31"/>
      <c r="AG42" s="32"/>
      <c r="AH42" s="31"/>
      <c r="AI42" s="32"/>
      <c r="AJ42" s="31"/>
      <c r="AK42" s="32"/>
      <c r="AL42" s="31"/>
      <c r="AM42" s="32"/>
      <c r="AN42" s="26">
        <v>43.5</v>
      </c>
      <c r="AO42" s="33">
        <v>14.5</v>
      </c>
    </row>
    <row r="43" spans="1:41" x14ac:dyDescent="0.2">
      <c r="A43" s="34">
        <v>13.114000000000001</v>
      </c>
      <c r="B43" s="35" t="s">
        <v>38</v>
      </c>
      <c r="C43" s="35"/>
      <c r="D43" s="31">
        <v>30</v>
      </c>
      <c r="E43" s="36">
        <v>7.5</v>
      </c>
      <c r="F43" s="31"/>
      <c r="G43" s="36"/>
      <c r="H43" s="31">
        <v>27</v>
      </c>
      <c r="I43" s="36">
        <v>9</v>
      </c>
      <c r="J43" s="31"/>
      <c r="K43" s="36"/>
      <c r="L43" s="31">
        <v>21</v>
      </c>
      <c r="M43" s="36">
        <v>5</v>
      </c>
      <c r="N43" s="31"/>
      <c r="O43" s="36"/>
      <c r="P43" s="31"/>
      <c r="Q43" s="36"/>
      <c r="R43" s="31"/>
      <c r="S43" s="36"/>
      <c r="T43" s="31"/>
      <c r="U43" s="36"/>
      <c r="V43" s="31"/>
      <c r="W43" s="36"/>
      <c r="X43" s="31"/>
      <c r="Y43" s="36"/>
      <c r="Z43" s="31"/>
      <c r="AA43" s="36"/>
      <c r="AB43" s="31"/>
      <c r="AC43" s="36"/>
      <c r="AD43" s="31"/>
      <c r="AE43" s="36"/>
      <c r="AF43" s="31"/>
      <c r="AG43" s="36"/>
      <c r="AH43" s="31"/>
      <c r="AI43" s="36"/>
      <c r="AJ43" s="31"/>
      <c r="AK43" s="36"/>
      <c r="AL43" s="31"/>
      <c r="AM43" s="36"/>
      <c r="AN43" s="37">
        <v>26</v>
      </c>
      <c r="AO43" s="33">
        <v>7.1666666666666696</v>
      </c>
    </row>
    <row r="44" spans="1:41" x14ac:dyDescent="0.2">
      <c r="A44" s="38">
        <v>13.0214</v>
      </c>
      <c r="B44" s="39" t="s">
        <v>39</v>
      </c>
      <c r="C44" s="40">
        <v>9</v>
      </c>
      <c r="D44" s="41">
        <v>-8</v>
      </c>
      <c r="E44" s="42">
        <v>9.5</v>
      </c>
      <c r="F44" s="41"/>
      <c r="G44" s="42"/>
      <c r="H44" s="41">
        <v>-9</v>
      </c>
      <c r="I44" s="42">
        <v>8.5</v>
      </c>
      <c r="J44" s="41"/>
      <c r="K44" s="42"/>
      <c r="L44" s="41">
        <v>-54</v>
      </c>
      <c r="M44" s="42">
        <v>4</v>
      </c>
      <c r="N44" s="41"/>
      <c r="O44" s="42"/>
      <c r="P44" s="41"/>
      <c r="Q44" s="42"/>
      <c r="R44" s="41"/>
      <c r="S44" s="42"/>
      <c r="T44" s="41"/>
      <c r="U44" s="42"/>
      <c r="V44" s="41"/>
      <c r="W44" s="42"/>
      <c r="X44" s="41"/>
      <c r="Y44" s="42"/>
      <c r="Z44" s="41"/>
      <c r="AA44" s="42"/>
      <c r="AB44" s="41"/>
      <c r="AC44" s="42"/>
      <c r="AD44" s="41"/>
      <c r="AE44" s="42"/>
      <c r="AF44" s="41"/>
      <c r="AG44" s="42"/>
      <c r="AH44" s="41"/>
      <c r="AI44" s="42"/>
      <c r="AJ44" s="41"/>
      <c r="AK44" s="42"/>
      <c r="AL44" s="41"/>
      <c r="AM44" s="42"/>
      <c r="AN44" s="43">
        <v>-71</v>
      </c>
      <c r="AO44" s="44">
        <v>7.3333333333333304</v>
      </c>
    </row>
    <row r="45" spans="1:41" x14ac:dyDescent="0.2">
      <c r="A45" s="21">
        <v>14</v>
      </c>
      <c r="B45" s="45" t="s">
        <v>52</v>
      </c>
      <c r="C45" s="30">
        <v>3</v>
      </c>
      <c r="D45" s="31">
        <v>87</v>
      </c>
      <c r="E45" s="32">
        <v>9.5</v>
      </c>
      <c r="F45" s="31"/>
      <c r="G45" s="32"/>
      <c r="H45" s="31"/>
      <c r="I45" s="32"/>
      <c r="J45" s="31">
        <v>84</v>
      </c>
      <c r="K45" s="32">
        <v>16.5</v>
      </c>
      <c r="L45" s="31">
        <v>85</v>
      </c>
      <c r="M45" s="32">
        <v>17</v>
      </c>
      <c r="N45" s="31"/>
      <c r="O45" s="32"/>
      <c r="P45" s="31"/>
      <c r="Q45" s="32"/>
      <c r="R45" s="31"/>
      <c r="S45" s="32"/>
      <c r="T45" s="31"/>
      <c r="U45" s="32"/>
      <c r="V45" s="31"/>
      <c r="W45" s="32"/>
      <c r="X45" s="31"/>
      <c r="Y45" s="32"/>
      <c r="Z45" s="31"/>
      <c r="AA45" s="32"/>
      <c r="AB45" s="31"/>
      <c r="AC45" s="32"/>
      <c r="AD45" s="31"/>
      <c r="AE45" s="32"/>
      <c r="AF45" s="31"/>
      <c r="AG45" s="32"/>
      <c r="AH45" s="31"/>
      <c r="AI45" s="32"/>
      <c r="AJ45" s="31"/>
      <c r="AK45" s="32"/>
      <c r="AL45" s="31"/>
      <c r="AM45" s="32"/>
      <c r="AN45" s="26">
        <v>43</v>
      </c>
      <c r="AO45" s="33">
        <v>14.3333333333333</v>
      </c>
    </row>
    <row r="46" spans="1:41" x14ac:dyDescent="0.2">
      <c r="A46" s="34">
        <v>14.115</v>
      </c>
      <c r="B46" s="35" t="s">
        <v>38</v>
      </c>
      <c r="C46" s="35"/>
      <c r="D46" s="31">
        <v>28</v>
      </c>
      <c r="E46" s="36">
        <v>4.5</v>
      </c>
      <c r="F46" s="31"/>
      <c r="G46" s="36"/>
      <c r="H46" s="31"/>
      <c r="I46" s="36"/>
      <c r="J46" s="31">
        <v>28</v>
      </c>
      <c r="K46" s="36">
        <v>8.5</v>
      </c>
      <c r="L46" s="31">
        <v>30</v>
      </c>
      <c r="M46" s="36">
        <v>8.5</v>
      </c>
      <c r="N46" s="31"/>
      <c r="O46" s="36"/>
      <c r="P46" s="31"/>
      <c r="Q46" s="36"/>
      <c r="R46" s="31"/>
      <c r="S46" s="36"/>
      <c r="T46" s="31"/>
      <c r="U46" s="36"/>
      <c r="V46" s="31"/>
      <c r="W46" s="36"/>
      <c r="X46" s="31"/>
      <c r="Y46" s="36"/>
      <c r="Z46" s="31"/>
      <c r="AA46" s="36"/>
      <c r="AB46" s="31"/>
      <c r="AC46" s="36"/>
      <c r="AD46" s="31"/>
      <c r="AE46" s="36"/>
      <c r="AF46" s="31"/>
      <c r="AG46" s="36"/>
      <c r="AH46" s="31"/>
      <c r="AI46" s="36"/>
      <c r="AJ46" s="31"/>
      <c r="AK46" s="36"/>
      <c r="AL46" s="31"/>
      <c r="AM46" s="36"/>
      <c r="AN46" s="37">
        <v>28.6666666666667</v>
      </c>
      <c r="AO46" s="33">
        <v>7.1666666666666696</v>
      </c>
    </row>
    <row r="47" spans="1:41" x14ac:dyDescent="0.2">
      <c r="A47" s="38">
        <v>14.0215</v>
      </c>
      <c r="B47" s="39" t="s">
        <v>39</v>
      </c>
      <c r="C47" s="40">
        <v>9.5</v>
      </c>
      <c r="D47" s="41">
        <v>-12</v>
      </c>
      <c r="E47" s="42">
        <v>5</v>
      </c>
      <c r="F47" s="41"/>
      <c r="G47" s="42"/>
      <c r="H47" s="41"/>
      <c r="I47" s="42"/>
      <c r="J47" s="41">
        <v>-17</v>
      </c>
      <c r="K47" s="42">
        <v>8</v>
      </c>
      <c r="L47" s="41">
        <v>-6</v>
      </c>
      <c r="M47" s="42">
        <v>8.5</v>
      </c>
      <c r="N47" s="41"/>
      <c r="O47" s="42"/>
      <c r="P47" s="41"/>
      <c r="Q47" s="42"/>
      <c r="R47" s="41"/>
      <c r="S47" s="42"/>
      <c r="T47" s="41"/>
      <c r="U47" s="42"/>
      <c r="V47" s="41"/>
      <c r="W47" s="42"/>
      <c r="X47" s="41"/>
      <c r="Y47" s="42"/>
      <c r="Z47" s="41"/>
      <c r="AA47" s="42"/>
      <c r="AB47" s="41"/>
      <c r="AC47" s="42"/>
      <c r="AD47" s="41"/>
      <c r="AE47" s="42"/>
      <c r="AF47" s="41"/>
      <c r="AG47" s="42"/>
      <c r="AH47" s="41"/>
      <c r="AI47" s="42"/>
      <c r="AJ47" s="41"/>
      <c r="AK47" s="42"/>
      <c r="AL47" s="41"/>
      <c r="AM47" s="42"/>
      <c r="AN47" s="43">
        <v>-35</v>
      </c>
      <c r="AO47" s="44">
        <v>7.1666666666666696</v>
      </c>
    </row>
    <row r="48" spans="1:41" x14ac:dyDescent="0.2">
      <c r="A48" s="21">
        <v>15</v>
      </c>
      <c r="B48" s="45" t="s">
        <v>53</v>
      </c>
      <c r="C48" s="30">
        <v>3</v>
      </c>
      <c r="D48" s="31">
        <v>97</v>
      </c>
      <c r="E48" s="32">
        <v>9</v>
      </c>
      <c r="F48" s="31"/>
      <c r="G48" s="32"/>
      <c r="H48" s="31">
        <v>125</v>
      </c>
      <c r="I48" s="32">
        <v>11</v>
      </c>
      <c r="J48" s="31"/>
      <c r="K48" s="32"/>
      <c r="L48" s="31">
        <v>107</v>
      </c>
      <c r="M48" s="32">
        <v>14</v>
      </c>
      <c r="N48" s="31"/>
      <c r="O48" s="32"/>
      <c r="P48" s="31"/>
      <c r="Q48" s="32"/>
      <c r="R48" s="31"/>
      <c r="S48" s="32"/>
      <c r="T48" s="31"/>
      <c r="U48" s="32"/>
      <c r="V48" s="31"/>
      <c r="W48" s="32"/>
      <c r="X48" s="31"/>
      <c r="Y48" s="32"/>
      <c r="Z48" s="31"/>
      <c r="AA48" s="32"/>
      <c r="AB48" s="31"/>
      <c r="AC48" s="32"/>
      <c r="AD48" s="31"/>
      <c r="AE48" s="32"/>
      <c r="AF48" s="31"/>
      <c r="AG48" s="32"/>
      <c r="AH48" s="31"/>
      <c r="AI48" s="32"/>
      <c r="AJ48" s="31"/>
      <c r="AK48" s="32"/>
      <c r="AL48" s="31"/>
      <c r="AM48" s="32"/>
      <c r="AN48" s="26">
        <v>34</v>
      </c>
      <c r="AO48" s="33">
        <v>11.3333333333333</v>
      </c>
    </row>
    <row r="49" spans="1:41" x14ac:dyDescent="0.2">
      <c r="A49" s="34">
        <v>15.116</v>
      </c>
      <c r="B49" s="35" t="s">
        <v>38</v>
      </c>
      <c r="C49" s="35"/>
      <c r="D49" s="31">
        <v>26</v>
      </c>
      <c r="E49" s="36">
        <v>3</v>
      </c>
      <c r="F49" s="31"/>
      <c r="G49" s="36"/>
      <c r="H49" s="50">
        <v>8</v>
      </c>
      <c r="I49" s="36">
        <v>5</v>
      </c>
      <c r="J49" s="31"/>
      <c r="K49" s="36"/>
      <c r="L49" s="31">
        <v>19</v>
      </c>
      <c r="M49" s="36">
        <v>4</v>
      </c>
      <c r="N49" s="31"/>
      <c r="O49" s="36"/>
      <c r="P49" s="31"/>
      <c r="Q49" s="36"/>
      <c r="R49" s="31"/>
      <c r="S49" s="36"/>
      <c r="T49" s="31"/>
      <c r="U49" s="36"/>
      <c r="V49" s="31"/>
      <c r="W49" s="36"/>
      <c r="X49" s="31"/>
      <c r="Y49" s="36"/>
      <c r="Z49" s="31"/>
      <c r="AA49" s="36"/>
      <c r="AB49" s="31"/>
      <c r="AC49" s="36"/>
      <c r="AD49" s="31"/>
      <c r="AE49" s="36"/>
      <c r="AF49" s="31"/>
      <c r="AG49" s="36"/>
      <c r="AH49" s="31"/>
      <c r="AI49" s="36"/>
      <c r="AJ49" s="31"/>
      <c r="AK49" s="36"/>
      <c r="AL49" s="31"/>
      <c r="AM49" s="36"/>
      <c r="AN49" s="37">
        <v>17.6666666666667</v>
      </c>
      <c r="AO49" s="33">
        <v>4</v>
      </c>
    </row>
    <row r="50" spans="1:41" x14ac:dyDescent="0.2">
      <c r="A50" s="38">
        <v>15.021599999999999</v>
      </c>
      <c r="B50" s="49" t="s">
        <v>39</v>
      </c>
      <c r="C50" s="40">
        <v>9</v>
      </c>
      <c r="D50" s="41">
        <v>-11</v>
      </c>
      <c r="E50" s="42">
        <v>6</v>
      </c>
      <c r="F50" s="41"/>
      <c r="G50" s="42"/>
      <c r="H50" s="41">
        <v>-15</v>
      </c>
      <c r="I50" s="42">
        <v>6</v>
      </c>
      <c r="J50" s="41"/>
      <c r="K50" s="42"/>
      <c r="L50" s="41">
        <v>6</v>
      </c>
      <c r="M50" s="42">
        <v>10</v>
      </c>
      <c r="N50" s="41"/>
      <c r="O50" s="42"/>
      <c r="P50" s="41"/>
      <c r="Q50" s="42"/>
      <c r="R50" s="41"/>
      <c r="S50" s="42"/>
      <c r="T50" s="41"/>
      <c r="U50" s="42"/>
      <c r="V50" s="41"/>
      <c r="W50" s="42"/>
      <c r="X50" s="41"/>
      <c r="Y50" s="42"/>
      <c r="Z50" s="41"/>
      <c r="AA50" s="42"/>
      <c r="AB50" s="41"/>
      <c r="AC50" s="42"/>
      <c r="AD50" s="41"/>
      <c r="AE50" s="42"/>
      <c r="AF50" s="41"/>
      <c r="AG50" s="42"/>
      <c r="AH50" s="41"/>
      <c r="AI50" s="42"/>
      <c r="AJ50" s="41"/>
      <c r="AK50" s="42"/>
      <c r="AL50" s="41"/>
      <c r="AM50" s="42"/>
      <c r="AN50" s="43">
        <v>-20</v>
      </c>
      <c r="AO50" s="44">
        <v>7.3333333333333304</v>
      </c>
    </row>
    <row r="51" spans="1:41" x14ac:dyDescent="0.2">
      <c r="A51" s="21">
        <v>16</v>
      </c>
      <c r="B51" s="29" t="s">
        <v>54</v>
      </c>
      <c r="C51" s="30">
        <v>2</v>
      </c>
      <c r="D51" s="31">
        <v>99</v>
      </c>
      <c r="E51" s="32">
        <v>15.5</v>
      </c>
      <c r="F51" s="31"/>
      <c r="G51" s="32"/>
      <c r="H51" s="31">
        <v>103</v>
      </c>
      <c r="I51" s="32">
        <v>18</v>
      </c>
      <c r="J51" s="31"/>
      <c r="K51" s="32"/>
      <c r="L51" s="31"/>
      <c r="M51" s="32"/>
      <c r="N51" s="31"/>
      <c r="O51" s="32"/>
      <c r="P51" s="31"/>
      <c r="Q51" s="32"/>
      <c r="R51" s="31"/>
      <c r="S51" s="32"/>
      <c r="T51" s="31"/>
      <c r="U51" s="32"/>
      <c r="V51" s="31"/>
      <c r="W51" s="32"/>
      <c r="X51" s="31"/>
      <c r="Y51" s="32"/>
      <c r="Z51" s="31"/>
      <c r="AA51" s="32"/>
      <c r="AB51" s="31"/>
      <c r="AC51" s="32"/>
      <c r="AD51" s="31"/>
      <c r="AE51" s="32"/>
      <c r="AF51" s="31"/>
      <c r="AG51" s="32"/>
      <c r="AH51" s="31"/>
      <c r="AI51" s="32"/>
      <c r="AJ51" s="31"/>
      <c r="AK51" s="32"/>
      <c r="AL51" s="31"/>
      <c r="AM51" s="32"/>
      <c r="AN51" s="26">
        <v>33.5</v>
      </c>
      <c r="AO51" s="33">
        <v>16.75</v>
      </c>
    </row>
    <row r="52" spans="1:41" x14ac:dyDescent="0.2">
      <c r="A52" s="34">
        <v>16.117000000000001</v>
      </c>
      <c r="B52" s="35" t="s">
        <v>38</v>
      </c>
      <c r="C52" s="35"/>
      <c r="D52" s="31">
        <v>28</v>
      </c>
      <c r="E52" s="36">
        <v>4.5</v>
      </c>
      <c r="F52" s="31"/>
      <c r="G52" s="36"/>
      <c r="H52" s="31">
        <v>26</v>
      </c>
      <c r="I52" s="36">
        <v>8</v>
      </c>
      <c r="J52" s="31"/>
      <c r="K52" s="36"/>
      <c r="L52" s="31"/>
      <c r="M52" s="36"/>
      <c r="N52" s="31"/>
      <c r="O52" s="36"/>
      <c r="P52" s="31"/>
      <c r="Q52" s="36"/>
      <c r="R52" s="31"/>
      <c r="S52" s="36"/>
      <c r="T52" s="31"/>
      <c r="U52" s="36"/>
      <c r="V52" s="31"/>
      <c r="W52" s="36"/>
      <c r="X52" s="31"/>
      <c r="Y52" s="36"/>
      <c r="Z52" s="31"/>
      <c r="AA52" s="36"/>
      <c r="AB52" s="31"/>
      <c r="AC52" s="36"/>
      <c r="AD52" s="31"/>
      <c r="AE52" s="36"/>
      <c r="AF52" s="31"/>
      <c r="AG52" s="36"/>
      <c r="AH52" s="31"/>
      <c r="AI52" s="36"/>
      <c r="AJ52" s="31"/>
      <c r="AK52" s="36"/>
      <c r="AL52" s="31"/>
      <c r="AM52" s="36"/>
      <c r="AN52" s="37">
        <v>27</v>
      </c>
      <c r="AO52" s="33">
        <v>6.25</v>
      </c>
    </row>
    <row r="53" spans="1:41" x14ac:dyDescent="0.2">
      <c r="A53" s="38">
        <v>16.021699999999999</v>
      </c>
      <c r="B53" s="39" t="s">
        <v>39</v>
      </c>
      <c r="C53" s="40">
        <v>15.5</v>
      </c>
      <c r="D53" s="41">
        <v>-5</v>
      </c>
      <c r="E53" s="42">
        <v>11</v>
      </c>
      <c r="F53" s="41"/>
      <c r="G53" s="42"/>
      <c r="H53" s="41">
        <v>-2</v>
      </c>
      <c r="I53" s="42">
        <v>10</v>
      </c>
      <c r="J53" s="41"/>
      <c r="K53" s="42"/>
      <c r="L53" s="41"/>
      <c r="M53" s="42"/>
      <c r="N53" s="41"/>
      <c r="O53" s="42"/>
      <c r="P53" s="41"/>
      <c r="Q53" s="42"/>
      <c r="R53" s="41"/>
      <c r="S53" s="42"/>
      <c r="T53" s="41"/>
      <c r="U53" s="42"/>
      <c r="V53" s="41"/>
      <c r="W53" s="42"/>
      <c r="X53" s="41"/>
      <c r="Y53" s="42"/>
      <c r="Z53" s="41"/>
      <c r="AA53" s="42"/>
      <c r="AB53" s="41"/>
      <c r="AC53" s="42"/>
      <c r="AD53" s="41"/>
      <c r="AE53" s="42"/>
      <c r="AF53" s="41"/>
      <c r="AG53" s="42"/>
      <c r="AH53" s="41"/>
      <c r="AI53" s="42"/>
      <c r="AJ53" s="41"/>
      <c r="AK53" s="42"/>
      <c r="AL53" s="41"/>
      <c r="AM53" s="42"/>
      <c r="AN53" s="43">
        <v>-7</v>
      </c>
      <c r="AO53" s="44">
        <v>10.5</v>
      </c>
    </row>
    <row r="54" spans="1:41" x14ac:dyDescent="0.2">
      <c r="A54" s="21">
        <v>17</v>
      </c>
      <c r="B54" s="29" t="s">
        <v>55</v>
      </c>
      <c r="C54" s="30">
        <v>2</v>
      </c>
      <c r="D54" s="31"/>
      <c r="E54" s="32"/>
      <c r="F54" s="31"/>
      <c r="G54" s="32"/>
      <c r="H54" s="31">
        <v>101</v>
      </c>
      <c r="I54" s="32">
        <v>18</v>
      </c>
      <c r="J54" s="31"/>
      <c r="K54" s="32"/>
      <c r="L54" s="31">
        <v>107</v>
      </c>
      <c r="M54" s="32">
        <v>9</v>
      </c>
      <c r="N54" s="31"/>
      <c r="O54" s="32"/>
      <c r="P54" s="31"/>
      <c r="Q54" s="32"/>
      <c r="R54" s="31"/>
      <c r="S54" s="32"/>
      <c r="T54" s="31"/>
      <c r="U54" s="32"/>
      <c r="V54" s="31"/>
      <c r="W54" s="32"/>
      <c r="X54" s="31"/>
      <c r="Y54" s="32"/>
      <c r="Z54" s="31"/>
      <c r="AA54" s="32"/>
      <c r="AB54" s="31"/>
      <c r="AC54" s="32"/>
      <c r="AD54" s="31"/>
      <c r="AE54" s="32"/>
      <c r="AF54" s="31"/>
      <c r="AG54" s="32"/>
      <c r="AH54" s="31"/>
      <c r="AI54" s="32"/>
      <c r="AJ54" s="31"/>
      <c r="AK54" s="32"/>
      <c r="AL54" s="31"/>
      <c r="AM54" s="32"/>
      <c r="AN54" s="26">
        <v>27</v>
      </c>
      <c r="AO54" s="33">
        <v>13.5</v>
      </c>
    </row>
    <row r="55" spans="1:41" x14ac:dyDescent="0.2">
      <c r="A55" s="34">
        <v>17.117999999999999</v>
      </c>
      <c r="B55" s="35" t="s">
        <v>38</v>
      </c>
      <c r="C55" s="35"/>
      <c r="D55" s="31"/>
      <c r="E55" s="36"/>
      <c r="F55" s="31"/>
      <c r="G55" s="36"/>
      <c r="H55" s="31">
        <v>25</v>
      </c>
      <c r="I55" s="36">
        <v>7</v>
      </c>
      <c r="J55" s="31"/>
      <c r="K55" s="36"/>
      <c r="L55" s="31">
        <v>17</v>
      </c>
      <c r="M55" s="36">
        <v>3</v>
      </c>
      <c r="N55" s="31"/>
      <c r="O55" s="36"/>
      <c r="P55" s="31"/>
      <c r="Q55" s="36"/>
      <c r="R55" s="31"/>
      <c r="S55" s="36"/>
      <c r="T55" s="31"/>
      <c r="U55" s="36"/>
      <c r="V55" s="31"/>
      <c r="W55" s="36"/>
      <c r="X55" s="31"/>
      <c r="Y55" s="36"/>
      <c r="Z55" s="31"/>
      <c r="AA55" s="36"/>
      <c r="AB55" s="31"/>
      <c r="AC55" s="36"/>
      <c r="AD55" s="31"/>
      <c r="AE55" s="36"/>
      <c r="AF55" s="31"/>
      <c r="AG55" s="36"/>
      <c r="AH55" s="31"/>
      <c r="AI55" s="36"/>
      <c r="AJ55" s="31"/>
      <c r="AK55" s="36"/>
      <c r="AL55" s="31"/>
      <c r="AM55" s="36"/>
      <c r="AN55" s="37">
        <v>21</v>
      </c>
      <c r="AO55" s="33">
        <v>5</v>
      </c>
    </row>
    <row r="56" spans="1:41" x14ac:dyDescent="0.2">
      <c r="A56" s="38">
        <v>17.021799999999999</v>
      </c>
      <c r="B56" s="39" t="s">
        <v>39</v>
      </c>
      <c r="C56" s="40">
        <v>9</v>
      </c>
      <c r="D56" s="41"/>
      <c r="E56" s="42"/>
      <c r="F56" s="41"/>
      <c r="G56" s="42"/>
      <c r="H56" s="41">
        <v>3</v>
      </c>
      <c r="I56" s="42">
        <v>11</v>
      </c>
      <c r="J56" s="41"/>
      <c r="K56" s="42"/>
      <c r="L56" s="41">
        <v>-16</v>
      </c>
      <c r="M56" s="42">
        <v>6</v>
      </c>
      <c r="N56" s="41"/>
      <c r="O56" s="42"/>
      <c r="P56" s="41"/>
      <c r="Q56" s="42"/>
      <c r="R56" s="41"/>
      <c r="S56" s="42"/>
      <c r="T56" s="41"/>
      <c r="U56" s="42"/>
      <c r="V56" s="41"/>
      <c r="W56" s="42"/>
      <c r="X56" s="41"/>
      <c r="Y56" s="42"/>
      <c r="Z56" s="41"/>
      <c r="AA56" s="42"/>
      <c r="AB56" s="41"/>
      <c r="AC56" s="42"/>
      <c r="AD56" s="41"/>
      <c r="AE56" s="42"/>
      <c r="AF56" s="41"/>
      <c r="AG56" s="42"/>
      <c r="AH56" s="41"/>
      <c r="AI56" s="42"/>
      <c r="AJ56" s="41"/>
      <c r="AK56" s="42"/>
      <c r="AL56" s="41"/>
      <c r="AM56" s="42"/>
      <c r="AN56" s="43">
        <v>-13</v>
      </c>
      <c r="AO56" s="44">
        <v>8.5</v>
      </c>
    </row>
    <row r="57" spans="1:41" x14ac:dyDescent="0.2">
      <c r="A57" s="21">
        <v>18</v>
      </c>
      <c r="B57" s="29" t="s">
        <v>56</v>
      </c>
      <c r="C57" s="30">
        <v>1</v>
      </c>
      <c r="D57" s="31"/>
      <c r="E57" s="32"/>
      <c r="F57" s="31"/>
      <c r="G57" s="32"/>
      <c r="H57" s="31"/>
      <c r="I57" s="32"/>
      <c r="J57" s="31">
        <v>91</v>
      </c>
      <c r="K57" s="32">
        <v>17</v>
      </c>
      <c r="L57" s="31"/>
      <c r="M57" s="32"/>
      <c r="N57" s="31"/>
      <c r="O57" s="32"/>
      <c r="P57" s="31"/>
      <c r="Q57" s="32"/>
      <c r="R57" s="31"/>
      <c r="S57" s="32"/>
      <c r="T57" s="31"/>
      <c r="U57" s="32"/>
      <c r="V57" s="31"/>
      <c r="W57" s="32"/>
      <c r="X57" s="31"/>
      <c r="Y57" s="32"/>
      <c r="Z57" s="31"/>
      <c r="AA57" s="32"/>
      <c r="AB57" s="31"/>
      <c r="AC57" s="32"/>
      <c r="AD57" s="31"/>
      <c r="AE57" s="32"/>
      <c r="AF57" s="31"/>
      <c r="AG57" s="32"/>
      <c r="AH57" s="31"/>
      <c r="AI57" s="32"/>
      <c r="AJ57" s="31"/>
      <c r="AK57" s="32"/>
      <c r="AL57" s="31"/>
      <c r="AM57" s="32"/>
      <c r="AN57" s="26">
        <v>17</v>
      </c>
      <c r="AO57" s="33">
        <v>17</v>
      </c>
    </row>
    <row r="58" spans="1:41" x14ac:dyDescent="0.2">
      <c r="A58" s="34">
        <v>18.190000000000001</v>
      </c>
      <c r="B58" s="35" t="s">
        <v>38</v>
      </c>
      <c r="C58" s="35"/>
      <c r="D58" s="31"/>
      <c r="E58" s="36"/>
      <c r="F58" s="31"/>
      <c r="G58" s="36"/>
      <c r="H58" s="31"/>
      <c r="I58" s="36"/>
      <c r="J58" s="31">
        <v>29</v>
      </c>
      <c r="K58" s="36">
        <v>10</v>
      </c>
      <c r="L58" s="31"/>
      <c r="M58" s="36"/>
      <c r="N58" s="31"/>
      <c r="O58" s="36"/>
      <c r="P58" s="31"/>
      <c r="Q58" s="36"/>
      <c r="R58" s="31"/>
      <c r="S58" s="36"/>
      <c r="T58" s="31"/>
      <c r="U58" s="36"/>
      <c r="V58" s="31"/>
      <c r="W58" s="36"/>
      <c r="X58" s="31"/>
      <c r="Y58" s="36"/>
      <c r="Z58" s="31"/>
      <c r="AA58" s="36"/>
      <c r="AB58" s="31"/>
      <c r="AC58" s="36"/>
      <c r="AD58" s="31"/>
      <c r="AE58" s="36"/>
      <c r="AF58" s="31"/>
      <c r="AG58" s="36"/>
      <c r="AH58" s="31"/>
      <c r="AI58" s="36"/>
      <c r="AJ58" s="31"/>
      <c r="AK58" s="36"/>
      <c r="AL58" s="31"/>
      <c r="AM58" s="36"/>
      <c r="AN58" s="37">
        <v>29</v>
      </c>
      <c r="AO58" s="33">
        <v>10</v>
      </c>
    </row>
    <row r="59" spans="1:41" x14ac:dyDescent="0.2">
      <c r="A59" s="38">
        <v>18.021899999999999</v>
      </c>
      <c r="B59" s="39" t="s">
        <v>39</v>
      </c>
      <c r="C59" s="40">
        <v>17</v>
      </c>
      <c r="D59" s="41"/>
      <c r="E59" s="42"/>
      <c r="F59" s="41"/>
      <c r="G59" s="42"/>
      <c r="H59" s="41"/>
      <c r="I59" s="42"/>
      <c r="J59" s="41">
        <v>-41</v>
      </c>
      <c r="K59" s="42">
        <v>7</v>
      </c>
      <c r="L59" s="41"/>
      <c r="M59" s="42"/>
      <c r="N59" s="41"/>
      <c r="O59" s="42"/>
      <c r="P59" s="41"/>
      <c r="Q59" s="42"/>
      <c r="R59" s="41"/>
      <c r="S59" s="42"/>
      <c r="T59" s="41"/>
      <c r="U59" s="42"/>
      <c r="V59" s="41"/>
      <c r="W59" s="42"/>
      <c r="X59" s="41"/>
      <c r="Y59" s="42"/>
      <c r="Z59" s="41"/>
      <c r="AA59" s="42"/>
      <c r="AB59" s="41"/>
      <c r="AC59" s="42"/>
      <c r="AD59" s="41"/>
      <c r="AE59" s="42"/>
      <c r="AF59" s="41"/>
      <c r="AG59" s="42"/>
      <c r="AH59" s="41"/>
      <c r="AI59" s="42"/>
      <c r="AJ59" s="41"/>
      <c r="AK59" s="42"/>
      <c r="AL59" s="41"/>
      <c r="AM59" s="42"/>
      <c r="AN59" s="43">
        <v>-41</v>
      </c>
      <c r="AO59" s="44">
        <v>7</v>
      </c>
    </row>
    <row r="60" spans="1:41" x14ac:dyDescent="0.2">
      <c r="A60" s="21">
        <v>19</v>
      </c>
      <c r="B60" s="29" t="s">
        <v>57</v>
      </c>
      <c r="C60" s="30">
        <v>0</v>
      </c>
      <c r="D60" s="31"/>
      <c r="E60" s="32"/>
      <c r="F60" s="31"/>
      <c r="G60" s="32"/>
      <c r="H60" s="31"/>
      <c r="I60" s="32"/>
      <c r="J60" s="31"/>
      <c r="K60" s="32"/>
      <c r="L60" s="31"/>
      <c r="M60" s="32"/>
      <c r="N60" s="31"/>
      <c r="O60" s="32"/>
      <c r="P60" s="31"/>
      <c r="Q60" s="32"/>
      <c r="R60" s="31"/>
      <c r="S60" s="32"/>
      <c r="T60" s="31"/>
      <c r="U60" s="32"/>
      <c r="V60" s="31"/>
      <c r="W60" s="32"/>
      <c r="X60" s="31"/>
      <c r="Y60" s="32"/>
      <c r="Z60" s="31"/>
      <c r="AA60" s="32"/>
      <c r="AB60" s="31"/>
      <c r="AC60" s="32"/>
      <c r="AD60" s="31"/>
      <c r="AE60" s="32"/>
      <c r="AF60" s="31"/>
      <c r="AG60" s="32"/>
      <c r="AH60" s="31"/>
      <c r="AI60" s="32"/>
      <c r="AJ60" s="31"/>
      <c r="AK60" s="32"/>
      <c r="AL60" s="31"/>
      <c r="AM60" s="32"/>
      <c r="AN60" s="26">
        <v>0</v>
      </c>
      <c r="AO60" s="33">
        <v>0</v>
      </c>
    </row>
    <row r="61" spans="1:41" x14ac:dyDescent="0.2">
      <c r="A61" s="34">
        <v>19.120999999999999</v>
      </c>
      <c r="B61" s="35" t="s">
        <v>38</v>
      </c>
      <c r="C61" s="35"/>
      <c r="D61" s="31"/>
      <c r="E61" s="36"/>
      <c r="F61" s="31"/>
      <c r="G61" s="36"/>
      <c r="H61" s="31"/>
      <c r="I61" s="36"/>
      <c r="J61" s="31"/>
      <c r="K61" s="36"/>
      <c r="L61" s="31"/>
      <c r="M61" s="36"/>
      <c r="N61" s="31"/>
      <c r="O61" s="36"/>
      <c r="P61" s="31"/>
      <c r="Q61" s="36"/>
      <c r="R61" s="31"/>
      <c r="S61" s="36"/>
      <c r="T61" s="31"/>
      <c r="U61" s="36"/>
      <c r="V61" s="31"/>
      <c r="W61" s="36"/>
      <c r="X61" s="31"/>
      <c r="Y61" s="36"/>
      <c r="Z61" s="31"/>
      <c r="AA61" s="36"/>
      <c r="AB61" s="31"/>
      <c r="AC61" s="36"/>
      <c r="AD61" s="31"/>
      <c r="AE61" s="36"/>
      <c r="AF61" s="31"/>
      <c r="AG61" s="36"/>
      <c r="AH61" s="31"/>
      <c r="AI61" s="36"/>
      <c r="AJ61" s="31"/>
      <c r="AK61" s="36"/>
      <c r="AL61" s="31"/>
      <c r="AM61" s="36"/>
      <c r="AN61" s="37">
        <v>0</v>
      </c>
      <c r="AO61" s="33">
        <v>0</v>
      </c>
    </row>
    <row r="62" spans="1:41" x14ac:dyDescent="0.2">
      <c r="A62" s="38">
        <v>19.022099999999998</v>
      </c>
      <c r="B62" s="39" t="s">
        <v>39</v>
      </c>
      <c r="C62" s="40">
        <v>0</v>
      </c>
      <c r="D62" s="41"/>
      <c r="E62" s="42"/>
      <c r="F62" s="41"/>
      <c r="G62" s="42"/>
      <c r="H62" s="41"/>
      <c r="I62" s="42"/>
      <c r="J62" s="41"/>
      <c r="K62" s="42"/>
      <c r="L62" s="41"/>
      <c r="M62" s="42"/>
      <c r="N62" s="41"/>
      <c r="O62" s="42"/>
      <c r="P62" s="41"/>
      <c r="Q62" s="42"/>
      <c r="R62" s="41"/>
      <c r="S62" s="42"/>
      <c r="T62" s="41"/>
      <c r="U62" s="42"/>
      <c r="V62" s="41"/>
      <c r="W62" s="42"/>
      <c r="X62" s="41"/>
      <c r="Y62" s="42"/>
      <c r="Z62" s="41"/>
      <c r="AA62" s="42"/>
      <c r="AB62" s="41"/>
      <c r="AC62" s="42"/>
      <c r="AD62" s="41"/>
      <c r="AE62" s="42"/>
      <c r="AF62" s="41"/>
      <c r="AG62" s="42"/>
      <c r="AH62" s="41"/>
      <c r="AI62" s="42"/>
      <c r="AJ62" s="41"/>
      <c r="AK62" s="42"/>
      <c r="AL62" s="41"/>
      <c r="AM62" s="42"/>
      <c r="AN62" s="43">
        <v>0</v>
      </c>
      <c r="AO62" s="44">
        <v>0</v>
      </c>
    </row>
    <row r="65" spans="2:96" x14ac:dyDescent="0.2">
      <c r="B65" s="51" t="s">
        <v>58</v>
      </c>
      <c r="C65" s="51"/>
      <c r="D65" s="52">
        <f>AVERAGE(E6,E9,E12,E15,E18,E21,E24,E27,E30,E33,E36,E39,E42,E45,E48,E51,E54,E57,E60)</f>
        <v>21</v>
      </c>
      <c r="E65" s="53"/>
      <c r="F65" s="52" t="e">
        <f>AVERAGE(G6,G9,G12,G15,G18,G21,G24,G27,G30,G33,G36,G39,G42,G45,G48,G51,G54,G57,G60)</f>
        <v>#DIV/0!</v>
      </c>
      <c r="G65" s="53"/>
      <c r="H65" s="52">
        <f>AVERAGE(I6,I9,I12,I15,I18,I21,I24,I27,I30,I33,I36,I39,I42,I45,I48,I51,I54,I57,I60)</f>
        <v>21</v>
      </c>
      <c r="I65" s="53"/>
      <c r="J65" s="52">
        <f>AVERAGE(K6,K9,K12,K15,K18,K21,K24,K27,K30,K33,K36,K39,K42,K45,K48,K51,K54,K57,K60)</f>
        <v>21</v>
      </c>
      <c r="K65" s="53"/>
      <c r="L65" s="52">
        <f>AVERAGE(M6,M9,M12,M15,M18,M21,M24,M27,M30,M33,M36,M39,M42,M45,M48,M51,M54,M57,M60)</f>
        <v>20.5</v>
      </c>
      <c r="M65" s="53"/>
      <c r="N65" s="52" t="e">
        <f>AVERAGE(O6,O9,O12,O15,O18,O21,O24,O27,O30,O33,O36,O39,O42,O45,O48,O51,O54,O57,O60)</f>
        <v>#DIV/0!</v>
      </c>
      <c r="O65" s="53"/>
      <c r="P65" s="52" t="e">
        <f>AVERAGE(Q6,Q9,Q12,Q15,Q18,Q21,Q24,Q27,Q30,Q33,Q36,Q39,Q42,Q45,Q48,Q51,Q54,Q57,Q60)</f>
        <v>#DIV/0!</v>
      </c>
      <c r="Q65" s="53"/>
      <c r="R65" s="52" t="e">
        <f>AVERAGE(S6,S9,S12,S15,S18,S21,S24,S27,S30,S33,S36,S39,S42,S45,S48,S51,S54,S57,S60)</f>
        <v>#DIV/0!</v>
      </c>
      <c r="S65" s="53"/>
      <c r="T65" s="52" t="e">
        <f>AVERAGE(U6,U9,U12,U15,U18,U21,U24,U27,U30,U33,U36,U39,U42,U45,U48,U51,U54,U57,U60)</f>
        <v>#DIV/0!</v>
      </c>
      <c r="U65" s="53"/>
      <c r="V65" s="52" t="e">
        <f>AVERAGE(W6,W9,W12,W15,W18,W21,W24,W27,W30,W33,W36,W39,W42,W45,W48,W51,W54,W57,W60)</f>
        <v>#DIV/0!</v>
      </c>
      <c r="W65" s="53"/>
      <c r="X65" s="52" t="e">
        <f>AVERAGE(Y6,Y9,Y12,Y15,Y18,Y21,Y24,Y27,Y30,Y33,Y36,Y39,Y42,Y45,Y48,Y51,Y54,Y57,Y60)</f>
        <v>#DIV/0!</v>
      </c>
      <c r="Y65" s="53"/>
      <c r="Z65" s="52" t="e">
        <f>AVERAGE(AA6,AA9,AA12,AA15,AA18,AA21,AA24,AA27,AA30,AA33,AA36,AA39,AA42,AA45,AA48,AA51,AA54,AA57,AA60)</f>
        <v>#DIV/0!</v>
      </c>
      <c r="AA65" s="53"/>
      <c r="AB65" s="52" t="e">
        <f>AVERAGE(AC6,AC9,AC12,AC15,AC18,AC21,AC24,AC27,AC30,AC33,AC36,AC39,AC42,AC45,AC48,AC51,AC54,AC57,AC60)</f>
        <v>#DIV/0!</v>
      </c>
      <c r="AC65" s="53"/>
      <c r="AD65" s="52" t="e">
        <f>AVERAGE(AE6,AE9,AE12,AE15,AE18,AE21,AE24,AE27,AE30,AE33,AE36,AE39,AE42,AE45,AE48,AE51,AE54,AE57,AE60)</f>
        <v>#DIV/0!</v>
      </c>
      <c r="AE65" s="53"/>
      <c r="AF65" s="52" t="e">
        <f>AVERAGE(AG6,AG9,AG12,AG15,AG18,AG21,AG24,AG27,AG30,AG33,AG36,AG39,AG42,AG45,AG48,AG51,AG54,AG57,AG60)</f>
        <v>#DIV/0!</v>
      </c>
      <c r="AG65" s="53"/>
      <c r="AH65" s="52" t="e">
        <f>AVERAGE(AI6,AI9,AI12,AI15,AI18,AI21,AI24,AI27,AI30,AI33,AI36,AI39,AI42,AI45,AI48,AI51,AI54,AI57,AI60)</f>
        <v>#DIV/0!</v>
      </c>
      <c r="AI65" s="53"/>
      <c r="AJ65" s="52" t="e">
        <f>AVERAGE(AK6,AK9,AK12,AK15,AK18,AK21,AK24,AK27,AK30,AK33,AK36,AK39,AK42,AK45,AK48,AK51,AK54,AK57,AK60)</f>
        <v>#DIV/0!</v>
      </c>
      <c r="AK65" s="53"/>
      <c r="AL65" s="52" t="e">
        <f>AVERAGE(AM6,AM9,AM12,AM15,AM18,AM21,AM24,AM27,AM30,AM33,AM36,AM39,AM42,AM45,AM48,AM51,AM54,AM57,AM60)</f>
        <v>#DIV/0!</v>
      </c>
      <c r="AM65" s="54">
        <f>AVERAGE(AN6,AN9,AN12,AN15,AN18,AN21,AN24,AN27,AN30,AN33,AN39,AN42,AN45,AN48,AN51,AN54,AN57,AN60)</f>
        <v>56.055555555555557</v>
      </c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</row>
    <row r="66" spans="2:96" s="15" customFormat="1" x14ac:dyDescent="0.2">
      <c r="B66" s="51"/>
      <c r="C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5"/>
    </row>
    <row r="67" spans="2:96" s="15" customFormat="1" x14ac:dyDescent="0.2">
      <c r="B67" s="15" t="s">
        <v>20</v>
      </c>
      <c r="C67" s="16"/>
      <c r="D67" s="56">
        <f>E6+E9+E12+E15+E18+E21+E24+E27+E30+E33+E36+E39+E42+E45+E48+E51+E54+E57+E60</f>
        <v>336</v>
      </c>
      <c r="F67" s="56">
        <f>G6+G9+G12+G15+G18+G21+G24+G27+G30+G33+G36+G39+G42+G45+G48+G51+G54+G57+G60</f>
        <v>0</v>
      </c>
      <c r="H67" s="56">
        <f>I6+I9+I12+I15+I18+I21+I24+I27+I30+I33+I36+I39+I42+I45+I48+I51+I54+I57+I60</f>
        <v>252</v>
      </c>
      <c r="J67" s="56">
        <f>K6+K9+K12+K15+K18+K21+K24+K27+K30+K33+K36+K39+K42+K45+K48+K51+K54+K57+K60</f>
        <v>168</v>
      </c>
      <c r="L67" s="56">
        <f>M6+M9+M12+M15+M18+M21+M24+M27+M30+M33+M36+M39+M42+M45+M48+M51+M54+M57+M60</f>
        <v>307.5</v>
      </c>
      <c r="N67" s="56">
        <f>O6+O9+O12+O15+O18+O21+O24+O27+O30+O33+O36+O39+O42+O45+O48+O51+O54+O57+O60</f>
        <v>0</v>
      </c>
      <c r="P67" s="56">
        <f>Q6+Q9+Q12+Q15+Q18+Q21+Q24+Q27+Q30+Q33+Q36+Q39+Q42+Q45+Q48+Q51+Q54+Q57+Q60</f>
        <v>0</v>
      </c>
      <c r="R67" s="56">
        <f>S6+S9+S12+S15+S18+S21+S24+S27+S30+S33+S36+S39+S42+S45+S48+S51+S54+S57+S60</f>
        <v>0</v>
      </c>
      <c r="T67" s="56">
        <f>U6+U9+U12+U15+U18+U21+U24+U27+U30+U33+U36+U39+U42+U45+U48+U51+U54+U57+U60</f>
        <v>0</v>
      </c>
      <c r="V67" s="56">
        <f>W6+W9+W12+W15+W18+W21+W24+W27+W30+W33+W36+W39+W42+W45+W48+W51+W54+W57+W60</f>
        <v>0</v>
      </c>
      <c r="X67" s="56">
        <f>Y6+Y9+Y12+Y15+Y18+Y21+Y24+Y27+Y30+Y33+Y36+Y39+Y42+Y45+Y48+Y51+Y54+Y57+Y60</f>
        <v>0</v>
      </c>
      <c r="Z67" s="56">
        <f>AA6+AA9+AA12+AA15+AA18+AA21+AA24+AA27+AA30+AA33+AA36+AA39+AA42+AA45+AA48+AA51+AA54+AA57+AA60</f>
        <v>0</v>
      </c>
      <c r="AB67" s="56">
        <f>AC6+AC9+AC12+AC15+AC18+AC21+AC24+AC27+AC30+AC33+AC36+AC39+AC42+AC45+AC48+AC51+AC54+AC57+AC60</f>
        <v>0</v>
      </c>
      <c r="AD67" s="56">
        <f>AE6+AE9+AE12+AE15+AE18+AE21+AE24+AE27+AE30+AE33+AE36+AE39+AE42+AE45+AE48+AE51+AE54+AE57+AE60</f>
        <v>0</v>
      </c>
      <c r="AF67" s="56">
        <f>AG6+AG9+AG12+AG15+AG18+AG21+AG24+AG27+AG30+AG33+AG36+AG39+AG42+AG45+AG48+AG51+AG54+AG57+AG60</f>
        <v>0</v>
      </c>
      <c r="AH67" s="56">
        <f>AI6+AI9+AI12+AI15+AI18+AI21+AI24+AI27+AI30+AI33+AI36+AI39+AI42+AI45+AI48+AI51+AI54+AI57+AI60</f>
        <v>0</v>
      </c>
      <c r="AJ67" s="56">
        <f>AK6+AK9+AK12+AK15+AK18+AK21+AK24+AK27+AK30+AK33+AK36+AK39+AK42+AK45+AK48+AK51+AK54+AK57+AK60</f>
        <v>0</v>
      </c>
      <c r="AL67" s="56">
        <f>AM6+AM9+AM12+AM15+AM18+AM21+AM24+AM27+AM30+AM33+AM36+AM39+AM42+AM45+AM48+AM51+AM54+AM57+AM60</f>
        <v>0</v>
      </c>
      <c r="AM67" s="57">
        <f>AN6+AN9+AN12+AN15+AN18+AN21+AN24+AN27+AN30+AN33+AN36+AN39+AN42+AN45+AN48+AN51+AN54+AN57+AN60</f>
        <v>1063.5</v>
      </c>
      <c r="CR67" s="55"/>
    </row>
    <row r="68" spans="2:96" s="15" customFormat="1" x14ac:dyDescent="0.2">
      <c r="C68" s="16"/>
      <c r="CR68" s="55"/>
    </row>
    <row r="69" spans="2:96" s="15" customFormat="1" x14ac:dyDescent="0.2">
      <c r="C69" s="16"/>
      <c r="D69" s="58" t="e">
        <f ca="1">+Standings!CT72+Standings!CT76+Standings!CT79+Standings!CT82+Standings!CT85+Standings!CT88+Standings!CT91+Standings!CT94+Standings!CT97+Standings!CT100+Standings!CT103+D67</f>
        <v>#VALUE!</v>
      </c>
      <c r="F69" s="58" t="e">
        <f ca="1">+Standings!CV72+Standings!CV76+Standings!CV79+Standings!CV82+Standings!CV85+Standings!CV88+Standings!CV91+Standings!CV94+Standings!CV97+Standings!CV100+Standings!CV103+F67</f>
        <v>#VALUE!</v>
      </c>
      <c r="H69" s="58" t="e">
        <f ca="1">+Standings!CX72+Standings!CX76+Standings!CX79+Standings!CX82+Standings!CX85+Standings!CX88+Standings!CX91+Standings!CX94+Standings!CX97+Standings!CX100+Standings!CX103+H67</f>
        <v>#VALUE!</v>
      </c>
      <c r="J69" s="58" t="e">
        <f ca="1">+Standings!CZ72+Standings!CZ76+Standings!CZ79+Standings!CZ82+Standings!CZ85+Standings!CZ88+Standings!CZ91+Standings!CZ94+Standings!CZ97+Standings!CZ100+Standings!CZ103+J67</f>
        <v>#VALUE!</v>
      </c>
      <c r="L69" s="58" t="e">
        <f ca="1">+Standings!DB72+Standings!DB76+Standings!DB79+Standings!DB82+Standings!DB85+Standings!DB88+Standings!DB91+Standings!DB94+Standings!DB97+Standings!DB100+Standings!DB103+L67</f>
        <v>#VALUE!</v>
      </c>
      <c r="N69" s="58" t="e">
        <f ca="1">+Standings!DD72+Standings!DD76+Standings!DD79+Standings!DD82+Standings!DD85+Standings!DD88+Standings!DD91+Standings!DD94+Standings!DD97+Standings!DD100+Standings!DD103+N67</f>
        <v>#VALUE!</v>
      </c>
      <c r="P69" s="58" t="e">
        <f ca="1">+Standings!DF72+Standings!DF76+Standings!DF79+Standings!DF82+Standings!DF85+Standings!DF88+Standings!DF91+Standings!DF94+Standings!DF97+Standings!DF100+Standings!DF103+P67</f>
        <v>#VALUE!</v>
      </c>
      <c r="R69" s="58" t="e">
        <f ca="1">+Standings!DH72+Standings!DH76+Standings!DH79+Standings!DH82+Standings!DH85+Standings!DH88+Standings!DH91+Standings!DH94+Standings!DH97+Standings!DH100+Standings!DH103+R67</f>
        <v>#VALUE!</v>
      </c>
      <c r="T69" s="58" t="e">
        <f ca="1">+Standings!DJ72+Standings!DJ76+Standings!DJ79+Standings!DJ82+Standings!DJ85+Standings!DJ88+Standings!DJ91+Standings!DJ94+Standings!DJ97+Standings!DJ100+Standings!DJ103+T67</f>
        <v>#VALUE!</v>
      </c>
      <c r="V69" s="58" t="e">
        <f ca="1">+Standings!DL72+Standings!DL76+Standings!DL79+Standings!DL82+Standings!DL85+Standings!DL88+Standings!DL91+Standings!DL94+Standings!DL97+Standings!DL100+Standings!DL103+V67</f>
        <v>#VALUE!</v>
      </c>
      <c r="X69" s="58" t="e">
        <f ca="1">+Standings!DN72+Standings!DN76+Standings!DN79+Standings!DN82+Standings!DN85+Standings!DN88+Standings!DN91+Standings!DN94+Standings!DN97+Standings!DN100+Standings!DN103+X67</f>
        <v>#VALUE!</v>
      </c>
      <c r="Z69" s="58" t="e">
        <f ca="1">+Standings!DP72+Standings!DP76+Standings!DP79+Standings!DP82+Standings!DP85+Standings!DP88+Standings!DP91+Standings!DP94+Standings!DP97+Standings!DP100+Standings!DP103+Z67</f>
        <v>#VALUE!</v>
      </c>
      <c r="AB69" s="58" t="e">
        <f ca="1">+Standings!DR72+Standings!DR76+Standings!DR79+Standings!DR82+Standings!DR85+Standings!DR88+Standings!DR91+Standings!DR94+Standings!DR97+Standings!DR100+Standings!DR103+AB67</f>
        <v>#VALUE!</v>
      </c>
      <c r="AD69" s="58" t="e">
        <f ca="1">+Standings!DT72+Standings!DT76+Standings!DT79+Standings!DT82+Standings!DT85+Standings!DT88+Standings!DT91+Standings!DT94+Standings!DT97+Standings!DT100+Standings!DT103+AD67</f>
        <v>#VALUE!</v>
      </c>
      <c r="AF69" s="58" t="e">
        <f ca="1">+Standings!DV72+Standings!DV76+Standings!DV79+Standings!DV82+Standings!DV85+Standings!DV88+Standings!DV91+Standings!DV94+Standings!DV97+Standings!DV100+Standings!DV103+AF67</f>
        <v>#VALUE!</v>
      </c>
      <c r="AH69" s="58" t="e">
        <f ca="1">+Standings!DX72+Standings!DX76+Standings!DX79+Standings!DX82+Standings!DX85+Standings!DX88+Standings!DX91+Standings!DX94+Standings!DX97+Standings!DX100+Standings!DX103+AH67</f>
        <v>#VALUE!</v>
      </c>
      <c r="AJ69" s="58" t="e">
        <f ca="1">+Standings!DZ72+Standings!DZ76+Standings!DZ79+Standings!DZ82+Standings!DZ85+Standings!DZ88+Standings!DZ91+Standings!DZ94+Standings!DZ97+Standings!DZ100+Standings!DZ103+AJ67</f>
        <v>#VALUE!</v>
      </c>
      <c r="AL69" s="58" t="e">
        <f ca="1">+Standings!EB72+Standings!EB76+Standings!EB79+Standings!EB82+Standings!EB85+Standings!EB88+Standings!EB91+Standings!EB94+Standings!EB97+Standings!EB100+Standings!EB103+AL67</f>
        <v>#VALUE!</v>
      </c>
      <c r="CR69" s="55"/>
    </row>
    <row r="70" spans="2:96" x14ac:dyDescent="0.2">
      <c r="B70" s="21"/>
      <c r="C70" s="21"/>
      <c r="CR70" s="55"/>
    </row>
  </sheetData>
  <mergeCells count="76">
    <mergeCell ref="AL4:AM4"/>
    <mergeCell ref="D5:E5"/>
    <mergeCell ref="H5:I5"/>
    <mergeCell ref="AB4:AC4"/>
    <mergeCell ref="AD4:AE4"/>
    <mergeCell ref="AF4:AG4"/>
    <mergeCell ref="AH4:AI4"/>
    <mergeCell ref="AJ4:AK4"/>
    <mergeCell ref="AH3:AI3"/>
    <mergeCell ref="AJ3:AK3"/>
    <mergeCell ref="AL3:AM3"/>
    <mergeCell ref="AN3:AO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L2:AM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B2:AC2"/>
    <mergeCell ref="AD2:AE2"/>
    <mergeCell ref="AF2:AG2"/>
    <mergeCell ref="AH2:AI2"/>
    <mergeCell ref="AJ2:AK2"/>
    <mergeCell ref="AF1:AG1"/>
    <mergeCell ref="AH1:AI1"/>
    <mergeCell ref="AJ1:AK1"/>
    <mergeCell ref="AL1:AM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C1:C4"/>
    <mergeCell ref="D1:E1"/>
    <mergeCell ref="F1:G1"/>
    <mergeCell ref="H1:I1"/>
    <mergeCell ref="J1:K1"/>
  </mergeCells>
  <pageMargins left="0.2" right="0.2" top="0.25" bottom="0.2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1"/>
  <sheetViews>
    <sheetView zoomScaleNormal="100" zoomScalePageLayoutView="60" workbookViewId="0"/>
  </sheetViews>
  <sheetFormatPr defaultColWidth="8.5546875" defaultRowHeight="14.25" x14ac:dyDescent="0.2"/>
  <cols>
    <col min="1" max="1" width="6" customWidth="1"/>
    <col min="2" max="2" width="11.21875" customWidth="1"/>
    <col min="3" max="3" width="6" customWidth="1"/>
    <col min="4" max="4" width="4.5546875" customWidth="1"/>
    <col min="5" max="5" width="4.33203125" customWidth="1"/>
    <col min="6" max="6" width="4.44140625" customWidth="1"/>
    <col min="7" max="7" width="4.33203125" customWidth="1"/>
    <col min="8" max="8" width="4.5546875" customWidth="1"/>
    <col min="9" max="9" width="4.33203125" customWidth="1"/>
  </cols>
  <sheetData>
    <row r="1" spans="1:16" ht="14.25" customHeight="1" x14ac:dyDescent="0.2">
      <c r="A1" s="59"/>
      <c r="B1" s="60"/>
      <c r="C1" s="6" t="s">
        <v>59</v>
      </c>
      <c r="D1" s="5">
        <v>15</v>
      </c>
      <c r="E1" s="5"/>
      <c r="F1" s="5"/>
      <c r="G1" s="5"/>
      <c r="H1" s="5"/>
      <c r="I1" s="5"/>
      <c r="J1" s="61"/>
      <c r="K1" s="62"/>
      <c r="L1" s="59"/>
      <c r="M1" s="59"/>
      <c r="N1" s="59"/>
      <c r="O1" s="59"/>
      <c r="P1" s="59"/>
    </row>
    <row r="2" spans="1:16" x14ac:dyDescent="0.2">
      <c r="A2" s="15"/>
      <c r="B2" s="63" t="s">
        <v>1</v>
      </c>
      <c r="C2" s="6"/>
      <c r="D2" s="4" t="s">
        <v>60</v>
      </c>
      <c r="E2" s="4"/>
      <c r="F2" s="4"/>
      <c r="G2" s="4"/>
      <c r="H2" s="4"/>
      <c r="I2" s="4"/>
      <c r="J2" s="64" t="s">
        <v>20</v>
      </c>
      <c r="K2" s="65" t="s">
        <v>21</v>
      </c>
      <c r="L2" s="15"/>
      <c r="M2" s="15"/>
      <c r="N2" s="15"/>
      <c r="O2" s="15"/>
      <c r="P2" s="15"/>
    </row>
    <row r="3" spans="1:16" ht="15.75" customHeight="1" x14ac:dyDescent="0.2">
      <c r="A3" s="15"/>
      <c r="B3" s="66" t="s">
        <v>22</v>
      </c>
      <c r="C3" s="6"/>
      <c r="D3" s="3" t="s">
        <v>61</v>
      </c>
      <c r="E3" s="3"/>
      <c r="F3" s="2"/>
      <c r="G3" s="2"/>
      <c r="H3" s="2"/>
      <c r="I3" s="2"/>
      <c r="J3" s="67"/>
      <c r="K3" s="68"/>
      <c r="L3" s="15"/>
      <c r="M3" s="15"/>
      <c r="N3" s="15"/>
      <c r="O3" s="15"/>
      <c r="P3" s="15"/>
    </row>
    <row r="4" spans="1:16" ht="47.25" customHeight="1" x14ac:dyDescent="0.2">
      <c r="A4" s="15"/>
      <c r="B4" s="69" t="s">
        <v>62</v>
      </c>
      <c r="C4" s="6"/>
      <c r="D4" s="1" t="s">
        <v>63</v>
      </c>
      <c r="E4" s="1"/>
      <c r="F4" s="1"/>
      <c r="G4" s="1"/>
      <c r="H4" s="210"/>
      <c r="I4" s="210"/>
      <c r="J4" s="70"/>
      <c r="K4" s="68"/>
      <c r="L4" s="15"/>
      <c r="M4" s="15"/>
      <c r="N4" s="15"/>
      <c r="O4" s="15"/>
      <c r="P4" s="15"/>
    </row>
    <row r="5" spans="1:16" x14ac:dyDescent="0.2">
      <c r="A5" s="15">
        <v>1</v>
      </c>
      <c r="B5" s="29" t="str">
        <f ca="1">VLOOKUP(A5,Standings!B:E,3,FALSE())</f>
        <v>MW</v>
      </c>
      <c r="C5" s="71" t="e">
        <f ca="1">VLOOKUP(B5,Standings!$E$6:$F$62,2,FALSE())</f>
        <v>#N/A</v>
      </c>
      <c r="D5" s="72"/>
      <c r="E5" s="73"/>
      <c r="F5" s="74"/>
      <c r="G5" s="75"/>
      <c r="H5" s="74"/>
      <c r="I5" s="75"/>
      <c r="J5" s="76" t="e">
        <f ca="1">VLOOKUP(B5,Standings!$E$5:$EC$62,57,FALSE())</f>
        <v>#N/A</v>
      </c>
      <c r="K5" s="77" t="e">
        <f ca="1">VLOOKUP(B5,Standings!$E$5:$ED$63,58,FALSE())</f>
        <v>#N/A</v>
      </c>
      <c r="L5" s="15"/>
      <c r="M5" s="15"/>
      <c r="N5" s="15"/>
      <c r="O5" s="15"/>
      <c r="P5" s="15"/>
    </row>
    <row r="6" spans="1:16" x14ac:dyDescent="0.2">
      <c r="A6" s="78">
        <f>A5+0.1</f>
        <v>1.1000000000000001</v>
      </c>
      <c r="B6" s="35" t="s">
        <v>38</v>
      </c>
      <c r="C6" s="79"/>
      <c r="D6" s="72"/>
      <c r="E6" s="73"/>
      <c r="F6" s="80"/>
      <c r="G6" s="81"/>
      <c r="H6" s="80"/>
      <c r="I6" s="81"/>
      <c r="J6" s="76" t="e">
        <f ca="1">VLOOKUP(A6,Standings!$B$6:$EC$62,59,FALSE())</f>
        <v>#N/A</v>
      </c>
      <c r="K6" s="76" t="e">
        <f ca="1">VLOOKUP(A6,Standings!$B$6:$ED$62,60,FALSE())</f>
        <v>#N/A</v>
      </c>
      <c r="L6" s="15"/>
      <c r="M6" s="15"/>
      <c r="N6" s="15"/>
      <c r="O6" s="15"/>
      <c r="P6" s="15"/>
    </row>
    <row r="7" spans="1:16" x14ac:dyDescent="0.2">
      <c r="A7" s="78">
        <f>A5+0.02</f>
        <v>1.02</v>
      </c>
      <c r="B7" s="39" t="s">
        <v>39</v>
      </c>
      <c r="C7" s="82" t="e">
        <f ca="1">VLOOKUP(A7,Standings!B:F,4,FALSE())</f>
        <v>#N/A</v>
      </c>
      <c r="D7" s="83"/>
      <c r="E7" s="84"/>
      <c r="F7" s="85"/>
      <c r="G7" s="86"/>
      <c r="H7" s="85"/>
      <c r="I7" s="86"/>
      <c r="J7" s="76" t="e">
        <f ca="1">VLOOKUP(A7,Standings!$B$6:$EC$62,59,FALSE())</f>
        <v>#N/A</v>
      </c>
      <c r="K7" s="76" t="e">
        <f ca="1">VLOOKUP(A7,Standings!$B$6:$ED$62,60,FALSE())</f>
        <v>#N/A</v>
      </c>
      <c r="L7" s="15"/>
      <c r="M7" s="15"/>
      <c r="N7" s="15"/>
      <c r="O7" s="15"/>
      <c r="P7" s="15"/>
    </row>
    <row r="8" spans="1:16" x14ac:dyDescent="0.2">
      <c r="A8" s="15">
        <v>2</v>
      </c>
      <c r="B8" s="29" t="str">
        <f ca="1">VLOOKUP(A8,Standings!B:E,3,FALSE())</f>
        <v>CP</v>
      </c>
      <c r="C8" s="71" t="e">
        <f ca="1">VLOOKUP(B8,Standings!$E$6:$F$62,2,FALSE())</f>
        <v>#N/A</v>
      </c>
      <c r="D8" s="72">
        <v>77</v>
      </c>
      <c r="E8" s="73">
        <v>17.5</v>
      </c>
      <c r="F8" s="74"/>
      <c r="G8" s="75"/>
      <c r="H8" s="74"/>
      <c r="I8" s="75"/>
      <c r="J8" s="76" t="e">
        <f ca="1">VLOOKUP(B8,Standings!$E$5:$EC$62,57,FALSE())</f>
        <v>#N/A</v>
      </c>
      <c r="K8" s="77" t="e">
        <f ca="1">VLOOKUP(B8,Standings!$E$5:$ED$63,58,FALSE())</f>
        <v>#N/A</v>
      </c>
      <c r="L8" s="87"/>
      <c r="M8" s="15"/>
      <c r="N8" s="15"/>
      <c r="O8" s="15"/>
      <c r="P8" s="15"/>
    </row>
    <row r="9" spans="1:16" x14ac:dyDescent="0.2">
      <c r="A9" s="78">
        <f>A8+0.1</f>
        <v>2.1</v>
      </c>
      <c r="B9" s="35" t="s">
        <v>38</v>
      </c>
      <c r="C9" s="79"/>
      <c r="D9" s="72">
        <v>36</v>
      </c>
      <c r="E9" s="73">
        <v>10.5</v>
      </c>
      <c r="F9" s="80"/>
      <c r="G9" s="81"/>
      <c r="H9" s="80"/>
      <c r="I9" s="81"/>
      <c r="J9" s="76" t="e">
        <f ca="1">VLOOKUP(A9,Standings!$B$6:$EC$62,59,FALSE())</f>
        <v>#N/A</v>
      </c>
      <c r="K9" s="76" t="e">
        <f ca="1">VLOOKUP(A9,Standings!$B$6:$ED$62,60,FALSE())</f>
        <v>#N/A</v>
      </c>
      <c r="L9" s="15"/>
      <c r="M9" s="15"/>
      <c r="N9" s="15"/>
      <c r="O9" s="15"/>
      <c r="P9" s="15"/>
    </row>
    <row r="10" spans="1:16" x14ac:dyDescent="0.2">
      <c r="A10" s="78">
        <f>A8+0.02</f>
        <v>2.02</v>
      </c>
      <c r="B10" s="39" t="s">
        <v>39</v>
      </c>
      <c r="C10" s="82" t="e">
        <f ca="1">VLOOKUP(A10,Standings!B:F,4,FALSE())</f>
        <v>#N/A</v>
      </c>
      <c r="D10" s="83">
        <v>-11</v>
      </c>
      <c r="E10" s="84">
        <v>7</v>
      </c>
      <c r="F10" s="85"/>
      <c r="G10" s="86"/>
      <c r="H10" s="85"/>
      <c r="I10" s="86"/>
      <c r="J10" s="76" t="e">
        <f ca="1">VLOOKUP(A10,Standings!$B$6:$EC$62,59,FALSE())</f>
        <v>#N/A</v>
      </c>
      <c r="K10" s="76" t="e">
        <f ca="1">VLOOKUP(A10,Standings!$B$6:$ED$62,60,FALSE())</f>
        <v>#N/A</v>
      </c>
      <c r="L10" s="15"/>
      <c r="M10" s="15"/>
      <c r="N10" s="15"/>
      <c r="O10" s="15"/>
      <c r="P10" s="15"/>
    </row>
    <row r="11" spans="1:16" x14ac:dyDescent="0.2">
      <c r="A11" s="15">
        <v>3</v>
      </c>
      <c r="B11" s="29" t="e">
        <f ca="1">VLOOKUP(A11,Standings!B:E,3,FALSE())</f>
        <v>#N/A</v>
      </c>
      <c r="C11" s="71" t="e">
        <f ca="1">VLOOKUP(B11,Standings!$E$6:$F$62,2,FALSE())</f>
        <v>#N/A</v>
      </c>
      <c r="D11" s="72">
        <v>73</v>
      </c>
      <c r="E11" s="73">
        <v>17.5</v>
      </c>
      <c r="F11" s="74"/>
      <c r="G11" s="75"/>
      <c r="H11" s="74"/>
      <c r="I11" s="75"/>
      <c r="J11" s="76" t="e">
        <f ca="1">VLOOKUP(B11,Standings!$E$5:$EC$62,57,FALSE())</f>
        <v>#N/A</v>
      </c>
      <c r="K11" s="77" t="e">
        <f ca="1">VLOOKUP(B11,Standings!$E$5:$ED$63,58,FALSE())</f>
        <v>#N/A</v>
      </c>
      <c r="L11" s="15"/>
      <c r="M11" s="15"/>
      <c r="N11" s="15"/>
      <c r="O11" s="15"/>
      <c r="P11" s="15"/>
    </row>
    <row r="12" spans="1:16" x14ac:dyDescent="0.2">
      <c r="A12" s="78">
        <f>A11+0.1</f>
        <v>3.1</v>
      </c>
      <c r="B12" s="35" t="s">
        <v>38</v>
      </c>
      <c r="C12" s="79"/>
      <c r="D12" s="72">
        <v>34</v>
      </c>
      <c r="E12" s="73">
        <v>7</v>
      </c>
      <c r="F12" s="80"/>
      <c r="G12" s="81"/>
      <c r="H12" s="80"/>
      <c r="I12" s="81"/>
      <c r="J12" s="76" t="e">
        <f ca="1">VLOOKUP(A12,Standings!$B$6:$EC$62,59,FALSE())</f>
        <v>#N/A</v>
      </c>
      <c r="K12" s="76" t="e">
        <f ca="1">VLOOKUP(A12,Standings!$B$6:$ED$62,60,FALSE())</f>
        <v>#N/A</v>
      </c>
      <c r="L12" s="15"/>
      <c r="M12" s="15"/>
      <c r="N12" s="15"/>
      <c r="O12" s="15"/>
      <c r="P12" s="15"/>
    </row>
    <row r="13" spans="1:16" x14ac:dyDescent="0.2">
      <c r="A13" s="78">
        <f>A11+0.02</f>
        <v>3.02</v>
      </c>
      <c r="B13" s="39" t="s">
        <v>39</v>
      </c>
      <c r="C13" s="82" t="e">
        <f ca="1">VLOOKUP(A13,Standings!B:F,4,FALSE())</f>
        <v>#N/A</v>
      </c>
      <c r="D13" s="83">
        <v>16</v>
      </c>
      <c r="E13" s="84">
        <v>10.5</v>
      </c>
      <c r="F13" s="85"/>
      <c r="G13" s="86"/>
      <c r="H13" s="85"/>
      <c r="I13" s="86"/>
      <c r="J13" s="76" t="e">
        <f ca="1">VLOOKUP(A13,Standings!$B$6:$EC$62,59,FALSE())</f>
        <v>#N/A</v>
      </c>
      <c r="K13" s="76" t="e">
        <f ca="1">VLOOKUP(A13,Standings!$B$6:$ED$62,60,FALSE())</f>
        <v>#N/A</v>
      </c>
      <c r="L13" s="15"/>
      <c r="M13" s="15"/>
      <c r="N13" s="15"/>
      <c r="O13" s="15"/>
      <c r="P13" s="15"/>
    </row>
    <row r="14" spans="1:16" x14ac:dyDescent="0.2">
      <c r="A14" s="15">
        <v>4</v>
      </c>
      <c r="B14" s="29" t="str">
        <f ca="1">VLOOKUP(A14,Standings!B:E,3,FALSE())</f>
        <v>KC</v>
      </c>
      <c r="C14" s="71" t="e">
        <f ca="1">VLOOKUP(B14,Standings!$E$6:$F$62,2,FALSE())</f>
        <v>#N/A</v>
      </c>
      <c r="D14" s="72"/>
      <c r="E14" s="73"/>
      <c r="F14" s="74"/>
      <c r="G14" s="75"/>
      <c r="H14" s="74"/>
      <c r="I14" s="75"/>
      <c r="J14" s="76" t="e">
        <f ca="1">VLOOKUP(B14,Standings!$E$5:$EC$62,57,FALSE())</f>
        <v>#N/A</v>
      </c>
      <c r="K14" s="77" t="e">
        <f ca="1">VLOOKUP(B14,Standings!$E$5:$ED$63,58,FALSE())</f>
        <v>#N/A</v>
      </c>
      <c r="L14" s="15"/>
      <c r="M14" s="15"/>
      <c r="N14" s="15"/>
      <c r="O14" s="15"/>
      <c r="P14" s="15"/>
    </row>
    <row r="15" spans="1:16" x14ac:dyDescent="0.2">
      <c r="A15" s="78">
        <f>A14+0.1</f>
        <v>4.0999999999999996</v>
      </c>
      <c r="B15" s="35" t="s">
        <v>38</v>
      </c>
      <c r="C15" s="79"/>
      <c r="D15" s="72"/>
      <c r="E15" s="73"/>
      <c r="F15" s="74"/>
      <c r="G15" s="75"/>
      <c r="H15" s="74"/>
      <c r="I15" s="75"/>
      <c r="J15" s="76" t="e">
        <f ca="1">VLOOKUP(A15,Standings!$B$6:$EC$62,59,FALSE())</f>
        <v>#N/A</v>
      </c>
      <c r="K15" s="76" t="e">
        <f ca="1">VLOOKUP(A15,Standings!$B$6:$ED$62,60,FALSE())</f>
        <v>#N/A</v>
      </c>
      <c r="L15" s="15"/>
      <c r="M15" s="15"/>
      <c r="N15" s="15"/>
      <c r="O15" s="15"/>
      <c r="P15" s="15"/>
    </row>
    <row r="16" spans="1:16" x14ac:dyDescent="0.2">
      <c r="A16" s="78">
        <f>A14+0.02</f>
        <v>4.0199999999999996</v>
      </c>
      <c r="B16" s="39" t="s">
        <v>39</v>
      </c>
      <c r="C16" s="82" t="e">
        <f ca="1">VLOOKUP(A16,Standings!B:F,4,FALSE())</f>
        <v>#N/A</v>
      </c>
      <c r="D16" s="83"/>
      <c r="E16" s="84"/>
      <c r="F16" s="88"/>
      <c r="G16" s="89"/>
      <c r="H16" s="88"/>
      <c r="I16" s="89"/>
      <c r="J16" s="76" t="e">
        <f ca="1">VLOOKUP(A16,Standings!$B$6:$EC$62,59,FALSE())</f>
        <v>#N/A</v>
      </c>
      <c r="K16" s="76" t="e">
        <f ca="1">VLOOKUP(A16,Standings!$B$6:$ED$62,60,FALSE())</f>
        <v>#N/A</v>
      </c>
      <c r="L16" s="15"/>
      <c r="M16" s="15"/>
      <c r="N16" s="15"/>
      <c r="O16" s="15"/>
      <c r="P16" s="15"/>
    </row>
    <row r="17" spans="1:16" x14ac:dyDescent="0.2">
      <c r="A17" s="15">
        <v>5</v>
      </c>
      <c r="B17" s="29" t="e">
        <f ca="1">VLOOKUP(A17,Standings!B:E,3,FALSE())</f>
        <v>#N/A</v>
      </c>
      <c r="C17" s="71" t="e">
        <f ca="1">VLOOKUP(B17,Standings!$E$6:$F$62,2,FALSE())</f>
        <v>#N/A</v>
      </c>
      <c r="D17" s="72">
        <v>77</v>
      </c>
      <c r="E17" s="73">
        <v>16.5</v>
      </c>
      <c r="F17" s="74"/>
      <c r="G17" s="75"/>
      <c r="H17" s="74"/>
      <c r="I17" s="75"/>
      <c r="J17" s="76" t="e">
        <f ca="1">VLOOKUP(B17,Standings!$E$5:$EC$62,57,FALSE())</f>
        <v>#N/A</v>
      </c>
      <c r="K17" s="77" t="e">
        <f ca="1">VLOOKUP(B17,Standings!$E$5:$ED$63,58,FALSE())</f>
        <v>#N/A</v>
      </c>
      <c r="L17" s="15"/>
      <c r="M17" s="15"/>
      <c r="N17" s="15"/>
      <c r="O17" s="15"/>
      <c r="P17" s="15"/>
    </row>
    <row r="18" spans="1:16" x14ac:dyDescent="0.2">
      <c r="A18" s="78">
        <f>A17+0.1</f>
        <v>5.0999999999999996</v>
      </c>
      <c r="B18" s="35" t="s">
        <v>38</v>
      </c>
      <c r="C18" s="79"/>
      <c r="D18" s="72">
        <v>36</v>
      </c>
      <c r="E18" s="73">
        <v>10.5</v>
      </c>
      <c r="F18" s="80"/>
      <c r="G18" s="81"/>
      <c r="H18" s="80"/>
      <c r="I18" s="81"/>
      <c r="J18" s="76" t="e">
        <f ca="1">VLOOKUP(A18,Standings!$B$6:$EC$62,59,FALSE())</f>
        <v>#N/A</v>
      </c>
      <c r="K18" s="76" t="e">
        <f ca="1">VLOOKUP(A18,Standings!$B$6:$ED$62,60,FALSE())</f>
        <v>#N/A</v>
      </c>
      <c r="L18" s="15"/>
      <c r="M18" s="15"/>
      <c r="N18" s="15"/>
      <c r="O18" s="15"/>
      <c r="P18" s="15"/>
    </row>
    <row r="19" spans="1:16" x14ac:dyDescent="0.2">
      <c r="A19" s="78">
        <f>A17+0.02</f>
        <v>5.0199999999999996</v>
      </c>
      <c r="B19" s="39" t="s">
        <v>39</v>
      </c>
      <c r="C19" s="82" t="e">
        <f ca="1">VLOOKUP(A19,Standings!B:F,4,FALSE())</f>
        <v>#N/A</v>
      </c>
      <c r="D19" s="83">
        <v>-23</v>
      </c>
      <c r="E19" s="84">
        <v>6</v>
      </c>
      <c r="F19" s="85"/>
      <c r="G19" s="86"/>
      <c r="H19" s="85"/>
      <c r="I19" s="86"/>
      <c r="J19" s="76" t="e">
        <f ca="1">VLOOKUP(A19,Standings!$B$6:$EC$62,59,FALSE())</f>
        <v>#N/A</v>
      </c>
      <c r="K19" s="76" t="e">
        <f ca="1">VLOOKUP(A19,Standings!$B$6:$ED$62,60,FALSE())</f>
        <v>#N/A</v>
      </c>
      <c r="L19" s="15"/>
      <c r="M19" s="15"/>
      <c r="N19" s="15"/>
      <c r="O19" s="15"/>
      <c r="P19" s="15"/>
    </row>
    <row r="20" spans="1:16" x14ac:dyDescent="0.2">
      <c r="A20" s="15">
        <v>6</v>
      </c>
      <c r="B20" s="29" t="str">
        <f ca="1">VLOOKUP(A20,Standings!B:E,3,FALSE())</f>
        <v>SP</v>
      </c>
      <c r="C20" s="71" t="e">
        <f ca="1">VLOOKUP(B20,Standings!$E$6:$F$62,2,FALSE())</f>
        <v>#N/A</v>
      </c>
      <c r="D20" s="72"/>
      <c r="E20" s="73"/>
      <c r="F20" s="74"/>
      <c r="G20" s="75"/>
      <c r="H20" s="74"/>
      <c r="I20" s="75"/>
      <c r="J20" s="76" t="e">
        <f ca="1">VLOOKUP(B20,Standings!$E$5:$EC$62,57,FALSE())</f>
        <v>#N/A</v>
      </c>
      <c r="K20" s="77" t="e">
        <f ca="1">VLOOKUP(B20,Standings!$E$5:$ED$63,58,FALSE())</f>
        <v>#N/A</v>
      </c>
      <c r="L20" s="15"/>
      <c r="M20" s="15"/>
      <c r="N20" s="15"/>
      <c r="O20" s="15"/>
      <c r="P20" s="15"/>
    </row>
    <row r="21" spans="1:16" x14ac:dyDescent="0.2">
      <c r="A21" s="78">
        <f>A20+0.1</f>
        <v>6.1</v>
      </c>
      <c r="B21" s="35" t="s">
        <v>38</v>
      </c>
      <c r="C21" s="79"/>
      <c r="D21" s="72"/>
      <c r="E21" s="73"/>
      <c r="F21" s="74"/>
      <c r="G21" s="75"/>
      <c r="H21" s="74"/>
      <c r="I21" s="75"/>
      <c r="J21" s="76" t="e">
        <f ca="1">VLOOKUP(A21,Standings!$B$6:$EC$62,59,FALSE())</f>
        <v>#N/A</v>
      </c>
      <c r="K21" s="76" t="e">
        <f ca="1">VLOOKUP(A21,Standings!$B$6:$ED$62,60,FALSE())</f>
        <v>#N/A</v>
      </c>
      <c r="L21" s="15"/>
      <c r="M21" s="15"/>
      <c r="N21" s="15"/>
      <c r="O21" s="15"/>
      <c r="P21" s="15"/>
    </row>
    <row r="22" spans="1:16" x14ac:dyDescent="0.2">
      <c r="A22" s="78">
        <f>A20+0.02</f>
        <v>6.02</v>
      </c>
      <c r="B22" s="39" t="s">
        <v>39</v>
      </c>
      <c r="C22" s="82" t="e">
        <f ca="1">VLOOKUP(A22,Standings!B:F,4,FALSE())</f>
        <v>#N/A</v>
      </c>
      <c r="D22" s="83"/>
      <c r="E22" s="84"/>
      <c r="F22" s="88"/>
      <c r="G22" s="89"/>
      <c r="H22" s="88"/>
      <c r="I22" s="89"/>
      <c r="J22" s="76" t="e">
        <f ca="1">VLOOKUP(A22,Standings!$B$6:$EC$62,59,FALSE())</f>
        <v>#N/A</v>
      </c>
      <c r="K22" s="76" t="e">
        <f ca="1">VLOOKUP(A22,Standings!$B$6:$ED$62,60,FALSE())</f>
        <v>#N/A</v>
      </c>
      <c r="L22" s="15"/>
      <c r="M22" s="15"/>
      <c r="N22" s="15"/>
      <c r="O22" s="15"/>
      <c r="P22" s="15"/>
    </row>
    <row r="23" spans="1:16" x14ac:dyDescent="0.2">
      <c r="A23" s="15">
        <v>7</v>
      </c>
      <c r="B23" s="29" t="e">
        <f ca="1">VLOOKUP(A23,Standings!B:E,3,FALSE())</f>
        <v>#N/A</v>
      </c>
      <c r="C23" s="71" t="e">
        <f ca="1">VLOOKUP(B23,Standings!$E$6:$F$62,2,FALSE())</f>
        <v>#N/A</v>
      </c>
      <c r="D23" s="72">
        <v>87</v>
      </c>
      <c r="E23" s="73">
        <v>13.5</v>
      </c>
      <c r="F23" s="74"/>
      <c r="G23" s="75"/>
      <c r="H23" s="74"/>
      <c r="I23" s="75"/>
      <c r="J23" s="76" t="e">
        <f ca="1">VLOOKUP(B23,Standings!$E$5:$EC$62,57,FALSE())</f>
        <v>#N/A</v>
      </c>
      <c r="K23" s="77" t="e">
        <f ca="1">VLOOKUP(B23,Standings!$E$5:$ED$63,58,FALSE())</f>
        <v>#N/A</v>
      </c>
      <c r="L23" s="15"/>
      <c r="M23" s="15"/>
      <c r="N23" s="15"/>
      <c r="O23" s="15"/>
      <c r="P23" s="15"/>
    </row>
    <row r="24" spans="1:16" x14ac:dyDescent="0.2">
      <c r="A24" s="78">
        <f>A23+0.1</f>
        <v>7.1</v>
      </c>
      <c r="B24" s="35" t="s">
        <v>38</v>
      </c>
      <c r="C24" s="79"/>
      <c r="D24" s="72">
        <v>35</v>
      </c>
      <c r="E24" s="73">
        <v>8.5</v>
      </c>
      <c r="F24" s="74"/>
      <c r="G24" s="75"/>
      <c r="H24" s="74"/>
      <c r="I24" s="75"/>
      <c r="J24" s="76" t="e">
        <f ca="1">VLOOKUP(A24,Standings!$B$6:$EC$62,59,FALSE())</f>
        <v>#N/A</v>
      </c>
      <c r="K24" s="76" t="e">
        <f ca="1">VLOOKUP(A24,Standings!$B$6:$ED$62,60,FALSE())</f>
        <v>#N/A</v>
      </c>
      <c r="L24" s="15"/>
      <c r="M24" s="15"/>
      <c r="N24" s="15"/>
      <c r="O24" s="15"/>
      <c r="P24" s="15"/>
    </row>
    <row r="25" spans="1:16" x14ac:dyDescent="0.2">
      <c r="A25" s="78">
        <f>A23+0.02</f>
        <v>7.02</v>
      </c>
      <c r="B25" s="39" t="s">
        <v>39</v>
      </c>
      <c r="C25" s="82" t="e">
        <f ca="1">VLOOKUP(A25,Standings!B:F,4,FALSE())</f>
        <v>#N/A</v>
      </c>
      <c r="D25" s="83">
        <v>-34</v>
      </c>
      <c r="E25" s="84">
        <v>5</v>
      </c>
      <c r="F25" s="88"/>
      <c r="G25" s="89"/>
      <c r="H25" s="88"/>
      <c r="I25" s="89"/>
      <c r="J25" s="76" t="e">
        <f ca="1">VLOOKUP(A25,Standings!$B$6:$EC$62,59,FALSE())</f>
        <v>#N/A</v>
      </c>
      <c r="K25" s="76" t="e">
        <f ca="1">VLOOKUP(A25,Standings!$B$6:$ED$62,60,FALSE())</f>
        <v>#N/A</v>
      </c>
      <c r="L25" s="15"/>
      <c r="M25" s="15"/>
      <c r="N25" s="15"/>
      <c r="O25" s="15"/>
      <c r="P25" s="15"/>
    </row>
    <row r="26" spans="1:16" x14ac:dyDescent="0.2">
      <c r="A26" s="15">
        <v>8</v>
      </c>
      <c r="B26" s="29" t="str">
        <f ca="1">VLOOKUP(A26,Standings!B:E,3,FALSE())</f>
        <v>JB</v>
      </c>
      <c r="C26" s="71" t="e">
        <f ca="1">VLOOKUP(B26,Standings!$E$6:$F$62,2,FALSE())</f>
        <v>#N/A</v>
      </c>
      <c r="D26" s="72">
        <v>75</v>
      </c>
      <c r="E26" s="73">
        <v>24</v>
      </c>
      <c r="F26" s="74"/>
      <c r="G26" s="75"/>
      <c r="H26" s="74"/>
      <c r="I26" s="75"/>
      <c r="J26" s="76" t="e">
        <f ca="1">VLOOKUP(B26,Standings!$E$5:$EC$62,57,FALSE())</f>
        <v>#N/A</v>
      </c>
      <c r="K26" s="77" t="e">
        <f ca="1">VLOOKUP(B26,Standings!$E$5:$ED$63,58,FALSE())</f>
        <v>#N/A</v>
      </c>
      <c r="L26" s="15"/>
      <c r="M26" s="15"/>
      <c r="N26" s="15"/>
      <c r="O26" s="15"/>
      <c r="P26" s="15"/>
    </row>
    <row r="27" spans="1:16" x14ac:dyDescent="0.2">
      <c r="A27" s="78">
        <f>A26+0.1</f>
        <v>8.1</v>
      </c>
      <c r="B27" s="35" t="s">
        <v>38</v>
      </c>
      <c r="C27" s="79"/>
      <c r="D27" s="72">
        <v>37</v>
      </c>
      <c r="E27" s="73">
        <v>12</v>
      </c>
      <c r="F27" s="74"/>
      <c r="G27" s="75"/>
      <c r="H27" s="74"/>
      <c r="I27" s="75"/>
      <c r="J27" s="76" t="e">
        <f ca="1">VLOOKUP(A27,Standings!$B$6:$EC$62,59,FALSE())</f>
        <v>#N/A</v>
      </c>
      <c r="K27" s="76" t="e">
        <f ca="1">VLOOKUP(A27,Standings!$B$6:$ED$62,60,FALSE())</f>
        <v>#N/A</v>
      </c>
      <c r="L27" s="15"/>
      <c r="M27" s="15"/>
      <c r="N27" s="15"/>
      <c r="O27" s="15"/>
      <c r="P27" s="15"/>
    </row>
    <row r="28" spans="1:16" x14ac:dyDescent="0.2">
      <c r="A28" s="78">
        <f>A26+0.02</f>
        <v>8.02</v>
      </c>
      <c r="B28" s="39" t="s">
        <v>39</v>
      </c>
      <c r="C28" s="82" t="e">
        <f ca="1">VLOOKUP(A28,Standings!B:F,4,FALSE())</f>
        <v>#N/A</v>
      </c>
      <c r="D28" s="83">
        <v>25</v>
      </c>
      <c r="E28" s="84">
        <v>12</v>
      </c>
      <c r="F28" s="88"/>
      <c r="G28" s="89"/>
      <c r="H28" s="88"/>
      <c r="I28" s="89"/>
      <c r="J28" s="76" t="e">
        <f ca="1">VLOOKUP(A28,Standings!$B$6:$EC$62,59,FALSE())</f>
        <v>#N/A</v>
      </c>
      <c r="K28" s="76" t="e">
        <f ca="1">VLOOKUP(A28,Standings!$B$6:$ED$62,60,FALSE())</f>
        <v>#N/A</v>
      </c>
      <c r="L28" s="15"/>
      <c r="M28" s="15"/>
      <c r="N28" s="15"/>
      <c r="O28" s="15"/>
      <c r="P28" s="15"/>
    </row>
    <row r="29" spans="1:16" x14ac:dyDescent="0.2">
      <c r="A29" s="15">
        <v>9</v>
      </c>
      <c r="B29" s="29" t="str">
        <f ca="1">VLOOKUP(A29,Standings!B:E,3,FALSE())</f>
        <v>CM</v>
      </c>
      <c r="C29" s="71" t="e">
        <f ca="1">VLOOKUP(B29,Standings!$E$6:$F$62,2,FALSE())</f>
        <v>#N/A</v>
      </c>
      <c r="D29" s="72"/>
      <c r="E29" s="73"/>
      <c r="F29" s="74"/>
      <c r="G29" s="75"/>
      <c r="H29" s="74"/>
      <c r="I29" s="75"/>
      <c r="J29" s="76" t="e">
        <f ca="1">VLOOKUP(B29,Standings!$E$5:$EC$62,57,FALSE())</f>
        <v>#N/A</v>
      </c>
      <c r="K29" s="77" t="e">
        <f ca="1">VLOOKUP(B29,Standings!$E$5:$ED$63,58,FALSE())</f>
        <v>#N/A</v>
      </c>
      <c r="L29" s="15"/>
      <c r="M29" s="15"/>
      <c r="N29" s="15"/>
      <c r="O29" s="15"/>
      <c r="P29" s="15"/>
    </row>
    <row r="30" spans="1:16" x14ac:dyDescent="0.2">
      <c r="A30" s="78">
        <f>A29+0.1</f>
        <v>9.1</v>
      </c>
      <c r="B30" s="35" t="s">
        <v>38</v>
      </c>
      <c r="C30" s="79"/>
      <c r="D30" s="72"/>
      <c r="E30" s="73"/>
      <c r="F30" s="74"/>
      <c r="G30" s="75"/>
      <c r="H30" s="74"/>
      <c r="I30" s="75"/>
      <c r="J30" s="76" t="e">
        <f ca="1">VLOOKUP(A30,Standings!$B$6:$EC$62,59,FALSE())</f>
        <v>#N/A</v>
      </c>
      <c r="K30" s="76" t="e">
        <f ca="1">VLOOKUP(A30,Standings!$B$6:$ED$62,60,FALSE())</f>
        <v>#N/A</v>
      </c>
      <c r="L30" s="15"/>
      <c r="M30" s="15"/>
      <c r="N30" s="15"/>
      <c r="O30" s="15"/>
      <c r="P30" s="15"/>
    </row>
    <row r="31" spans="1:16" x14ac:dyDescent="0.2">
      <c r="A31" s="78">
        <f>A29+0.02</f>
        <v>9.02</v>
      </c>
      <c r="B31" s="49" t="s">
        <v>39</v>
      </c>
      <c r="C31" s="82" t="e">
        <f ca="1">VLOOKUP(A31,Standings!B:F,4,FALSE())</f>
        <v>#N/A</v>
      </c>
      <c r="D31" s="83"/>
      <c r="E31" s="84"/>
      <c r="F31" s="88"/>
      <c r="G31" s="90"/>
      <c r="H31" s="88"/>
      <c r="I31" s="90"/>
      <c r="J31" s="76" t="e">
        <f ca="1">VLOOKUP(A31,Standings!$B$6:$EC$62,59,FALSE())</f>
        <v>#N/A</v>
      </c>
      <c r="K31" s="76" t="e">
        <f ca="1">VLOOKUP(A31,Standings!$B$6:$ED$62,60,FALSE())</f>
        <v>#N/A</v>
      </c>
      <c r="L31" s="15"/>
      <c r="M31" s="15"/>
      <c r="N31" s="15"/>
      <c r="O31" s="15"/>
      <c r="P31" s="15"/>
    </row>
    <row r="32" spans="1:16" x14ac:dyDescent="0.2">
      <c r="A32" s="15">
        <v>10</v>
      </c>
      <c r="B32" s="29" t="str">
        <f ca="1">VLOOKUP(A32,Standings!B:E,3,FALSE())</f>
        <v>NC</v>
      </c>
      <c r="C32" s="71" t="e">
        <f ca="1">VLOOKUP(B32,Standings!$E$6:$F$62,2,FALSE())</f>
        <v>#N/A</v>
      </c>
      <c r="D32" s="72"/>
      <c r="E32" s="73"/>
      <c r="F32" s="74"/>
      <c r="G32" s="75"/>
      <c r="H32" s="74"/>
      <c r="I32" s="75"/>
      <c r="J32" s="76" t="e">
        <f ca="1">VLOOKUP(B32,Standings!$E$5:$EC$62,57,FALSE())</f>
        <v>#N/A</v>
      </c>
      <c r="K32" s="77" t="e">
        <f ca="1">VLOOKUP(B32,Standings!$E$5:$ED$63,58,FALSE())</f>
        <v>#N/A</v>
      </c>
      <c r="L32" s="15"/>
      <c r="M32" s="15"/>
      <c r="N32" s="15"/>
      <c r="O32" s="15"/>
      <c r="P32" s="15"/>
    </row>
    <row r="33" spans="1:16" x14ac:dyDescent="0.2">
      <c r="A33" s="78">
        <f>A32+0.1</f>
        <v>10.1</v>
      </c>
      <c r="B33" s="35" t="s">
        <v>38</v>
      </c>
      <c r="C33" s="79"/>
      <c r="D33" s="72"/>
      <c r="E33" s="73"/>
      <c r="F33" s="74"/>
      <c r="G33" s="75"/>
      <c r="H33" s="74"/>
      <c r="I33" s="75"/>
      <c r="J33" s="76" t="e">
        <f ca="1">VLOOKUP(A33,Standings!$B$6:$EC$62,59,FALSE())</f>
        <v>#N/A</v>
      </c>
      <c r="K33" s="76" t="e">
        <f ca="1">VLOOKUP(A33,Standings!$B$6:$ED$62,60,FALSE())</f>
        <v>#N/A</v>
      </c>
      <c r="L33" s="15"/>
      <c r="M33" s="15"/>
      <c r="N33" s="15"/>
      <c r="O33" s="15"/>
      <c r="P33" s="15"/>
    </row>
    <row r="34" spans="1:16" x14ac:dyDescent="0.2">
      <c r="A34" s="78">
        <f>A32+0.02</f>
        <v>10.02</v>
      </c>
      <c r="B34" s="39" t="s">
        <v>39</v>
      </c>
      <c r="C34" s="82" t="e">
        <f ca="1">VLOOKUP(A34,Standings!B:F,4,FALSE())</f>
        <v>#N/A</v>
      </c>
      <c r="D34" s="83"/>
      <c r="E34" s="84"/>
      <c r="F34" s="88"/>
      <c r="G34" s="90"/>
      <c r="H34" s="88"/>
      <c r="I34" s="90"/>
      <c r="J34" s="76" t="e">
        <f ca="1">VLOOKUP(A34,Standings!$B$6:$EC$62,59,FALSE())</f>
        <v>#N/A</v>
      </c>
      <c r="K34" s="76" t="e">
        <f ca="1">VLOOKUP(A34,Standings!$B$6:$ED$62,60,FALSE())</f>
        <v>#N/A</v>
      </c>
      <c r="L34" s="15"/>
      <c r="M34" s="15"/>
      <c r="N34" s="15"/>
      <c r="O34" s="15"/>
      <c r="P34" s="15"/>
    </row>
    <row r="35" spans="1:16" x14ac:dyDescent="0.2">
      <c r="A35" s="15">
        <v>11</v>
      </c>
      <c r="B35" s="29" t="str">
        <f ca="1">VLOOKUP(A35,Standings!B:E,3,FALSE())</f>
        <v>MB</v>
      </c>
      <c r="C35" s="71" t="e">
        <f ca="1">VLOOKUP(B35,Standings!$E$6:$F$62,2,FALSE())</f>
        <v>#N/A</v>
      </c>
      <c r="D35" s="72">
        <v>88</v>
      </c>
      <c r="E35" s="73">
        <v>19</v>
      </c>
      <c r="F35" s="74"/>
      <c r="G35" s="75"/>
      <c r="H35" s="74"/>
      <c r="I35" s="75"/>
      <c r="J35" s="76" t="e">
        <f ca="1">VLOOKUP(B35,Standings!$E$5:$EC$62,57,FALSE())</f>
        <v>#N/A</v>
      </c>
      <c r="K35" s="77" t="e">
        <f ca="1">VLOOKUP(B35,Standings!$E$5:$ED$63,58,FALSE())</f>
        <v>#N/A</v>
      </c>
      <c r="L35" s="15"/>
      <c r="M35" s="15"/>
      <c r="N35" s="15"/>
      <c r="O35" s="15"/>
      <c r="P35" s="15"/>
    </row>
    <row r="36" spans="1:16" x14ac:dyDescent="0.2">
      <c r="A36" s="78">
        <f>A35+0.1</f>
        <v>11.1</v>
      </c>
      <c r="B36" s="35" t="s">
        <v>38</v>
      </c>
      <c r="C36" s="79"/>
      <c r="D36" s="72">
        <v>35</v>
      </c>
      <c r="E36" s="73">
        <v>8.5</v>
      </c>
      <c r="F36" s="74"/>
      <c r="G36" s="75"/>
      <c r="H36" s="74"/>
      <c r="I36" s="75"/>
      <c r="J36" s="76" t="e">
        <f ca="1">VLOOKUP(A36,Standings!$B$6:$EC$62,59,FALSE())</f>
        <v>#N/A</v>
      </c>
      <c r="K36" s="76" t="e">
        <f ca="1">VLOOKUP(A36,Standings!$B$6:$ED$62,60,FALSE())</f>
        <v>#N/A</v>
      </c>
      <c r="L36" s="15"/>
      <c r="M36" s="15"/>
      <c r="N36" s="15"/>
      <c r="O36" s="15"/>
      <c r="P36" s="15"/>
    </row>
    <row r="37" spans="1:16" x14ac:dyDescent="0.2">
      <c r="A37" s="78">
        <f>A35+0.02</f>
        <v>11.02</v>
      </c>
      <c r="B37" s="39" t="s">
        <v>39</v>
      </c>
      <c r="C37" s="82" t="e">
        <f ca="1">VLOOKUP(A37,Standings!B:F,4,FALSE())</f>
        <v>#N/A</v>
      </c>
      <c r="D37" s="83">
        <v>16</v>
      </c>
      <c r="E37" s="84">
        <v>10.5</v>
      </c>
      <c r="F37" s="88"/>
      <c r="G37" s="90"/>
      <c r="H37" s="88"/>
      <c r="I37" s="90"/>
      <c r="J37" s="76" t="e">
        <f ca="1">VLOOKUP(A37,Standings!$B$6:$EC$62,59,FALSE())</f>
        <v>#N/A</v>
      </c>
      <c r="K37" s="76" t="e">
        <f ca="1">VLOOKUP(A37,Standings!$B$6:$ED$62,60,FALSE())</f>
        <v>#N/A</v>
      </c>
      <c r="L37" s="15"/>
      <c r="M37" s="15"/>
      <c r="N37" s="15"/>
      <c r="O37" s="15"/>
      <c r="P37" s="15"/>
    </row>
    <row r="38" spans="1:16" x14ac:dyDescent="0.2">
      <c r="A38" s="15">
        <v>12</v>
      </c>
      <c r="B38" s="29" t="str">
        <f ca="1">VLOOKUP(A38,Standings!B:E,3,FALSE())</f>
        <v>JS</v>
      </c>
      <c r="C38" s="71" t="e">
        <f ca="1">VLOOKUP(B38,Standings!$E$6:$F$62,2,FALSE())</f>
        <v>#N/A</v>
      </c>
      <c r="D38" s="72">
        <v>80</v>
      </c>
      <c r="E38" s="73">
        <v>15</v>
      </c>
      <c r="F38" s="74"/>
      <c r="G38" s="75"/>
      <c r="H38" s="74"/>
      <c r="I38" s="75"/>
      <c r="J38" s="76" t="e">
        <f ca="1">VLOOKUP(B38,Standings!$E$5:$EC$62,57,FALSE())</f>
        <v>#N/A</v>
      </c>
      <c r="K38" s="77" t="e">
        <f ca="1">VLOOKUP(B38,Standings!$E$5:$ED$63,58,FALSE())</f>
        <v>#N/A</v>
      </c>
      <c r="L38" s="15"/>
      <c r="M38" s="15"/>
      <c r="N38" s="15"/>
      <c r="O38" s="15"/>
      <c r="P38" s="15"/>
    </row>
    <row r="39" spans="1:16" x14ac:dyDescent="0.2">
      <c r="A39" s="78">
        <f>A38+0.1</f>
        <v>12.1</v>
      </c>
      <c r="B39" s="35" t="s">
        <v>38</v>
      </c>
      <c r="C39" s="79"/>
      <c r="D39" s="72">
        <v>33</v>
      </c>
      <c r="E39" s="73">
        <v>6</v>
      </c>
      <c r="F39" s="74"/>
      <c r="G39" s="75"/>
      <c r="H39" s="74"/>
      <c r="I39" s="75"/>
      <c r="J39" s="76" t="e">
        <f ca="1">VLOOKUP(A39,Standings!$B$6:$EC$62,59,FALSE())</f>
        <v>#N/A</v>
      </c>
      <c r="K39" s="76" t="e">
        <f ca="1">VLOOKUP(A39,Standings!$B$6:$ED$62,60,FALSE())</f>
        <v>#N/A</v>
      </c>
      <c r="L39" s="15"/>
      <c r="M39" s="15"/>
      <c r="N39" s="15"/>
      <c r="O39" s="15"/>
      <c r="P39" s="15"/>
    </row>
    <row r="40" spans="1:16" x14ac:dyDescent="0.2">
      <c r="A40" s="78">
        <f>A38+0.02</f>
        <v>12.02</v>
      </c>
      <c r="B40" s="39" t="s">
        <v>39</v>
      </c>
      <c r="C40" s="82" t="e">
        <f ca="1">VLOOKUP(A40,Standings!B:F,4,FALSE())</f>
        <v>#N/A</v>
      </c>
      <c r="D40" s="83">
        <v>9</v>
      </c>
      <c r="E40" s="84">
        <v>9</v>
      </c>
      <c r="F40" s="88"/>
      <c r="G40" s="90"/>
      <c r="H40" s="88"/>
      <c r="I40" s="90"/>
      <c r="J40" s="76" t="e">
        <f ca="1">VLOOKUP(A40,Standings!$B$6:$EC$62,59,FALSE())</f>
        <v>#N/A</v>
      </c>
      <c r="K40" s="76" t="e">
        <f ca="1">VLOOKUP(A40,Standings!$B$6:$ED$62,60,FALSE())</f>
        <v>#N/A</v>
      </c>
      <c r="L40" s="15"/>
      <c r="M40" s="15"/>
      <c r="N40" s="15"/>
      <c r="O40" s="15"/>
      <c r="P40" s="15"/>
    </row>
    <row r="41" spans="1:16" x14ac:dyDescent="0.2">
      <c r="A41" s="15">
        <v>13</v>
      </c>
      <c r="B41" s="29" t="str">
        <f ca="1">VLOOKUP(A41,Standings!B:E,3,FALSE())</f>
        <v>CK</v>
      </c>
      <c r="C41" s="71" t="e">
        <f ca="1">VLOOKUP(B41,Standings!$E$6:$F$62,2,FALSE())</f>
        <v>#N/A</v>
      </c>
      <c r="D41" s="72">
        <v>95</v>
      </c>
      <c r="E41" s="73">
        <v>13</v>
      </c>
      <c r="F41" s="74"/>
      <c r="G41" s="75"/>
      <c r="H41" s="74"/>
      <c r="I41" s="75"/>
      <c r="J41" s="76" t="e">
        <f ca="1">VLOOKUP(B41,Standings!$E$5:$EC$62,57,FALSE())</f>
        <v>#N/A</v>
      </c>
      <c r="K41" s="77" t="e">
        <f ca="1">VLOOKUP(B41,Standings!$E$5:$ED$63,58,FALSE())</f>
        <v>#N/A</v>
      </c>
      <c r="L41" s="15"/>
      <c r="M41" s="15"/>
      <c r="N41" s="15"/>
      <c r="O41" s="15"/>
      <c r="P41" s="15"/>
    </row>
    <row r="42" spans="1:16" x14ac:dyDescent="0.2">
      <c r="A42" s="78">
        <f>A41+0.1</f>
        <v>13.1</v>
      </c>
      <c r="B42" s="35" t="s">
        <v>38</v>
      </c>
      <c r="C42" s="79"/>
      <c r="D42" s="72">
        <v>27</v>
      </c>
      <c r="E42" s="73">
        <v>5</v>
      </c>
      <c r="F42" s="74"/>
      <c r="G42" s="75"/>
      <c r="H42" s="74"/>
      <c r="I42" s="75"/>
      <c r="J42" s="76" t="e">
        <f ca="1">VLOOKUP(A42,Standings!$B$6:$EC$62,59,FALSE())</f>
        <v>#N/A</v>
      </c>
      <c r="K42" s="76" t="e">
        <f ca="1">VLOOKUP(A42,Standings!$B$6:$ED$62,60,FALSE())</f>
        <v>#N/A</v>
      </c>
      <c r="L42" s="15"/>
      <c r="M42" s="15"/>
      <c r="N42" s="15"/>
      <c r="O42" s="15"/>
      <c r="P42" s="15"/>
    </row>
    <row r="43" spans="1:16" x14ac:dyDescent="0.2">
      <c r="A43" s="78">
        <f>A41+0.02</f>
        <v>13.02</v>
      </c>
      <c r="B43" s="39" t="s">
        <v>39</v>
      </c>
      <c r="C43" s="82" t="e">
        <f ca="1">VLOOKUP(A43,Standings!B:F,4,FALSE())</f>
        <v>#N/A</v>
      </c>
      <c r="D43" s="83">
        <v>2</v>
      </c>
      <c r="E43" s="84">
        <v>8</v>
      </c>
      <c r="F43" s="88"/>
      <c r="G43" s="90"/>
      <c r="H43" s="88"/>
      <c r="I43" s="90"/>
      <c r="J43" s="76" t="e">
        <f ca="1">VLOOKUP(A43,Standings!$B$6:$EC$62,59,FALSE())</f>
        <v>#N/A</v>
      </c>
      <c r="K43" s="76" t="e">
        <f ca="1">VLOOKUP(A43,Standings!$B$6:$ED$62,60,FALSE())</f>
        <v>#N/A</v>
      </c>
      <c r="L43" s="15"/>
      <c r="M43" s="15"/>
      <c r="N43" s="15"/>
      <c r="O43" s="15"/>
      <c r="P43" s="15"/>
    </row>
    <row r="44" spans="1:16" x14ac:dyDescent="0.2">
      <c r="A44" s="15">
        <v>14</v>
      </c>
      <c r="B44" s="29" t="e">
        <f ca="1">VLOOKUP(A44,Standings!B:E,3,FALSE())</f>
        <v>#N/A</v>
      </c>
      <c r="C44" s="71" t="e">
        <f ca="1">VLOOKUP(B44,Standings!$E$6:$F$62,2,FALSE())</f>
        <v>#N/A</v>
      </c>
      <c r="D44" s="72"/>
      <c r="E44" s="73"/>
      <c r="F44" s="74"/>
      <c r="G44" s="75"/>
      <c r="H44" s="74"/>
      <c r="I44" s="75"/>
      <c r="J44" s="76" t="e">
        <f ca="1">VLOOKUP(B44,Standings!$E$5:$EC$62,57,FALSE())</f>
        <v>#N/A</v>
      </c>
      <c r="K44" s="77" t="e">
        <f ca="1">VLOOKUP(B44,Standings!$E$5:$ED$63,58,FALSE())</f>
        <v>#N/A</v>
      </c>
      <c r="L44" s="15"/>
      <c r="M44" s="15"/>
      <c r="N44" s="15"/>
      <c r="O44" s="15"/>
      <c r="P44" s="15"/>
    </row>
    <row r="45" spans="1:16" x14ac:dyDescent="0.2">
      <c r="A45" s="78">
        <f>A44+0.1</f>
        <v>14.1</v>
      </c>
      <c r="B45" s="35" t="s">
        <v>38</v>
      </c>
      <c r="C45" s="79"/>
      <c r="D45" s="72"/>
      <c r="E45" s="73"/>
      <c r="F45" s="74"/>
      <c r="G45" s="75"/>
      <c r="H45" s="74"/>
      <c r="I45" s="75"/>
      <c r="J45" s="76" t="e">
        <f ca="1">VLOOKUP(A45,Standings!$B$6:$EC$62,59,FALSE())</f>
        <v>#N/A</v>
      </c>
      <c r="K45" s="76" t="e">
        <f ca="1">VLOOKUP(A45,Standings!$B$6:$ED$62,60,FALSE())</f>
        <v>#N/A</v>
      </c>
      <c r="L45" s="15"/>
      <c r="M45" s="15"/>
      <c r="N45" s="15"/>
      <c r="O45" s="15"/>
      <c r="P45" s="15"/>
    </row>
    <row r="46" spans="1:16" x14ac:dyDescent="0.2">
      <c r="A46" s="78">
        <f>A44+0.02</f>
        <v>14.02</v>
      </c>
      <c r="B46" s="49" t="s">
        <v>39</v>
      </c>
      <c r="C46" s="82" t="e">
        <f ca="1">VLOOKUP(A46,Standings!B:F,4,FALSE())</f>
        <v>#N/A</v>
      </c>
      <c r="D46" s="83"/>
      <c r="E46" s="84"/>
      <c r="F46" s="88"/>
      <c r="G46" s="90"/>
      <c r="H46" s="88"/>
      <c r="I46" s="90"/>
      <c r="J46" s="76" t="e">
        <f ca="1">VLOOKUP(A46,Standings!$B$6:$EC$62,59,FALSE())</f>
        <v>#N/A</v>
      </c>
      <c r="K46" s="76" t="e">
        <f ca="1">VLOOKUP(A46,Standings!$B$6:$ED$62,60,FALSE())</f>
        <v>#N/A</v>
      </c>
      <c r="L46" s="15"/>
      <c r="M46" s="15"/>
      <c r="N46" s="15"/>
      <c r="O46" s="15"/>
      <c r="P46" s="15"/>
    </row>
    <row r="47" spans="1:16" x14ac:dyDescent="0.2">
      <c r="A47" s="15">
        <v>15</v>
      </c>
      <c r="B47" s="29" t="str">
        <f ca="1">VLOOKUP(A47,Standings!B:E,3,FALSE())</f>
        <v>AB</v>
      </c>
      <c r="C47" s="71" t="e">
        <f ca="1">VLOOKUP(B47,Standings!$E$6:$F$62,2,FALSE())</f>
        <v>#N/A</v>
      </c>
      <c r="D47" s="72"/>
      <c r="E47" s="73"/>
      <c r="F47" s="74"/>
      <c r="G47" s="75"/>
      <c r="H47" s="74"/>
      <c r="I47" s="75"/>
      <c r="J47" s="76" t="e">
        <f ca="1">VLOOKUP(B47,Standings!$E$5:$EC$62,57,FALSE())</f>
        <v>#N/A</v>
      </c>
      <c r="K47" s="77" t="e">
        <f ca="1">VLOOKUP(B47,Standings!$E$5:$ED$63,58,FALSE())</f>
        <v>#N/A</v>
      </c>
      <c r="L47" s="15"/>
      <c r="M47" s="15"/>
      <c r="N47" s="15"/>
      <c r="O47" s="15"/>
      <c r="P47" s="15"/>
    </row>
    <row r="48" spans="1:16" x14ac:dyDescent="0.2">
      <c r="A48" s="78">
        <f>A47+0.1</f>
        <v>15.1</v>
      </c>
      <c r="B48" s="35" t="s">
        <v>38</v>
      </c>
      <c r="C48" s="79"/>
      <c r="D48" s="72"/>
      <c r="E48" s="73"/>
      <c r="F48" s="74"/>
      <c r="G48" s="75"/>
      <c r="H48" s="74"/>
      <c r="I48" s="75"/>
      <c r="J48" s="76" t="e">
        <f ca="1">VLOOKUP(A48,Standings!$B$6:$EC$62,59,FALSE())</f>
        <v>#N/A</v>
      </c>
      <c r="K48" s="76" t="e">
        <f ca="1">VLOOKUP(A48,Standings!$B$6:$ED$62,60,FALSE())</f>
        <v>#N/A</v>
      </c>
      <c r="L48" s="15"/>
      <c r="M48" s="15"/>
      <c r="N48" s="15"/>
      <c r="O48" s="15"/>
      <c r="P48" s="15"/>
    </row>
    <row r="49" spans="1:16" x14ac:dyDescent="0.2">
      <c r="A49" s="78">
        <f>A47+0.02</f>
        <v>15.02</v>
      </c>
      <c r="B49" s="39" t="s">
        <v>39</v>
      </c>
      <c r="C49" s="82" t="e">
        <f ca="1">VLOOKUP(A49,Standings!B:F,4,FALSE())</f>
        <v>#N/A</v>
      </c>
      <c r="D49" s="83"/>
      <c r="E49" s="84"/>
      <c r="F49" s="88"/>
      <c r="G49" s="90"/>
      <c r="H49" s="88"/>
      <c r="I49" s="90"/>
      <c r="J49" s="76" t="e">
        <f ca="1">VLOOKUP(A49,Standings!$B$6:$EC$62,59,FALSE())</f>
        <v>#N/A</v>
      </c>
      <c r="K49" s="76" t="e">
        <f ca="1">VLOOKUP(A49,Standings!$B$6:$ED$62,60,FALSE())</f>
        <v>#N/A</v>
      </c>
      <c r="L49" s="15"/>
      <c r="M49" s="15"/>
      <c r="N49" s="15"/>
      <c r="O49" s="15"/>
      <c r="P49" s="15"/>
    </row>
    <row r="50" spans="1:16" x14ac:dyDescent="0.2">
      <c r="A50" s="15">
        <v>16</v>
      </c>
      <c r="B50" s="29" t="str">
        <f ca="1">VLOOKUP(A50,Standings!B:E,3,FALSE())</f>
        <v>AD</v>
      </c>
      <c r="C50" s="71" t="e">
        <f ca="1">VLOOKUP(B50,Standings!$E$6:$F$62,2,FALSE())</f>
        <v>#N/A</v>
      </c>
      <c r="D50" s="72"/>
      <c r="E50" s="73"/>
      <c r="F50" s="74"/>
      <c r="G50" s="75"/>
      <c r="H50" s="74"/>
      <c r="I50" s="75"/>
      <c r="J50" s="76" t="e">
        <f ca="1">VLOOKUP(B50,Standings!$E$5:$EC$62,57,FALSE())</f>
        <v>#N/A</v>
      </c>
      <c r="K50" s="77" t="e">
        <f ca="1">VLOOKUP(B50,Standings!$E$5:$ED$63,58,FALSE())</f>
        <v>#N/A</v>
      </c>
      <c r="L50" s="15"/>
      <c r="M50" s="15"/>
      <c r="N50" s="15"/>
      <c r="O50" s="15"/>
      <c r="P50" s="15"/>
    </row>
    <row r="51" spans="1:16" x14ac:dyDescent="0.2">
      <c r="A51" s="78">
        <f>A50+0.1</f>
        <v>16.100000000000001</v>
      </c>
      <c r="B51" s="35" t="s">
        <v>38</v>
      </c>
      <c r="C51" s="79"/>
      <c r="D51" s="72"/>
      <c r="E51" s="73"/>
      <c r="F51" s="74"/>
      <c r="G51" s="75"/>
      <c r="H51" s="74"/>
      <c r="I51" s="75"/>
      <c r="J51" s="76" t="e">
        <f ca="1">VLOOKUP(A51,Standings!$B$6:$EC$62,59,FALSE())</f>
        <v>#N/A</v>
      </c>
      <c r="K51" s="76" t="e">
        <f ca="1">VLOOKUP(A51,Standings!$B$6:$ED$62,60,FALSE())</f>
        <v>#N/A</v>
      </c>
      <c r="L51" s="15"/>
      <c r="M51" s="15"/>
      <c r="N51" s="15"/>
      <c r="O51" s="15"/>
      <c r="P51" s="15"/>
    </row>
    <row r="52" spans="1:16" x14ac:dyDescent="0.2">
      <c r="A52" s="78">
        <f>A50+0.02</f>
        <v>16.02</v>
      </c>
      <c r="B52" s="39" t="s">
        <v>39</v>
      </c>
      <c r="C52" s="82" t="e">
        <f ca="1">VLOOKUP(A52,Standings!B:F,4,FALSE())</f>
        <v>#N/A</v>
      </c>
      <c r="D52" s="83"/>
      <c r="E52" s="84"/>
      <c r="F52" s="88"/>
      <c r="G52" s="90"/>
      <c r="H52" s="88"/>
      <c r="I52" s="90"/>
      <c r="J52" s="76" t="e">
        <f ca="1">VLOOKUP(A52,Standings!$B$6:$EC$62,59,FALSE())</f>
        <v>#N/A</v>
      </c>
      <c r="K52" s="76" t="e">
        <f ca="1">VLOOKUP(A52,Standings!$B$6:$ED$62,60,FALSE())</f>
        <v>#N/A</v>
      </c>
      <c r="L52" s="15"/>
      <c r="M52" s="15"/>
      <c r="N52" s="15"/>
      <c r="O52" s="15"/>
      <c r="P52" s="15"/>
    </row>
    <row r="53" spans="1:16" x14ac:dyDescent="0.2">
      <c r="A53" s="15">
        <v>17</v>
      </c>
      <c r="B53" s="29" t="str">
        <f ca="1">VLOOKUP(A53,Standings!B:E,3,FALSE())</f>
        <v>MJ</v>
      </c>
      <c r="C53" s="71" t="e">
        <f ca="1">VLOOKUP(B53,Standings!$E$6:$F$62,2,FALSE())</f>
        <v>#N/A</v>
      </c>
      <c r="D53" s="72"/>
      <c r="E53" s="73"/>
      <c r="F53" s="74"/>
      <c r="G53" s="75"/>
      <c r="H53" s="74"/>
      <c r="I53" s="75"/>
      <c r="J53" s="76" t="e">
        <f ca="1">VLOOKUP(B53,Standings!$E$5:$EC$62,57,FALSE())</f>
        <v>#N/A</v>
      </c>
      <c r="K53" s="77" t="e">
        <f ca="1">VLOOKUP(B53,Standings!$E$5:$ED$63,58,FALSE())</f>
        <v>#N/A</v>
      </c>
      <c r="L53" s="15"/>
      <c r="M53" s="15"/>
      <c r="N53" s="15"/>
      <c r="O53" s="15"/>
      <c r="P53" s="15"/>
    </row>
    <row r="54" spans="1:16" x14ac:dyDescent="0.2">
      <c r="A54" s="78">
        <f>A53+0.1</f>
        <v>17.100000000000001</v>
      </c>
      <c r="B54" s="35" t="s">
        <v>38</v>
      </c>
      <c r="C54" s="79"/>
      <c r="D54" s="72"/>
      <c r="E54" s="73"/>
      <c r="F54" s="74"/>
      <c r="G54" s="75"/>
      <c r="H54" s="74"/>
      <c r="I54" s="75"/>
      <c r="J54" s="76" t="e">
        <f ca="1">VLOOKUP(A54,Standings!$B$6:$EC$62,59,FALSE())</f>
        <v>#N/A</v>
      </c>
      <c r="K54" s="76" t="e">
        <f ca="1">VLOOKUP(A54,Standings!$B$6:$ED$62,60,FALSE())</f>
        <v>#N/A</v>
      </c>
      <c r="L54" s="15"/>
      <c r="M54" s="15"/>
      <c r="N54" s="15"/>
      <c r="O54" s="15"/>
      <c r="P54" s="15"/>
    </row>
    <row r="55" spans="1:16" x14ac:dyDescent="0.2">
      <c r="A55" s="78">
        <f>A53+0.02</f>
        <v>17.02</v>
      </c>
      <c r="B55" s="39" t="s">
        <v>39</v>
      </c>
      <c r="C55" s="82" t="e">
        <f ca="1">VLOOKUP(A55,Standings!B:F,4,FALSE())</f>
        <v>#N/A</v>
      </c>
      <c r="D55" s="83"/>
      <c r="E55" s="84"/>
      <c r="F55" s="88"/>
      <c r="G55" s="90"/>
      <c r="H55" s="88"/>
      <c r="I55" s="90"/>
      <c r="J55" s="76" t="e">
        <f ca="1">VLOOKUP(A55,Standings!$B$6:$EC$62,59,FALSE())</f>
        <v>#N/A</v>
      </c>
      <c r="K55" s="76" t="e">
        <f ca="1">VLOOKUP(A55,Standings!$B$6:$ED$62,60,FALSE())</f>
        <v>#N/A</v>
      </c>
      <c r="L55" s="15"/>
      <c r="M55" s="15"/>
      <c r="N55" s="15"/>
      <c r="O55" s="15"/>
      <c r="P55" s="15"/>
    </row>
    <row r="56" spans="1:16" x14ac:dyDescent="0.2">
      <c r="A56" s="15">
        <v>18</v>
      </c>
      <c r="B56" s="29" t="str">
        <f ca="1">VLOOKUP(A56,Standings!B:E,3,FALSE())</f>
        <v>SW</v>
      </c>
      <c r="C56" s="71" t="e">
        <f ca="1">VLOOKUP(B56,Standings!$E$6:$F$62,2,FALSE())</f>
        <v>#N/A</v>
      </c>
      <c r="D56" s="72"/>
      <c r="E56" s="73"/>
      <c r="F56" s="74"/>
      <c r="G56" s="75"/>
      <c r="H56" s="74"/>
      <c r="I56" s="75"/>
      <c r="J56" s="76" t="e">
        <f ca="1">VLOOKUP(B56,Standings!$E$5:$EC$62,57,FALSE())</f>
        <v>#N/A</v>
      </c>
      <c r="K56" s="77" t="e">
        <f ca="1">VLOOKUP(B56,Standings!$E$5:$ED$63,58,FALSE())</f>
        <v>#N/A</v>
      </c>
      <c r="L56" s="15"/>
      <c r="M56" s="15"/>
      <c r="N56" s="15"/>
      <c r="O56" s="15"/>
      <c r="P56" s="15"/>
    </row>
    <row r="57" spans="1:16" x14ac:dyDescent="0.2">
      <c r="A57" s="78">
        <f>A56+0.1</f>
        <v>18.100000000000001</v>
      </c>
      <c r="B57" s="35" t="s">
        <v>38</v>
      </c>
      <c r="C57" s="79"/>
      <c r="D57" s="72"/>
      <c r="E57" s="73"/>
      <c r="F57" s="74"/>
      <c r="G57" s="75"/>
      <c r="H57" s="74"/>
      <c r="I57" s="75"/>
      <c r="J57" s="76" t="e">
        <f ca="1">VLOOKUP(A57,Standings!$B$6:$EC$62,59,FALSE())</f>
        <v>#N/A</v>
      </c>
      <c r="K57" s="76" t="e">
        <f ca="1">VLOOKUP(A57,Standings!$B$6:$ED$62,60,FALSE())</f>
        <v>#N/A</v>
      </c>
      <c r="L57" s="15"/>
      <c r="M57" s="15"/>
      <c r="N57" s="15"/>
      <c r="O57" s="15"/>
      <c r="P57" s="15"/>
    </row>
    <row r="58" spans="1:16" x14ac:dyDescent="0.2">
      <c r="A58" s="78">
        <f>A56+0.02</f>
        <v>18.02</v>
      </c>
      <c r="B58" s="39" t="s">
        <v>39</v>
      </c>
      <c r="C58" s="82" t="e">
        <f ca="1">VLOOKUP(A58,Standings!B:F,4,FALSE())</f>
        <v>#N/A</v>
      </c>
      <c r="D58" s="83"/>
      <c r="E58" s="84"/>
      <c r="F58" s="88"/>
      <c r="G58" s="90"/>
      <c r="H58" s="88"/>
      <c r="I58" s="90"/>
      <c r="J58" s="76" t="e">
        <f ca="1">VLOOKUP(A58,Standings!$B$6:$EC$62,59,FALSE())</f>
        <v>#N/A</v>
      </c>
      <c r="K58" s="76" t="e">
        <f ca="1">VLOOKUP(A58,Standings!$B$6:$ED$62,60,FALSE())</f>
        <v>#N/A</v>
      </c>
      <c r="L58" s="15"/>
      <c r="M58" s="15"/>
      <c r="N58" s="15"/>
      <c r="O58" s="15"/>
      <c r="P58" s="15"/>
    </row>
    <row r="59" spans="1:16" x14ac:dyDescent="0.2">
      <c r="A59" s="15">
        <v>19</v>
      </c>
      <c r="B59" s="29" t="str">
        <f ca="1">VLOOKUP(A59,Standings!B:E,3,FALSE())</f>
        <v>Moses</v>
      </c>
      <c r="C59" s="71">
        <f ca="1">VLOOKUP(B59,Standings!$E$6:$F$62,2,FALSE())</f>
        <v>0</v>
      </c>
      <c r="D59" s="72"/>
      <c r="E59" s="73"/>
      <c r="F59" s="74"/>
      <c r="G59" s="75"/>
      <c r="H59" s="74"/>
      <c r="I59" s="75"/>
      <c r="J59" s="76">
        <f ca="1">VLOOKUP(B59,Standings!$E$5:$EC$62,57,FALSE())</f>
        <v>0</v>
      </c>
      <c r="K59" s="77" t="str">
        <f ca="1">VLOOKUP(B59,Standings!$E$5:$ED$63,58,FALSE())</f>
        <v/>
      </c>
      <c r="L59" s="15"/>
      <c r="M59" s="15"/>
      <c r="N59" s="15"/>
      <c r="O59" s="15"/>
      <c r="P59" s="15"/>
    </row>
    <row r="60" spans="1:16" x14ac:dyDescent="0.2">
      <c r="A60" s="78">
        <f>A59+0.1</f>
        <v>19.100000000000001</v>
      </c>
      <c r="B60" s="35" t="s">
        <v>38</v>
      </c>
      <c r="C60" s="79"/>
      <c r="D60" s="72"/>
      <c r="E60" s="73"/>
      <c r="F60" s="74"/>
      <c r="G60" s="75"/>
      <c r="H60" s="74"/>
      <c r="I60" s="75"/>
      <c r="J60" s="76" t="e">
        <f ca="1">VLOOKUP(A60,Standings!$B$6:$EC$62,59,FALSE())</f>
        <v>#N/A</v>
      </c>
      <c r="K60" s="76" t="e">
        <f ca="1">VLOOKUP(A60,Standings!$B$6:$ED$62,60,FALSE())</f>
        <v>#N/A</v>
      </c>
      <c r="L60" s="15"/>
      <c r="M60" s="15"/>
      <c r="N60" s="15"/>
      <c r="O60" s="15"/>
      <c r="P60" s="15"/>
    </row>
    <row r="61" spans="1:16" x14ac:dyDescent="0.2">
      <c r="A61" s="78">
        <f>A59+0.02</f>
        <v>19.02</v>
      </c>
      <c r="B61" s="39" t="s">
        <v>39</v>
      </c>
      <c r="C61" s="82" t="e">
        <f ca="1">VLOOKUP(A61,Standings!B:F,4,FALSE())</f>
        <v>#N/A</v>
      </c>
      <c r="D61" s="83"/>
      <c r="E61" s="84"/>
      <c r="F61" s="88"/>
      <c r="G61" s="90"/>
      <c r="H61" s="88"/>
      <c r="I61" s="90"/>
      <c r="J61" s="76" t="e">
        <f ca="1">VLOOKUP(A61,Standings!$B$6:$EC$62,59,FALSE())</f>
        <v>#N/A</v>
      </c>
      <c r="K61" s="76" t="e">
        <f ca="1">VLOOKUP(A61,Standings!$B$6:$ED$62,60,FALSE())</f>
        <v>#N/A</v>
      </c>
      <c r="L61" s="15"/>
      <c r="M61" s="15"/>
      <c r="N61" s="15"/>
      <c r="O61" s="15"/>
      <c r="P61" s="15"/>
    </row>
  </sheetData>
  <mergeCells count="13">
    <mergeCell ref="C1:C4"/>
    <mergeCell ref="D1:E1"/>
    <mergeCell ref="F1:G1"/>
    <mergeCell ref="H1:I1"/>
    <mergeCell ref="D2:E2"/>
    <mergeCell ref="F2:G2"/>
    <mergeCell ref="H2:I2"/>
    <mergeCell ref="D3:E3"/>
    <mergeCell ref="F3:G3"/>
    <mergeCell ref="H3:I3"/>
    <mergeCell ref="D4:E4"/>
    <mergeCell ref="F4:G4"/>
    <mergeCell ref="H4:I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20"/>
  <sheetViews>
    <sheetView tabSelected="1" zoomScaleNormal="100" zoomScalePageLayoutView="60" workbookViewId="0">
      <selection activeCell="DE4" sqref="DE4:DF4"/>
    </sheetView>
  </sheetViews>
  <sheetFormatPr defaultColWidth="8.88671875" defaultRowHeight="14.25" outlineLevelRow="1" x14ac:dyDescent="0.2"/>
  <cols>
    <col min="1" max="1" width="3.109375" style="15" customWidth="1"/>
    <col min="2" max="2" width="5.21875" style="21" customWidth="1"/>
    <col min="3" max="3" width="5.33203125" style="21" hidden="1" customWidth="1"/>
    <col min="4" max="4" width="6.5546875" style="21" hidden="1" customWidth="1"/>
    <col min="5" max="5" width="13.5546875" style="15" customWidth="1"/>
    <col min="6" max="6" width="4.5546875" style="15" customWidth="1"/>
    <col min="7" max="7" width="4.5546875" style="15" hidden="1" customWidth="1"/>
    <col min="8" max="8" width="5.77734375" style="15" hidden="1" customWidth="1"/>
    <col min="9" max="9" width="5" style="15" hidden="1" customWidth="1"/>
    <col min="10" max="11" width="5.5546875" style="15" hidden="1" customWidth="1"/>
    <col min="12" max="12" width="4.5546875" style="15" hidden="1" customWidth="1"/>
    <col min="13" max="13" width="5.77734375" style="15" hidden="1" customWidth="1"/>
    <col min="14" max="14" width="5" style="15" hidden="1" customWidth="1"/>
    <col min="15" max="16" width="5.5546875" style="15" hidden="1" customWidth="1"/>
    <col min="17" max="17" width="4.5546875" style="15" hidden="1" customWidth="1"/>
    <col min="18" max="18" width="5.77734375" style="15" hidden="1" customWidth="1"/>
    <col min="19" max="19" width="5" style="15" hidden="1" customWidth="1"/>
    <col min="20" max="21" width="5.5546875" style="15" hidden="1" customWidth="1"/>
    <col min="22" max="22" width="4.5546875" style="15" hidden="1" customWidth="1"/>
    <col min="23" max="23" width="5.77734375" style="15" hidden="1" customWidth="1"/>
    <col min="24" max="24" width="5" style="15" hidden="1" customWidth="1"/>
    <col min="25" max="26" width="5.5546875" style="15" hidden="1" customWidth="1"/>
    <col min="27" max="27" width="4.5546875" style="15" hidden="1" customWidth="1"/>
    <col min="28" max="28" width="5.77734375" style="15" hidden="1" customWidth="1"/>
    <col min="29" max="29" width="5" style="15" hidden="1" customWidth="1"/>
    <col min="30" max="31" width="5.5546875" style="15" hidden="1" customWidth="1"/>
    <col min="32" max="32" width="4.5546875" style="15" hidden="1" customWidth="1"/>
    <col min="33" max="33" width="5.77734375" style="15" hidden="1" customWidth="1"/>
    <col min="34" max="34" width="5" style="15" hidden="1" customWidth="1"/>
    <col min="35" max="36" width="5.5546875" style="15" hidden="1" customWidth="1"/>
    <col min="37" max="37" width="4.5546875" style="15" hidden="1" customWidth="1"/>
    <col min="38" max="38" width="5.77734375" style="15" hidden="1" customWidth="1"/>
    <col min="39" max="39" width="5" style="15" hidden="1" customWidth="1"/>
    <col min="40" max="41" width="5.5546875" style="15" hidden="1" customWidth="1"/>
    <col min="42" max="42" width="4.5546875" style="15" hidden="1" customWidth="1"/>
    <col min="43" max="43" width="5.77734375" style="15" hidden="1" customWidth="1"/>
    <col min="44" max="44" width="5" style="15" hidden="1" customWidth="1"/>
    <col min="45" max="46" width="5.5546875" style="15" hidden="1" customWidth="1"/>
    <col min="47" max="47" width="4.5546875" style="15" hidden="1" customWidth="1"/>
    <col min="48" max="48" width="5.77734375" style="15" hidden="1" customWidth="1"/>
    <col min="49" max="49" width="5" style="15" hidden="1" customWidth="1"/>
    <col min="50" max="51" width="5.5546875" style="15" hidden="1" customWidth="1"/>
    <col min="52" max="52" width="4.5546875" style="15" hidden="1" customWidth="1"/>
    <col min="53" max="53" width="5.77734375" style="15" hidden="1" customWidth="1"/>
    <col min="54" max="54" width="5" style="15" hidden="1" customWidth="1"/>
    <col min="55" max="56" width="5.5546875" style="15" hidden="1" customWidth="1"/>
    <col min="57" max="57" width="4.5546875" style="15" hidden="1" customWidth="1"/>
    <col min="58" max="58" width="5.77734375" style="15" hidden="1" customWidth="1"/>
    <col min="59" max="59" width="5" style="15" hidden="1" customWidth="1"/>
    <col min="60" max="61" width="5.5546875" style="15" hidden="1" customWidth="1"/>
    <col min="62" max="62" width="4.21875" style="15" hidden="1" customWidth="1"/>
    <col min="63" max="63" width="5.77734375" style="15" hidden="1" customWidth="1"/>
    <col min="64" max="64" width="5" style="15" hidden="1" customWidth="1"/>
    <col min="65" max="66" width="5.5546875" style="15" hidden="1" customWidth="1"/>
    <col min="67" max="67" width="4.21875" style="15" hidden="1" customWidth="1"/>
    <col min="68" max="68" width="5.77734375" style="15" hidden="1" customWidth="1"/>
    <col min="69" max="69" width="5" style="15" hidden="1" customWidth="1"/>
    <col min="70" max="71" width="5.5546875" style="15" hidden="1" customWidth="1"/>
    <col min="72" max="72" width="4.21875" style="15" hidden="1" customWidth="1"/>
    <col min="73" max="73" width="5.77734375" style="15" hidden="1" customWidth="1"/>
    <col min="74" max="74" width="5" style="15" hidden="1" customWidth="1"/>
    <col min="75" max="76" width="5.5546875" style="15" hidden="1" customWidth="1"/>
    <col min="77" max="77" width="4.21875" style="15" hidden="1" customWidth="1"/>
    <col min="78" max="78" width="5.77734375" style="15" hidden="1" customWidth="1"/>
    <col min="79" max="79" width="5" style="15" hidden="1" customWidth="1"/>
    <col min="80" max="81" width="5.5546875" style="15" hidden="1" customWidth="1"/>
    <col min="82" max="82" width="4.21875" style="15" hidden="1" customWidth="1"/>
    <col min="83" max="83" width="5.77734375" style="15" hidden="1" customWidth="1"/>
    <col min="84" max="84" width="5" style="15" hidden="1" customWidth="1"/>
    <col min="85" max="86" width="5.5546875" style="15" hidden="1" customWidth="1"/>
    <col min="87" max="87" width="4.21875" style="15" hidden="1" customWidth="1"/>
    <col min="88" max="88" width="5.77734375" style="15" hidden="1" customWidth="1"/>
    <col min="89" max="89" width="5" style="15" hidden="1" customWidth="1"/>
    <col min="90" max="91" width="5.5546875" style="15" hidden="1" customWidth="1"/>
    <col min="92" max="92" width="4.21875" style="15" hidden="1" customWidth="1"/>
    <col min="93" max="93" width="5.77734375" style="15" hidden="1" customWidth="1"/>
    <col min="94" max="94" width="5" style="15" hidden="1" customWidth="1"/>
    <col min="95" max="96" width="5.5546875" style="15" hidden="1" customWidth="1"/>
    <col min="97" max="97" width="4.44140625" style="15" customWidth="1"/>
    <col min="98" max="98" width="4.6640625" style="15" customWidth="1"/>
    <col min="99" max="99" width="6.5546875" style="15" hidden="1" customWidth="1"/>
    <col min="100" max="100" width="5.6640625" style="15" hidden="1" customWidth="1"/>
    <col min="101" max="101" width="4.44140625" style="15" customWidth="1"/>
    <col min="102" max="103" width="4.6640625" style="15" customWidth="1"/>
    <col min="104" max="104" width="4.33203125" style="15" customWidth="1"/>
    <col min="105" max="105" width="5.33203125" style="15" customWidth="1"/>
    <col min="106" max="106" width="4.21875" style="15" customWidth="1"/>
    <col min="107" max="107" width="5.5546875" style="15" customWidth="1"/>
    <col min="108" max="108" width="4.21875" style="15" customWidth="1"/>
    <col min="109" max="109" width="4.109375" style="15" customWidth="1"/>
    <col min="110" max="110" width="4.77734375" style="15" customWidth="1"/>
    <col min="111" max="111" width="4.33203125" style="15" customWidth="1"/>
    <col min="112" max="112" width="4.21875" style="15" customWidth="1"/>
    <col min="113" max="113" width="3.77734375" style="15" customWidth="1"/>
    <col min="114" max="114" width="4.33203125" style="15" customWidth="1"/>
    <col min="115" max="115" width="4.21875" style="15" customWidth="1"/>
    <col min="116" max="116" width="4.5546875" style="15" customWidth="1"/>
    <col min="117" max="117" width="4.21875" style="15" customWidth="1"/>
    <col min="118" max="118" width="4.33203125" style="15" customWidth="1"/>
    <col min="119" max="119" width="3.77734375" style="15" customWidth="1"/>
    <col min="120" max="120" width="4.6640625" style="15" customWidth="1"/>
    <col min="121" max="121" width="4.21875" style="15" customWidth="1"/>
    <col min="122" max="122" width="4.5546875" style="15" customWidth="1"/>
    <col min="123" max="123" width="3.77734375" style="15" customWidth="1"/>
    <col min="124" max="124" width="4.21875" style="15" customWidth="1"/>
    <col min="125" max="125" width="4" style="15" customWidth="1"/>
    <col min="126" max="126" width="4.21875" style="15" customWidth="1"/>
    <col min="127" max="127" width="3.77734375" style="15" customWidth="1"/>
    <col min="128" max="128" width="4.5546875" style="15" customWidth="1"/>
    <col min="129" max="129" width="4.21875" style="15" customWidth="1"/>
    <col min="130" max="130" width="4.6640625" style="15" customWidth="1"/>
    <col min="131" max="132" width="4.21875" style="15" customWidth="1"/>
    <col min="133" max="133" width="7" style="15" customWidth="1"/>
    <col min="134" max="134" width="5.88671875" style="23" customWidth="1"/>
    <col min="135" max="137" width="8.88671875" style="15"/>
    <col min="138" max="138" width="12.21875" style="15" customWidth="1"/>
    <col min="139" max="1024" width="8.88671875" style="15"/>
  </cols>
  <sheetData>
    <row r="1" spans="2:151" s="59" customFormat="1" ht="14.25" customHeight="1" x14ac:dyDescent="0.2">
      <c r="B1" s="91"/>
      <c r="C1" s="91"/>
      <c r="D1" s="91"/>
      <c r="E1" s="17"/>
      <c r="F1" s="14" t="s">
        <v>0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3">
        <v>1</v>
      </c>
      <c r="CT1" s="13"/>
      <c r="CU1" s="13">
        <f>CS1+1</f>
        <v>2</v>
      </c>
      <c r="CV1" s="13"/>
      <c r="CW1" s="13">
        <f>CU1+1</f>
        <v>3</v>
      </c>
      <c r="CX1" s="13"/>
      <c r="CY1" s="13">
        <f>CW1+1</f>
        <v>4</v>
      </c>
      <c r="CZ1" s="13"/>
      <c r="DA1" s="13">
        <f>CY1+1</f>
        <v>5</v>
      </c>
      <c r="DB1" s="13"/>
      <c r="DC1" s="13">
        <f>DA1+1</f>
        <v>6</v>
      </c>
      <c r="DD1" s="13"/>
      <c r="DE1" s="13">
        <f>DC1+1</f>
        <v>7</v>
      </c>
      <c r="DF1" s="13"/>
      <c r="DG1" s="13">
        <f>DE1+1</f>
        <v>8</v>
      </c>
      <c r="DH1" s="13"/>
      <c r="DI1" s="13">
        <f>DG1+1</f>
        <v>9</v>
      </c>
      <c r="DJ1" s="13"/>
      <c r="DK1" s="13">
        <f>DI1+1</f>
        <v>10</v>
      </c>
      <c r="DL1" s="13"/>
      <c r="DM1" s="13">
        <f>DK1+1</f>
        <v>11</v>
      </c>
      <c r="DN1" s="13"/>
      <c r="DO1" s="13">
        <f>DM1+1</f>
        <v>12</v>
      </c>
      <c r="DP1" s="13"/>
      <c r="DQ1" s="13">
        <f>DO1+1</f>
        <v>13</v>
      </c>
      <c r="DR1" s="13"/>
      <c r="DS1" s="13">
        <f>DQ1+1</f>
        <v>14</v>
      </c>
      <c r="DT1" s="13"/>
      <c r="DU1" s="13">
        <f>DS1+1</f>
        <v>15</v>
      </c>
      <c r="DV1" s="13"/>
      <c r="DW1" s="13">
        <f>DU1+1</f>
        <v>16</v>
      </c>
      <c r="DX1" s="13"/>
      <c r="DY1" s="13">
        <f>DW1+1</f>
        <v>17</v>
      </c>
      <c r="DZ1" s="13"/>
      <c r="EA1" s="13">
        <f>DY1+1</f>
        <v>18</v>
      </c>
      <c r="EB1" s="13"/>
      <c r="EC1" s="17"/>
      <c r="ED1" s="19"/>
    </row>
    <row r="2" spans="2:151" x14ac:dyDescent="0.2">
      <c r="E2" s="20" t="s">
        <v>1</v>
      </c>
      <c r="F2" s="14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2" t="s">
        <v>2</v>
      </c>
      <c r="CT2" s="12"/>
      <c r="CU2" s="12" t="s">
        <v>3</v>
      </c>
      <c r="CV2" s="12"/>
      <c r="CW2" s="12" t="s">
        <v>4</v>
      </c>
      <c r="CX2" s="12"/>
      <c r="CY2" s="12" t="s">
        <v>5</v>
      </c>
      <c r="CZ2" s="12"/>
      <c r="DA2" s="12" t="s">
        <v>6</v>
      </c>
      <c r="DB2" s="12"/>
      <c r="DC2" s="12" t="s">
        <v>7</v>
      </c>
      <c r="DD2" s="12"/>
      <c r="DE2" s="12" t="s">
        <v>8</v>
      </c>
      <c r="DF2" s="12"/>
      <c r="DG2" s="12" t="s">
        <v>9</v>
      </c>
      <c r="DH2" s="12"/>
      <c r="DI2" s="12" t="s">
        <v>10</v>
      </c>
      <c r="DJ2" s="12"/>
      <c r="DK2" s="12" t="s">
        <v>11</v>
      </c>
      <c r="DL2" s="12"/>
      <c r="DM2" s="12" t="s">
        <v>12</v>
      </c>
      <c r="DN2" s="12"/>
      <c r="DO2" s="12" t="s">
        <v>13</v>
      </c>
      <c r="DP2" s="12"/>
      <c r="DQ2" s="12" t="s">
        <v>14</v>
      </c>
      <c r="DR2" s="12"/>
      <c r="DS2" s="12" t="s">
        <v>15</v>
      </c>
      <c r="DT2" s="12"/>
      <c r="DU2" s="12" t="s">
        <v>16</v>
      </c>
      <c r="DV2" s="12"/>
      <c r="DW2" s="12" t="s">
        <v>17</v>
      </c>
      <c r="DX2" s="12"/>
      <c r="DY2" s="12" t="s">
        <v>18</v>
      </c>
      <c r="DZ2" s="12"/>
      <c r="EA2" s="12" t="s">
        <v>19</v>
      </c>
      <c r="EB2" s="12"/>
      <c r="EC2" s="22" t="s">
        <v>20</v>
      </c>
      <c r="ED2" s="23" t="s">
        <v>21</v>
      </c>
    </row>
    <row r="3" spans="2:151" ht="23.25" customHeight="1" x14ac:dyDescent="0.2">
      <c r="E3" s="20" t="s">
        <v>22</v>
      </c>
      <c r="F3" s="14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1" t="s">
        <v>23</v>
      </c>
      <c r="CT3" s="11"/>
      <c r="CU3" s="11" t="s">
        <v>24</v>
      </c>
      <c r="CV3" s="11"/>
      <c r="CW3" s="11" t="s">
        <v>25</v>
      </c>
      <c r="CX3" s="11"/>
      <c r="CY3" s="11" t="s">
        <v>26</v>
      </c>
      <c r="CZ3" s="11"/>
      <c r="DA3" s="11" t="s">
        <v>24</v>
      </c>
      <c r="DB3" s="11"/>
      <c r="DC3" s="11" t="s">
        <v>23</v>
      </c>
      <c r="DD3" s="11"/>
      <c r="DE3" s="11" t="s">
        <v>25</v>
      </c>
      <c r="DF3" s="11"/>
      <c r="DG3" s="11" t="s">
        <v>26</v>
      </c>
      <c r="DH3" s="11"/>
      <c r="DI3" s="11" t="s">
        <v>24</v>
      </c>
      <c r="DJ3" s="11"/>
      <c r="DK3" s="11" t="s">
        <v>23</v>
      </c>
      <c r="DL3" s="11"/>
      <c r="DM3" s="11" t="s">
        <v>25</v>
      </c>
      <c r="DN3" s="11"/>
      <c r="DO3" s="11" t="s">
        <v>26</v>
      </c>
      <c r="DP3" s="11"/>
      <c r="DQ3" s="11" t="s">
        <v>24</v>
      </c>
      <c r="DR3" s="11"/>
      <c r="DS3" s="11" t="s">
        <v>23</v>
      </c>
      <c r="DT3" s="11"/>
      <c r="DU3" s="11" t="s">
        <v>25</v>
      </c>
      <c r="DV3" s="11"/>
      <c r="DW3" s="11" t="s">
        <v>26</v>
      </c>
      <c r="DX3" s="11"/>
      <c r="DY3" s="11" t="s">
        <v>24</v>
      </c>
      <c r="DZ3" s="11"/>
      <c r="EA3" s="11" t="s">
        <v>23</v>
      </c>
      <c r="EB3" s="11"/>
      <c r="EC3" s="11"/>
      <c r="ED3" s="11"/>
      <c r="EE3" s="11"/>
      <c r="EF3" s="11"/>
    </row>
    <row r="4" spans="2:151" s="23" customFormat="1" ht="39" customHeight="1" x14ac:dyDescent="0.2">
      <c r="B4" s="21"/>
      <c r="C4" s="21"/>
      <c r="D4" s="21"/>
      <c r="E4" s="24" t="s">
        <v>27</v>
      </c>
      <c r="F4" s="14"/>
      <c r="G4" s="92">
        <v>44680</v>
      </c>
      <c r="H4" s="18"/>
      <c r="I4" s="18"/>
      <c r="J4" s="18"/>
      <c r="K4" s="18"/>
      <c r="L4" s="92">
        <v>44687</v>
      </c>
      <c r="M4" s="18"/>
      <c r="N4" s="18"/>
      <c r="O4" s="18"/>
      <c r="P4" s="18"/>
      <c r="Q4" s="92">
        <v>44694</v>
      </c>
      <c r="R4" s="18"/>
      <c r="S4" s="18"/>
      <c r="T4" s="18"/>
      <c r="U4" s="18"/>
      <c r="V4" s="92">
        <v>44701</v>
      </c>
      <c r="W4" s="18"/>
      <c r="X4" s="18"/>
      <c r="Y4" s="18"/>
      <c r="Z4" s="18"/>
      <c r="AA4" s="92">
        <v>44708</v>
      </c>
      <c r="AB4" s="18"/>
      <c r="AC4" s="18"/>
      <c r="AD4" s="18"/>
      <c r="AE4" s="18"/>
      <c r="AF4" s="92">
        <v>44715</v>
      </c>
      <c r="AG4" s="18"/>
      <c r="AH4" s="18"/>
      <c r="AI4" s="18"/>
      <c r="AJ4" s="18"/>
      <c r="AK4" s="92">
        <v>44729</v>
      </c>
      <c r="AL4" s="18"/>
      <c r="AM4" s="18"/>
      <c r="AN4" s="18"/>
      <c r="AO4" s="18"/>
      <c r="AP4" s="92">
        <v>44736</v>
      </c>
      <c r="AQ4" s="18"/>
      <c r="AR4" s="18"/>
      <c r="AS4" s="18"/>
      <c r="AT4" s="18"/>
      <c r="AU4" s="92">
        <v>44743</v>
      </c>
      <c r="AV4" s="18"/>
      <c r="AW4" s="18"/>
      <c r="AX4" s="18"/>
      <c r="AY4" s="18"/>
      <c r="AZ4" s="92">
        <v>44750</v>
      </c>
      <c r="BA4" s="18"/>
      <c r="BB4" s="18"/>
      <c r="BC4" s="18"/>
      <c r="BD4" s="18"/>
      <c r="BE4" s="92">
        <v>44757</v>
      </c>
      <c r="BF4" s="18"/>
      <c r="BG4" s="18"/>
      <c r="BH4" s="18"/>
      <c r="BI4" s="18"/>
      <c r="BJ4" s="92">
        <v>44764</v>
      </c>
      <c r="BK4" s="18"/>
      <c r="BL4" s="18"/>
      <c r="BM4" s="18"/>
      <c r="BN4" s="18"/>
      <c r="BO4" s="92">
        <v>44771</v>
      </c>
      <c r="BP4" s="18"/>
      <c r="BQ4" s="18"/>
      <c r="BR4" s="18"/>
      <c r="BS4" s="18"/>
      <c r="BT4" s="92">
        <v>44778</v>
      </c>
      <c r="BU4" s="18"/>
      <c r="BV4" s="18"/>
      <c r="BW4" s="18"/>
      <c r="BX4" s="18"/>
      <c r="BY4" s="92">
        <v>44785</v>
      </c>
      <c r="BZ4" s="18"/>
      <c r="CA4" s="18"/>
      <c r="CB4" s="18"/>
      <c r="CC4" s="18"/>
      <c r="CD4" s="92">
        <v>44792</v>
      </c>
      <c r="CE4" s="18"/>
      <c r="CF4" s="18"/>
      <c r="CG4" s="18"/>
      <c r="CH4" s="18"/>
      <c r="CI4" s="92">
        <v>44799</v>
      </c>
      <c r="CJ4" s="18"/>
      <c r="CK4" s="18"/>
      <c r="CL4" s="18"/>
      <c r="CM4" s="18"/>
      <c r="CN4" s="92">
        <v>44806</v>
      </c>
      <c r="CO4" s="18"/>
      <c r="CP4" s="18"/>
      <c r="CQ4" s="18"/>
      <c r="CR4" s="18"/>
      <c r="CS4" s="10" t="s">
        <v>28</v>
      </c>
      <c r="CT4" s="10"/>
      <c r="CU4" s="10"/>
      <c r="CV4" s="10"/>
      <c r="CW4" s="9" t="s">
        <v>29</v>
      </c>
      <c r="CX4" s="9"/>
      <c r="CY4" s="9" t="s">
        <v>30</v>
      </c>
      <c r="CZ4" s="9"/>
      <c r="DA4" s="9" t="s">
        <v>31</v>
      </c>
      <c r="DB4" s="9"/>
      <c r="DC4" s="9"/>
      <c r="DD4" s="9"/>
      <c r="DE4" s="10"/>
      <c r="DF4" s="10"/>
      <c r="DG4" s="8"/>
      <c r="DH4" s="8"/>
      <c r="DI4" s="9"/>
      <c r="DJ4" s="9"/>
      <c r="DK4" s="10"/>
      <c r="DL4" s="10"/>
      <c r="DM4" s="10"/>
      <c r="DN4" s="10"/>
      <c r="DO4" s="9"/>
      <c r="DP4" s="9"/>
      <c r="DQ4" s="10"/>
      <c r="DR4" s="10"/>
      <c r="DS4" s="10"/>
      <c r="DT4" s="10"/>
      <c r="DU4" s="7"/>
      <c r="DV4" s="7"/>
      <c r="DW4" s="7"/>
      <c r="DX4" s="7"/>
      <c r="DY4" s="10"/>
      <c r="DZ4" s="10"/>
      <c r="EA4" s="10"/>
      <c r="EB4" s="10"/>
      <c r="EC4" s="26"/>
    </row>
    <row r="5" spans="2:151" s="23" customFormat="1" ht="14.25" customHeight="1" x14ac:dyDescent="0.2">
      <c r="B5" s="21"/>
      <c r="C5" s="21"/>
      <c r="D5" s="21"/>
      <c r="E5" s="27" t="s">
        <v>32</v>
      </c>
      <c r="F5" s="27"/>
      <c r="G5" s="27" t="s">
        <v>64</v>
      </c>
      <c r="H5" s="27" t="s">
        <v>65</v>
      </c>
      <c r="I5" s="27" t="s">
        <v>66</v>
      </c>
      <c r="J5" s="27" t="s">
        <v>67</v>
      </c>
      <c r="K5" s="27" t="s">
        <v>68</v>
      </c>
      <c r="L5" s="27" t="s">
        <v>64</v>
      </c>
      <c r="M5" s="27" t="s">
        <v>65</v>
      </c>
      <c r="N5" s="27" t="s">
        <v>66</v>
      </c>
      <c r="O5" s="27" t="s">
        <v>67</v>
      </c>
      <c r="P5" s="27" t="s">
        <v>68</v>
      </c>
      <c r="Q5" s="27" t="s">
        <v>64</v>
      </c>
      <c r="R5" s="27" t="s">
        <v>65</v>
      </c>
      <c r="S5" s="27" t="s">
        <v>66</v>
      </c>
      <c r="T5" s="27" t="s">
        <v>67</v>
      </c>
      <c r="U5" s="27" t="s">
        <v>68</v>
      </c>
      <c r="V5" s="27" t="s">
        <v>64</v>
      </c>
      <c r="W5" s="27" t="s">
        <v>65</v>
      </c>
      <c r="X5" s="27" t="s">
        <v>66</v>
      </c>
      <c r="Y5" s="27" t="s">
        <v>67</v>
      </c>
      <c r="Z5" s="27" t="s">
        <v>68</v>
      </c>
      <c r="AA5" s="27" t="s">
        <v>64</v>
      </c>
      <c r="AB5" s="27" t="s">
        <v>65</v>
      </c>
      <c r="AC5" s="27" t="s">
        <v>66</v>
      </c>
      <c r="AD5" s="27" t="s">
        <v>67</v>
      </c>
      <c r="AE5" s="27" t="s">
        <v>68</v>
      </c>
      <c r="AF5" s="27" t="s">
        <v>64</v>
      </c>
      <c r="AG5" s="27" t="s">
        <v>65</v>
      </c>
      <c r="AH5" s="27" t="s">
        <v>66</v>
      </c>
      <c r="AI5" s="27" t="s">
        <v>67</v>
      </c>
      <c r="AJ5" s="27" t="s">
        <v>68</v>
      </c>
      <c r="AK5" s="27" t="s">
        <v>64</v>
      </c>
      <c r="AL5" s="27" t="s">
        <v>65</v>
      </c>
      <c r="AM5" s="27" t="s">
        <v>66</v>
      </c>
      <c r="AN5" s="27" t="s">
        <v>67</v>
      </c>
      <c r="AO5" s="27" t="s">
        <v>68</v>
      </c>
      <c r="AP5" s="27" t="s">
        <v>64</v>
      </c>
      <c r="AQ5" s="27" t="s">
        <v>65</v>
      </c>
      <c r="AR5" s="27" t="s">
        <v>66</v>
      </c>
      <c r="AS5" s="27" t="s">
        <v>67</v>
      </c>
      <c r="AT5" s="27" t="s">
        <v>68</v>
      </c>
      <c r="AU5" s="27" t="s">
        <v>64</v>
      </c>
      <c r="AV5" s="27" t="s">
        <v>65</v>
      </c>
      <c r="AW5" s="27" t="s">
        <v>66</v>
      </c>
      <c r="AX5" s="27" t="s">
        <v>67</v>
      </c>
      <c r="AY5" s="27" t="s">
        <v>68</v>
      </c>
      <c r="AZ5" s="27" t="s">
        <v>64</v>
      </c>
      <c r="BA5" s="27" t="s">
        <v>65</v>
      </c>
      <c r="BB5" s="27" t="s">
        <v>66</v>
      </c>
      <c r="BC5" s="27" t="s">
        <v>67</v>
      </c>
      <c r="BD5" s="27" t="s">
        <v>68</v>
      </c>
      <c r="BE5" s="27" t="s">
        <v>64</v>
      </c>
      <c r="BF5" s="27" t="s">
        <v>65</v>
      </c>
      <c r="BG5" s="27" t="s">
        <v>66</v>
      </c>
      <c r="BH5" s="27" t="s">
        <v>67</v>
      </c>
      <c r="BI5" s="27" t="s">
        <v>68</v>
      </c>
      <c r="BJ5" s="27" t="s">
        <v>64</v>
      </c>
      <c r="BK5" s="27" t="s">
        <v>65</v>
      </c>
      <c r="BL5" s="27" t="s">
        <v>66</v>
      </c>
      <c r="BM5" s="27" t="s">
        <v>67</v>
      </c>
      <c r="BN5" s="27" t="s">
        <v>68</v>
      </c>
      <c r="BO5" s="27" t="s">
        <v>64</v>
      </c>
      <c r="BP5" s="27" t="s">
        <v>65</v>
      </c>
      <c r="BQ5" s="27" t="s">
        <v>66</v>
      </c>
      <c r="BR5" s="27" t="s">
        <v>67</v>
      </c>
      <c r="BS5" s="27" t="s">
        <v>68</v>
      </c>
      <c r="BT5" s="27" t="s">
        <v>64</v>
      </c>
      <c r="BU5" s="27" t="s">
        <v>65</v>
      </c>
      <c r="BV5" s="27" t="s">
        <v>66</v>
      </c>
      <c r="BW5" s="27" t="s">
        <v>67</v>
      </c>
      <c r="BX5" s="27" t="s">
        <v>68</v>
      </c>
      <c r="BY5" s="27" t="s">
        <v>64</v>
      </c>
      <c r="BZ5" s="27" t="s">
        <v>65</v>
      </c>
      <c r="CA5" s="27" t="s">
        <v>66</v>
      </c>
      <c r="CB5" s="27" t="s">
        <v>67</v>
      </c>
      <c r="CC5" s="27" t="s">
        <v>68</v>
      </c>
      <c r="CD5" s="27" t="s">
        <v>64</v>
      </c>
      <c r="CE5" s="27" t="s">
        <v>65</v>
      </c>
      <c r="CF5" s="27" t="s">
        <v>66</v>
      </c>
      <c r="CG5" s="27" t="s">
        <v>67</v>
      </c>
      <c r="CH5" s="27" t="s">
        <v>68</v>
      </c>
      <c r="CI5" s="27" t="s">
        <v>64</v>
      </c>
      <c r="CJ5" s="27" t="s">
        <v>65</v>
      </c>
      <c r="CK5" s="27" t="s">
        <v>66</v>
      </c>
      <c r="CL5" s="27" t="s">
        <v>67</v>
      </c>
      <c r="CM5" s="27" t="s">
        <v>68</v>
      </c>
      <c r="CN5" s="27" t="s">
        <v>64</v>
      </c>
      <c r="CO5" s="27" t="s">
        <v>65</v>
      </c>
      <c r="CP5" s="27" t="s">
        <v>66</v>
      </c>
      <c r="CQ5" s="27" t="s">
        <v>67</v>
      </c>
      <c r="CR5" s="27" t="s">
        <v>68</v>
      </c>
      <c r="CS5" s="10" t="s">
        <v>33</v>
      </c>
      <c r="CT5" s="10"/>
      <c r="CU5" s="23" t="s">
        <v>34</v>
      </c>
      <c r="CW5" s="10" t="s">
        <v>35</v>
      </c>
      <c r="CX5" s="10"/>
      <c r="CY5" s="25" t="s">
        <v>36</v>
      </c>
      <c r="CZ5" s="25"/>
      <c r="DA5" s="25" t="s">
        <v>33</v>
      </c>
      <c r="DB5" s="25"/>
      <c r="DC5" s="25" t="s">
        <v>35</v>
      </c>
      <c r="DD5" s="25"/>
      <c r="DE5" s="25" t="s">
        <v>36</v>
      </c>
      <c r="DF5" s="25"/>
      <c r="DG5" s="25" t="s">
        <v>33</v>
      </c>
      <c r="DH5" s="25"/>
      <c r="DI5" s="25" t="s">
        <v>35</v>
      </c>
      <c r="DJ5" s="25"/>
      <c r="DK5" s="25" t="s">
        <v>36</v>
      </c>
      <c r="DL5" s="25"/>
      <c r="DM5" s="25" t="s">
        <v>33</v>
      </c>
      <c r="DN5" s="25"/>
      <c r="DO5" s="25" t="s">
        <v>35</v>
      </c>
      <c r="DP5" s="25"/>
      <c r="DQ5" s="25" t="s">
        <v>36</v>
      </c>
      <c r="DR5" s="25"/>
      <c r="DS5" s="25" t="s">
        <v>33</v>
      </c>
      <c r="DT5" s="25"/>
      <c r="DU5" s="25" t="s">
        <v>35</v>
      </c>
      <c r="DV5" s="25"/>
      <c r="DW5" s="25" t="s">
        <v>36</v>
      </c>
      <c r="DX5" s="25"/>
      <c r="DY5" s="25" t="s">
        <v>33</v>
      </c>
      <c r="DZ5" s="25"/>
      <c r="EA5" s="25" t="s">
        <v>35</v>
      </c>
      <c r="EB5" s="25"/>
      <c r="EC5" s="25"/>
      <c r="ED5" s="25"/>
    </row>
    <row r="6" spans="2:151" x14ac:dyDescent="0.2">
      <c r="B6" s="21">
        <f ca="1">_xlfn.RANK.EQ(C6,$C$6:$C$63,)</f>
        <v>1</v>
      </c>
      <c r="C6" s="56">
        <f ca="1">EC6</f>
        <v>104.5</v>
      </c>
      <c r="D6" s="56" t="s">
        <v>69</v>
      </c>
      <c r="E6" s="29" t="s">
        <v>37</v>
      </c>
      <c r="F6" s="30">
        <f ca="1">COUNT(CT6,CV6,CX6,CZ6,DB6,DD6,DF6,DH6,DJ6,DL6,DN6,DP6,DR6,DT6,DV6,DX6,DZ6,EB6)</f>
        <v>4</v>
      </c>
      <c r="G6" s="93">
        <f ca="1">IF(CT6=0,"",CT6)</f>
        <v>20.5</v>
      </c>
      <c r="H6" s="93"/>
      <c r="I6" s="93"/>
      <c r="K6" s="93"/>
      <c r="L6" s="93" t="str">
        <f ca="1">IF(CV6=0,"",CV6)</f>
        <v/>
      </c>
      <c r="M6" s="93"/>
      <c r="N6" s="93"/>
      <c r="P6" s="93"/>
      <c r="Q6" s="93">
        <f ca="1">IF(CX6=0,"",CX6)</f>
        <v>31</v>
      </c>
      <c r="R6" s="93"/>
      <c r="S6" s="93"/>
      <c r="U6" s="93"/>
      <c r="V6" s="93">
        <f ca="1">IF(CZ6=0,"",CZ6)</f>
        <v>26.5</v>
      </c>
      <c r="W6" s="93"/>
      <c r="X6" s="93"/>
      <c r="Z6" s="93"/>
      <c r="AA6" s="93">
        <f ca="1">IF(DB6=0,"",DB6)</f>
        <v>26.5</v>
      </c>
      <c r="AB6" s="93"/>
      <c r="AC6" s="93"/>
      <c r="AE6" s="93"/>
      <c r="AF6" s="93" t="str">
        <f ca="1">IF(DD6=0,"",DD6)</f>
        <v/>
      </c>
      <c r="AG6" s="93"/>
      <c r="AH6" s="93"/>
      <c r="AJ6" s="93"/>
      <c r="AK6" s="93" t="str">
        <f ca="1">IF(DF6=0,"",DF6)</f>
        <v/>
      </c>
      <c r="AL6" s="93"/>
      <c r="AM6" s="93"/>
      <c r="AO6" s="93"/>
      <c r="AP6" s="93" t="str">
        <f ca="1">IF(DH6=0,"",DH6)</f>
        <v/>
      </c>
      <c r="AQ6" s="93"/>
      <c r="AR6" s="93"/>
      <c r="AT6" s="93"/>
      <c r="AU6" s="93" t="str">
        <f ca="1">IF(DJ6=0,"",DJ6)</f>
        <v/>
      </c>
      <c r="AV6" s="93"/>
      <c r="AW6" s="93"/>
      <c r="AY6" s="93"/>
      <c r="AZ6" s="93" t="str">
        <f ca="1">IF(DL6=0,"",DL6)</f>
        <v/>
      </c>
      <c r="BA6" s="93"/>
      <c r="BB6" s="93"/>
      <c r="BD6" s="93"/>
      <c r="BE6" s="93" t="str">
        <f ca="1">IF(DN6=0,"",DN6)</f>
        <v/>
      </c>
      <c r="BF6" s="93"/>
      <c r="BG6" s="93"/>
      <c r="BI6" s="93"/>
      <c r="BJ6" s="93" t="str">
        <f ca="1">IF(DP6=0,"",DP6)</f>
        <v/>
      </c>
      <c r="BK6" s="93"/>
      <c r="BL6" s="93"/>
      <c r="BN6" s="93"/>
      <c r="BO6" s="93" t="str">
        <f ca="1">IF(DR6=0,"",DR6)</f>
        <v/>
      </c>
      <c r="BP6" s="93"/>
      <c r="BQ6" s="93"/>
      <c r="BS6" s="93"/>
      <c r="BT6" s="93" t="str">
        <f ca="1">IF(DT6=0,"",DT6)</f>
        <v/>
      </c>
      <c r="BU6" s="93"/>
      <c r="BV6" s="93"/>
      <c r="BX6" s="93"/>
      <c r="BY6" s="93" t="str">
        <f ca="1">IF(DV6=0,"",DV6)</f>
        <v/>
      </c>
      <c r="BZ6" s="93"/>
      <c r="CA6" s="93"/>
      <c r="CC6" s="93"/>
      <c r="CD6" s="93" t="str">
        <f ca="1">IF(DX6=0,"",DX6)</f>
        <v/>
      </c>
      <c r="CE6" s="93"/>
      <c r="CF6" s="93"/>
      <c r="CH6" s="93"/>
      <c r="CI6" s="93" t="str">
        <f ca="1">IF(DZ6=0,"",DZ6)</f>
        <v/>
      </c>
      <c r="CJ6" s="93"/>
      <c r="CK6" s="93"/>
      <c r="CM6" s="93"/>
      <c r="CN6" s="93" t="str">
        <f ca="1">IF(EB6=0,"",EB6)</f>
        <v/>
      </c>
      <c r="CO6" s="93"/>
      <c r="CP6" s="93"/>
      <c r="CR6" s="93"/>
      <c r="CS6" s="31">
        <v>84</v>
      </c>
      <c r="CT6" s="32">
        <f ca="1">IFERROR(CT7+CT8,"")</f>
        <v>20.5</v>
      </c>
      <c r="CU6" s="31"/>
      <c r="CV6" s="32" t="str">
        <f ca="1">IFERROR(CV7+CV8,"")</f>
        <v/>
      </c>
      <c r="CW6" s="31">
        <v>79</v>
      </c>
      <c r="CX6" s="32">
        <f ca="1">IFERROR(CX7+CX8,"")</f>
        <v>31</v>
      </c>
      <c r="CY6" s="31">
        <v>82</v>
      </c>
      <c r="CZ6" s="32">
        <f ca="1">IFERROR(CZ7+CZ8,"")</f>
        <v>26.5</v>
      </c>
      <c r="DA6" s="31">
        <v>86</v>
      </c>
      <c r="DB6" s="32">
        <f ca="1">IFERROR(DB7+DB8,"")</f>
        <v>26.5</v>
      </c>
      <c r="DC6" s="31"/>
      <c r="DD6" s="32" t="str">
        <f ca="1">IFERROR(DD7+DD8,"")</f>
        <v/>
      </c>
      <c r="DE6" s="31"/>
      <c r="DF6" s="32" t="str">
        <f ca="1">IFERROR(DF7+DF8,"")</f>
        <v/>
      </c>
      <c r="DG6" s="31"/>
      <c r="DH6" s="32" t="str">
        <f ca="1">IFERROR(DH7+DH8,"")</f>
        <v/>
      </c>
      <c r="DI6" s="31"/>
      <c r="DJ6" s="32" t="str">
        <f ca="1">IFERROR(DJ7+DJ8,"")</f>
        <v/>
      </c>
      <c r="DK6" s="31"/>
      <c r="DL6" s="32" t="str">
        <f ca="1">IFERROR(DL7+DL8,"")</f>
        <v/>
      </c>
      <c r="DM6" s="31"/>
      <c r="DN6" s="32" t="str">
        <f ca="1">IFERROR(DN7+DN8,"")</f>
        <v/>
      </c>
      <c r="DO6" s="31"/>
      <c r="DP6" s="32" t="str">
        <f ca="1">IFERROR(DP7+DP8,"")</f>
        <v/>
      </c>
      <c r="DQ6" s="31"/>
      <c r="DR6" s="32" t="str">
        <f ca="1">IFERROR(DR7+DR8,"")</f>
        <v/>
      </c>
      <c r="DS6" s="31"/>
      <c r="DT6" s="32" t="str">
        <f ca="1">IFERROR(DT7+DT8,"")</f>
        <v/>
      </c>
      <c r="DU6" s="31"/>
      <c r="DV6" s="32" t="str">
        <f ca="1">IFERROR(DV7+DV8,"")</f>
        <v/>
      </c>
      <c r="DW6" s="31"/>
      <c r="DX6" s="32" t="str">
        <f ca="1">IFERROR(DX7+DX8,"")</f>
        <v/>
      </c>
      <c r="DY6" s="31"/>
      <c r="DZ6" s="32" t="str">
        <f ca="1">IFERROR(DZ7+DZ8,"")</f>
        <v/>
      </c>
      <c r="EA6" s="31"/>
      <c r="EB6" s="32" t="str">
        <f ca="1">IFERROR(EB7+EB8,"")</f>
        <v/>
      </c>
      <c r="EC6" s="26">
        <f ca="1">IFERROR(LARGE($G6:$CN6,1),0)+IFERROR(LARGE($G6:$CN6,2),0)+IFERROR(LARGE($G6:$CN6,3),0)+IFERROR(LARGE($G6:$CN6,4),0)+IFERROR(LARGE($G6:$CN6,5),0)+IFERROR(LARGE($G6:$CN6,6),0)+IFERROR(LARGE($G6:$CN6,7),0)+IFERROR(LARGE($G6:$CN6,8),0)+IFERROR(LARGE($G6:$CN6,9),0)+IFERROR(LARGE($G6:$CN6,10),0)</f>
        <v>104.5</v>
      </c>
      <c r="ED6" s="33">
        <f t="shared" ref="ED6:ED12" ca="1" si="0">AVERAGE(CT6,CV6,CX6,CZ6,DB6,DD6,DF6,DH6,DJ6,DL6,DN6,DP6,DR6,DT6,DV6,DX6,DZ6,EB6)</f>
        <v>26.125</v>
      </c>
      <c r="EG6" s="94"/>
      <c r="EH6" s="94"/>
      <c r="EI6" s="94"/>
      <c r="EJ6" s="94"/>
    </row>
    <row r="7" spans="2:151" s="15" customFormat="1" outlineLevel="1" x14ac:dyDescent="0.2">
      <c r="B7" s="34">
        <f ca="1">B6+0.11</f>
        <v>1.1100000000000001</v>
      </c>
      <c r="D7" s="15" t="s">
        <v>70</v>
      </c>
      <c r="E7" s="35" t="s">
        <v>38</v>
      </c>
      <c r="F7" s="35"/>
      <c r="G7" s="35"/>
      <c r="H7" s="35">
        <f>IF(CS7=0,"",CS7)</f>
        <v>32</v>
      </c>
      <c r="I7" s="35"/>
      <c r="J7" s="93">
        <f>IFERROR(RANK(H7,H$6:H$115,0),"")</f>
        <v>6</v>
      </c>
      <c r="K7" s="35"/>
      <c r="L7" s="35"/>
      <c r="M7" s="35" t="str">
        <f>IF(CU7=0,"",CU7)</f>
        <v/>
      </c>
      <c r="N7" s="35"/>
      <c r="O7" s="93" t="str">
        <f>IFERROR(RANK(M7,M$6:M$115,0),"")</f>
        <v/>
      </c>
      <c r="P7" s="35"/>
      <c r="Q7" s="35"/>
      <c r="R7" s="35">
        <f>IF(CW7=0,"",CW7)</f>
        <v>39</v>
      </c>
      <c r="S7" s="35"/>
      <c r="T7" s="93">
        <f>IFERROR(RANK(R7,R$6:R$115,0),"")</f>
        <v>2</v>
      </c>
      <c r="U7" s="35"/>
      <c r="V7" s="35"/>
      <c r="W7" s="35">
        <f>IF(CY7=0,"",CY7)</f>
        <v>32</v>
      </c>
      <c r="X7" s="35"/>
      <c r="Y7" s="93">
        <f>IFERROR(RANK(W7,W$6:W$115,0),"")</f>
        <v>2</v>
      </c>
      <c r="Z7" s="35"/>
      <c r="AA7" s="35"/>
      <c r="AB7" s="35">
        <f>IF(DA7=0,"",DA7)</f>
        <v>30</v>
      </c>
      <c r="AC7" s="35"/>
      <c r="AD7" s="93">
        <f>IFERROR(RANK(AB7,AB$6:AB$115,0),"")</f>
        <v>10</v>
      </c>
      <c r="AE7" s="35"/>
      <c r="AF7" s="35"/>
      <c r="AG7" s="35" t="str">
        <f>IF(DC7=0,"",DC7)</f>
        <v/>
      </c>
      <c r="AH7" s="35"/>
      <c r="AI7" s="93" t="str">
        <f>IFERROR(RANK(AG7,AG$6:AG$115,0),"")</f>
        <v/>
      </c>
      <c r="AJ7" s="35"/>
      <c r="AK7" s="35"/>
      <c r="AL7" s="35" t="str">
        <f>IF(DE7=0,"",DE7)</f>
        <v/>
      </c>
      <c r="AM7" s="35"/>
      <c r="AN7" s="93" t="str">
        <f>IFERROR(RANK(AL7,AL$6:AL$115,0),"")</f>
        <v/>
      </c>
      <c r="AO7" s="35"/>
      <c r="AP7" s="35"/>
      <c r="AQ7" s="35" t="str">
        <f>IF(DG7=0,"",DG7)</f>
        <v/>
      </c>
      <c r="AR7" s="35"/>
      <c r="AS7" s="93" t="str">
        <f>IFERROR(RANK(AQ7,AQ$6:AQ$115,0),"")</f>
        <v/>
      </c>
      <c r="AT7" s="35"/>
      <c r="AU7" s="35"/>
      <c r="AV7" s="35" t="str">
        <f>IF(DI7=0,"",DI7)</f>
        <v/>
      </c>
      <c r="AW7" s="35"/>
      <c r="AX7" s="93" t="str">
        <f>IFERROR(RANK(AV7,AV$6:AV$115,0),"")</f>
        <v/>
      </c>
      <c r="AY7" s="35"/>
      <c r="AZ7" s="35"/>
      <c r="BA7" s="35" t="str">
        <f>IF(DK7=0,"",DK7)</f>
        <v/>
      </c>
      <c r="BB7" s="35"/>
      <c r="BC7" s="93" t="str">
        <f>IFERROR(RANK(BA7,BA$6:BA$115,0),"")</f>
        <v/>
      </c>
      <c r="BD7" s="35"/>
      <c r="BE7" s="35"/>
      <c r="BF7" s="35" t="str">
        <f>IF(DM7=0,"",DM7)</f>
        <v/>
      </c>
      <c r="BG7" s="35"/>
      <c r="BH7" s="93" t="str">
        <f>IFERROR(RANK(BF7,BF$6:BF$115,0),"")</f>
        <v/>
      </c>
      <c r="BI7" s="35"/>
      <c r="BJ7" s="35"/>
      <c r="BK7" s="35" t="str">
        <f>IF(DO7=0,"",DO7)</f>
        <v/>
      </c>
      <c r="BL7" s="35"/>
      <c r="BM7" s="93" t="str">
        <f>IFERROR(RANK(BK7,BK$6:BK$115,0),"")</f>
        <v/>
      </c>
      <c r="BN7" s="35"/>
      <c r="BO7" s="35"/>
      <c r="BP7" s="35" t="str">
        <f>IF(DQ7=0,"",DQ7)</f>
        <v/>
      </c>
      <c r="BQ7" s="35"/>
      <c r="BR7" s="93" t="str">
        <f>IFERROR(RANK(BP7,BP$6:BP$115,0),"")</f>
        <v/>
      </c>
      <c r="BS7" s="35"/>
      <c r="BT7" s="35"/>
      <c r="BU7" s="35" t="str">
        <f>IF(DS7=0,"",DS7)</f>
        <v/>
      </c>
      <c r="BV7" s="35"/>
      <c r="BW7" s="93" t="str">
        <f>IFERROR(RANK(BU7,BU$6:BU$115,0),"")</f>
        <v/>
      </c>
      <c r="BX7" s="35"/>
      <c r="BY7" s="35"/>
      <c r="BZ7" s="35" t="str">
        <f>IF(DU7=0,"",DU7)</f>
        <v/>
      </c>
      <c r="CA7" s="35"/>
      <c r="CB7" s="93" t="str">
        <f>IFERROR(RANK(BZ7,BZ$6:BZ$115,0),"")</f>
        <v/>
      </c>
      <c r="CC7" s="35"/>
      <c r="CD7" s="35"/>
      <c r="CE7" s="35" t="str">
        <f>IF(DW7=0,"",DW7)</f>
        <v/>
      </c>
      <c r="CF7" s="35"/>
      <c r="CG7" s="93" t="str">
        <f>IFERROR(RANK(CE7,CE$6:CE$115,0),"")</f>
        <v/>
      </c>
      <c r="CH7" s="35"/>
      <c r="CI7" s="35"/>
      <c r="CJ7" s="35" t="str">
        <f>IF(DY7=0,"",DY7)</f>
        <v/>
      </c>
      <c r="CK7" s="35"/>
      <c r="CL7" s="93" t="str">
        <f>IFERROR(RANK(CJ7,CJ$6:CJ$115,0),"")</f>
        <v/>
      </c>
      <c r="CM7" s="35"/>
      <c r="CN7" s="35"/>
      <c r="CO7" s="35" t="str">
        <f>IF(EA7=0,"",EA7)</f>
        <v/>
      </c>
      <c r="CP7" s="35"/>
      <c r="CQ7" s="93" t="str">
        <f>IFERROR(RANK(CO7,CO$6:CO$115,0),"")</f>
        <v/>
      </c>
      <c r="CR7" s="35"/>
      <c r="CS7" s="31">
        <v>32</v>
      </c>
      <c r="CT7" s="36">
        <f ca="1">IFERROR(AVERAGE(OFFSET('Data - For Rank'!B$2,J7,0,COUNTIF($J$7:J$115,J7)))+IFERROR(VLOOKUP((COUNT($H$6:$H$115)/4),$ER$8:$ES$12,2,FALSE()),0),"")</f>
        <v>12.5</v>
      </c>
      <c r="CU7" s="31"/>
      <c r="CV7" s="36" t="str">
        <f ca="1">IFERROR(AVERAGE(OFFSET('Data - For Rank'!$C$2,O7,0,COUNTIF(O$7:O$115,O7)))+IFERROR(VLOOKUP((COUNT(M$6:M$115)/4),$ER$8:$ES$12,2,FALSE()),0),"")</f>
        <v/>
      </c>
      <c r="CW7" s="31">
        <v>39</v>
      </c>
      <c r="CX7" s="36">
        <f ca="1">IFERROR(AVERAGE(OFFSET('Data - For Rank'!D$2,T7,0,COUNTIF(T$7:T$115,T7)))+IFERROR(VLOOKUP((COUNT(R$6:R$115)/4),$ER$8:$ES$12,2,FALSE()),0),"")</f>
        <v>15</v>
      </c>
      <c r="CY7" s="31">
        <v>32</v>
      </c>
      <c r="CZ7" s="36">
        <f ca="1">IFERROR(AVERAGE(OFFSET('Data - For Rank'!E$2,Y7,0,COUNTIF(Y$7:Y$115,Y7)))+IFERROR(VLOOKUP((COUNT(W$6:W$115)/4),$ER$8:$ES$12,2,FALSE()),0),"")</f>
        <v>12.5</v>
      </c>
      <c r="DA7" s="31">
        <v>30</v>
      </c>
      <c r="DB7" s="36">
        <f ca="1">IFERROR(AVERAGE(OFFSET('Data - For Rank'!F$2,AD7,0,COUNTIF(AD$7:AD$115,AD7)))+IFERROR(VLOOKUP((COUNT(AB$6:AB$115)/4),$ER$8:$ES$12,2,FALSE()),0),"")</f>
        <v>8.5</v>
      </c>
      <c r="DC7" s="31"/>
      <c r="DD7" s="36" t="str">
        <f ca="1">IFERROR(AVERAGE(OFFSET('Data - For Rank'!G$2,AI7,0,COUNTIF(AI$7:AI$115,AI7)))+IFERROR(VLOOKUP((COUNT(AG$6:AG$115)/4),$ER$8:$ES$12,2,FALSE()),0),"")</f>
        <v/>
      </c>
      <c r="DE7" s="31"/>
      <c r="DF7" s="36" t="str">
        <f ca="1">IFERROR(AVERAGE(OFFSET('Data - For Rank'!$H$2,AN7,0,COUNTIF(AN$7:AN$115,AN7)))+IFERROR(VLOOKUP((COUNT(AL$6:AL$115)/4),$ER$8:$ES$12,2,FALSE()),0),"")</f>
        <v/>
      </c>
      <c r="DG7" s="31"/>
      <c r="DH7" s="36" t="str">
        <f ca="1">IFERROR(AVERAGE(OFFSET('Data - For Rank'!$I$2,AS7,0,COUNTIF(AS$7:AS$115,AS7)))+IFERROR(VLOOKUP((COUNT(AQ$6:AQ$115)/4),$ER$8:$ES$12,2,FALSE()),0),"")</f>
        <v/>
      </c>
      <c r="DI7" s="31"/>
      <c r="DJ7" s="36" t="str">
        <f ca="1">IFERROR(AVERAGE(OFFSET('Data - For Rank'!$J$2,AX7,0,COUNTIF(AX$7:AX$115,AX7)))+IFERROR(VLOOKUP((COUNT(AV$6:AV$115)/4),$ER$8:$ES$12,2,FALSE()),0),"")</f>
        <v/>
      </c>
      <c r="DK7" s="31"/>
      <c r="DL7" s="36" t="str">
        <f ca="1">IFERROR(AVERAGE(OFFSET('Data - For Rank'!$K$2,BC7,0,COUNTIF(BC$7:BC$115,BC7)))+IFERROR(VLOOKUP((COUNT(BA$6:BA$115)/4),$ER$8:$ES$12,2,FALSE()),0),"")</f>
        <v/>
      </c>
      <c r="DM7" s="31"/>
      <c r="DN7" s="36" t="str">
        <f ca="1">IFERROR(AVERAGE(OFFSET('Data - For Rank'!$L$2,BH7,0,COUNTIF(BH$7:BH$115,BH7)))+IFERROR(VLOOKUP((COUNT(BF$6:BF$115)/4),$ER$8:$ES$12,2,FALSE()),0),"")</f>
        <v/>
      </c>
      <c r="DO7" s="31"/>
      <c r="DP7" s="36" t="str">
        <f ca="1">IFERROR(AVERAGE(OFFSET('Data - For Rank'!$M$2,BM7,0,COUNTIF(BM$7:BM$115,BM7)))+IFERROR(VLOOKUP((COUNT(BK$6:BK$115)/4),$ER$8:$ES$12,2,FALSE()),0),"")</f>
        <v/>
      </c>
      <c r="DQ7" s="31"/>
      <c r="DR7" s="36" t="str">
        <f ca="1">IFERROR(AVERAGE(OFFSET('Data - For Rank'!$N$2,BR7,0,COUNTIF(BR$7:BR$115,BR7)))+IFERROR(VLOOKUP((COUNT(BP$6:BP$115)/4),$ER$8:$ES$12,2,FALSE()),0),"")</f>
        <v/>
      </c>
      <c r="DS7" s="31"/>
      <c r="DT7" s="36" t="str">
        <f ca="1">IFERROR(AVERAGE(OFFSET('Data - For Rank'!$O$2,BW7,0,COUNTIF(BW$7:BW$115,BW7)))+IFERROR(VLOOKUP((COUNT(BU$6:BU$115)/4),$ER$8:$ES$12,2,FALSE()),0),"")</f>
        <v/>
      </c>
      <c r="DU7" s="31"/>
      <c r="DV7" s="36" t="str">
        <f ca="1">IFERROR(AVERAGE(OFFSET('Data - For Rank'!$P$2,CB7,0,COUNTIF(CB$7:CB$115,CB7)))+IFERROR(VLOOKUP((COUNT(BZ$6:BZ$115)/4),$ER$8:$ES$12,2,FALSE()),0),"")</f>
        <v/>
      </c>
      <c r="DW7" s="31"/>
      <c r="DX7" s="36" t="str">
        <f ca="1">IFERROR(AVERAGE(OFFSET('Data - For Rank'!$Q$2,CG7,0,COUNTIF(CG$7:CG$115,CG7)))+IFERROR(VLOOKUP((COUNT(CE$6:CE$115)/4),$ER$8:$ES$12,2,FALSE()),0),"")</f>
        <v/>
      </c>
      <c r="DY7" s="31"/>
      <c r="DZ7" s="36" t="str">
        <f ca="1">IFERROR(AVERAGE(OFFSET('Data - For Rank'!$R$2,CL7,0,COUNTIF(CL$7:CL$115,CL7)))+IFERROR(VLOOKUP((COUNT(CJ$6:CJ$115)/4),$ER$8:$ES$12,2,FALSE()),0),"")</f>
        <v/>
      </c>
      <c r="EA7" s="31"/>
      <c r="EB7" s="36" t="str">
        <f ca="1">IFERROR(AVERAGE(OFFSET('Data - For Rank'!$S$2,CQ7,0,COUNTIF(CQ$7:CQ$115,CQ7)))+IFERROR(VLOOKUP((COUNT(CO$6:CO$115)/4),$ER$8:$ES$12,2,FALSE()),0),"")</f>
        <v/>
      </c>
      <c r="EC7" s="37">
        <f>AVERAGE(CS7,CU7,CW7,CY7,DA7,DC7,DE7,DG7,DI7,DK7,DM7,DO7,DQ7,DS7,DU7,DW7,DY7,EA7)</f>
        <v>33.25</v>
      </c>
      <c r="ED7" s="33">
        <f t="shared" ca="1" si="0"/>
        <v>12.125</v>
      </c>
      <c r="EM7" s="95"/>
      <c r="EN7" s="95"/>
      <c r="EO7" s="95"/>
      <c r="EP7" s="95"/>
      <c r="EQ7" s="95"/>
      <c r="ER7" s="95" t="s">
        <v>71</v>
      </c>
      <c r="ES7" s="95"/>
    </row>
    <row r="8" spans="2:151" s="15" customFormat="1" outlineLevel="1" x14ac:dyDescent="0.2">
      <c r="B8" s="38">
        <f ca="1">B6+0.021</f>
        <v>1.0209999999999999</v>
      </c>
      <c r="D8" s="15" t="s">
        <v>72</v>
      </c>
      <c r="E8" s="39" t="s">
        <v>39</v>
      </c>
      <c r="F8" s="40">
        <f ca="1">IF(COUNT(CT6:EB6)&gt;10,SMALL(G6:CN6,COUNT(G6:CN6)-10),MIN(CT6:EB6))</f>
        <v>20.5</v>
      </c>
      <c r="G8" s="40"/>
      <c r="H8" s="40"/>
      <c r="I8" s="96">
        <f>IF(CS8=0,"",CS8)</f>
        <v>-9</v>
      </c>
      <c r="J8" s="96"/>
      <c r="K8" s="97">
        <f>IFERROR(_xlfn.RANK.EQ(I8,I$6:I$115,0),"")</f>
        <v>11</v>
      </c>
      <c r="L8" s="40"/>
      <c r="M8" s="40"/>
      <c r="N8" s="96" t="str">
        <f>IF(CU8=0,"",CU8)</f>
        <v/>
      </c>
      <c r="O8" s="96"/>
      <c r="P8" s="97" t="str">
        <f>IFERROR(_xlfn.RANK.EQ(N8,N$6:N$115,0),"")</f>
        <v/>
      </c>
      <c r="Q8" s="40"/>
      <c r="R8" s="40"/>
      <c r="S8" s="96">
        <f>IF(CW8=0,"",CW8)</f>
        <v>30</v>
      </c>
      <c r="T8" s="96"/>
      <c r="U8" s="97">
        <f>IFERROR(_xlfn.RANK.EQ(S8,S$6:S$115,0),"")</f>
        <v>1</v>
      </c>
      <c r="V8" s="40"/>
      <c r="W8" s="40"/>
      <c r="X8" s="96">
        <f>IF(CY8=0,"",CY8)</f>
        <v>43</v>
      </c>
      <c r="Y8" s="96"/>
      <c r="Z8" s="97">
        <f>IFERROR(_xlfn.RANK.EQ(X8,X$6:X$115,0),"")</f>
        <v>1</v>
      </c>
      <c r="AA8" s="40"/>
      <c r="AB8" s="40"/>
      <c r="AC8" s="96">
        <f>IF(DA8=0,"",DA8)</f>
        <v>40</v>
      </c>
      <c r="AD8" s="96"/>
      <c r="AE8" s="97">
        <f>IFERROR(_xlfn.RANK.EQ(AC8,AC$6:AC$115,0),"")</f>
        <v>1</v>
      </c>
      <c r="AF8" s="40"/>
      <c r="AG8" s="40"/>
      <c r="AH8" s="96" t="str">
        <f>IF(DC8=0,"",DC8)</f>
        <v/>
      </c>
      <c r="AI8" s="96"/>
      <c r="AJ8" s="97" t="str">
        <f>IFERROR(_xlfn.RANK.EQ(AH8,AH$6:AH$115,0),"")</f>
        <v/>
      </c>
      <c r="AK8" s="40"/>
      <c r="AL8" s="40"/>
      <c r="AM8" s="96" t="str">
        <f>IF(DE8=0,"",DE8)</f>
        <v/>
      </c>
      <c r="AN8" s="96"/>
      <c r="AO8" s="97" t="str">
        <f>IFERROR(_xlfn.RANK.EQ(AM8,AM$6:AM$115,0),"")</f>
        <v/>
      </c>
      <c r="AP8" s="40"/>
      <c r="AQ8" s="40"/>
      <c r="AR8" s="96" t="str">
        <f>IF(DG8=0,"",DG8)</f>
        <v/>
      </c>
      <c r="AS8" s="96"/>
      <c r="AT8" s="97" t="str">
        <f>IFERROR(_xlfn.RANK.EQ(AR8,AR$6:AR$115,0),"")</f>
        <v/>
      </c>
      <c r="AU8" s="40"/>
      <c r="AV8" s="40"/>
      <c r="AW8" s="96" t="str">
        <f>IF(DI8=0,"",DI8)</f>
        <v/>
      </c>
      <c r="AX8" s="96"/>
      <c r="AY8" s="97" t="str">
        <f>IFERROR(_xlfn.RANK.EQ(AW8,AW$6:AW$115,0),"")</f>
        <v/>
      </c>
      <c r="AZ8" s="40"/>
      <c r="BA8" s="40"/>
      <c r="BB8" s="96" t="str">
        <f>IF(DK8=0,"",DK8)</f>
        <v/>
      </c>
      <c r="BC8" s="96"/>
      <c r="BD8" s="97" t="str">
        <f>IFERROR(_xlfn.RANK.EQ(BB8,BB$6:BB$115,0),"")</f>
        <v/>
      </c>
      <c r="BE8" s="40"/>
      <c r="BF8" s="40"/>
      <c r="BG8" s="96" t="str">
        <f>IF(DM8=0,"",DM8)</f>
        <v/>
      </c>
      <c r="BH8" s="96"/>
      <c r="BI8" s="97" t="str">
        <f>IFERROR(_xlfn.RANK.EQ(BG8,BG$6:BG$115,0),"")</f>
        <v/>
      </c>
      <c r="BJ8" s="40"/>
      <c r="BK8" s="40"/>
      <c r="BL8" s="96" t="str">
        <f>IF(DO8=0,"",DO8)</f>
        <v/>
      </c>
      <c r="BM8" s="96"/>
      <c r="BN8" s="97" t="str">
        <f>IFERROR(_xlfn.RANK.EQ(BL8,BL$6:BL$115,0),"")</f>
        <v/>
      </c>
      <c r="BO8" s="40"/>
      <c r="BP8" s="40"/>
      <c r="BQ8" s="96" t="str">
        <f>IF(DQ8=0,"",DQ8)</f>
        <v/>
      </c>
      <c r="BR8" s="96"/>
      <c r="BS8" s="97" t="str">
        <f>IFERROR(_xlfn.RANK.EQ(BQ8,BQ$6:BQ$115,0),"")</f>
        <v/>
      </c>
      <c r="BT8" s="40"/>
      <c r="BU8" s="40"/>
      <c r="BV8" s="96" t="str">
        <f>IF(DS8=0,"",DS8)</f>
        <v/>
      </c>
      <c r="BW8" s="96"/>
      <c r="BX8" s="97" t="str">
        <f>IFERROR(_xlfn.RANK.EQ(BV8,BV$6:BV$115,0),"")</f>
        <v/>
      </c>
      <c r="BY8" s="40"/>
      <c r="BZ8" s="40"/>
      <c r="CA8" s="96" t="str">
        <f>IF(DU8=0,"",DU8)</f>
        <v/>
      </c>
      <c r="CB8" s="96"/>
      <c r="CC8" s="97" t="str">
        <f>IFERROR(_xlfn.RANK.EQ(CA8,CA$6:CA$115,0),"")</f>
        <v/>
      </c>
      <c r="CD8" s="40"/>
      <c r="CE8" s="40"/>
      <c r="CF8" s="96" t="str">
        <f>IF(DW8=0,"",DW8)</f>
        <v/>
      </c>
      <c r="CG8" s="96"/>
      <c r="CH8" s="97" t="str">
        <f>IFERROR(_xlfn.RANK.EQ(CF8,CF$6:CF$115,0),"")</f>
        <v/>
      </c>
      <c r="CI8" s="40"/>
      <c r="CJ8" s="40"/>
      <c r="CK8" s="96" t="str">
        <f>IF(DY8=0,"",DY8)</f>
        <v/>
      </c>
      <c r="CL8" s="96"/>
      <c r="CM8" s="97" t="str">
        <f>IFERROR(_xlfn.RANK.EQ(CK8,CK$6:CK$115,0),"")</f>
        <v/>
      </c>
      <c r="CN8" s="40"/>
      <c r="CO8" s="40"/>
      <c r="CP8" s="96" t="str">
        <f>IF(EA8=0,"",EA8)</f>
        <v/>
      </c>
      <c r="CQ8" s="96"/>
      <c r="CR8" s="97" t="str">
        <f>IFERROR(_xlfn.RANK.EQ(CP8,CP$6:CP$115,0),"")</f>
        <v/>
      </c>
      <c r="CS8" s="41">
        <v>-9</v>
      </c>
      <c r="CT8" s="42">
        <f ca="1">IFERROR(AVERAGE(OFFSET('Data - For Rank'!B$2,K8,0,COUNTIF(K$6:K$115,K8)))+IFERROR(VLOOKUP((COUNT($I$6:$I$115)/4),$ER$8:$ES$12,2,FALSE()),0),"")</f>
        <v>8</v>
      </c>
      <c r="CU8" s="41"/>
      <c r="CV8" s="42" t="str">
        <f ca="1">IFERROR(AVERAGE(OFFSET('Data - For Rank'!$C$2,P8,0,COUNTIF(P$6:P$115,P8)))+IFERROR(VLOOKUP((COUNT(N$6:N$115)/4),$ER$8:$ES$12,2,FALSE()),0),"")</f>
        <v/>
      </c>
      <c r="CW8" s="41">
        <v>30</v>
      </c>
      <c r="CX8" s="42">
        <f ca="1">IFERROR(AVERAGE(OFFSET('Data - For Rank'!D$2,U8,0,COUNTIF(U$6:$U115,U8)))+IFERROR(VLOOKUP((COUNT(S$6:S$115)/4),$ER$8:$ES$12,2,FALSE()),0),"")</f>
        <v>16</v>
      </c>
      <c r="CY8" s="41">
        <v>43</v>
      </c>
      <c r="CZ8" s="42">
        <f ca="1">IFERROR(AVERAGE(OFFSET('Data - For Rank'!E$2,Z8,0,COUNTIF(Z$6:Z$115,Z8)))+IFERROR(VLOOKUP((COUNT(W$6:W$115)/4),$ER$8:$ES$12,2,FALSE()),0),"")</f>
        <v>14</v>
      </c>
      <c r="DA8" s="41">
        <v>40</v>
      </c>
      <c r="DB8" s="42">
        <f ca="1">IFERROR(AVERAGE(OFFSET('Data - For Rank'!F$2,AE8,0,COUNTIF(AE$6:AE$115,AE8)))+IFERROR(VLOOKUP((COUNT(AC$6:AC$115)/4),$ER$8:$ES$12,2,FALSE()),0),"")</f>
        <v>18</v>
      </c>
      <c r="DC8" s="41"/>
      <c r="DD8" s="42" t="str">
        <f ca="1">IFERROR(AVERAGE(OFFSET('Data - For Rank'!G$2,AJ8,0,COUNTIF(AJ$6:AJ$115,AJ8)))+IFERROR(VLOOKUP((COUNT(AH$6:AH$115)/4),$ER$8:$ES$12,2,FALSE()),0),"")</f>
        <v/>
      </c>
      <c r="DE8" s="41"/>
      <c r="DF8" s="42" t="str">
        <f ca="1">IFERROR(AVERAGE(OFFSET('Data - For Rank'!$H$2,AO8,0,COUNTIF(AO$6:AO$115,AO8)))+IFERROR(VLOOKUP((COUNT(AM$6:AM$115)/4),$ER$8:$ES$12,2,FALSE()),0),"")</f>
        <v/>
      </c>
      <c r="DG8" s="41"/>
      <c r="DH8" s="42" t="str">
        <f ca="1">IFERROR(AVERAGE(OFFSET('Data - For Rank'!$I$2,AT8,0,COUNTIF(AT$6:AT$115,AT8)))+IFERROR(VLOOKUP((COUNT(AR$6:AR$115)/4),$ER$8:$ES$12,2,FALSE()),0),"")</f>
        <v/>
      </c>
      <c r="DI8" s="41"/>
      <c r="DJ8" s="42" t="str">
        <f ca="1">IFERROR(AVERAGE(OFFSET('Data - For Rank'!$J$2,AY8,0,COUNTIF(AY$6:AY$115,AY8)))+IFERROR(VLOOKUP((COUNT(AW$6:AW$115)/4),$ER$8:$ES$12,2,FALSE()),0),"")</f>
        <v/>
      </c>
      <c r="DK8" s="41"/>
      <c r="DL8" s="42" t="str">
        <f ca="1">IFERROR(AVERAGE(OFFSET('Data - For Rank'!$K$2,BD8,0,COUNTIF(BD$6:BD$115,BD8)))+IFERROR(VLOOKUP((COUNT(BB$6:BB$115)/4),$ER$8:$ES$12,2,FALSE()),0),"")</f>
        <v/>
      </c>
      <c r="DM8" s="41"/>
      <c r="DN8" s="42" t="str">
        <f ca="1">IFERROR(AVERAGE(OFFSET('Data - For Rank'!$L$2,BI8,0,COUNTIF(BI$6:BI$115,BI8)))+IFERROR(VLOOKUP((COUNT(BG$6:BG$115)/4),$ER$8:$ES$12,2,FALSE()),0),"")</f>
        <v/>
      </c>
      <c r="DO8" s="41"/>
      <c r="DP8" s="42" t="str">
        <f ca="1">IFERROR(AVERAGE(OFFSET('Data - For Rank'!$M$2,BN8,0,COUNTIF(BN$6:BN$115,BN8)))+IFERROR(VLOOKUP((COUNT(BL$6:BL$115)/4),$ER$8:$ES$12,2,FALSE()),0),"")</f>
        <v/>
      </c>
      <c r="DQ8" s="41"/>
      <c r="DR8" s="42" t="str">
        <f ca="1">IFERROR(AVERAGE(OFFSET('Data - For Rank'!$N$2,BS8,0,COUNTIF(BS$6:BS$115,BS8)))+IFERROR(VLOOKUP((COUNT(BQ$6:BQ$115)/4),$ER$8:$ES$12,2,FALSE()),0),"")</f>
        <v/>
      </c>
      <c r="DS8" s="41"/>
      <c r="DT8" s="42" t="str">
        <f ca="1">IFERROR(AVERAGE(OFFSET('Data - For Rank'!$O$2,BX8,0,COUNTIF(BX$6:BX$115,BX8)))+IFERROR(VLOOKUP((COUNT(BV$6:BV$115)/4),$ER$8:$ES$12,2,FALSE()),0),"")</f>
        <v/>
      </c>
      <c r="DU8" s="41"/>
      <c r="DV8" s="42" t="str">
        <f ca="1">IFERROR(AVERAGE(OFFSET('Data - For Rank'!$P$2,CC8,0,COUNTIF(CC$6:CC$115,CC8)))+IFERROR(VLOOKUP((COUNT(CA$6:CA$115)/4),$ER$8:$ES$12,2,FALSE()),0),"")</f>
        <v/>
      </c>
      <c r="DW8" s="41"/>
      <c r="DX8" s="42" t="str">
        <f ca="1">IFERROR(AVERAGE(OFFSET('Data - For Rank'!$Q$2,CH8,0,COUNTIF(CH$6:CH$115,CH8)))+IFERROR(VLOOKUP((COUNT(CF$6:CF$115)/4),$ER$8:$ES$12,2,FALSE()),0),"")</f>
        <v/>
      </c>
      <c r="DY8" s="41"/>
      <c r="DZ8" s="42" t="str">
        <f ca="1">IFERROR(AVERAGE(OFFSET('Data - For Rank'!$R$2,CM8,0,COUNTIF(CM$6:CM$115,CM8)))+IFERROR(VLOOKUP((COUNT(CK$6:CK$115)/4),$ER$8:$ES$12,2,FALSE()),0),"")</f>
        <v/>
      </c>
      <c r="EA8" s="41"/>
      <c r="EB8" s="42" t="str">
        <f ca="1">IFERROR(AVERAGE(OFFSET('Data - For Rank'!$S$2,CR8,0,COUNTIF(CR$6:CR$115,CR8)))+IFERROR(VLOOKUP((COUNT(CP$6:CP$115)/4),$ER$8:$ES$12,2,FALSE()),0),"")</f>
        <v/>
      </c>
      <c r="EC8" s="43">
        <f>CS8+CU8+CW8+CY8+DA8+DC8+DE8+DG8+DI8+DK8+DM8+DO8+DQ8+DS8+DU8+DW8+DY8+EA8</f>
        <v>104</v>
      </c>
      <c r="ED8" s="44">
        <f t="shared" ca="1" si="0"/>
        <v>14</v>
      </c>
      <c r="EM8" s="98" t="s">
        <v>73</v>
      </c>
      <c r="ER8" s="15">
        <v>5</v>
      </c>
      <c r="ES8" s="15">
        <v>0</v>
      </c>
      <c r="EU8" s="15" t="s">
        <v>74</v>
      </c>
    </row>
    <row r="9" spans="2:151" ht="15" x14ac:dyDescent="0.2">
      <c r="B9" s="21">
        <f ca="1">_xlfn.RANK.EQ(C9,$C$6:$C$63,)</f>
        <v>2</v>
      </c>
      <c r="C9" s="56">
        <f ca="1">EC9</f>
        <v>93.5</v>
      </c>
      <c r="D9" s="56" t="s">
        <v>31</v>
      </c>
      <c r="E9" s="29" t="s">
        <v>40</v>
      </c>
      <c r="F9" s="30">
        <f ca="1">COUNT(CT9,CV9,CX9,CZ9,DB9,DD9,DF9,DH9,DJ9,DL9,DN9,DP9,DR9,DT9,DV9,DX9,DZ9,EB9)</f>
        <v>4</v>
      </c>
      <c r="G9" s="93">
        <f ca="1">IF(CT9=0,"",CT9)</f>
        <v>22</v>
      </c>
      <c r="H9" s="93"/>
      <c r="I9" s="93"/>
      <c r="K9" s="93"/>
      <c r="L9" s="93" t="str">
        <f ca="1">IF(CV9=0,"",CV9)</f>
        <v/>
      </c>
      <c r="M9" s="93"/>
      <c r="N9" s="93"/>
      <c r="P9" s="93"/>
      <c r="Q9" s="93">
        <f ca="1">IF(CX9=0,"",CX9)</f>
        <v>23.5</v>
      </c>
      <c r="R9" s="93"/>
      <c r="S9" s="93"/>
      <c r="U9" s="93"/>
      <c r="V9" s="93">
        <f ca="1">IF(CZ9=0,"",CZ9)</f>
        <v>26</v>
      </c>
      <c r="W9" s="93"/>
      <c r="X9" s="93"/>
      <c r="Z9" s="93"/>
      <c r="AA9" s="93">
        <f ca="1">IF(DB9=0,"",DB9)</f>
        <v>22</v>
      </c>
      <c r="AB9" s="93"/>
      <c r="AC9" s="93"/>
      <c r="AE9" s="93"/>
      <c r="AF9" s="93" t="str">
        <f ca="1">IF(DD9=0,"",DD9)</f>
        <v/>
      </c>
      <c r="AG9" s="93"/>
      <c r="AH9" s="93"/>
      <c r="AJ9" s="93"/>
      <c r="AK9" s="93" t="str">
        <f ca="1">IF(DF9=0,"",DF9)</f>
        <v/>
      </c>
      <c r="AL9" s="93"/>
      <c r="AM9" s="93"/>
      <c r="AO9" s="93"/>
      <c r="AP9" s="93" t="str">
        <f ca="1">IF(DH9=0,"",DH9)</f>
        <v/>
      </c>
      <c r="AQ9" s="93"/>
      <c r="AR9" s="93"/>
      <c r="AT9" s="93"/>
      <c r="AU9" s="93" t="str">
        <f ca="1">IF(DJ9=0,"",DJ9)</f>
        <v/>
      </c>
      <c r="AV9" s="93"/>
      <c r="AW9" s="93"/>
      <c r="AY9" s="93"/>
      <c r="AZ9" s="93" t="str">
        <f ca="1">IF(DL9=0,"",DL9)</f>
        <v/>
      </c>
      <c r="BA9" s="93"/>
      <c r="BB9" s="93"/>
      <c r="BD9" s="93"/>
      <c r="BE9" s="93" t="str">
        <f ca="1">IF(DN9=0,"",DN9)</f>
        <v/>
      </c>
      <c r="BF9" s="93"/>
      <c r="BG9" s="93"/>
      <c r="BI9" s="93"/>
      <c r="BJ9" s="93" t="str">
        <f ca="1">IF(DP9=0,"",DP9)</f>
        <v/>
      </c>
      <c r="BK9" s="93"/>
      <c r="BL9" s="93"/>
      <c r="BN9" s="93"/>
      <c r="BO9" s="93" t="str">
        <f ca="1">IF(DR9=0,"",DR9)</f>
        <v/>
      </c>
      <c r="BP9" s="93"/>
      <c r="BQ9" s="93"/>
      <c r="BS9" s="93"/>
      <c r="BT9" s="93" t="str">
        <f ca="1">IF(DT9=0,"",DT9)</f>
        <v/>
      </c>
      <c r="BU9" s="93"/>
      <c r="BV9" s="93"/>
      <c r="BX9" s="93"/>
      <c r="BY9" s="93" t="str">
        <f ca="1">IF(DV9=0,"",DV9)</f>
        <v/>
      </c>
      <c r="BZ9" s="93"/>
      <c r="CA9" s="93"/>
      <c r="CC9" s="93"/>
      <c r="CD9" s="93" t="str">
        <f ca="1">IF(DX9=0,"",DX9)</f>
        <v/>
      </c>
      <c r="CE9" s="93"/>
      <c r="CF9" s="93"/>
      <c r="CH9" s="93"/>
      <c r="CI9" s="93" t="str">
        <f ca="1">IF(DZ9=0,"",DZ9)</f>
        <v/>
      </c>
      <c r="CJ9" s="93"/>
      <c r="CK9" s="93"/>
      <c r="CM9" s="93"/>
      <c r="CN9" s="93" t="str">
        <f ca="1">IF(EB9=0,"",EB9)</f>
        <v/>
      </c>
      <c r="CO9" s="93"/>
      <c r="CP9" s="93"/>
      <c r="CR9" s="93"/>
      <c r="CS9" s="31">
        <v>82</v>
      </c>
      <c r="CT9" s="32">
        <f ca="1">IFERROR(CT10+CT11,"")</f>
        <v>22</v>
      </c>
      <c r="CU9" s="31"/>
      <c r="CV9" s="32" t="str">
        <f ca="1">IFERROR(CV10+CV11,"")</f>
        <v/>
      </c>
      <c r="CW9" s="31">
        <v>81</v>
      </c>
      <c r="CX9" s="32">
        <f ca="1">IFERROR(CX10+CX11,"")</f>
        <v>23.5</v>
      </c>
      <c r="CY9" s="31">
        <v>76</v>
      </c>
      <c r="CZ9" s="32">
        <f ca="1">IFERROR(CZ10+CZ11,"")</f>
        <v>26</v>
      </c>
      <c r="DA9" s="31">
        <v>80</v>
      </c>
      <c r="DB9" s="32">
        <f ca="1">IFERROR(DB10+DB11,"")</f>
        <v>22</v>
      </c>
      <c r="DC9" s="31"/>
      <c r="DD9" s="32" t="str">
        <f ca="1">IFERROR(DD10+DD11,"")</f>
        <v/>
      </c>
      <c r="DE9" s="31"/>
      <c r="DF9" s="32" t="str">
        <f ca="1">IFERROR(DF10+DF11,"")</f>
        <v/>
      </c>
      <c r="DG9" s="31"/>
      <c r="DH9" s="32" t="str">
        <f ca="1">IFERROR(DH10+DH11,"")</f>
        <v/>
      </c>
      <c r="DI9" s="31"/>
      <c r="DJ9" s="32" t="str">
        <f ca="1">IFERROR(DJ10+DJ11,"")</f>
        <v/>
      </c>
      <c r="DK9" s="31"/>
      <c r="DL9" s="32" t="str">
        <f ca="1">IFERROR(DL10+DL11,"")</f>
        <v/>
      </c>
      <c r="DM9" s="31"/>
      <c r="DN9" s="32" t="str">
        <f ca="1">IFERROR(DN10+DN11,"")</f>
        <v/>
      </c>
      <c r="DO9" s="31"/>
      <c r="DP9" s="32" t="str">
        <f ca="1">IFERROR(DP10+DP11,"")</f>
        <v/>
      </c>
      <c r="DQ9" s="31"/>
      <c r="DR9" s="32" t="str">
        <f ca="1">IFERROR(DR10+DR11,"")</f>
        <v/>
      </c>
      <c r="DS9" s="31"/>
      <c r="DT9" s="32" t="str">
        <f ca="1">IFERROR(DT10+DT11,"")</f>
        <v/>
      </c>
      <c r="DU9" s="31"/>
      <c r="DV9" s="32" t="str">
        <f ca="1">IFERROR(DV10+DV11,"")</f>
        <v/>
      </c>
      <c r="DW9" s="31"/>
      <c r="DX9" s="32" t="str">
        <f ca="1">IFERROR(DX10+DX11,"")</f>
        <v/>
      </c>
      <c r="DY9" s="31"/>
      <c r="DZ9" s="32" t="str">
        <f ca="1">IFERROR(DZ10+DZ11,"")</f>
        <v/>
      </c>
      <c r="EA9" s="31"/>
      <c r="EB9" s="32" t="str">
        <f ca="1">IFERROR(EB10+EB11,"")</f>
        <v/>
      </c>
      <c r="EC9" s="26">
        <f ca="1">IFERROR(LARGE($G9:$CN9,1),0)+IFERROR(LARGE($G9:$CN9,2),0)+IFERROR(LARGE($G9:$CN9,3),0)+IFERROR(LARGE($G9:$CN9,4),0)+IFERROR(LARGE($G9:$CN9,5),0)+IFERROR(LARGE($G9:$CN9,6),0)+IFERROR(LARGE($G9:$CN9,7),0)+IFERROR(LARGE($G9:$CN9,8),0)+IFERROR(LARGE($G9:$CN9,9),0)+IFERROR(LARGE($G9:$CN9,10),0)</f>
        <v>93.5</v>
      </c>
      <c r="ED9" s="33">
        <f t="shared" ca="1" si="0"/>
        <v>23.375</v>
      </c>
      <c r="EM9" s="99" t="s">
        <v>75</v>
      </c>
      <c r="ER9" s="15">
        <v>4</v>
      </c>
      <c r="ES9" s="15">
        <v>2</v>
      </c>
      <c r="EU9" s="15">
        <f>40+38+36+34+32+30+28+26+24+22+20+18+16+14+12+10+8+6+4+2</f>
        <v>420</v>
      </c>
    </row>
    <row r="10" spans="2:151" s="15" customFormat="1" ht="15" outlineLevel="1" x14ac:dyDescent="0.2">
      <c r="B10" s="34">
        <f ca="1">B9+0.12</f>
        <v>2.12</v>
      </c>
      <c r="D10" s="15" t="s">
        <v>76</v>
      </c>
      <c r="E10" s="35" t="s">
        <v>38</v>
      </c>
      <c r="F10" s="35"/>
      <c r="G10" s="35"/>
      <c r="H10" s="35">
        <f>IF(CS10=0,"",CS10)</f>
        <v>29</v>
      </c>
      <c r="I10" s="35"/>
      <c r="J10" s="93">
        <f>IFERROR(RANK(H10,H$6:H$115,0),"")</f>
        <v>13</v>
      </c>
      <c r="K10" s="35"/>
      <c r="L10" s="35"/>
      <c r="M10" s="35" t="str">
        <f>IF(CU10=0,"",CU10)</f>
        <v/>
      </c>
      <c r="N10" s="35"/>
      <c r="O10" s="93" t="str">
        <f>IFERROR(RANK(M10,M$6:M$115,0),"")</f>
        <v/>
      </c>
      <c r="P10" s="35"/>
      <c r="Q10" s="35"/>
      <c r="R10" s="35">
        <f>IF(CW10=0,"",CW10)</f>
        <v>32</v>
      </c>
      <c r="S10" s="35"/>
      <c r="T10" s="93">
        <f>IFERROR(RANK(R10,R$6:R$115,0),"")</f>
        <v>6</v>
      </c>
      <c r="U10" s="35"/>
      <c r="V10" s="35"/>
      <c r="W10" s="35">
        <f>IF(CY10=0,"",CY10)</f>
        <v>33</v>
      </c>
      <c r="X10" s="35"/>
      <c r="Y10" s="93">
        <f>IFERROR(RANK(W10,W$6:W$115,0),"")</f>
        <v>1</v>
      </c>
      <c r="Z10" s="35"/>
      <c r="AA10" s="35"/>
      <c r="AB10" s="35">
        <f>IF(DA10=0,"",DA10)</f>
        <v>33</v>
      </c>
      <c r="AC10" s="35"/>
      <c r="AD10" s="93">
        <f>IFERROR(RANK(AB10,AB$6:AB$115,0),"")</f>
        <v>4</v>
      </c>
      <c r="AE10" s="35"/>
      <c r="AF10" s="35"/>
      <c r="AG10" s="35" t="str">
        <f>IF(DC10=0,"",DC10)</f>
        <v/>
      </c>
      <c r="AH10" s="35"/>
      <c r="AI10" s="93" t="str">
        <f>IFERROR(RANK(AG10,AG$6:AG$115,0),"")</f>
        <v/>
      </c>
      <c r="AJ10" s="35"/>
      <c r="AK10" s="35"/>
      <c r="AL10" s="35" t="str">
        <f>IF(DE10=0,"",DE10)</f>
        <v/>
      </c>
      <c r="AM10" s="35"/>
      <c r="AN10" s="93" t="str">
        <f>IFERROR(RANK(AL10,AL$6:AL$115,0),"")</f>
        <v/>
      </c>
      <c r="AO10" s="35"/>
      <c r="AP10" s="35"/>
      <c r="AQ10" s="35" t="str">
        <f>IF(DG10=0,"",DG10)</f>
        <v/>
      </c>
      <c r="AR10" s="35"/>
      <c r="AS10" s="93" t="str">
        <f>IFERROR(RANK(AQ10,AQ$6:AQ$115,0),"")</f>
        <v/>
      </c>
      <c r="AT10" s="35"/>
      <c r="AU10" s="35"/>
      <c r="AV10" s="35" t="str">
        <f>IF(DI10=0,"",DI10)</f>
        <v/>
      </c>
      <c r="AW10" s="35"/>
      <c r="AX10" s="93" t="str">
        <f>IFERROR(RANK(AV10,AV$6:AV$115,0),"")</f>
        <v/>
      </c>
      <c r="AY10" s="35"/>
      <c r="AZ10" s="35"/>
      <c r="BA10" s="35" t="str">
        <f>IF(DK10=0,"",DK10)</f>
        <v/>
      </c>
      <c r="BB10" s="35"/>
      <c r="BC10" s="93" t="str">
        <f>IFERROR(RANK(BA10,BA$6:BA$115,0),"")</f>
        <v/>
      </c>
      <c r="BD10" s="35"/>
      <c r="BE10" s="35"/>
      <c r="BF10" s="35" t="str">
        <f>IF(DM10=0,"",DM10)</f>
        <v/>
      </c>
      <c r="BG10" s="35"/>
      <c r="BH10" s="93" t="str">
        <f>IFERROR(RANK(BF10,BF$6:BF$115,0),"")</f>
        <v/>
      </c>
      <c r="BI10" s="35"/>
      <c r="BJ10" s="35"/>
      <c r="BK10" s="35" t="str">
        <f>IF(DO10=0,"",DO10)</f>
        <v/>
      </c>
      <c r="BL10" s="35"/>
      <c r="BM10" s="93" t="str">
        <f>IFERROR(RANK(BK10,BK$6:BK$115,0),"")</f>
        <v/>
      </c>
      <c r="BN10" s="35"/>
      <c r="BO10" s="35"/>
      <c r="BP10" s="35" t="str">
        <f>IF(DQ10=0,"",DQ10)</f>
        <v/>
      </c>
      <c r="BQ10" s="35"/>
      <c r="BR10" s="93" t="str">
        <f>IFERROR(RANK(BP10,BP$6:BP$115,0),"")</f>
        <v/>
      </c>
      <c r="BS10" s="35"/>
      <c r="BT10" s="35"/>
      <c r="BU10" s="35" t="str">
        <f>IF(DS10=0,"",DS10)</f>
        <v/>
      </c>
      <c r="BV10" s="35"/>
      <c r="BW10" s="93" t="str">
        <f>IFERROR(RANK(BU10,BU$6:BU$115,0),"")</f>
        <v/>
      </c>
      <c r="BX10" s="35"/>
      <c r="BY10" s="35"/>
      <c r="BZ10" s="35" t="str">
        <f>IF(DU10=0,"",DU10)</f>
        <v/>
      </c>
      <c r="CA10" s="35"/>
      <c r="CB10" s="93" t="str">
        <f>IFERROR(RANK(BZ10,BZ$6:BZ$115,0),"")</f>
        <v/>
      </c>
      <c r="CC10" s="35"/>
      <c r="CD10" s="35"/>
      <c r="CE10" s="35" t="str">
        <f>IF(DW10=0,"",DW10)</f>
        <v/>
      </c>
      <c r="CF10" s="35"/>
      <c r="CG10" s="93" t="str">
        <f>IFERROR(RANK(CE10,CE$6:CE$115,0),"")</f>
        <v/>
      </c>
      <c r="CH10" s="35"/>
      <c r="CI10" s="35"/>
      <c r="CJ10" s="35" t="str">
        <f>IF(DY10=0,"",DY10)</f>
        <v/>
      </c>
      <c r="CK10" s="35"/>
      <c r="CL10" s="93" t="str">
        <f>IFERROR(RANK(CJ10,CJ$6:CJ$115,0),"")</f>
        <v/>
      </c>
      <c r="CM10" s="35"/>
      <c r="CN10" s="35"/>
      <c r="CO10" s="35" t="str">
        <f>IF(EA10=0,"",EA10)</f>
        <v/>
      </c>
      <c r="CP10" s="35"/>
      <c r="CQ10" s="93" t="str">
        <f>IFERROR(RANK(CO10,CO$6:CO$115,0),"")</f>
        <v/>
      </c>
      <c r="CR10" s="35"/>
      <c r="CS10" s="31">
        <v>29</v>
      </c>
      <c r="CT10" s="36">
        <f ca="1">IFERROR(AVERAGE(OFFSET('Data - For Rank'!B$2,J10,0,COUNTIF($J$7:J$115,J10)))+IFERROR(VLOOKUP((COUNT($H$6:$H$115)/4),$ER$8:$ES$12,2,FALSE()),0),"")</f>
        <v>6</v>
      </c>
      <c r="CU10" s="31"/>
      <c r="CV10" s="36" t="str">
        <f ca="1">IFERROR(AVERAGE(OFFSET('Data - For Rank'!$C$2,O10,0,COUNTIF(O$7:O$115,O10)))+IFERROR(VLOOKUP((COUNT(M$6:M$115)/4),$ER$8:$ES$12,2,FALSE()),0),"")</f>
        <v/>
      </c>
      <c r="CW10" s="31">
        <v>32</v>
      </c>
      <c r="CX10" s="36">
        <f ca="1">IFERROR(AVERAGE(OFFSET('Data - For Rank'!D$2,T10,0,COUNTIF(T$7:T$115,T10)))+IFERROR(VLOOKUP((COUNT(R$6:R$115)/4),$ER$8:$ES$12,2,FALSE()),0),"")</f>
        <v>11</v>
      </c>
      <c r="CY10" s="31">
        <v>33</v>
      </c>
      <c r="CZ10" s="36">
        <f ca="1">IFERROR(AVERAGE(OFFSET('Data - For Rank'!E$2,Y10,0,COUNTIF(Y$7:Y$115,Y10)))+IFERROR(VLOOKUP((COUNT(W$6:W$115)/4),$ER$8:$ES$12,2,FALSE()),0),"")</f>
        <v>14</v>
      </c>
      <c r="DA10" s="31">
        <v>33</v>
      </c>
      <c r="DB10" s="36">
        <f ca="1">IFERROR(AVERAGE(OFFSET('Data - For Rank'!F$2,AD10,0,COUNTIF(AD$7:AD$115,AD10)))+IFERROR(VLOOKUP((COUNT(AB$6:AB$115)/4),$ER$8:$ES$12,2,FALSE()),0),"")</f>
        <v>14</v>
      </c>
      <c r="DC10" s="31"/>
      <c r="DD10" s="36" t="str">
        <f ca="1">IFERROR(AVERAGE(OFFSET('Data - For Rank'!G$2,AI10,0,COUNTIF(AI$7:AI$115,AI10)))+IFERROR(VLOOKUP((COUNT(AG$6:AG$115)/4),$ER$8:$ES$12,2,FALSE()),0),"")</f>
        <v/>
      </c>
      <c r="DE10" s="31"/>
      <c r="DF10" s="36" t="str">
        <f ca="1">IFERROR(AVERAGE(OFFSET('Data - For Rank'!$H$2,AN10,0,COUNTIF(AN$7:AN$115,AN10)))+IFERROR(VLOOKUP((COUNT(AL$6:AL$115)/4),$ER$8:$ES$12,2,FALSE()),0),"")</f>
        <v/>
      </c>
      <c r="DG10" s="31"/>
      <c r="DH10" s="36" t="str">
        <f ca="1">IFERROR(AVERAGE(OFFSET('Data - For Rank'!$I$2,AS10,0,COUNTIF(AS$7:AS$115,AS10)))+IFERROR(VLOOKUP((COUNT(AQ$6:AQ$115)/4),$ER$8:$ES$12,2,FALSE()),0),"")</f>
        <v/>
      </c>
      <c r="DI10" s="31"/>
      <c r="DJ10" s="36" t="str">
        <f ca="1">IFERROR(AVERAGE(OFFSET('Data - For Rank'!$J$2,AX10,0,COUNTIF(AX$7:AX$115,AX10)))+IFERROR(VLOOKUP((COUNT(AV$6:AV$115)/4),$ER$8:$ES$12,2,FALSE()),0),"")</f>
        <v/>
      </c>
      <c r="DK10" s="31"/>
      <c r="DL10" s="36" t="str">
        <f ca="1">IFERROR(AVERAGE(OFFSET('Data - For Rank'!$K$2,BC10,0,COUNTIF(BC$7:BC$115,BC10)))+IFERROR(VLOOKUP((COUNT(BA$6:BA$115)/4),$ER$8:$ES$12,2,FALSE()),0),"")</f>
        <v/>
      </c>
      <c r="DM10" s="31"/>
      <c r="DN10" s="36" t="str">
        <f ca="1">IFERROR(AVERAGE(OFFSET('Data - For Rank'!$L$2,BH10,0,COUNTIF(BH$7:BH$115,BH10)))+IFERROR(VLOOKUP((COUNT(BF$6:BF$115)/4),$ER$8:$ES$12,2,FALSE()),0),"")</f>
        <v/>
      </c>
      <c r="DO10" s="31"/>
      <c r="DP10" s="36" t="str">
        <f ca="1">IFERROR(AVERAGE(OFFSET('Data - For Rank'!$M$2,BM10,0,COUNTIF(BM$7:BM$115,BM10)))+IFERROR(VLOOKUP((COUNT(BK$6:BK$115)/4),$ER$8:$ES$12,2,FALSE()),0),"")</f>
        <v/>
      </c>
      <c r="DQ10" s="31"/>
      <c r="DR10" s="36" t="str">
        <f ca="1">IFERROR(AVERAGE(OFFSET('Data - For Rank'!$N$2,BR10,0,COUNTIF(BR$7:BR$115,BR10)))+IFERROR(VLOOKUP((COUNT(BP$6:BP$115)/4),$ER$8:$ES$12,2,FALSE()),0),"")</f>
        <v/>
      </c>
      <c r="DS10" s="31"/>
      <c r="DT10" s="36" t="str">
        <f ca="1">IFERROR(AVERAGE(OFFSET('Data - For Rank'!$O$2,BW10,0,COUNTIF(BW$7:BW$115,BW10)))+IFERROR(VLOOKUP((COUNT(BU$6:BU$115)/4),$ER$8:$ES$12,2,FALSE()),0),"")</f>
        <v/>
      </c>
      <c r="DU10" s="31"/>
      <c r="DV10" s="36" t="str">
        <f ca="1">IFERROR(AVERAGE(OFFSET('Data - For Rank'!$P$2,CB10,0,COUNTIF(CB$7:CB$115,CB10)))+IFERROR(VLOOKUP((COUNT(BZ$6:BZ$115)/4),$ER$8:$ES$12,2,FALSE()),0),"")</f>
        <v/>
      </c>
      <c r="DW10" s="31"/>
      <c r="DX10" s="36" t="str">
        <f ca="1">IFERROR(AVERAGE(OFFSET('Data - For Rank'!$Q$2,CG10,0,COUNTIF(CG$7:CG$115,CG10)))+IFERROR(VLOOKUP((COUNT(CE$6:CE$115)/4),$ER$8:$ES$12,2,FALSE()),0),"")</f>
        <v/>
      </c>
      <c r="DY10" s="31"/>
      <c r="DZ10" s="36" t="str">
        <f ca="1">IFERROR(AVERAGE(OFFSET('Data - For Rank'!$R$2,CL10,0,COUNTIF(CL$7:CL$115,CL10)))+IFERROR(VLOOKUP((COUNT(CJ$6:CJ$115)/4),$ER$8:$ES$12,2,FALSE()),0),"")</f>
        <v/>
      </c>
      <c r="EA10" s="31"/>
      <c r="EB10" s="36" t="str">
        <f ca="1">IFERROR(AVERAGE(OFFSET('Data - For Rank'!$S$2,CQ10,0,COUNTIF(CQ$7:CQ$115,CQ10)))+IFERROR(VLOOKUP((COUNT(CO$6:CO$115)/4),$ER$8:$ES$12,2,FALSE()),0),"")</f>
        <v/>
      </c>
      <c r="EC10" s="37">
        <f>AVERAGE(CS10,CU10,CW10,CY10,DA10,DC10,DE10,DG10,DI10,DK10,DM10,DO10,DQ10,DS10,DU10,DW10,DY10,EA10)</f>
        <v>31.75</v>
      </c>
      <c r="ED10" s="33">
        <f t="shared" ca="1" si="0"/>
        <v>11.25</v>
      </c>
      <c r="EM10" s="99" t="s">
        <v>77</v>
      </c>
      <c r="ER10" s="15">
        <v>3</v>
      </c>
      <c r="ES10" s="15">
        <v>4</v>
      </c>
      <c r="EU10" s="15">
        <f>36+34+32+30+28+26+24+22+20+18+16+14+12+10+8+6</f>
        <v>336</v>
      </c>
    </row>
    <row r="11" spans="2:151" s="15" customFormat="1" ht="15" outlineLevel="1" x14ac:dyDescent="0.2">
      <c r="B11" s="38">
        <f ca="1">B9+0.022</f>
        <v>2.0219999999999998</v>
      </c>
      <c r="D11" s="87" t="s">
        <v>78</v>
      </c>
      <c r="E11" s="39" t="s">
        <v>39</v>
      </c>
      <c r="F11" s="40">
        <f ca="1">IF(COUNT(CT9:EB9)&gt;10,SMALL(G9:CN9,COUNT(G9:CN9)-10),MIN(CT9:EB9))</f>
        <v>22</v>
      </c>
      <c r="G11" s="40"/>
      <c r="H11" s="40"/>
      <c r="I11" s="96">
        <f>IF(CS11=0,"",CS11)</f>
        <v>12</v>
      </c>
      <c r="J11" s="96"/>
      <c r="K11" s="97">
        <f>IFERROR(_xlfn.RANK.EQ(I11,I$6:I$115,0),"")</f>
        <v>3</v>
      </c>
      <c r="L11" s="40"/>
      <c r="M11" s="40"/>
      <c r="N11" s="96" t="str">
        <f>IF(CU11=0,"",CU11)</f>
        <v/>
      </c>
      <c r="O11" s="96"/>
      <c r="P11" s="97" t="str">
        <f>IFERROR(_xlfn.RANK.EQ(N11,N$6:N$115,0),"")</f>
        <v/>
      </c>
      <c r="Q11" s="40"/>
      <c r="R11" s="40"/>
      <c r="S11" s="96">
        <f>IF(CW11=0,"",CW11)</f>
        <v>4</v>
      </c>
      <c r="T11" s="96"/>
      <c r="U11" s="97">
        <f>IFERROR(_xlfn.RANK.EQ(S11,S$6:S$115,0),"")</f>
        <v>4</v>
      </c>
      <c r="V11" s="40"/>
      <c r="W11" s="40"/>
      <c r="X11" s="96">
        <f>IF(CY11=0,"",CY11)</f>
        <v>13</v>
      </c>
      <c r="Y11" s="96"/>
      <c r="Z11" s="97">
        <f>IFERROR(_xlfn.RANK.EQ(X11,X$6:X$115,0),"")</f>
        <v>3</v>
      </c>
      <c r="AA11" s="40"/>
      <c r="AB11" s="40"/>
      <c r="AC11" s="96">
        <f>IF(DA11=0,"",DA11)</f>
        <v>-6</v>
      </c>
      <c r="AD11" s="96"/>
      <c r="AE11" s="97">
        <f>IFERROR(_xlfn.RANK.EQ(AC11,AC$6:AC$115,0),"")</f>
        <v>11</v>
      </c>
      <c r="AF11" s="40"/>
      <c r="AG11" s="40"/>
      <c r="AH11" s="96" t="str">
        <f>IF(DC11=0,"",DC11)</f>
        <v/>
      </c>
      <c r="AI11" s="96"/>
      <c r="AJ11" s="97" t="str">
        <f>IFERROR(_xlfn.RANK.EQ(AH11,AH$6:AH$115,0),"")</f>
        <v/>
      </c>
      <c r="AK11" s="40"/>
      <c r="AL11" s="40"/>
      <c r="AM11" s="96" t="str">
        <f>IF(DE11=0,"",DE11)</f>
        <v/>
      </c>
      <c r="AN11" s="96"/>
      <c r="AO11" s="97" t="str">
        <f>IFERROR(_xlfn.RANK.EQ(AM11,AM$6:AM$115,0),"")</f>
        <v/>
      </c>
      <c r="AP11" s="40"/>
      <c r="AQ11" s="40"/>
      <c r="AR11" s="96" t="str">
        <f>IF(DG11=0,"",DG11)</f>
        <v/>
      </c>
      <c r="AS11" s="96"/>
      <c r="AT11" s="97" t="str">
        <f>IFERROR(_xlfn.RANK.EQ(AR11,AR$6:AR$115,0),"")</f>
        <v/>
      </c>
      <c r="AU11" s="40"/>
      <c r="AV11" s="40"/>
      <c r="AW11" s="96" t="str">
        <f>IF(DI11=0,"",DI11)</f>
        <v/>
      </c>
      <c r="AX11" s="96"/>
      <c r="AY11" s="97" t="str">
        <f>IFERROR(_xlfn.RANK.EQ(AW11,AW$6:AW$115,0),"")</f>
        <v/>
      </c>
      <c r="AZ11" s="40"/>
      <c r="BA11" s="40"/>
      <c r="BB11" s="96" t="str">
        <f>IF(DK11=0,"",DK11)</f>
        <v/>
      </c>
      <c r="BC11" s="96"/>
      <c r="BD11" s="97" t="str">
        <f>IFERROR(_xlfn.RANK.EQ(BB11,BB$6:BB$115,0),"")</f>
        <v/>
      </c>
      <c r="BE11" s="40"/>
      <c r="BF11" s="40"/>
      <c r="BG11" s="96" t="str">
        <f>IF(DM11=0,"",DM11)</f>
        <v/>
      </c>
      <c r="BH11" s="96"/>
      <c r="BI11" s="97" t="str">
        <f>IFERROR(_xlfn.RANK.EQ(BG11,BG$6:BG$115,0),"")</f>
        <v/>
      </c>
      <c r="BJ11" s="40"/>
      <c r="BK11" s="40"/>
      <c r="BL11" s="96" t="str">
        <f>IF(DO11=0,"",DO11)</f>
        <v/>
      </c>
      <c r="BM11" s="96"/>
      <c r="BN11" s="97" t="str">
        <f>IFERROR(_xlfn.RANK.EQ(BL11,BL$6:BL$115,0),"")</f>
        <v/>
      </c>
      <c r="BO11" s="40"/>
      <c r="BP11" s="40"/>
      <c r="BQ11" s="96" t="str">
        <f>IF(DQ11=0,"",DQ11)</f>
        <v/>
      </c>
      <c r="BR11" s="96"/>
      <c r="BS11" s="97" t="str">
        <f>IFERROR(_xlfn.RANK.EQ(BQ11,BQ$6:BQ$115,0),"")</f>
        <v/>
      </c>
      <c r="BT11" s="40"/>
      <c r="BU11" s="40"/>
      <c r="BV11" s="96" t="str">
        <f>IF(DS11=0,"",DS11)</f>
        <v/>
      </c>
      <c r="BW11" s="96"/>
      <c r="BX11" s="97" t="str">
        <f>IFERROR(_xlfn.RANK.EQ(BV11,BV$6:BV$115,0),"")</f>
        <v/>
      </c>
      <c r="BY11" s="40"/>
      <c r="BZ11" s="40"/>
      <c r="CA11" s="96" t="str">
        <f>IF(DU11=0,"",DU11)</f>
        <v/>
      </c>
      <c r="CB11" s="96"/>
      <c r="CC11" s="97" t="str">
        <f>IFERROR(_xlfn.RANK.EQ(CA11,CA$6:CA$115,0),"")</f>
        <v/>
      </c>
      <c r="CD11" s="40"/>
      <c r="CE11" s="40"/>
      <c r="CF11" s="96" t="str">
        <f>IF(DW11=0,"",DW11)</f>
        <v/>
      </c>
      <c r="CG11" s="96"/>
      <c r="CH11" s="97" t="str">
        <f>IFERROR(_xlfn.RANK.EQ(CF11,CF$6:CF$115,0),"")</f>
        <v/>
      </c>
      <c r="CI11" s="40"/>
      <c r="CJ11" s="40"/>
      <c r="CK11" s="96" t="str">
        <f>IF(DY11=0,"",DY11)</f>
        <v/>
      </c>
      <c r="CL11" s="96"/>
      <c r="CM11" s="97" t="str">
        <f>IFERROR(_xlfn.RANK.EQ(CK11,CK$6:CK$115,0),"")</f>
        <v/>
      </c>
      <c r="CN11" s="40"/>
      <c r="CO11" s="40"/>
      <c r="CP11" s="96" t="str">
        <f>IF(EA11=0,"",EA11)</f>
        <v/>
      </c>
      <c r="CQ11" s="96"/>
      <c r="CR11" s="97" t="str">
        <f>IFERROR(_xlfn.RANK.EQ(CP11,CP$6:CP$115,0),"")</f>
        <v/>
      </c>
      <c r="CS11" s="41">
        <v>12</v>
      </c>
      <c r="CT11" s="42">
        <f ca="1">IFERROR(AVERAGE(OFFSET('Data - For Rank'!B$2,K11,0,COUNTIF(K$6:K$115,K11)))+IFERROR(VLOOKUP((COUNT($I$6:$I$115)/4),$ER$8:$ES$12,2,FALSE()),0),"")</f>
        <v>16</v>
      </c>
      <c r="CU11" s="41"/>
      <c r="CV11" s="42" t="str">
        <f ca="1">IFERROR(AVERAGE(OFFSET('Data - For Rank'!$C$2,P11,0,COUNTIF(P$6:P$115,P11)))+IFERROR(VLOOKUP((COUNT(N$6:N$115)/4),$ER$8:$ES$12,2,FALSE()),0),"")</f>
        <v/>
      </c>
      <c r="CW11" s="41">
        <v>4</v>
      </c>
      <c r="CX11" s="42">
        <f ca="1">IFERROR(AVERAGE(OFFSET('Data - For Rank'!D$2,U11,0,COUNTIF(U$6:$U118,U11)))+IFERROR(VLOOKUP((COUNT(S$6:S$115)/4),$ER$8:$ES$12,2,FALSE()),0),"")</f>
        <v>12.5</v>
      </c>
      <c r="CY11" s="41">
        <v>13</v>
      </c>
      <c r="CZ11" s="42">
        <f ca="1">IFERROR(AVERAGE(OFFSET('Data - For Rank'!E$2,Z11,0,COUNTIF(Z$6:Z$115,Z11)))+IFERROR(VLOOKUP((COUNT(W$6:W$115)/4),$ER$8:$ES$12,2,FALSE()),0),"")</f>
        <v>12</v>
      </c>
      <c r="DA11" s="41">
        <v>-6</v>
      </c>
      <c r="DB11" s="42">
        <f ca="1">IFERROR(AVERAGE(OFFSET('Data - For Rank'!F$2,AE11,0,COUNTIF(AE$6:AE$115,AE11)))+IFERROR(VLOOKUP((COUNT(AC$6:AC$115)/4),$ER$8:$ES$12,2,FALSE()),0),"")</f>
        <v>8</v>
      </c>
      <c r="DC11" s="41"/>
      <c r="DD11" s="42" t="str">
        <f ca="1">IFERROR(AVERAGE(OFFSET('Data - For Rank'!G$2,AJ11,0,COUNTIF(AJ$6:AJ$115,AJ11)))+IFERROR(VLOOKUP((COUNT(AH$6:AH$115)/4),$ER$8:$ES$12,2,FALSE()),0),"")</f>
        <v/>
      </c>
      <c r="DE11" s="41"/>
      <c r="DF11" s="42" t="str">
        <f ca="1">IFERROR(AVERAGE(OFFSET('Data - For Rank'!$H$2,AO11,0,COUNTIF(AO$6:AO$115,AO11)))+IFERROR(VLOOKUP((COUNT(AM$6:AM$115)/4),$ER$8:$ES$12,2,FALSE()),0),"")</f>
        <v/>
      </c>
      <c r="DG11" s="41"/>
      <c r="DH11" s="42" t="str">
        <f ca="1">IFERROR(AVERAGE(OFFSET('Data - For Rank'!$I$2,AT11,0,COUNTIF(AT$6:AT$115,AT11)))+IFERROR(VLOOKUP((COUNT(AR$6:AR$115)/4),$ER$8:$ES$12,2,FALSE()),0),"")</f>
        <v/>
      </c>
      <c r="DI11" s="41"/>
      <c r="DJ11" s="42" t="str">
        <f ca="1">IFERROR(AVERAGE(OFFSET('Data - For Rank'!$J$2,AY11,0,COUNTIF(AY$6:AY$115,AY11)))+IFERROR(VLOOKUP((COUNT(AW$6:AW$115)/4),$ER$8:$ES$12,2,FALSE()),0),"")</f>
        <v/>
      </c>
      <c r="DK11" s="41"/>
      <c r="DL11" s="42" t="str">
        <f ca="1">IFERROR(AVERAGE(OFFSET('Data - For Rank'!$K$2,BD11,0,COUNTIF(BD$6:BD$115,BD11)))+IFERROR(VLOOKUP((COUNT(BB$6:BB$115)/4),$ER$8:$ES$12,2,FALSE()),0),"")</f>
        <v/>
      </c>
      <c r="DM11" s="41"/>
      <c r="DN11" s="42" t="str">
        <f ca="1">IFERROR(AVERAGE(OFFSET('Data - For Rank'!$L$2,BI11,0,COUNTIF(BI$6:BI$115,BI11)))+IFERROR(VLOOKUP((COUNT(BG$6:BG$115)/4),$ER$8:$ES$12,2,FALSE()),0),"")</f>
        <v/>
      </c>
      <c r="DO11" s="41"/>
      <c r="DP11" s="42" t="str">
        <f ca="1">IFERROR(AVERAGE(OFFSET('Data - For Rank'!$M$2,BN11,0,COUNTIF(BN$6:BN$115,BN11)))+IFERROR(VLOOKUP((COUNT(BL$6:BL$115)/4),$ER$8:$ES$12,2,FALSE()),0),"")</f>
        <v/>
      </c>
      <c r="DQ11" s="41"/>
      <c r="DR11" s="42" t="str">
        <f ca="1">IFERROR(AVERAGE(OFFSET('Data - For Rank'!$N$2,BS11,0,COUNTIF(BS$6:BS$115,BS11)))+IFERROR(VLOOKUP((COUNT(BQ$6:BQ$115)/4),$ER$8:$ES$12,2,FALSE()),0),"")</f>
        <v/>
      </c>
      <c r="DS11" s="41"/>
      <c r="DT11" s="42" t="str">
        <f ca="1">IFERROR(AVERAGE(OFFSET('Data - For Rank'!$O$2,BX11,0,COUNTIF(BX$6:BX$115,BX11)))+IFERROR(VLOOKUP((COUNT(BV$6:BV$115)/4),$ER$8:$ES$12,2,FALSE()),0),"")</f>
        <v/>
      </c>
      <c r="DU11" s="41"/>
      <c r="DV11" s="42" t="str">
        <f ca="1">IFERROR(AVERAGE(OFFSET('Data - For Rank'!$P$2,CC11,0,COUNTIF(CC$6:CC$115,CC11)))+IFERROR(VLOOKUP((COUNT(CA$6:CA$115)/4),$ER$8:$ES$12,2,FALSE()),0),"")</f>
        <v/>
      </c>
      <c r="DW11" s="41"/>
      <c r="DX11" s="42" t="str">
        <f ca="1">IFERROR(AVERAGE(OFFSET('Data - For Rank'!$Q$2,CH11,0,COUNTIF(CH$6:CH$115,CH11)))+IFERROR(VLOOKUP((COUNT(CF$6:CF$115)/4),$ER$8:$ES$12,2,FALSE()),0),"")</f>
        <v/>
      </c>
      <c r="DY11" s="41"/>
      <c r="DZ11" s="42" t="str">
        <f ca="1">IFERROR(AVERAGE(OFFSET('Data - For Rank'!$R$2,CM11,0,COUNTIF(CM$6:CM$115,CM11)))+IFERROR(VLOOKUP((COUNT(CK$6:CK$115)/4),$ER$8:$ES$12,2,FALSE()),0),"")</f>
        <v/>
      </c>
      <c r="EA11" s="41"/>
      <c r="EB11" s="42" t="str">
        <f ca="1">IFERROR(AVERAGE(OFFSET('Data - For Rank'!$S$2,CR11,0,COUNTIF(CR$6:CR$115,CR11)))+IFERROR(VLOOKUP((COUNT(CP$6:CP$115)/4),$ER$8:$ES$12,2,FALSE()),0),"")</f>
        <v/>
      </c>
      <c r="EC11" s="43">
        <f>CS11+CU11+CW11+CY11+DA11+DC11+DE11+DG11+DI11+DK11+DM11+DO11+DQ11+DS11+DU11+DW11+DY11+EA11</f>
        <v>23</v>
      </c>
      <c r="ED11" s="44">
        <f t="shared" ca="1" si="0"/>
        <v>12.125</v>
      </c>
      <c r="EM11" s="99" t="s">
        <v>79</v>
      </c>
      <c r="ER11" s="15">
        <v>2</v>
      </c>
      <c r="ES11" s="15">
        <v>6</v>
      </c>
      <c r="EU11" s="15">
        <f>32+30+28+26+24+22+20+18+16+14+12+10</f>
        <v>252</v>
      </c>
    </row>
    <row r="12" spans="2:151" ht="15" x14ac:dyDescent="0.2">
      <c r="B12" s="21">
        <f ca="1">_xlfn.RANK.EQ(C12,$C$6:$C$63,)</f>
        <v>2</v>
      </c>
      <c r="C12" s="56">
        <f ca="1">EC12</f>
        <v>93.5</v>
      </c>
      <c r="D12" s="56" t="s">
        <v>80</v>
      </c>
      <c r="E12" s="45" t="s">
        <v>41</v>
      </c>
      <c r="F12" s="30">
        <f ca="1">COUNT(CT12,CV12,CX12,CZ12,DB12,DD12,DF12,DH12,DJ12,DL12,DN12,DP12,DR12,DT12,DV12,DX12,DZ12,EB12)</f>
        <v>3</v>
      </c>
      <c r="G12" s="93">
        <f ca="1">IF(CT12=0,"",CT12)</f>
        <v>36</v>
      </c>
      <c r="H12" s="93"/>
      <c r="I12" s="93"/>
      <c r="K12" s="93"/>
      <c r="L12" s="93" t="str">
        <f ca="1">IF(CV12=0,"",CV12)</f>
        <v/>
      </c>
      <c r="M12" s="93"/>
      <c r="N12" s="93"/>
      <c r="P12" s="93"/>
      <c r="Q12" s="93">
        <f ca="1">IF(CX12=0,"",CX12)</f>
        <v>26.5</v>
      </c>
      <c r="R12" s="93"/>
      <c r="S12" s="93"/>
      <c r="U12" s="93"/>
      <c r="V12" s="93" t="str">
        <f ca="1">IF(CZ12=0,"",CZ12)</f>
        <v/>
      </c>
      <c r="W12" s="93"/>
      <c r="X12" s="93"/>
      <c r="Z12" s="93"/>
      <c r="AA12" s="93">
        <f ca="1">IF(DB12=0,"",DB12)</f>
        <v>31</v>
      </c>
      <c r="AB12" s="93"/>
      <c r="AC12" s="93"/>
      <c r="AE12" s="93"/>
      <c r="AF12" s="93" t="str">
        <f ca="1">IF(DD12=0,"",DD12)</f>
        <v/>
      </c>
      <c r="AG12" s="93"/>
      <c r="AH12" s="93"/>
      <c r="AJ12" s="93"/>
      <c r="AK12" s="93" t="str">
        <f ca="1">IF(DF12=0,"",DF12)</f>
        <v/>
      </c>
      <c r="AL12" s="93"/>
      <c r="AM12" s="93"/>
      <c r="AO12" s="93"/>
      <c r="AP12" s="93" t="str">
        <f ca="1">IF(DH12=0,"",DH12)</f>
        <v/>
      </c>
      <c r="AQ12" s="93"/>
      <c r="AR12" s="93"/>
      <c r="AT12" s="93"/>
      <c r="AU12" s="93" t="str">
        <f ca="1">IF(DJ12=0,"",DJ12)</f>
        <v/>
      </c>
      <c r="AV12" s="93"/>
      <c r="AW12" s="93"/>
      <c r="AY12" s="93"/>
      <c r="AZ12" s="93" t="str">
        <f ca="1">IF(DL12=0,"",DL12)</f>
        <v/>
      </c>
      <c r="BA12" s="93"/>
      <c r="BB12" s="93"/>
      <c r="BD12" s="93"/>
      <c r="BE12" s="93" t="str">
        <f ca="1">IF(DN12=0,"",DN12)</f>
        <v/>
      </c>
      <c r="BF12" s="93"/>
      <c r="BG12" s="93"/>
      <c r="BI12" s="93"/>
      <c r="BJ12" s="93" t="str">
        <f ca="1">IF(DP12=0,"",DP12)</f>
        <v/>
      </c>
      <c r="BK12" s="93"/>
      <c r="BL12" s="93"/>
      <c r="BN12" s="93"/>
      <c r="BO12" s="93" t="str">
        <f ca="1">IF(DR12=0,"",DR12)</f>
        <v/>
      </c>
      <c r="BP12" s="93"/>
      <c r="BQ12" s="93"/>
      <c r="BS12" s="93"/>
      <c r="BT12" s="93" t="str">
        <f ca="1">IF(DT12=0,"",DT12)</f>
        <v/>
      </c>
      <c r="BU12" s="93"/>
      <c r="BV12" s="93"/>
      <c r="BX12" s="93"/>
      <c r="BY12" s="93" t="str">
        <f ca="1">IF(DV12=0,"",DV12)</f>
        <v/>
      </c>
      <c r="BZ12" s="93"/>
      <c r="CA12" s="93"/>
      <c r="CC12" s="93"/>
      <c r="CD12" s="93" t="str">
        <f ca="1">IF(DX12=0,"",DX12)</f>
        <v/>
      </c>
      <c r="CE12" s="93"/>
      <c r="CF12" s="93"/>
      <c r="CH12" s="93"/>
      <c r="CI12" s="93" t="str">
        <f ca="1">IF(DZ12=0,"",DZ12)</f>
        <v/>
      </c>
      <c r="CJ12" s="93"/>
      <c r="CK12" s="93"/>
      <c r="CM12" s="93"/>
      <c r="CN12" s="93" t="str">
        <f ca="1">IF(EB12=0,"",EB12)</f>
        <v/>
      </c>
      <c r="CO12" s="93"/>
      <c r="CP12" s="93"/>
      <c r="CR12" s="93"/>
      <c r="CS12" s="31">
        <v>77</v>
      </c>
      <c r="CT12" s="32">
        <f ca="1">IFERROR(CT13+CT14,"")</f>
        <v>36</v>
      </c>
      <c r="CU12" s="31"/>
      <c r="CV12" s="32" t="str">
        <f ca="1">IFERROR(CV13+CV14,"")</f>
        <v/>
      </c>
      <c r="CW12" s="31">
        <v>83</v>
      </c>
      <c r="CX12" s="32">
        <f ca="1">IFERROR(CX13+CX14,"")</f>
        <v>26.5</v>
      </c>
      <c r="CY12" s="31"/>
      <c r="CZ12" s="32" t="str">
        <f ca="1">IFERROR(CZ13+CZ14,"")</f>
        <v/>
      </c>
      <c r="DA12" s="31">
        <v>85</v>
      </c>
      <c r="DB12" s="32">
        <f ca="1">IFERROR(DB13+DB14,"")</f>
        <v>31</v>
      </c>
      <c r="DC12" s="31"/>
      <c r="DD12" s="32" t="str">
        <f ca="1">IFERROR(DD13+DD14,"")</f>
        <v/>
      </c>
      <c r="DE12" s="31"/>
      <c r="DF12" s="32" t="str">
        <f ca="1">IFERROR(DF13+DF14,"")</f>
        <v/>
      </c>
      <c r="DG12" s="31"/>
      <c r="DH12" s="32" t="str">
        <f ca="1">IFERROR(DH13+DH14,"")</f>
        <v/>
      </c>
      <c r="DI12" s="31"/>
      <c r="DJ12" s="32" t="str">
        <f ca="1">IFERROR(DJ13+DJ14,"")</f>
        <v/>
      </c>
      <c r="DK12" s="31"/>
      <c r="DL12" s="32" t="str">
        <f ca="1">IFERROR(DL13+DL14,"")</f>
        <v/>
      </c>
      <c r="DM12" s="31"/>
      <c r="DN12" s="32" t="str">
        <f ca="1">IFERROR(DN13+DN14,"")</f>
        <v/>
      </c>
      <c r="DO12" s="31"/>
      <c r="DP12" s="32" t="str">
        <f ca="1">IFERROR(DP13+DP14,"")</f>
        <v/>
      </c>
      <c r="DQ12" s="31"/>
      <c r="DR12" s="32" t="str">
        <f ca="1">IFERROR(DR13+DR14,"")</f>
        <v/>
      </c>
      <c r="DS12" s="31"/>
      <c r="DT12" s="32" t="str">
        <f ca="1">IFERROR(DT13+DT14,"")</f>
        <v/>
      </c>
      <c r="DU12" s="31"/>
      <c r="DV12" s="32" t="str">
        <f ca="1">IFERROR(DV13+DV14,"")</f>
        <v/>
      </c>
      <c r="DW12" s="31"/>
      <c r="DX12" s="32" t="str">
        <f ca="1">IFERROR(DX13+DX14,"")</f>
        <v/>
      </c>
      <c r="DY12" s="31"/>
      <c r="DZ12" s="32" t="str">
        <f ca="1">IFERROR(DZ13+DZ14,"")</f>
        <v/>
      </c>
      <c r="EA12" s="31"/>
      <c r="EB12" s="32" t="str">
        <f ca="1">IFERROR(EB13+EB14,"")</f>
        <v/>
      </c>
      <c r="EC12" s="26">
        <f ca="1">IFERROR(LARGE($G12:$CN12,1),0)+IFERROR(LARGE($G12:$CN12,2),0)+IFERROR(LARGE($G12:$CN12,3),0)+IFERROR(LARGE($G12:$CN12,4),0)+IFERROR(LARGE($G12:$CN12,5),0)+IFERROR(LARGE($G12:$CN12,6),0)+IFERROR(LARGE($G12:$CN12,7),0)+IFERROR(LARGE($G12:$CN12,8),0)+IFERROR(LARGE($G12:$CN12,9),0)+IFERROR(LARGE($G12:$CN12,10),0)</f>
        <v>93.5</v>
      </c>
      <c r="ED12" s="33">
        <f t="shared" ca="1" si="0"/>
        <v>31.166666666666668</v>
      </c>
      <c r="EM12" s="99" t="s">
        <v>81</v>
      </c>
      <c r="ER12" s="15">
        <v>1</v>
      </c>
      <c r="ES12" s="15">
        <v>8</v>
      </c>
      <c r="EU12" s="15">
        <f>28+26+24+22+20+18+16+14</f>
        <v>168</v>
      </c>
    </row>
    <row r="13" spans="2:151" s="15" customFormat="1" ht="15" outlineLevel="1" x14ac:dyDescent="0.2">
      <c r="B13" s="34">
        <f ca="1">B12+0.13</f>
        <v>2.13</v>
      </c>
      <c r="D13" s="87" t="s">
        <v>82</v>
      </c>
      <c r="E13" s="35" t="s">
        <v>38</v>
      </c>
      <c r="F13" s="35"/>
      <c r="G13" s="35"/>
      <c r="H13" s="35">
        <f>IF(CS13=0,"",CS13)</f>
        <v>40</v>
      </c>
      <c r="I13" s="35"/>
      <c r="J13" s="93">
        <f>IFERROR(RANK(H13,H$6:H$115,0),"")</f>
        <v>1</v>
      </c>
      <c r="K13" s="35"/>
      <c r="L13" s="35"/>
      <c r="M13" s="35" t="str">
        <f>IF(CU13=0,"",CU13)</f>
        <v/>
      </c>
      <c r="N13" s="35"/>
      <c r="O13" s="93" t="str">
        <f>IFERROR(RANK(M13,M$6:M$115,0),"")</f>
        <v/>
      </c>
      <c r="P13" s="35"/>
      <c r="Q13" s="35"/>
      <c r="R13" s="35">
        <f>IF(CW13=0,"",CW13)</f>
        <v>37</v>
      </c>
      <c r="S13" s="35"/>
      <c r="T13" s="93">
        <f>IFERROR(RANK(R13,R$6:R$115,0),"")</f>
        <v>3</v>
      </c>
      <c r="U13" s="35"/>
      <c r="V13" s="35"/>
      <c r="W13" s="35" t="str">
        <f>IF(CY13=0,"",CY13)</f>
        <v/>
      </c>
      <c r="X13" s="35"/>
      <c r="Y13" s="93" t="str">
        <f>IFERROR(RANK(W13,W$6:W$115,0),"")</f>
        <v/>
      </c>
      <c r="Z13" s="35"/>
      <c r="AA13" s="35"/>
      <c r="AB13" s="35">
        <f>IF(DA13=0,"",DA13)</f>
        <v>33</v>
      </c>
      <c r="AC13" s="35"/>
      <c r="AD13" s="93">
        <f>IFERROR(RANK(AB13,AB$6:AB$115,0),"")</f>
        <v>4</v>
      </c>
      <c r="AE13" s="35"/>
      <c r="AF13" s="35"/>
      <c r="AG13" s="35" t="str">
        <f>IF(DC13=0,"",DC13)</f>
        <v/>
      </c>
      <c r="AH13" s="35"/>
      <c r="AI13" s="93" t="str">
        <f>IFERROR(RANK(AG13,AG$6:AG$115,0),"")</f>
        <v/>
      </c>
      <c r="AJ13" s="35"/>
      <c r="AK13" s="35"/>
      <c r="AL13" s="35" t="str">
        <f>IF(DE13=0,"",DE13)</f>
        <v/>
      </c>
      <c r="AM13" s="35"/>
      <c r="AN13" s="93" t="str">
        <f>IFERROR(RANK(AL13,AL$6:AL$115,0),"")</f>
        <v/>
      </c>
      <c r="AO13" s="35"/>
      <c r="AP13" s="35"/>
      <c r="AQ13" s="35" t="str">
        <f>IF(DG13=0,"",DG13)</f>
        <v/>
      </c>
      <c r="AR13" s="35"/>
      <c r="AS13" s="93" t="str">
        <f>IFERROR(RANK(AQ13,AQ$6:AQ$115,0),"")</f>
        <v/>
      </c>
      <c r="AT13" s="35"/>
      <c r="AU13" s="35"/>
      <c r="AV13" s="35" t="str">
        <f>IF(DI13=0,"",DI13)</f>
        <v/>
      </c>
      <c r="AW13" s="35"/>
      <c r="AX13" s="93" t="str">
        <f>IFERROR(RANK(AV13,AV$6:AV$115,0),"")</f>
        <v/>
      </c>
      <c r="AY13" s="35"/>
      <c r="AZ13" s="35"/>
      <c r="BA13" s="35" t="str">
        <f>IF(DK13=0,"",DK13)</f>
        <v/>
      </c>
      <c r="BB13" s="35"/>
      <c r="BC13" s="93" t="str">
        <f>IFERROR(RANK(BA13,BA$6:BA$115,0),"")</f>
        <v/>
      </c>
      <c r="BD13" s="35"/>
      <c r="BE13" s="35"/>
      <c r="BF13" s="35" t="str">
        <f>IF(DM13=0,"",DM13)</f>
        <v/>
      </c>
      <c r="BG13" s="35"/>
      <c r="BH13" s="93" t="str">
        <f>IFERROR(RANK(BF13,BF$6:BF$115,0),"")</f>
        <v/>
      </c>
      <c r="BI13" s="35"/>
      <c r="BJ13" s="35"/>
      <c r="BK13" s="35" t="str">
        <f>IF(DO13=0,"",DO13)</f>
        <v/>
      </c>
      <c r="BL13" s="35"/>
      <c r="BM13" s="93" t="str">
        <f>IFERROR(RANK(BK13,BK$6:BK$115,0),"")</f>
        <v/>
      </c>
      <c r="BN13" s="35"/>
      <c r="BO13" s="35"/>
      <c r="BP13" s="35" t="str">
        <f>IF(DQ13=0,"",DQ13)</f>
        <v/>
      </c>
      <c r="BQ13" s="35"/>
      <c r="BR13" s="93" t="str">
        <f>IFERROR(RANK(BP13,BP$6:BP$115,0),"")</f>
        <v/>
      </c>
      <c r="BS13" s="35"/>
      <c r="BT13" s="35"/>
      <c r="BU13" s="35" t="str">
        <f>IF(DS13=0,"",DS13)</f>
        <v/>
      </c>
      <c r="BV13" s="35"/>
      <c r="BW13" s="93" t="str">
        <f>IFERROR(RANK(BU13,BU$6:BU$115,0),"")</f>
        <v/>
      </c>
      <c r="BX13" s="35"/>
      <c r="BY13" s="35"/>
      <c r="BZ13" s="35" t="str">
        <f>IF(DU13=0,"",DU13)</f>
        <v/>
      </c>
      <c r="CA13" s="35"/>
      <c r="CB13" s="93" t="str">
        <f>IFERROR(RANK(BZ13,BZ$6:BZ$115,0),"")</f>
        <v/>
      </c>
      <c r="CC13" s="35"/>
      <c r="CD13" s="35"/>
      <c r="CE13" s="35" t="str">
        <f>IF(DW13=0,"",DW13)</f>
        <v/>
      </c>
      <c r="CF13" s="35"/>
      <c r="CG13" s="93" t="str">
        <f>IFERROR(RANK(CE13,CE$6:CE$115,0),"")</f>
        <v/>
      </c>
      <c r="CH13" s="35"/>
      <c r="CI13" s="35"/>
      <c r="CJ13" s="35" t="str">
        <f>IF(DY13=0,"",DY13)</f>
        <v/>
      </c>
      <c r="CK13" s="35"/>
      <c r="CL13" s="93" t="str">
        <f>IFERROR(RANK(CJ13,CJ$6:CJ$115,0),"")</f>
        <v/>
      </c>
      <c r="CM13" s="35"/>
      <c r="CN13" s="35"/>
      <c r="CO13" s="35" t="str">
        <f>IF(EA13=0,"",EA13)</f>
        <v/>
      </c>
      <c r="CP13" s="35"/>
      <c r="CQ13" s="93" t="str">
        <f>IFERROR(RANK(CO13,CO$6:CO$115,0),"")</f>
        <v/>
      </c>
      <c r="CR13" s="35"/>
      <c r="CS13" s="31">
        <v>40</v>
      </c>
      <c r="CT13" s="36">
        <f ca="1">IFERROR(AVERAGE(OFFSET('Data - For Rank'!B$2,J13,0,COUNTIF($J$7:J$115,J13)))+IFERROR(VLOOKUP((COUNT($H$6:$H$115)/4),$ER$8:$ES$12,2,FALSE()),0),"")</f>
        <v>18</v>
      </c>
      <c r="CU13" s="31"/>
      <c r="CV13" s="36" t="str">
        <f ca="1">IFERROR(AVERAGE(OFFSET('Data - For Rank'!$C$2,O13,0,COUNTIF(O$7:O$115,O13)))+IFERROR(VLOOKUP((COUNT(M$6:M$115)/4),$ER$8:$ES$12,2,FALSE()),0),"")</f>
        <v/>
      </c>
      <c r="CW13" s="31">
        <v>37</v>
      </c>
      <c r="CX13" s="36">
        <f ca="1">IFERROR(AVERAGE(OFFSET('Data - For Rank'!D$2,T13,0,COUNTIF(T$7:T$115,T13)))+IFERROR(VLOOKUP((COUNT(R$6:R$115)/4),$ER$8:$ES$12,2,FALSE()),0),"")</f>
        <v>14</v>
      </c>
      <c r="CY13" s="31"/>
      <c r="CZ13" s="36" t="str">
        <f ca="1">IFERROR(AVERAGE(OFFSET('Data - For Rank'!E$2,Y13,0,COUNTIF(Y$7:Y$115,Y13)))+IFERROR(VLOOKUP((COUNT(W$6:W$115)/4),$ER$8:$ES$12,2,FALSE()),0),"")</f>
        <v/>
      </c>
      <c r="DA13" s="31">
        <v>33</v>
      </c>
      <c r="DB13" s="36">
        <f ca="1">IFERROR(AVERAGE(OFFSET('Data - For Rank'!F$2,AD13,0,COUNTIF(AD$7:AD$115,AD13)))+IFERROR(VLOOKUP((COUNT(AB$6:AB$115)/4),$ER$8:$ES$12,2,FALSE()),0),"")</f>
        <v>14</v>
      </c>
      <c r="DC13" s="31"/>
      <c r="DD13" s="36" t="str">
        <f ca="1">IFERROR(AVERAGE(OFFSET('Data - For Rank'!G$2,AI13,0,COUNTIF(AI$7:AI$115,AI13)))+IFERROR(VLOOKUP((COUNT(AG$6:AG$115)/4),$ER$8:$ES$12,2,FALSE()),0),"")</f>
        <v/>
      </c>
      <c r="DE13" s="31"/>
      <c r="DF13" s="36" t="str">
        <f ca="1">IFERROR(AVERAGE(OFFSET('Data - For Rank'!$H$2,AN13,0,COUNTIF(AN$7:AN$115,AN13)))+IFERROR(VLOOKUP((COUNT(AL$6:AL$115)/4),$ER$8:$ES$12,2,FALSE()),0),"")</f>
        <v/>
      </c>
      <c r="DG13" s="31"/>
      <c r="DH13" s="36" t="str">
        <f ca="1">IFERROR(AVERAGE(OFFSET('Data - For Rank'!$I$2,AS13,0,COUNTIF(AS$7:AS$115,AS13)))+IFERROR(VLOOKUP((COUNT(AQ$6:AQ$115)/4),$ER$8:$ES$12,2,FALSE()),0),"")</f>
        <v/>
      </c>
      <c r="DI13" s="31"/>
      <c r="DJ13" s="36" t="str">
        <f ca="1">IFERROR(AVERAGE(OFFSET('Data - For Rank'!$J$2,AX13,0,COUNTIF(AX$7:AX$115,AX13)))+IFERROR(VLOOKUP((COUNT(AV$6:AV$115)/4),$ER$8:$ES$12,2,FALSE()),0),"")</f>
        <v/>
      </c>
      <c r="DK13" s="31"/>
      <c r="DL13" s="36" t="str">
        <f ca="1">IFERROR(AVERAGE(OFFSET('Data - For Rank'!$K$2,BC13,0,COUNTIF(BC$7:BC$115,BC13)))+IFERROR(VLOOKUP((COUNT(BA$6:BA$115)/4),$ER$8:$ES$12,2,FALSE()),0),"")</f>
        <v/>
      </c>
      <c r="DM13" s="31"/>
      <c r="DN13" s="36" t="str">
        <f ca="1">IFERROR(AVERAGE(OFFSET('Data - For Rank'!$L$2,BH13,0,COUNTIF(BH$7:BH$115,BH13)))+IFERROR(VLOOKUP((COUNT(BF$6:BF$115)/4),$ER$8:$ES$12,2,FALSE()),0),"")</f>
        <v/>
      </c>
      <c r="DO13" s="31"/>
      <c r="DP13" s="36" t="str">
        <f ca="1">IFERROR(AVERAGE(OFFSET('Data - For Rank'!$M$2,BM13,0,COUNTIF(BM$7:BM$115,BM13)))+IFERROR(VLOOKUP((COUNT(BK$6:BK$115)/4),$ER$8:$ES$12,2,FALSE()),0),"")</f>
        <v/>
      </c>
      <c r="DQ13" s="31"/>
      <c r="DR13" s="36" t="str">
        <f ca="1">IFERROR(AVERAGE(OFFSET('Data - For Rank'!$N$2,BR13,0,COUNTIF(BR$7:BR$115,BR13)))+IFERROR(VLOOKUP((COUNT(BP$6:BP$115)/4),$ER$8:$ES$12,2,FALSE()),0),"")</f>
        <v/>
      </c>
      <c r="DS13" s="31"/>
      <c r="DT13" s="36" t="str">
        <f ca="1">IFERROR(AVERAGE(OFFSET('Data - For Rank'!$O$2,BW13,0,COUNTIF(BW$7:BW$115,BW13)))+IFERROR(VLOOKUP((COUNT(BU$6:BU$115)/4),$ER$8:$ES$12,2,FALSE()),0),"")</f>
        <v/>
      </c>
      <c r="DU13" s="31"/>
      <c r="DV13" s="36" t="str">
        <f ca="1">IFERROR(AVERAGE(OFFSET('Data - For Rank'!$P$2,CB13,0,COUNTIF(CB$7:CB$115,CB13)))+IFERROR(VLOOKUP((COUNT(BZ$6:BZ$115)/4),$ER$8:$ES$12,2,FALSE()),0),"")</f>
        <v/>
      </c>
      <c r="DW13" s="31"/>
      <c r="DX13" s="36" t="str">
        <f ca="1">IFERROR(AVERAGE(OFFSET('Data - For Rank'!$Q$2,CG13,0,COUNTIF(CG$7:CG$115,CG13)))+IFERROR(VLOOKUP((COUNT(CE$6:CE$115)/4),$ER$8:$ES$12,2,FALSE()),0),"")</f>
        <v/>
      </c>
      <c r="DY13" s="31"/>
      <c r="DZ13" s="36" t="str">
        <f ca="1">IFERROR(AVERAGE(OFFSET('Data - For Rank'!$R$2,CL13,0,COUNTIF(CL$7:CL$115,CL13)))+IFERROR(VLOOKUP((COUNT(CJ$6:CJ$115)/4),$ER$8:$ES$12,2,FALSE()),0),"")</f>
        <v/>
      </c>
      <c r="EA13" s="31"/>
      <c r="EB13" s="36" t="str">
        <f ca="1">IFERROR(AVERAGE(OFFSET('Data - For Rank'!$S$2,CQ13,0,COUNTIF(CQ$7:CQ$115,CQ13)))+IFERROR(VLOOKUP((COUNT(CO$6:CO$115)/4),$ER$8:$ES$12,2,FALSE()),0),"")</f>
        <v/>
      </c>
      <c r="EC13" s="37">
        <f>AVERAGE(CS13,CU13,CW13,CY13,DA13,DC13,DE13,DG13,DI13,DK13,DM13,DO13,DQ13,DS13,DU13,DW13,DY13,EA13)</f>
        <v>36.666666666666664</v>
      </c>
      <c r="ED13" s="33">
        <f ca="1">AVERAGE(CX13,CT13,CV13,CZ13,DB13,DD13,DF13,DH13,DJ13,DL13,DN13,DP13,DR13,DT13,DV13,DX13,DZ13,EB13)</f>
        <v>15.333333333333334</v>
      </c>
      <c r="EM13" s="99" t="s">
        <v>83</v>
      </c>
      <c r="EU13" s="15">
        <f>24+22+20+18</f>
        <v>84</v>
      </c>
    </row>
    <row r="14" spans="2:151" s="15" customFormat="1" ht="15" outlineLevel="1" x14ac:dyDescent="0.2">
      <c r="B14" s="38">
        <f ca="1">B12+0.023</f>
        <v>2.0230000000000001</v>
      </c>
      <c r="D14" s="87" t="s">
        <v>84</v>
      </c>
      <c r="E14" s="39" t="s">
        <v>39</v>
      </c>
      <c r="F14" s="40">
        <f ca="1">IF(COUNT(CT12:EB12)&gt;10,SMALL(G12:CN12,COUNT(G12:CN12)-10),MIN(CT12:EB12))</f>
        <v>26.5</v>
      </c>
      <c r="G14" s="40"/>
      <c r="H14" s="40"/>
      <c r="I14" s="96">
        <f>IF(CS14=0,"",CS14)</f>
        <v>35</v>
      </c>
      <c r="J14" s="96"/>
      <c r="K14" s="97">
        <f>IFERROR(_xlfn.RANK.EQ(I14,I$6:I$115,0),"")</f>
        <v>1</v>
      </c>
      <c r="L14" s="40"/>
      <c r="M14" s="40"/>
      <c r="N14" s="96" t="str">
        <f>IF(CU14=0,"",CU14)</f>
        <v/>
      </c>
      <c r="O14" s="96"/>
      <c r="P14" s="97" t="str">
        <f>IFERROR(_xlfn.RANK.EQ(N14,N$6:N$115,0),"")</f>
        <v/>
      </c>
      <c r="Q14" s="40"/>
      <c r="R14" s="40"/>
      <c r="S14" s="96">
        <f>IF(CW14=0,"",CW14)</f>
        <v>4</v>
      </c>
      <c r="T14" s="96"/>
      <c r="U14" s="97">
        <f>IFERROR(_xlfn.RANK.EQ(S14,S$6:S$115,0),"")</f>
        <v>4</v>
      </c>
      <c r="V14" s="40"/>
      <c r="W14" s="40"/>
      <c r="X14" s="96" t="str">
        <f>IF(CY14=0,"",CY14)</f>
        <v/>
      </c>
      <c r="Y14" s="96"/>
      <c r="Z14" s="97" t="str">
        <f>IFERROR(_xlfn.RANK.EQ(X14,X$6:X$115,0),"")</f>
        <v/>
      </c>
      <c r="AA14" s="40"/>
      <c r="AB14" s="40"/>
      <c r="AC14" s="96">
        <f>IF(DA14=0,"",DA14)</f>
        <v>38</v>
      </c>
      <c r="AD14" s="96"/>
      <c r="AE14" s="97">
        <f>IFERROR(_xlfn.RANK.EQ(AC14,AC$6:AC$115,0),"")</f>
        <v>2</v>
      </c>
      <c r="AF14" s="40"/>
      <c r="AG14" s="40"/>
      <c r="AH14" s="96" t="str">
        <f>IF(DC14=0,"",DC14)</f>
        <v/>
      </c>
      <c r="AI14" s="96"/>
      <c r="AJ14" s="97" t="str">
        <f>IFERROR(_xlfn.RANK.EQ(AH14,AH$6:AH$115,0),"")</f>
        <v/>
      </c>
      <c r="AK14" s="40"/>
      <c r="AL14" s="40"/>
      <c r="AM14" s="96" t="str">
        <f>IF(DE14=0,"",DE14)</f>
        <v/>
      </c>
      <c r="AN14" s="96"/>
      <c r="AO14" s="97" t="str">
        <f>IFERROR(_xlfn.RANK.EQ(AM14,AM$6:AM$115,0),"")</f>
        <v/>
      </c>
      <c r="AP14" s="40"/>
      <c r="AQ14" s="40"/>
      <c r="AR14" s="96" t="str">
        <f>IF(DG14=0,"",DG14)</f>
        <v/>
      </c>
      <c r="AS14" s="96"/>
      <c r="AT14" s="97" t="str">
        <f>IFERROR(_xlfn.RANK.EQ(AR14,AR$6:AR$115,0),"")</f>
        <v/>
      </c>
      <c r="AU14" s="40"/>
      <c r="AV14" s="40"/>
      <c r="AW14" s="96" t="str">
        <f>IF(DI14=0,"",DI14)</f>
        <v/>
      </c>
      <c r="AX14" s="96"/>
      <c r="AY14" s="97" t="str">
        <f>IFERROR(_xlfn.RANK.EQ(AW14,AW$6:AW$115,0),"")</f>
        <v/>
      </c>
      <c r="AZ14" s="40"/>
      <c r="BA14" s="40"/>
      <c r="BB14" s="96" t="str">
        <f>IF(DK14=0,"",DK14)</f>
        <v/>
      </c>
      <c r="BC14" s="96"/>
      <c r="BD14" s="97" t="str">
        <f>IFERROR(_xlfn.RANK.EQ(BB14,BB$6:BB$115,0),"")</f>
        <v/>
      </c>
      <c r="BE14" s="40"/>
      <c r="BF14" s="40"/>
      <c r="BG14" s="96" t="str">
        <f>IF(DM14=0,"",DM14)</f>
        <v/>
      </c>
      <c r="BH14" s="96"/>
      <c r="BI14" s="97" t="str">
        <f>IFERROR(_xlfn.RANK.EQ(BG14,BG$6:BG$115,0),"")</f>
        <v/>
      </c>
      <c r="BJ14" s="40"/>
      <c r="BK14" s="40"/>
      <c r="BL14" s="96" t="str">
        <f>IF(DO14=0,"",DO14)</f>
        <v/>
      </c>
      <c r="BM14" s="96"/>
      <c r="BN14" s="97" t="str">
        <f>IFERROR(_xlfn.RANK.EQ(BL14,BL$6:BL$115,0),"")</f>
        <v/>
      </c>
      <c r="BO14" s="40"/>
      <c r="BP14" s="40"/>
      <c r="BQ14" s="96" t="str">
        <f>IF(DQ14=0,"",DQ14)</f>
        <v/>
      </c>
      <c r="BR14" s="96"/>
      <c r="BS14" s="97" t="str">
        <f>IFERROR(_xlfn.RANK.EQ(BQ14,BQ$6:BQ$115,0),"")</f>
        <v/>
      </c>
      <c r="BT14" s="40"/>
      <c r="BU14" s="40"/>
      <c r="BV14" s="96" t="str">
        <f>IF(DS14=0,"",DS14)</f>
        <v/>
      </c>
      <c r="BW14" s="96"/>
      <c r="BX14" s="97" t="str">
        <f>IFERROR(_xlfn.RANK.EQ(BV14,BV$6:BV$115,0),"")</f>
        <v/>
      </c>
      <c r="BY14" s="40"/>
      <c r="BZ14" s="40"/>
      <c r="CA14" s="96" t="str">
        <f>IF(DU14=0,"",DU14)</f>
        <v/>
      </c>
      <c r="CB14" s="96"/>
      <c r="CC14" s="97" t="str">
        <f>IFERROR(_xlfn.RANK.EQ(CA14,CA$6:CA$115,0),"")</f>
        <v/>
      </c>
      <c r="CD14" s="40"/>
      <c r="CE14" s="40"/>
      <c r="CF14" s="96" t="str">
        <f>IF(DW14=0,"",DW14)</f>
        <v/>
      </c>
      <c r="CG14" s="96"/>
      <c r="CH14" s="97" t="str">
        <f>IFERROR(_xlfn.RANK.EQ(CF14,CF$6:CF$115,0),"")</f>
        <v/>
      </c>
      <c r="CI14" s="40"/>
      <c r="CJ14" s="40"/>
      <c r="CK14" s="96" t="str">
        <f>IF(DY14=0,"",DY14)</f>
        <v/>
      </c>
      <c r="CL14" s="96"/>
      <c r="CM14" s="97" t="str">
        <f>IFERROR(_xlfn.RANK.EQ(CK14,CK$6:CK$115,0),"")</f>
        <v/>
      </c>
      <c r="CN14" s="40"/>
      <c r="CO14" s="40"/>
      <c r="CP14" s="96" t="str">
        <f>IF(EA14=0,"",EA14)</f>
        <v/>
      </c>
      <c r="CQ14" s="96"/>
      <c r="CR14" s="97" t="str">
        <f>IFERROR(_xlfn.RANK.EQ(CP14,CP$6:CP$115,0),"")</f>
        <v/>
      </c>
      <c r="CS14" s="41">
        <v>35</v>
      </c>
      <c r="CT14" s="42">
        <f ca="1">IFERROR(AVERAGE(OFFSET('Data - For Rank'!B$2,K14,0,COUNTIF(K$6:K$115,K14)))+IFERROR(VLOOKUP((COUNT($I$6:$I$115)/4),$ER$8:$ES$12,2,FALSE()),0),"")</f>
        <v>18</v>
      </c>
      <c r="CU14" s="41"/>
      <c r="CV14" s="42" t="str">
        <f ca="1">IFERROR(AVERAGE(OFFSET('Data - For Rank'!$C$2,P14,0,COUNTIF(P$6:P$115,P14)))+IFERROR(VLOOKUP((COUNT(N$6:N$115)/4),$ER$8:$ES$12,2,FALSE()),0),"")</f>
        <v/>
      </c>
      <c r="CW14" s="41">
        <v>4</v>
      </c>
      <c r="CX14" s="42">
        <f ca="1">IFERROR(AVERAGE(OFFSET('Data - For Rank'!D$2,U14,0,COUNTIF(U$6:$U121,U14)))+IFERROR(VLOOKUP((COUNT(S$6:S$115)/4),$ER$8:$ES$12,2,FALSE()),0),"")</f>
        <v>12.5</v>
      </c>
      <c r="CY14" s="41"/>
      <c r="CZ14" s="42" t="str">
        <f ca="1">IFERROR(AVERAGE(OFFSET('Data - For Rank'!E$2,Z14,0,COUNTIF(Z$6:Z$115,Z14)))+IFERROR(VLOOKUP((COUNT(W$6:W$115)/4),$ER$8:$ES$12,2,FALSE()),0),"")</f>
        <v/>
      </c>
      <c r="DA14" s="41">
        <v>38</v>
      </c>
      <c r="DB14" s="42">
        <f ca="1">IFERROR(AVERAGE(OFFSET('Data - For Rank'!F$2,AE14,0,COUNTIF(AE$6:AE$115,AE14)))+IFERROR(VLOOKUP((COUNT(AC$6:AC$115)/4),$ER$8:$ES$12,2,FALSE()),0),"")</f>
        <v>17</v>
      </c>
      <c r="DC14" s="41"/>
      <c r="DD14" s="42" t="str">
        <f ca="1">IFERROR(AVERAGE(OFFSET('Data - For Rank'!G$2,AJ14,0,COUNTIF(AJ$6:AJ$115,AJ14)))+IFERROR(VLOOKUP((COUNT(AH$6:AH$115)/4),$ER$8:$ES$12,2,FALSE()),0),"")</f>
        <v/>
      </c>
      <c r="DE14" s="41"/>
      <c r="DF14" s="42" t="str">
        <f ca="1">IFERROR(AVERAGE(OFFSET('Data - For Rank'!$H$2,AO14,0,COUNTIF(AO$6:AO$115,AO14)))+IFERROR(VLOOKUP((COUNT(AM$6:AM$115)/4),$ER$8:$ES$12,2,FALSE()),0),"")</f>
        <v/>
      </c>
      <c r="DG14" s="41"/>
      <c r="DH14" s="42" t="str">
        <f ca="1">IFERROR(AVERAGE(OFFSET('Data - For Rank'!$I$2,AT14,0,COUNTIF(AT$6:AT$115,AT14)))+IFERROR(VLOOKUP((COUNT(AR$6:AR$115)/4),$ER$8:$ES$12,2,FALSE()),0),"")</f>
        <v/>
      </c>
      <c r="DI14" s="41"/>
      <c r="DJ14" s="42" t="str">
        <f ca="1">IFERROR(AVERAGE(OFFSET('Data - For Rank'!$J$2,AY14,0,COUNTIF(AY$6:AY$115,AY14)))+IFERROR(VLOOKUP((COUNT(AW$6:AW$115)/4),$ER$8:$ES$12,2,FALSE()),0),"")</f>
        <v/>
      </c>
      <c r="DK14" s="41"/>
      <c r="DL14" s="42" t="str">
        <f ca="1">IFERROR(AVERAGE(OFFSET('Data - For Rank'!$K$2,BD14,0,COUNTIF(BD$6:BD$115,BD14)))+IFERROR(VLOOKUP((COUNT(BB$6:BB$115)/4),$ER$8:$ES$12,2,FALSE()),0),"")</f>
        <v/>
      </c>
      <c r="DM14" s="41"/>
      <c r="DN14" s="42" t="str">
        <f ca="1">IFERROR(AVERAGE(OFFSET('Data - For Rank'!$L$2,BI14,0,COUNTIF(BI$6:BI$115,BI14)))+IFERROR(VLOOKUP((COUNT(BG$6:BG$115)/4),$ER$8:$ES$12,2,FALSE()),0),"")</f>
        <v/>
      </c>
      <c r="DO14" s="41"/>
      <c r="DP14" s="42" t="str">
        <f ca="1">IFERROR(AVERAGE(OFFSET('Data - For Rank'!$M$2,BN14,0,COUNTIF(BN$6:BN$115,BN14)))+IFERROR(VLOOKUP((COUNT(BL$6:BL$115)/4),$ER$8:$ES$12,2,FALSE()),0),"")</f>
        <v/>
      </c>
      <c r="DQ14" s="41"/>
      <c r="DR14" s="42" t="str">
        <f ca="1">IFERROR(AVERAGE(OFFSET('Data - For Rank'!$N$2,BS14,0,COUNTIF(BS$6:BS$115,BS14)))+IFERROR(VLOOKUP((COUNT(BQ$6:BQ$115)/4),$ER$8:$ES$12,2,FALSE()),0),"")</f>
        <v/>
      </c>
      <c r="DS14" s="41"/>
      <c r="DT14" s="42" t="str">
        <f ca="1">IFERROR(AVERAGE(OFFSET('Data - For Rank'!$O$2,BX14,0,COUNTIF(BX$6:BX$115,BX14)))+IFERROR(VLOOKUP((COUNT(BV$6:BV$115)/4),$ER$8:$ES$12,2,FALSE()),0),"")</f>
        <v/>
      </c>
      <c r="DU14" s="41"/>
      <c r="DV14" s="42" t="str">
        <f ca="1">IFERROR(AVERAGE(OFFSET('Data - For Rank'!$P$2,CC14,0,COUNTIF(CC$6:CC$115,CC14)))+IFERROR(VLOOKUP((COUNT(CA$6:CA$115)/4),$ER$8:$ES$12,2,FALSE()),0),"")</f>
        <v/>
      </c>
      <c r="DW14" s="41"/>
      <c r="DX14" s="42" t="str">
        <f ca="1">IFERROR(AVERAGE(OFFSET('Data - For Rank'!$Q$2,CH14,0,COUNTIF(CH$6:CH$115,CH14)))+IFERROR(VLOOKUP((COUNT(CF$6:CF$115)/4),$ER$8:$ES$12,2,FALSE()),0),"")</f>
        <v/>
      </c>
      <c r="DY14" s="41"/>
      <c r="DZ14" s="42" t="str">
        <f ca="1">IFERROR(AVERAGE(OFFSET('Data - For Rank'!$R$2,CM14,0,COUNTIF(CM$6:CM$115,CM14)))+IFERROR(VLOOKUP((COUNT(CK$6:CK$115)/4),$ER$8:$ES$12,2,FALSE()),0),"")</f>
        <v/>
      </c>
      <c r="EA14" s="41"/>
      <c r="EB14" s="42" t="str">
        <f ca="1">IFERROR(AVERAGE(OFFSET('Data - For Rank'!$S$2,CR14,0,COUNTIF(CR$6:CR$115,CR14)))+IFERROR(VLOOKUP((COUNT(CP$6:CP$115)/4),$ER$8:$ES$12,2,FALSE()),0),"")</f>
        <v/>
      </c>
      <c r="EC14" s="43">
        <f>CS14+CU14+CW14+CY14+DA14+DC14+DE14+DG14+DI14+DK14+DM14+DO14+DQ14+DS14+DU14+DW14+DY14+EA14</f>
        <v>77</v>
      </c>
      <c r="ED14" s="44">
        <f t="shared" ref="ED14:ED48" ca="1" si="1">AVERAGE(CT14,CV14,CX14,CZ14,DB14,DD14,DF14,DH14,DJ14,DL14,DN14,DP14,DR14,DT14,DV14,DX14,DZ14,EB14)</f>
        <v>15.833333333333334</v>
      </c>
      <c r="EM14" s="99"/>
    </row>
    <row r="15" spans="2:151" x14ac:dyDescent="0.2">
      <c r="B15" s="21">
        <f ca="1">_xlfn.RANK.EQ(C15,$C$6:$C$63,)</f>
        <v>4</v>
      </c>
      <c r="C15" s="56">
        <f ca="1">EC15</f>
        <v>73.5</v>
      </c>
      <c r="D15" s="56" t="s">
        <v>85</v>
      </c>
      <c r="E15" s="46" t="s">
        <v>42</v>
      </c>
      <c r="F15" s="30">
        <f ca="1">COUNT(CT15,CV15,CX15,CZ15,DB15,DD15,DF15,DH15,DJ15,DL15,DN15,DP15,DR15,DT15,DV15,DX15,DZ15,EB15)</f>
        <v>3</v>
      </c>
      <c r="G15" s="93">
        <f ca="1">IF(CT15=0,"",CT15)</f>
        <v>26.5</v>
      </c>
      <c r="H15" s="93"/>
      <c r="I15" s="93"/>
      <c r="K15" s="93"/>
      <c r="L15" s="93" t="str">
        <f ca="1">IF(CV15=0,"",CV15)</f>
        <v/>
      </c>
      <c r="M15" s="93"/>
      <c r="N15" s="93"/>
      <c r="P15" s="93"/>
      <c r="Q15" s="93" t="str">
        <f ca="1">IF(CX15=0,"",CX15)</f>
        <v/>
      </c>
      <c r="R15" s="93"/>
      <c r="S15" s="93"/>
      <c r="U15" s="93"/>
      <c r="V15" s="93">
        <f ca="1">IF(CZ15=0,"",CZ15)</f>
        <v>24</v>
      </c>
      <c r="W15" s="93"/>
      <c r="X15" s="93"/>
      <c r="Z15" s="93"/>
      <c r="AA15" s="93">
        <f ca="1">IF(DB15=0,"",DB15)</f>
        <v>23</v>
      </c>
      <c r="AB15" s="93"/>
      <c r="AC15" s="93"/>
      <c r="AE15" s="93"/>
      <c r="AF15" s="93" t="str">
        <f ca="1">IF(DD15=0,"",DD15)</f>
        <v/>
      </c>
      <c r="AG15" s="93"/>
      <c r="AH15" s="93"/>
      <c r="AJ15" s="93"/>
      <c r="AK15" s="93" t="str">
        <f ca="1">IF(DF15=0,"",DF15)</f>
        <v/>
      </c>
      <c r="AL15" s="93"/>
      <c r="AM15" s="93"/>
      <c r="AO15" s="93"/>
      <c r="AP15" s="93" t="str">
        <f ca="1">IF(DH15=0,"",DH15)</f>
        <v/>
      </c>
      <c r="AQ15" s="93"/>
      <c r="AR15" s="93"/>
      <c r="AT15" s="93"/>
      <c r="AU15" s="93" t="str">
        <f ca="1">IF(DJ15=0,"",DJ15)</f>
        <v/>
      </c>
      <c r="AV15" s="93"/>
      <c r="AW15" s="93"/>
      <c r="AY15" s="93"/>
      <c r="AZ15" s="93" t="str">
        <f ca="1">IF(DL15=0,"",DL15)</f>
        <v/>
      </c>
      <c r="BA15" s="93"/>
      <c r="BB15" s="93"/>
      <c r="BD15" s="93"/>
      <c r="BE15" s="93" t="str">
        <f ca="1">IF(DN15=0,"",DN15)</f>
        <v/>
      </c>
      <c r="BF15" s="93"/>
      <c r="BG15" s="93"/>
      <c r="BI15" s="93"/>
      <c r="BJ15" s="93" t="str">
        <f ca="1">IF(DP15=0,"",DP15)</f>
        <v/>
      </c>
      <c r="BK15" s="93"/>
      <c r="BL15" s="93"/>
      <c r="BN15" s="93"/>
      <c r="BO15" s="93" t="str">
        <f ca="1">IF(DR15=0,"",DR15)</f>
        <v/>
      </c>
      <c r="BP15" s="93"/>
      <c r="BQ15" s="93"/>
      <c r="BS15" s="93"/>
      <c r="BT15" s="93" t="str">
        <f ca="1">IF(DT15=0,"",DT15)</f>
        <v/>
      </c>
      <c r="BU15" s="93"/>
      <c r="BV15" s="93"/>
      <c r="BX15" s="93"/>
      <c r="BY15" s="93" t="str">
        <f ca="1">IF(DV15=0,"",DV15)</f>
        <v/>
      </c>
      <c r="BZ15" s="93"/>
      <c r="CA15" s="93"/>
      <c r="CC15" s="93"/>
      <c r="CD15" s="93" t="str">
        <f ca="1">IF(DX15=0,"",DX15)</f>
        <v/>
      </c>
      <c r="CE15" s="93"/>
      <c r="CF15" s="93"/>
      <c r="CH15" s="93"/>
      <c r="CI15" s="93" t="str">
        <f ca="1">IF(DZ15=0,"",DZ15)</f>
        <v/>
      </c>
      <c r="CJ15" s="93"/>
      <c r="CK15" s="93"/>
      <c r="CM15" s="93"/>
      <c r="CN15" s="93" t="str">
        <f ca="1">IF(EB15=0,"",EB15)</f>
        <v/>
      </c>
      <c r="CO15" s="93"/>
      <c r="CP15" s="93"/>
      <c r="CR15" s="93"/>
      <c r="CS15" s="31">
        <v>83</v>
      </c>
      <c r="CT15" s="32">
        <f ca="1">IFERROR(CT16+CT17,"")</f>
        <v>26.5</v>
      </c>
      <c r="CU15" s="31"/>
      <c r="CV15" s="32" t="str">
        <f ca="1">IFERROR(CV16+CV17,"")</f>
        <v/>
      </c>
      <c r="CW15" s="31"/>
      <c r="CX15" s="32" t="str">
        <f ca="1">IFERROR(CX16+CX17,"")</f>
        <v/>
      </c>
      <c r="CY15" s="31">
        <v>84</v>
      </c>
      <c r="CZ15" s="32">
        <f ca="1">IFERROR(CZ16+CZ17,"")</f>
        <v>24</v>
      </c>
      <c r="DA15" s="31">
        <v>87</v>
      </c>
      <c r="DB15" s="32">
        <f ca="1">IFERROR(DB16+DB17,"")</f>
        <v>23</v>
      </c>
      <c r="DC15" s="31"/>
      <c r="DD15" s="32" t="str">
        <f ca="1">IFERROR(DD16+DD17,"")</f>
        <v/>
      </c>
      <c r="DE15" s="31"/>
      <c r="DF15" s="32" t="str">
        <f ca="1">IFERROR(DF16+DF17,"")</f>
        <v/>
      </c>
      <c r="DG15" s="31"/>
      <c r="DH15" s="32" t="str">
        <f ca="1">IFERROR(DH16+DH17,"")</f>
        <v/>
      </c>
      <c r="DI15" s="31"/>
      <c r="DJ15" s="32" t="str">
        <f ca="1">IFERROR(DJ16+DJ17,"")</f>
        <v/>
      </c>
      <c r="DK15" s="31"/>
      <c r="DL15" s="32" t="str">
        <f ca="1">IFERROR(DL16+DL17,"")</f>
        <v/>
      </c>
      <c r="DM15" s="31"/>
      <c r="DN15" s="32" t="str">
        <f ca="1">IFERROR(DN16+DN17,"")</f>
        <v/>
      </c>
      <c r="DO15" s="31"/>
      <c r="DP15" s="32" t="str">
        <f ca="1">IFERROR(DP16+DP17,"")</f>
        <v/>
      </c>
      <c r="DQ15" s="31"/>
      <c r="DR15" s="32" t="str">
        <f ca="1">IFERROR(DR16+DR17,"")</f>
        <v/>
      </c>
      <c r="DS15" s="31"/>
      <c r="DT15" s="32" t="str">
        <f ca="1">IFERROR(DT16+DT17,"")</f>
        <v/>
      </c>
      <c r="DU15" s="31"/>
      <c r="DV15" s="32" t="str">
        <f ca="1">IFERROR(DV16+DV17,"")</f>
        <v/>
      </c>
      <c r="DW15" s="31"/>
      <c r="DX15" s="32" t="str">
        <f ca="1">IFERROR(DX16+DX17,"")</f>
        <v/>
      </c>
      <c r="DY15" s="31"/>
      <c r="DZ15" s="32" t="str">
        <f ca="1">IFERROR(DZ16+DZ17,"")</f>
        <v/>
      </c>
      <c r="EA15" s="31"/>
      <c r="EB15" s="32" t="str">
        <f ca="1">IFERROR(EB16+EB17,"")</f>
        <v/>
      </c>
      <c r="EC15" s="26">
        <f ca="1">IFERROR(LARGE($G15:$CN15,1),0)+IFERROR(LARGE($G15:$CN15,2),0)+IFERROR(LARGE($G15:$CN15,3),0)+IFERROR(LARGE($G15:$CN15,4),0)+IFERROR(LARGE($G15:$CN15,5),0)+IFERROR(LARGE($G15:$CN15,6),0)+IFERROR(LARGE($G15:$CN15,7),0)+IFERROR(LARGE($G15:$CN15,8),0)+IFERROR(LARGE($G15:$CN15,9),0)+IFERROR(LARGE($G15:$CN15,10),0)</f>
        <v>73.5</v>
      </c>
      <c r="ED15" s="33">
        <f t="shared" ca="1" si="1"/>
        <v>24.5</v>
      </c>
    </row>
    <row r="16" spans="2:151" s="15" customFormat="1" ht="15" outlineLevel="1" x14ac:dyDescent="0.2">
      <c r="B16" s="34">
        <f ca="1">B15+0.14</f>
        <v>4.1399999999999997</v>
      </c>
      <c r="D16" s="87" t="s">
        <v>86</v>
      </c>
      <c r="E16" s="35" t="s">
        <v>38</v>
      </c>
      <c r="F16" s="35"/>
      <c r="G16" s="35"/>
      <c r="H16" s="35">
        <f>IF(CS16=0,"",CS16)</f>
        <v>33</v>
      </c>
      <c r="I16" s="35"/>
      <c r="J16" s="93">
        <f>IFERROR(RANK(H16,H$6:H$115,0),"")</f>
        <v>4</v>
      </c>
      <c r="K16" s="35"/>
      <c r="L16" s="35"/>
      <c r="M16" s="35" t="str">
        <f>IF(CU16=0,"",CU16)</f>
        <v/>
      </c>
      <c r="N16" s="35"/>
      <c r="O16" s="93" t="str">
        <f>IFERROR(RANK(M16,M$6:M$115,0),"")</f>
        <v/>
      </c>
      <c r="P16" s="35"/>
      <c r="Q16" s="35"/>
      <c r="R16" s="35" t="str">
        <f>IF(CW16=0,"",CW16)</f>
        <v/>
      </c>
      <c r="S16" s="35"/>
      <c r="T16" s="93" t="str">
        <f>IFERROR(RANK(R16,R$6:R$115,0),"")</f>
        <v/>
      </c>
      <c r="U16" s="35"/>
      <c r="V16" s="35"/>
      <c r="W16" s="35">
        <f>IF(CY16=0,"",CY16)</f>
        <v>30</v>
      </c>
      <c r="X16" s="35"/>
      <c r="Y16" s="93">
        <f>IFERROR(RANK(W16,W$6:W$115,0),"")</f>
        <v>4</v>
      </c>
      <c r="Z16" s="35"/>
      <c r="AA16" s="35"/>
      <c r="AB16" s="35">
        <f>IF(DA16=0,"",DA16)</f>
        <v>31</v>
      </c>
      <c r="AC16" s="35"/>
      <c r="AD16" s="93">
        <f>IFERROR(RANK(AB16,AB$6:AB$115,0),"")</f>
        <v>7</v>
      </c>
      <c r="AE16" s="35"/>
      <c r="AF16" s="35"/>
      <c r="AG16" s="35" t="str">
        <f>IF(DC16=0,"",DC16)</f>
        <v/>
      </c>
      <c r="AH16" s="35"/>
      <c r="AI16" s="93" t="str">
        <f>IFERROR(RANK(AG16,AG$6:AG$115,0),"")</f>
        <v/>
      </c>
      <c r="AJ16" s="35"/>
      <c r="AK16" s="35"/>
      <c r="AL16" s="35" t="str">
        <f>IF(DE16=0,"",DE16)</f>
        <v/>
      </c>
      <c r="AM16" s="35"/>
      <c r="AN16" s="93" t="str">
        <f>IFERROR(RANK(AL16,AL$6:AL$115,0),"")</f>
        <v/>
      </c>
      <c r="AO16" s="35"/>
      <c r="AP16" s="35"/>
      <c r="AQ16" s="35" t="str">
        <f>IF(DG16=0,"",DG16)</f>
        <v/>
      </c>
      <c r="AR16" s="35"/>
      <c r="AS16" s="93" t="str">
        <f>IFERROR(RANK(AQ16,AQ$6:AQ$115,0),"")</f>
        <v/>
      </c>
      <c r="AT16" s="35"/>
      <c r="AU16" s="35"/>
      <c r="AV16" s="35" t="str">
        <f>IF(DI16=0,"",DI16)</f>
        <v/>
      </c>
      <c r="AW16" s="35"/>
      <c r="AX16" s="93" t="str">
        <f>IFERROR(RANK(AV16,AV$6:AV$115,0),"")</f>
        <v/>
      </c>
      <c r="AY16" s="35"/>
      <c r="AZ16" s="35"/>
      <c r="BA16" s="35" t="str">
        <f>IF(DK16=0,"",DK16)</f>
        <v/>
      </c>
      <c r="BB16" s="35"/>
      <c r="BC16" s="93" t="str">
        <f>IFERROR(RANK(BA16,BA$6:BA$115,0),"")</f>
        <v/>
      </c>
      <c r="BD16" s="35"/>
      <c r="BE16" s="35"/>
      <c r="BF16" s="35" t="str">
        <f>IF(DM16=0,"",DM16)</f>
        <v/>
      </c>
      <c r="BG16" s="35"/>
      <c r="BH16" s="93" t="str">
        <f>IFERROR(RANK(BF16,BF$6:BF$115,0),"")</f>
        <v/>
      </c>
      <c r="BI16" s="35"/>
      <c r="BJ16" s="35"/>
      <c r="BK16" s="35" t="str">
        <f>IF(DO16=0,"",DO16)</f>
        <v/>
      </c>
      <c r="BL16" s="35"/>
      <c r="BM16" s="93" t="str">
        <f>IFERROR(RANK(BK16,BK$6:BK$115,0),"")</f>
        <v/>
      </c>
      <c r="BN16" s="35"/>
      <c r="BO16" s="35"/>
      <c r="BP16" s="35" t="str">
        <f>IF(DQ16=0,"",DQ16)</f>
        <v/>
      </c>
      <c r="BQ16" s="35"/>
      <c r="BR16" s="93" t="str">
        <f>IFERROR(RANK(BP16,BP$6:BP$115,0),"")</f>
        <v/>
      </c>
      <c r="BS16" s="35"/>
      <c r="BT16" s="35"/>
      <c r="BU16" s="35" t="str">
        <f>IF(DS16=0,"",DS16)</f>
        <v/>
      </c>
      <c r="BV16" s="35"/>
      <c r="BW16" s="93" t="str">
        <f>IFERROR(RANK(BU16,BU$6:BU$115,0),"")</f>
        <v/>
      </c>
      <c r="BX16" s="35"/>
      <c r="BY16" s="35"/>
      <c r="BZ16" s="35" t="str">
        <f>IF(DU16=0,"",DU16)</f>
        <v/>
      </c>
      <c r="CA16" s="35"/>
      <c r="CB16" s="93" t="str">
        <f>IFERROR(RANK(BZ16,BZ$6:BZ$115,0),"")</f>
        <v/>
      </c>
      <c r="CC16" s="35"/>
      <c r="CD16" s="35"/>
      <c r="CE16" s="35" t="str">
        <f>IF(DW16=0,"",DW16)</f>
        <v/>
      </c>
      <c r="CF16" s="35"/>
      <c r="CG16" s="93" t="str">
        <f>IFERROR(RANK(CE16,CE$6:CE$115,0),"")</f>
        <v/>
      </c>
      <c r="CH16" s="35"/>
      <c r="CI16" s="35"/>
      <c r="CJ16" s="35" t="str">
        <f>IF(DY16=0,"",DY16)</f>
        <v/>
      </c>
      <c r="CK16" s="35"/>
      <c r="CL16" s="93" t="str">
        <f>IFERROR(RANK(CJ16,CJ$6:CJ$115,0),"")</f>
        <v/>
      </c>
      <c r="CM16" s="35"/>
      <c r="CN16" s="35"/>
      <c r="CO16" s="35" t="str">
        <f>IF(EA16=0,"",EA16)</f>
        <v/>
      </c>
      <c r="CP16" s="35"/>
      <c r="CQ16" s="93" t="str">
        <f>IFERROR(RANK(CO16,CO$6:CO$115,0),"")</f>
        <v/>
      </c>
      <c r="CR16" s="35"/>
      <c r="CS16" s="31">
        <v>33</v>
      </c>
      <c r="CT16" s="36">
        <f ca="1">IFERROR(AVERAGE(OFFSET('Data - For Rank'!B$2,J16,0,COUNTIF($J$7:J$115,J16)))+IFERROR(VLOOKUP((COUNT($H$6:$H$115)/4),$ER$8:$ES$12,2,FALSE()),0),"")</f>
        <v>14.5</v>
      </c>
      <c r="CU16" s="31"/>
      <c r="CV16" s="36" t="str">
        <f ca="1">IFERROR(AVERAGE(OFFSET('Data - For Rank'!$C$2,O16,0,COUNTIF(O$7:O$115,O16)))+IFERROR(VLOOKUP((COUNT(M$6:M$115)/4),$ER$8:$ES$12,2,FALSE()),0),"")</f>
        <v/>
      </c>
      <c r="CW16" s="31"/>
      <c r="CX16" s="36" t="str">
        <f ca="1">IFERROR(AVERAGE(OFFSET('Data - For Rank'!D$2,T16,0,COUNTIF(T$7:T$115,T16)))+IFERROR(VLOOKUP((COUNT(R$6:R$115)/4),$ER$8:$ES$12,2,FALSE()),0),"")</f>
        <v/>
      </c>
      <c r="CY16" s="31">
        <v>30</v>
      </c>
      <c r="CZ16" s="36">
        <f ca="1">IFERROR(AVERAGE(OFFSET('Data - For Rank'!E$2,Y16,0,COUNTIF(Y$7:Y$115,Y16)))+IFERROR(VLOOKUP((COUNT(W$6:W$115)/4),$ER$8:$ES$12,2,FALSE()),0),"")</f>
        <v>11</v>
      </c>
      <c r="DA16" s="31">
        <v>31</v>
      </c>
      <c r="DB16" s="36">
        <f ca="1">IFERROR(AVERAGE(OFFSET('Data - For Rank'!F$2,AD16,0,COUNTIF(AD$7:AD$115,AD16)))+IFERROR(VLOOKUP((COUNT(AB$6:AB$115)/4),$ER$8:$ES$12,2,FALSE()),0),"")</f>
        <v>11</v>
      </c>
      <c r="DC16" s="31"/>
      <c r="DD16" s="36" t="str">
        <f ca="1">IFERROR(AVERAGE(OFFSET('Data - For Rank'!G$2,AI16,0,COUNTIF(AI$7:AI$115,AI16)))+IFERROR(VLOOKUP((COUNT(AG$6:AG$115)/4),$ER$8:$ES$12,2,FALSE()),0),"")</f>
        <v/>
      </c>
      <c r="DE16" s="31"/>
      <c r="DF16" s="36" t="str">
        <f ca="1">IFERROR(AVERAGE(OFFSET('Data - For Rank'!$H$2,AN16,0,COUNTIF(AN$7:AN$115,AN16)))+IFERROR(VLOOKUP((COUNT(AL$6:AL$115)/4),$ER$8:$ES$12,2,FALSE()),0),"")</f>
        <v/>
      </c>
      <c r="DG16" s="31"/>
      <c r="DH16" s="36" t="str">
        <f ca="1">IFERROR(AVERAGE(OFFSET('Data - For Rank'!$I$2,AS16,0,COUNTIF(AS$7:AS$115,AS16)))+IFERROR(VLOOKUP((COUNT(AQ$6:AQ$115)/4),$ER$8:$ES$12,2,FALSE()),0),"")</f>
        <v/>
      </c>
      <c r="DI16" s="31"/>
      <c r="DJ16" s="36" t="str">
        <f ca="1">IFERROR(AVERAGE(OFFSET('Data - For Rank'!$J$2,AX16,0,COUNTIF(AX$7:AX$115,AX16)))+IFERROR(VLOOKUP((COUNT(AV$6:AV$115)/4),$ER$8:$ES$12,2,FALSE()),0),"")</f>
        <v/>
      </c>
      <c r="DK16" s="31"/>
      <c r="DL16" s="36" t="str">
        <f ca="1">IFERROR(AVERAGE(OFFSET('Data - For Rank'!$K$2,BC16,0,COUNTIF(BC$7:BC$115,BC16)))+IFERROR(VLOOKUP((COUNT(BA$6:BA$115)/4),$ER$8:$ES$12,2,FALSE()),0),"")</f>
        <v/>
      </c>
      <c r="DM16" s="31"/>
      <c r="DN16" s="36" t="str">
        <f ca="1">IFERROR(AVERAGE(OFFSET('Data - For Rank'!$L$2,BH16,0,COUNTIF(BH$7:BH$115,BH16)))+IFERROR(VLOOKUP((COUNT(BF$6:BF$115)/4),$ER$8:$ES$12,2,FALSE()),0),"")</f>
        <v/>
      </c>
      <c r="DO16" s="31"/>
      <c r="DP16" s="36" t="str">
        <f ca="1">IFERROR(AVERAGE(OFFSET('Data - For Rank'!$M$2,BM16,0,COUNTIF(BM$7:BM$115,BM16)))+IFERROR(VLOOKUP((COUNT(BK$6:BK$115)/4),$ER$8:$ES$12,2,FALSE()),0),"")</f>
        <v/>
      </c>
      <c r="DQ16" s="31"/>
      <c r="DR16" s="36" t="str">
        <f ca="1">IFERROR(AVERAGE(OFFSET('Data - For Rank'!$N$2,BR16,0,COUNTIF(BR$7:BR$115,BR16)))+IFERROR(VLOOKUP((COUNT(BP$6:BP$115)/4),$ER$8:$ES$12,2,FALSE()),0),"")</f>
        <v/>
      </c>
      <c r="DS16" s="31"/>
      <c r="DT16" s="36" t="str">
        <f ca="1">IFERROR(AVERAGE(OFFSET('Data - For Rank'!$O$2,BW16,0,COUNTIF(BW$7:BW$115,BW16)))+IFERROR(VLOOKUP((COUNT(BU$6:BU$115)/4),$ER$8:$ES$12,2,FALSE()),0),"")</f>
        <v/>
      </c>
      <c r="DU16" s="31"/>
      <c r="DV16" s="36" t="str">
        <f ca="1">IFERROR(AVERAGE(OFFSET('Data - For Rank'!$P$2,CB16,0,COUNTIF(CB$7:CB$115,CB16)))+IFERROR(VLOOKUP((COUNT(BZ$6:BZ$115)/4),$ER$8:$ES$12,2,FALSE()),0),"")</f>
        <v/>
      </c>
      <c r="DW16" s="31"/>
      <c r="DX16" s="36" t="str">
        <f ca="1">IFERROR(AVERAGE(OFFSET('Data - For Rank'!$Q$2,CG16,0,COUNTIF(CG$7:CG$115,CG16)))+IFERROR(VLOOKUP((COUNT(CE$6:CE$115)/4),$ER$8:$ES$12,2,FALSE()),0),"")</f>
        <v/>
      </c>
      <c r="DY16" s="31"/>
      <c r="DZ16" s="36" t="str">
        <f ca="1">IFERROR(AVERAGE(OFFSET('Data - For Rank'!$R$2,CL16,0,COUNTIF(CL$7:CL$115,CL16)))+IFERROR(VLOOKUP((COUNT(CJ$6:CJ$115)/4),$ER$8:$ES$12,2,FALSE()),0),"")</f>
        <v/>
      </c>
      <c r="EA16" s="31"/>
      <c r="EB16" s="36" t="str">
        <f ca="1">IFERROR(AVERAGE(OFFSET('Data - For Rank'!$S$2,CQ16,0,COUNTIF(CQ$7:CQ$115,CQ16)))+IFERROR(VLOOKUP((COUNT(CO$6:CO$115)/4),$ER$8:$ES$12,2,FALSE()),0),"")</f>
        <v/>
      </c>
      <c r="EC16" s="37">
        <f>AVERAGE(CS16,CU16,CW16,CY16,DA16,DC16,DE16,DG16,DI16,DK16,DM16,DO16,DQ16,DS16,DU16,DW16,DY16,EA16)</f>
        <v>31.333333333333332</v>
      </c>
      <c r="ED16" s="33">
        <f t="shared" ca="1" si="1"/>
        <v>12.166666666666666</v>
      </c>
      <c r="EM16" s="99" t="s">
        <v>87</v>
      </c>
    </row>
    <row r="17" spans="2:151" s="15" customFormat="1" outlineLevel="1" x14ac:dyDescent="0.2">
      <c r="B17" s="38">
        <f ca="1">B15+0.024</f>
        <v>4.024</v>
      </c>
      <c r="D17" s="87" t="s">
        <v>88</v>
      </c>
      <c r="E17" s="39" t="s">
        <v>39</v>
      </c>
      <c r="F17" s="40">
        <f ca="1">IF(COUNT(CT15:EB15)&gt;10,SMALL(G15:CN15,COUNT(G15:CN15)-10),MIN(CT15:EB15))</f>
        <v>23</v>
      </c>
      <c r="G17" s="40"/>
      <c r="H17" s="40"/>
      <c r="I17" s="96">
        <f>IF(CS17=0,"",CS17)</f>
        <v>5</v>
      </c>
      <c r="J17" s="96"/>
      <c r="K17" s="97">
        <f>IFERROR(_xlfn.RANK.EQ(I17,I$6:I$115,0),"")</f>
        <v>7</v>
      </c>
      <c r="L17" s="40"/>
      <c r="M17" s="40"/>
      <c r="N17" s="96" t="str">
        <f>IF(CU17=0,"",CU17)</f>
        <v/>
      </c>
      <c r="O17" s="96"/>
      <c r="P17" s="97" t="str">
        <f>IFERROR(_xlfn.RANK.EQ(N17,N$6:N$115,0),"")</f>
        <v/>
      </c>
      <c r="Q17" s="40"/>
      <c r="R17" s="40"/>
      <c r="S17" s="96" t="str">
        <f>IF(CW17=0,"",CW17)</f>
        <v/>
      </c>
      <c r="T17" s="96"/>
      <c r="U17" s="97" t="str">
        <f>IFERROR(_xlfn.RANK.EQ(S17,S$6:S$115,0),"")</f>
        <v/>
      </c>
      <c r="V17" s="40"/>
      <c r="W17" s="40"/>
      <c r="X17" s="96">
        <f>IF(CY17=0,"",CY17)</f>
        <v>41</v>
      </c>
      <c r="Y17" s="96"/>
      <c r="Z17" s="97">
        <f>IFERROR(_xlfn.RANK.EQ(X17,X$6:X$115,0),"")</f>
        <v>2</v>
      </c>
      <c r="AA17" s="40"/>
      <c r="AB17" s="40"/>
      <c r="AC17" s="96">
        <f>IF(DA17=0,"",DA17)</f>
        <v>8</v>
      </c>
      <c r="AD17" s="96"/>
      <c r="AE17" s="97">
        <f>IFERROR(_xlfn.RANK.EQ(AC17,AC$6:AC$115,0),"")</f>
        <v>6</v>
      </c>
      <c r="AF17" s="40"/>
      <c r="AG17" s="40"/>
      <c r="AH17" s="96" t="str">
        <f>IF(DC17=0,"",DC17)</f>
        <v/>
      </c>
      <c r="AI17" s="96"/>
      <c r="AJ17" s="97" t="str">
        <f>IFERROR(_xlfn.RANK.EQ(AH17,AH$6:AH$115,0),"")</f>
        <v/>
      </c>
      <c r="AK17" s="40"/>
      <c r="AL17" s="40"/>
      <c r="AM17" s="96" t="str">
        <f>IF(DE17=0,"",DE17)</f>
        <v/>
      </c>
      <c r="AN17" s="96"/>
      <c r="AO17" s="97" t="str">
        <f>IFERROR(_xlfn.RANK.EQ(AM17,AM$6:AM$115,0),"")</f>
        <v/>
      </c>
      <c r="AP17" s="40"/>
      <c r="AQ17" s="40"/>
      <c r="AR17" s="96" t="str">
        <f>IF(DG17=0,"",DG17)</f>
        <v/>
      </c>
      <c r="AS17" s="96"/>
      <c r="AT17" s="97" t="str">
        <f>IFERROR(_xlfn.RANK.EQ(AR17,AR$6:AR$115,0),"")</f>
        <v/>
      </c>
      <c r="AU17" s="40"/>
      <c r="AV17" s="40"/>
      <c r="AW17" s="96" t="str">
        <f>IF(DI17=0,"",DI17)</f>
        <v/>
      </c>
      <c r="AX17" s="96"/>
      <c r="AY17" s="97" t="str">
        <f>IFERROR(_xlfn.RANK.EQ(AW17,AW$6:AW$115,0),"")</f>
        <v/>
      </c>
      <c r="AZ17" s="40"/>
      <c r="BA17" s="40"/>
      <c r="BB17" s="96" t="str">
        <f>IF(DK17=0,"",DK17)</f>
        <v/>
      </c>
      <c r="BC17" s="96"/>
      <c r="BD17" s="97" t="str">
        <f>IFERROR(_xlfn.RANK.EQ(BB17,BB$6:BB$115,0),"")</f>
        <v/>
      </c>
      <c r="BE17" s="40"/>
      <c r="BF17" s="40"/>
      <c r="BG17" s="96" t="str">
        <f>IF(DM17=0,"",DM17)</f>
        <v/>
      </c>
      <c r="BH17" s="96"/>
      <c r="BI17" s="97" t="str">
        <f>IFERROR(_xlfn.RANK.EQ(BG17,BG$6:BG$115,0),"")</f>
        <v/>
      </c>
      <c r="BJ17" s="40"/>
      <c r="BK17" s="40"/>
      <c r="BL17" s="96" t="str">
        <f>IF(DO17=0,"",DO17)</f>
        <v/>
      </c>
      <c r="BM17" s="96"/>
      <c r="BN17" s="97" t="str">
        <f>IFERROR(_xlfn.RANK.EQ(BL17,BL$6:BL$115,0),"")</f>
        <v/>
      </c>
      <c r="BO17" s="40"/>
      <c r="BP17" s="40"/>
      <c r="BQ17" s="96" t="str">
        <f>IF(DQ17=0,"",DQ17)</f>
        <v/>
      </c>
      <c r="BR17" s="96"/>
      <c r="BS17" s="97" t="str">
        <f>IFERROR(_xlfn.RANK.EQ(BQ17,BQ$6:BQ$115,0),"")</f>
        <v/>
      </c>
      <c r="BT17" s="40"/>
      <c r="BU17" s="40"/>
      <c r="BV17" s="96" t="str">
        <f>IF(DS17=0,"",DS17)</f>
        <v/>
      </c>
      <c r="BW17" s="96"/>
      <c r="BX17" s="97" t="str">
        <f>IFERROR(_xlfn.RANK.EQ(BV17,BV$6:BV$115,0),"")</f>
        <v/>
      </c>
      <c r="BY17" s="40"/>
      <c r="BZ17" s="40"/>
      <c r="CA17" s="96" t="str">
        <f>IF(DU17=0,"",DU17)</f>
        <v/>
      </c>
      <c r="CB17" s="96"/>
      <c r="CC17" s="97" t="str">
        <f>IFERROR(_xlfn.RANK.EQ(CA17,CA$6:CA$115,0),"")</f>
        <v/>
      </c>
      <c r="CD17" s="40"/>
      <c r="CE17" s="40"/>
      <c r="CF17" s="96" t="str">
        <f>IF(DW17=0,"",DW17)</f>
        <v/>
      </c>
      <c r="CG17" s="96"/>
      <c r="CH17" s="97" t="str">
        <f>IFERROR(_xlfn.RANK.EQ(CF17,CF$6:CF$115,0),"")</f>
        <v/>
      </c>
      <c r="CI17" s="40"/>
      <c r="CJ17" s="40"/>
      <c r="CK17" s="96" t="str">
        <f>IF(DY17=0,"",DY17)</f>
        <v/>
      </c>
      <c r="CL17" s="96"/>
      <c r="CM17" s="97" t="str">
        <f>IFERROR(_xlfn.RANK.EQ(CK17,CK$6:CK$115,0),"")</f>
        <v/>
      </c>
      <c r="CN17" s="40"/>
      <c r="CO17" s="40"/>
      <c r="CP17" s="96" t="str">
        <f>IF(EA17=0,"",EA17)</f>
        <v/>
      </c>
      <c r="CQ17" s="96"/>
      <c r="CR17" s="97" t="str">
        <f>IFERROR(_xlfn.RANK.EQ(CP17,CP$6:CP$115,0),"")</f>
        <v/>
      </c>
      <c r="CS17" s="41">
        <v>5</v>
      </c>
      <c r="CT17" s="42">
        <f ca="1">IFERROR(AVERAGE(OFFSET('Data - For Rank'!B$2,K17,0,COUNTIF(K$6:K$115,K17)))+IFERROR(VLOOKUP((COUNT($I$6:$I$115)/4),$ER$8:$ES$12,2,FALSE()),0),"")</f>
        <v>12</v>
      </c>
      <c r="CU17" s="41"/>
      <c r="CV17" s="42" t="str">
        <f ca="1">IFERROR(AVERAGE(OFFSET('Data - For Rank'!$C$2,P17,0,COUNTIF(P$6:P$115,P17)))+IFERROR(VLOOKUP((COUNT(N$6:N$115)/4),$ER$8:$ES$12,2,FALSE()),0),"")</f>
        <v/>
      </c>
      <c r="CW17" s="41"/>
      <c r="CX17" s="42" t="str">
        <f ca="1">IFERROR(AVERAGE(OFFSET('Data - For Rank'!D$2,U17,0,COUNTIF(U$6:$U124,U17)))+IFERROR(VLOOKUP((COUNT(S$6:S$115)/4),$ER$8:$ES$12,2,FALSE()),0),"")</f>
        <v/>
      </c>
      <c r="CY17" s="41">
        <v>41</v>
      </c>
      <c r="CZ17" s="42">
        <f ca="1">IFERROR(AVERAGE(OFFSET('Data - For Rank'!E$2,Z17,0,COUNTIF(Z$6:Z$115,Z17)))+IFERROR(VLOOKUP((COUNT(W$6:W$115)/4),$ER$8:$ES$12,2,FALSE()),0),"")</f>
        <v>13</v>
      </c>
      <c r="DA17" s="41">
        <v>8</v>
      </c>
      <c r="DB17" s="42">
        <f ca="1">IFERROR(AVERAGE(OFFSET('Data - For Rank'!F$2,AE17,0,COUNTIF(AE$6:AE$115,AE17)))+IFERROR(VLOOKUP((COUNT(AC$6:AC$115)/4),$ER$8:$ES$12,2,FALSE()),0),"")</f>
        <v>12</v>
      </c>
      <c r="DC17" s="41"/>
      <c r="DD17" s="42" t="str">
        <f ca="1">IFERROR(AVERAGE(OFFSET('Data - For Rank'!G$2,AJ17,0,COUNTIF(AJ$6:AJ$115,AJ17)))+IFERROR(VLOOKUP((COUNT(AH$6:AH$115)/4),$ER$8:$ES$12,2,FALSE()),0),"")</f>
        <v/>
      </c>
      <c r="DE17" s="41"/>
      <c r="DF17" s="42" t="str">
        <f ca="1">IFERROR(AVERAGE(OFFSET('Data - For Rank'!$H$2,AO17,0,COUNTIF(AO$6:AO$115,AO17)))+IFERROR(VLOOKUP((COUNT(AM$6:AM$115)/4),$ER$8:$ES$12,2,FALSE()),0),"")</f>
        <v/>
      </c>
      <c r="DG17" s="41"/>
      <c r="DH17" s="42" t="str">
        <f ca="1">IFERROR(AVERAGE(OFFSET('Data - For Rank'!$I$2,AT17,0,COUNTIF(AT$6:AT$115,AT17)))+IFERROR(VLOOKUP((COUNT(AR$6:AR$115)/4),$ER$8:$ES$12,2,FALSE()),0),"")</f>
        <v/>
      </c>
      <c r="DI17" s="41"/>
      <c r="DJ17" s="42" t="str">
        <f ca="1">IFERROR(AVERAGE(OFFSET('Data - For Rank'!$J$2,AY17,0,COUNTIF(AY$6:AY$115,AY17)))+IFERROR(VLOOKUP((COUNT(AW$6:AW$115)/4),$ER$8:$ES$12,2,FALSE()),0),"")</f>
        <v/>
      </c>
      <c r="DK17" s="41"/>
      <c r="DL17" s="42" t="str">
        <f ca="1">IFERROR(AVERAGE(OFFSET('Data - For Rank'!$K$2,BD17,0,COUNTIF(BD$6:BD$115,BD17)))+IFERROR(VLOOKUP((COUNT(BB$6:BB$115)/4),$ER$8:$ES$12,2,FALSE()),0),"")</f>
        <v/>
      </c>
      <c r="DM17" s="41"/>
      <c r="DN17" s="42" t="str">
        <f ca="1">IFERROR(AVERAGE(OFFSET('Data - For Rank'!$L$2,BI17,0,COUNTIF(BI$6:BI$115,BI17)))+IFERROR(VLOOKUP((COUNT(BG$6:BG$115)/4),$ER$8:$ES$12,2,FALSE()),0),"")</f>
        <v/>
      </c>
      <c r="DO17" s="41"/>
      <c r="DP17" s="42" t="str">
        <f ca="1">IFERROR(AVERAGE(OFFSET('Data - For Rank'!$M$2,BN17,0,COUNTIF(BN$6:BN$115,BN17)))+IFERROR(VLOOKUP((COUNT(BL$6:BL$115)/4),$ER$8:$ES$12,2,FALSE()),0),"")</f>
        <v/>
      </c>
      <c r="DQ17" s="41"/>
      <c r="DR17" s="42" t="str">
        <f ca="1">IFERROR(AVERAGE(OFFSET('Data - For Rank'!$N$2,BS17,0,COUNTIF(BS$6:BS$115,BS17)))+IFERROR(VLOOKUP((COUNT(BQ$6:BQ$115)/4),$ER$8:$ES$12,2,FALSE()),0),"")</f>
        <v/>
      </c>
      <c r="DS17" s="41"/>
      <c r="DT17" s="42" t="str">
        <f ca="1">IFERROR(AVERAGE(OFFSET('Data - For Rank'!$O$2,BX17,0,COUNTIF(BX$6:BX$115,BX17)))+IFERROR(VLOOKUP((COUNT(BV$6:BV$115)/4),$ER$8:$ES$12,2,FALSE()),0),"")</f>
        <v/>
      </c>
      <c r="DU17" s="41"/>
      <c r="DV17" s="42" t="str">
        <f ca="1">IFERROR(AVERAGE(OFFSET('Data - For Rank'!$P$2,CC17,0,COUNTIF(CC$6:CC$115,CC17)))+IFERROR(VLOOKUP((COUNT(CA$6:CA$115)/4),$ER$8:$ES$12,2,FALSE()),0),"")</f>
        <v/>
      </c>
      <c r="DW17" s="41"/>
      <c r="DX17" s="42" t="str">
        <f ca="1">IFERROR(AVERAGE(OFFSET('Data - For Rank'!$Q$2,CH17,0,COUNTIF(CH$6:CH$115,CH17)))+IFERROR(VLOOKUP((COUNT(CF$6:CF$115)/4),$ER$8:$ES$12,2,FALSE()),0),"")</f>
        <v/>
      </c>
      <c r="DY17" s="41"/>
      <c r="DZ17" s="42" t="str">
        <f ca="1">IFERROR(AVERAGE(OFFSET('Data - For Rank'!$R$2,CM17,0,COUNTIF(CM$6:CM$115,CM17)))+IFERROR(VLOOKUP((COUNT(CK$6:CK$115)/4),$ER$8:$ES$12,2,FALSE()),0),"")</f>
        <v/>
      </c>
      <c r="EA17" s="41"/>
      <c r="EB17" s="42" t="str">
        <f ca="1">IFERROR(AVERAGE(OFFSET('Data - For Rank'!$S$2,CR17,0,COUNTIF(CR$6:CR$115,CR17)))+IFERROR(VLOOKUP((COUNT(CP$6:CP$115)/4),$ER$8:$ES$12,2,FALSE()),0),"")</f>
        <v/>
      </c>
      <c r="EC17" s="43">
        <f>CS17+CU17+CW17+CY17+DA17+DC17+DE17+DG17+DI17+DK17+DM17+DO17+DQ17+DS17+DU17+DW17+DY17+EA17</f>
        <v>54</v>
      </c>
      <c r="ED17" s="44">
        <f t="shared" ca="1" si="1"/>
        <v>12.333333333333334</v>
      </c>
    </row>
    <row r="18" spans="2:151" x14ac:dyDescent="0.2">
      <c r="B18" s="21">
        <f ca="1">_xlfn.RANK.EQ(C18,$C$6:$C$63,)</f>
        <v>4</v>
      </c>
      <c r="C18" s="56">
        <f ca="1">EC18</f>
        <v>73.5</v>
      </c>
      <c r="D18" s="56" t="s">
        <v>89</v>
      </c>
      <c r="E18" s="29" t="s">
        <v>43</v>
      </c>
      <c r="F18" s="30">
        <f ca="1">COUNT(CT18,CV18,CX18,CZ18,DB18,DD18,DF18,DH18,DJ18,DL18,DN18,DP18,DR18,DT18,DV18,DX18,DZ18,EB18)</f>
        <v>3</v>
      </c>
      <c r="G18" s="93">
        <f ca="1">IF(CT18=0,"",CT18)</f>
        <v>23</v>
      </c>
      <c r="H18" s="93"/>
      <c r="I18" s="93"/>
      <c r="K18" s="93"/>
      <c r="L18" s="93" t="str">
        <f ca="1">IF(CV18=0,"",CV18)</f>
        <v/>
      </c>
      <c r="M18" s="93"/>
      <c r="N18" s="93"/>
      <c r="P18" s="93"/>
      <c r="Q18" s="93" t="str">
        <f ca="1">IF(CX18=0,"",CX18)</f>
        <v/>
      </c>
      <c r="R18" s="93"/>
      <c r="S18" s="93"/>
      <c r="U18" s="93"/>
      <c r="V18" s="93">
        <f ca="1">IF(CZ18=0,"",CZ18)</f>
        <v>21.5</v>
      </c>
      <c r="W18" s="93"/>
      <c r="X18" s="93"/>
      <c r="Z18" s="93"/>
      <c r="AA18" s="93">
        <f ca="1">IF(DB18=0,"",DB18)</f>
        <v>29</v>
      </c>
      <c r="AB18" s="93"/>
      <c r="AC18" s="93"/>
      <c r="AE18" s="93"/>
      <c r="AF18" s="93" t="str">
        <f ca="1">IF(DD18=0,"",DD18)</f>
        <v/>
      </c>
      <c r="AG18" s="93"/>
      <c r="AH18" s="93"/>
      <c r="AJ18" s="93"/>
      <c r="AK18" s="93" t="str">
        <f ca="1">IF(DF18=0,"",DF18)</f>
        <v/>
      </c>
      <c r="AL18" s="93"/>
      <c r="AM18" s="93"/>
      <c r="AO18" s="93"/>
      <c r="AP18" s="93" t="str">
        <f ca="1">IF(DH18=0,"",DH18)</f>
        <v/>
      </c>
      <c r="AQ18" s="93"/>
      <c r="AR18" s="93"/>
      <c r="AT18" s="93"/>
      <c r="AU18" s="93" t="str">
        <f ca="1">IF(DJ18=0,"",DJ18)</f>
        <v/>
      </c>
      <c r="AV18" s="93"/>
      <c r="AW18" s="93"/>
      <c r="AY18" s="93"/>
      <c r="AZ18" s="93" t="str">
        <f ca="1">IF(DL18=0,"",DL18)</f>
        <v/>
      </c>
      <c r="BA18" s="93"/>
      <c r="BB18" s="93"/>
      <c r="BD18" s="93"/>
      <c r="BE18" s="93" t="str">
        <f ca="1">IF(DN18=0,"",DN18)</f>
        <v/>
      </c>
      <c r="BF18" s="93"/>
      <c r="BG18" s="93"/>
      <c r="BI18" s="93"/>
      <c r="BJ18" s="93" t="str">
        <f ca="1">IF(DP18=0,"",DP18)</f>
        <v/>
      </c>
      <c r="BK18" s="93"/>
      <c r="BL18" s="93"/>
      <c r="BN18" s="93"/>
      <c r="BO18" s="93" t="str">
        <f ca="1">IF(DR18=0,"",DR18)</f>
        <v/>
      </c>
      <c r="BP18" s="93"/>
      <c r="BQ18" s="93"/>
      <c r="BS18" s="93"/>
      <c r="BT18" s="93" t="str">
        <f ca="1">IF(DT18=0,"",DT18)</f>
        <v/>
      </c>
      <c r="BU18" s="93"/>
      <c r="BV18" s="93"/>
      <c r="BX18" s="93"/>
      <c r="BY18" s="93" t="str">
        <f ca="1">IF(DV18=0,"",DV18)</f>
        <v/>
      </c>
      <c r="BZ18" s="93"/>
      <c r="CA18" s="93"/>
      <c r="CC18" s="93"/>
      <c r="CD18" s="93" t="str">
        <f ca="1">IF(DX18=0,"",DX18)</f>
        <v/>
      </c>
      <c r="CE18" s="93"/>
      <c r="CF18" s="93"/>
      <c r="CH18" s="93"/>
      <c r="CI18" s="93" t="str">
        <f ca="1">IF(DZ18=0,"",DZ18)</f>
        <v/>
      </c>
      <c r="CJ18" s="93"/>
      <c r="CK18" s="93"/>
      <c r="CM18" s="93"/>
      <c r="CN18" s="93" t="str">
        <f ca="1">IF(EB18=0,"",EB18)</f>
        <v/>
      </c>
      <c r="CO18" s="93"/>
      <c r="CP18" s="93"/>
      <c r="CR18" s="93"/>
      <c r="CS18" s="31">
        <v>80</v>
      </c>
      <c r="CT18" s="32">
        <f ca="1">IFERROR(CT19+CT20,"")</f>
        <v>23</v>
      </c>
      <c r="CU18" s="31"/>
      <c r="CV18" s="32" t="str">
        <f ca="1">IFERROR(CV19+CV20,"")</f>
        <v/>
      </c>
      <c r="CW18" s="31"/>
      <c r="CX18" s="32" t="str">
        <f ca="1">IFERROR(CX19+CX20,"")</f>
        <v/>
      </c>
      <c r="CY18" s="31">
        <v>81</v>
      </c>
      <c r="CZ18" s="32">
        <f ca="1">IFERROR(CZ19+CZ20,"")</f>
        <v>21.5</v>
      </c>
      <c r="DA18" s="31">
        <v>83</v>
      </c>
      <c r="DB18" s="32">
        <f ca="1">IFERROR(DB19+DB20,"")</f>
        <v>29</v>
      </c>
      <c r="DC18" s="31"/>
      <c r="DD18" s="32" t="str">
        <f ca="1">IFERROR(DD19+DD20,"")</f>
        <v/>
      </c>
      <c r="DE18" s="31"/>
      <c r="DF18" s="32" t="str">
        <f ca="1">IFERROR(DF19+DF20,"")</f>
        <v/>
      </c>
      <c r="DG18" s="31"/>
      <c r="DH18" s="32" t="str">
        <f ca="1">IFERROR(DH19+DH20,"")</f>
        <v/>
      </c>
      <c r="DI18" s="31"/>
      <c r="DJ18" s="32" t="str">
        <f ca="1">IFERROR(DJ19+DJ20,"")</f>
        <v/>
      </c>
      <c r="DK18" s="31"/>
      <c r="DL18" s="32" t="str">
        <f ca="1">IFERROR(DL19+DL20,"")</f>
        <v/>
      </c>
      <c r="DM18" s="31"/>
      <c r="DN18" s="32" t="str">
        <f ca="1">IFERROR(DN19+DN20,"")</f>
        <v/>
      </c>
      <c r="DO18" s="31"/>
      <c r="DP18" s="32" t="str">
        <f ca="1">IFERROR(DP19+DP20,"")</f>
        <v/>
      </c>
      <c r="DQ18" s="31"/>
      <c r="DR18" s="32" t="str">
        <f ca="1">IFERROR(DR19+DR20,"")</f>
        <v/>
      </c>
      <c r="DS18" s="31"/>
      <c r="DT18" s="32" t="str">
        <f ca="1">IFERROR(DT19+DT20,"")</f>
        <v/>
      </c>
      <c r="DU18" s="31"/>
      <c r="DV18" s="32" t="str">
        <f ca="1">IFERROR(DV19+DV20,"")</f>
        <v/>
      </c>
      <c r="DW18" s="31"/>
      <c r="DX18" s="32" t="str">
        <f ca="1">IFERROR(DX19+DX20,"")</f>
        <v/>
      </c>
      <c r="DY18" s="31"/>
      <c r="DZ18" s="32" t="str">
        <f ca="1">IFERROR(DZ19+DZ20,"")</f>
        <v/>
      </c>
      <c r="EA18" s="31"/>
      <c r="EB18" s="32" t="str">
        <f ca="1">IFERROR(EB19+EB20,"")</f>
        <v/>
      </c>
      <c r="EC18" s="26">
        <f ca="1">IFERROR(LARGE($G18:$CN18,1),0)+IFERROR(LARGE($G18:$CN18,2),0)+IFERROR(LARGE($G18:$CN18,3),0)+IFERROR(LARGE($G18:$CN18,4),0)+IFERROR(LARGE($G18:$CN18,5),0)+IFERROR(LARGE($G18:$CN18,6),0)+IFERROR(LARGE($G18:$CN18,7),0)+IFERROR(LARGE($G18:$CN18,8),0)+IFERROR(LARGE($G18:$CN18,9),0)+IFERROR(LARGE($G18:$CN18,10),0)</f>
        <v>73.5</v>
      </c>
      <c r="ED18" s="33">
        <f t="shared" ca="1" si="1"/>
        <v>24.5</v>
      </c>
    </row>
    <row r="19" spans="2:151" s="15" customFormat="1" outlineLevel="1" x14ac:dyDescent="0.2">
      <c r="B19" s="34">
        <f ca="1">B18+0.15</f>
        <v>4.1500000000000004</v>
      </c>
      <c r="D19" s="87" t="s">
        <v>90</v>
      </c>
      <c r="E19" s="35" t="s">
        <v>38</v>
      </c>
      <c r="F19" s="35"/>
      <c r="G19" s="35"/>
      <c r="H19" s="35">
        <f>IF(CS19=0,"",CS19)</f>
        <v>34</v>
      </c>
      <c r="I19" s="35"/>
      <c r="J19" s="93">
        <f>IFERROR(RANK(H19,H$6:H$115,0),"")</f>
        <v>3</v>
      </c>
      <c r="K19" s="35"/>
      <c r="L19" s="35"/>
      <c r="M19" s="35" t="str">
        <f>IF(CU19=0,"",CU19)</f>
        <v/>
      </c>
      <c r="N19" s="35"/>
      <c r="O19" s="93" t="str">
        <f>IFERROR(RANK(M19,M$6:M$115,0),"")</f>
        <v/>
      </c>
      <c r="P19" s="35"/>
      <c r="Q19" s="35"/>
      <c r="R19" s="35" t="str">
        <f>IF(CW19=0,"",CW19)</f>
        <v/>
      </c>
      <c r="S19" s="35"/>
      <c r="T19" s="93" t="str">
        <f>IFERROR(RANK(R19,R$6:R$115,0),"")</f>
        <v/>
      </c>
      <c r="U19" s="35"/>
      <c r="V19" s="35"/>
      <c r="W19" s="35">
        <f>IF(CY19=0,"",CY19)</f>
        <v>32</v>
      </c>
      <c r="X19" s="35"/>
      <c r="Y19" s="93">
        <f>IFERROR(RANK(W19,W$6:W$115,0),"")</f>
        <v>2</v>
      </c>
      <c r="Z19" s="35"/>
      <c r="AA19" s="35"/>
      <c r="AB19" s="35">
        <f>IF(DA19=0,"",DA19)</f>
        <v>33</v>
      </c>
      <c r="AC19" s="35"/>
      <c r="AD19" s="93">
        <f>IFERROR(RANK(AB19,AB$6:AB$115,0),"")</f>
        <v>4</v>
      </c>
      <c r="AE19" s="35"/>
      <c r="AF19" s="35"/>
      <c r="AG19" s="35" t="str">
        <f>IF(DC19=0,"",DC19)</f>
        <v/>
      </c>
      <c r="AH19" s="35"/>
      <c r="AI19" s="93" t="str">
        <f>IFERROR(RANK(AG19,AG$6:AG$115,0),"")</f>
        <v/>
      </c>
      <c r="AJ19" s="35"/>
      <c r="AK19" s="35"/>
      <c r="AL19" s="35" t="str">
        <f>IF(DE19=0,"",DE19)</f>
        <v/>
      </c>
      <c r="AM19" s="35"/>
      <c r="AN19" s="93" t="str">
        <f>IFERROR(RANK(AL19,AL$6:AL$115,0),"")</f>
        <v/>
      </c>
      <c r="AO19" s="35"/>
      <c r="AP19" s="35"/>
      <c r="AQ19" s="35" t="str">
        <f>IF(DG19=0,"",DG19)</f>
        <v/>
      </c>
      <c r="AR19" s="35"/>
      <c r="AS19" s="93" t="str">
        <f>IFERROR(RANK(AQ19,AQ$6:AQ$115,0),"")</f>
        <v/>
      </c>
      <c r="AT19" s="35"/>
      <c r="AU19" s="35"/>
      <c r="AV19" s="35" t="str">
        <f>IF(DI19=0,"",DI19)</f>
        <v/>
      </c>
      <c r="AW19" s="35"/>
      <c r="AX19" s="93" t="str">
        <f>IFERROR(RANK(AV19,AV$6:AV$115,0),"")</f>
        <v/>
      </c>
      <c r="AY19" s="35"/>
      <c r="AZ19" s="35"/>
      <c r="BA19" s="35" t="str">
        <f>IF(DK19=0,"",DK19)</f>
        <v/>
      </c>
      <c r="BB19" s="35"/>
      <c r="BC19" s="93" t="str">
        <f>IFERROR(RANK(BA19,BA$6:BA$115,0),"")</f>
        <v/>
      </c>
      <c r="BD19" s="35"/>
      <c r="BE19" s="35"/>
      <c r="BF19" s="35" t="str">
        <f>IF(DM19=0,"",DM19)</f>
        <v/>
      </c>
      <c r="BG19" s="35"/>
      <c r="BH19" s="93" t="str">
        <f>IFERROR(RANK(BF19,BF$6:BF$115,0),"")</f>
        <v/>
      </c>
      <c r="BI19" s="35"/>
      <c r="BJ19" s="35"/>
      <c r="BK19" s="35" t="str">
        <f>IF(DO19=0,"",DO19)</f>
        <v/>
      </c>
      <c r="BL19" s="35"/>
      <c r="BM19" s="93" t="str">
        <f>IFERROR(RANK(BK19,BK$6:BK$115,0),"")</f>
        <v/>
      </c>
      <c r="BN19" s="35"/>
      <c r="BO19" s="35"/>
      <c r="BP19" s="35" t="str">
        <f>IF(DQ19=0,"",DQ19)</f>
        <v/>
      </c>
      <c r="BQ19" s="35"/>
      <c r="BR19" s="93" t="str">
        <f>IFERROR(RANK(BP19,BP$6:BP$115,0),"")</f>
        <v/>
      </c>
      <c r="BS19" s="35"/>
      <c r="BT19" s="35"/>
      <c r="BU19" s="35" t="str">
        <f>IF(DS19=0,"",DS19)</f>
        <v/>
      </c>
      <c r="BV19" s="35"/>
      <c r="BW19" s="93" t="str">
        <f>IFERROR(RANK(BU19,BU$6:BU$115,0),"")</f>
        <v/>
      </c>
      <c r="BX19" s="35"/>
      <c r="BY19" s="35"/>
      <c r="BZ19" s="35" t="str">
        <f>IF(DU19=0,"",DU19)</f>
        <v/>
      </c>
      <c r="CA19" s="35"/>
      <c r="CB19" s="93" t="str">
        <f>IFERROR(RANK(BZ19,BZ$6:BZ$115,0),"")</f>
        <v/>
      </c>
      <c r="CC19" s="35"/>
      <c r="CD19" s="35"/>
      <c r="CE19" s="35" t="str">
        <f>IF(DW19=0,"",DW19)</f>
        <v/>
      </c>
      <c r="CF19" s="35"/>
      <c r="CG19" s="93" t="str">
        <f>IFERROR(RANK(CE19,CE$6:CE$115,0),"")</f>
        <v/>
      </c>
      <c r="CH19" s="35"/>
      <c r="CI19" s="35"/>
      <c r="CJ19" s="35" t="str">
        <f>IF(DY19=0,"",DY19)</f>
        <v/>
      </c>
      <c r="CK19" s="35"/>
      <c r="CL19" s="93" t="str">
        <f>IFERROR(RANK(CJ19,CJ$6:CJ$115,0),"")</f>
        <v/>
      </c>
      <c r="CM19" s="35"/>
      <c r="CN19" s="35"/>
      <c r="CO19" s="35" t="str">
        <f>IF(EA19=0,"",EA19)</f>
        <v/>
      </c>
      <c r="CP19" s="35"/>
      <c r="CQ19" s="93" t="str">
        <f>IFERROR(RANK(CO19,CO$6:CO$115,0),"")</f>
        <v/>
      </c>
      <c r="CR19" s="35"/>
      <c r="CS19" s="31">
        <v>34</v>
      </c>
      <c r="CT19" s="36">
        <f ca="1">IFERROR(AVERAGE(OFFSET('Data - For Rank'!B$2,J19,0,COUNTIF($J$7:J$115,J19)))+IFERROR(VLOOKUP((COUNT($H$6:$H$115)/4),$ER$8:$ES$12,2,FALSE()),0),"")</f>
        <v>16</v>
      </c>
      <c r="CU19" s="31"/>
      <c r="CV19" s="36" t="str">
        <f ca="1">IFERROR(AVERAGE(OFFSET('Data - For Rank'!$C$2,O19,0,COUNTIF(O$7:O$115,O19)))+IFERROR(VLOOKUP((COUNT(M$6:M$115)/4),$ER$8:$ES$12,2,FALSE()),0),"")</f>
        <v/>
      </c>
      <c r="CW19" s="31"/>
      <c r="CX19" s="36" t="str">
        <f ca="1">IFERROR(AVERAGE(OFFSET('Data - For Rank'!D$2,T19,0,COUNTIF(T$7:T$115,T19)))+IFERROR(VLOOKUP((COUNT(R$6:R$115)/4),$ER$8:$ES$12,2,FALSE()),0),"")</f>
        <v/>
      </c>
      <c r="CY19" s="31">
        <v>32</v>
      </c>
      <c r="CZ19" s="36">
        <f ca="1">IFERROR(AVERAGE(OFFSET('Data - For Rank'!E$2,Y19,0,COUNTIF(Y$7:Y$115,Y19)))+IFERROR(VLOOKUP((COUNT(W$6:W$115)/4),$ER$8:$ES$12,2,FALSE()),0),"")</f>
        <v>12.5</v>
      </c>
      <c r="DA19" s="31">
        <v>33</v>
      </c>
      <c r="DB19" s="36">
        <f ca="1">IFERROR(AVERAGE(OFFSET('Data - For Rank'!F$2,AD19,0,COUNTIF(AD$7:AD$115,AD19)))+IFERROR(VLOOKUP((COUNT(AB$6:AB$115)/4),$ER$8:$ES$12,2,FALSE()),0),"")</f>
        <v>14</v>
      </c>
      <c r="DC19" s="31"/>
      <c r="DD19" s="36" t="str">
        <f ca="1">IFERROR(AVERAGE(OFFSET('Data - For Rank'!G$2,AI19,0,COUNTIF(AI$7:AI$115,AI19)))+IFERROR(VLOOKUP((COUNT(AG$6:AG$115)/4),$ER$8:$ES$12,2,FALSE()),0),"")</f>
        <v/>
      </c>
      <c r="DE19" s="31"/>
      <c r="DF19" s="36" t="str">
        <f ca="1">IFERROR(AVERAGE(OFFSET('Data - For Rank'!$H$2,AN19,0,COUNTIF(AN$7:AN$115,AN19)))+IFERROR(VLOOKUP((COUNT(AL$6:AL$115)/4),$ER$8:$ES$12,2,FALSE()),0),"")</f>
        <v/>
      </c>
      <c r="DG19" s="31"/>
      <c r="DH19" s="36" t="str">
        <f ca="1">IFERROR(AVERAGE(OFFSET('Data - For Rank'!$I$2,AS19,0,COUNTIF(AS$7:AS$115,AS19)))+IFERROR(VLOOKUP((COUNT(AQ$6:AQ$115)/4),$ER$8:$ES$12,2,FALSE()),0),"")</f>
        <v/>
      </c>
      <c r="DI19" s="31"/>
      <c r="DJ19" s="36" t="str">
        <f ca="1">IFERROR(AVERAGE(OFFSET('Data - For Rank'!$J$2,AX19,0,COUNTIF(AX$7:AX$115,AX19)))+IFERROR(VLOOKUP((COUNT(AV$6:AV$115)/4),$ER$8:$ES$12,2,FALSE()),0),"")</f>
        <v/>
      </c>
      <c r="DK19" s="31"/>
      <c r="DL19" s="36" t="str">
        <f ca="1">IFERROR(AVERAGE(OFFSET('Data - For Rank'!$K$2,BC19,0,COUNTIF(BC$7:BC$115,BC19)))+IFERROR(VLOOKUP((COUNT(BA$6:BA$115)/4),$ER$8:$ES$12,2,FALSE()),0),"")</f>
        <v/>
      </c>
      <c r="DM19" s="31"/>
      <c r="DN19" s="36" t="str">
        <f ca="1">IFERROR(AVERAGE(OFFSET('Data - For Rank'!$L$2,BH19,0,COUNTIF(BH$7:BH$115,BH19)))+IFERROR(VLOOKUP((COUNT(BF$6:BF$115)/4),$ER$8:$ES$12,2,FALSE()),0),"")</f>
        <v/>
      </c>
      <c r="DO19" s="31"/>
      <c r="DP19" s="36" t="str">
        <f ca="1">IFERROR(AVERAGE(OFFSET('Data - For Rank'!$M$2,BM19,0,COUNTIF(BM$7:BM$115,BM19)))+IFERROR(VLOOKUP((COUNT(BK$6:BK$115)/4),$ER$8:$ES$12,2,FALSE()),0),"")</f>
        <v/>
      </c>
      <c r="DQ19" s="31"/>
      <c r="DR19" s="36" t="str">
        <f ca="1">IFERROR(AVERAGE(OFFSET('Data - For Rank'!$N$2,BR19,0,COUNTIF(BR$7:BR$115,BR19)))+IFERROR(VLOOKUP((COUNT(BP$6:BP$115)/4),$ER$8:$ES$12,2,FALSE()),0),"")</f>
        <v/>
      </c>
      <c r="DS19" s="31"/>
      <c r="DT19" s="36" t="str">
        <f ca="1">IFERROR(AVERAGE(OFFSET('Data - For Rank'!$O$2,BW19,0,COUNTIF(BW$7:BW$115,BW19)))+IFERROR(VLOOKUP((COUNT(BU$6:BU$115)/4),$ER$8:$ES$12,2,FALSE()),0),"")</f>
        <v/>
      </c>
      <c r="DU19" s="31"/>
      <c r="DV19" s="36" t="str">
        <f ca="1">IFERROR(AVERAGE(OFFSET('Data - For Rank'!$P$2,CB19,0,COUNTIF(CB$7:CB$115,CB19)))+IFERROR(VLOOKUP((COUNT(BZ$6:BZ$115)/4),$ER$8:$ES$12,2,FALSE()),0),"")</f>
        <v/>
      </c>
      <c r="DW19" s="31"/>
      <c r="DX19" s="36" t="str">
        <f ca="1">IFERROR(AVERAGE(OFFSET('Data - For Rank'!$Q$2,CG19,0,COUNTIF(CG$7:CG$115,CG19)))+IFERROR(VLOOKUP((COUNT(CE$6:CE$115)/4),$ER$8:$ES$12,2,FALSE()),0),"")</f>
        <v/>
      </c>
      <c r="DY19" s="31"/>
      <c r="DZ19" s="36" t="str">
        <f ca="1">IFERROR(AVERAGE(OFFSET('Data - For Rank'!$R$2,CL19,0,COUNTIF(CL$7:CL$115,CL19)))+IFERROR(VLOOKUP((COUNT(CJ$6:CJ$115)/4),$ER$8:$ES$12,2,FALSE()),0),"")</f>
        <v/>
      </c>
      <c r="EA19" s="31"/>
      <c r="EB19" s="36" t="str">
        <f ca="1">IFERROR(AVERAGE(OFFSET('Data - For Rank'!$S$2,CQ19,0,COUNTIF(CQ$7:CQ$115,CQ19)))+IFERROR(VLOOKUP((COUNT(CO$6:CO$115)/4),$ER$8:$ES$12,2,FALSE()),0),"")</f>
        <v/>
      </c>
      <c r="EC19" s="37">
        <f>AVERAGE(CS19,CU19,CW19,CY19,DA19,DC19,DE19,DG19,DI19,DK19,DM19,DO19,DQ19,DS19,DU19,DW19,DY19,EA19)</f>
        <v>33</v>
      </c>
      <c r="ED19" s="33">
        <f t="shared" ca="1" si="1"/>
        <v>14.166666666666666</v>
      </c>
    </row>
    <row r="20" spans="2:151" s="15" customFormat="1" outlineLevel="1" x14ac:dyDescent="0.2">
      <c r="B20" s="38">
        <f ca="1">B18+0.025</f>
        <v>4.0250000000000004</v>
      </c>
      <c r="D20" s="87" t="s">
        <v>91</v>
      </c>
      <c r="E20" s="39" t="s">
        <v>39</v>
      </c>
      <c r="F20" s="40">
        <f ca="1">IF(COUNT(CT18:EB18)&gt;10,SMALL(G18:CN18,COUNT(G18:CN18)-10),MIN(CT18:EB18))</f>
        <v>21.5</v>
      </c>
      <c r="G20" s="40"/>
      <c r="H20" s="40"/>
      <c r="I20" s="96">
        <f>IF(CS20=0,"",CS20)</f>
        <v>-10</v>
      </c>
      <c r="J20" s="96"/>
      <c r="K20" s="97">
        <f>IFERROR(_xlfn.RANK.EQ(I20,I$6:I$115,0),"")</f>
        <v>12</v>
      </c>
      <c r="L20" s="40"/>
      <c r="M20" s="40"/>
      <c r="N20" s="96" t="str">
        <f>IF(CU20=0,"",CU20)</f>
        <v/>
      </c>
      <c r="O20" s="96"/>
      <c r="P20" s="97" t="str">
        <f>IFERROR(_xlfn.RANK.EQ(N20,N$6:N$115,0),"")</f>
        <v/>
      </c>
      <c r="Q20" s="40"/>
      <c r="R20" s="40"/>
      <c r="S20" s="96" t="str">
        <f>IF(CW20=0,"",CW20)</f>
        <v/>
      </c>
      <c r="T20" s="96"/>
      <c r="U20" s="97" t="str">
        <f>IFERROR(_xlfn.RANK.EQ(S20,S$6:S$115,0),"")</f>
        <v/>
      </c>
      <c r="V20" s="40"/>
      <c r="W20" s="40"/>
      <c r="X20" s="96">
        <f>IF(CY20=0,"",CY20)</f>
        <v>-15</v>
      </c>
      <c r="Y20" s="96"/>
      <c r="Z20" s="97">
        <f>IFERROR(_xlfn.RANK.EQ(X20,X$6:X$115,0),"")</f>
        <v>6</v>
      </c>
      <c r="AA20" s="40"/>
      <c r="AB20" s="40"/>
      <c r="AC20" s="96">
        <f>IF(DA20=0,"",DA20)</f>
        <v>20</v>
      </c>
      <c r="AD20" s="96"/>
      <c r="AE20" s="97">
        <f>IFERROR(_xlfn.RANK.EQ(AC20,AC$6:AC$115,0),"")</f>
        <v>4</v>
      </c>
      <c r="AF20" s="40"/>
      <c r="AG20" s="40"/>
      <c r="AH20" s="96" t="str">
        <f>IF(DC20=0,"",DC20)</f>
        <v/>
      </c>
      <c r="AI20" s="96"/>
      <c r="AJ20" s="97" t="str">
        <f>IFERROR(_xlfn.RANK.EQ(AH20,AH$6:AH$115,0),"")</f>
        <v/>
      </c>
      <c r="AK20" s="40"/>
      <c r="AL20" s="40"/>
      <c r="AM20" s="96" t="str">
        <f>IF(DE20=0,"",DE20)</f>
        <v/>
      </c>
      <c r="AN20" s="96"/>
      <c r="AO20" s="97" t="str">
        <f>IFERROR(_xlfn.RANK.EQ(AM20,AM$6:AM$115,0),"")</f>
        <v/>
      </c>
      <c r="AP20" s="40"/>
      <c r="AQ20" s="40"/>
      <c r="AR20" s="96" t="str">
        <f>IF(DG20=0,"",DG20)</f>
        <v/>
      </c>
      <c r="AS20" s="96"/>
      <c r="AT20" s="97" t="str">
        <f>IFERROR(_xlfn.RANK.EQ(AR20,AR$6:AR$115,0),"")</f>
        <v/>
      </c>
      <c r="AU20" s="40"/>
      <c r="AV20" s="40"/>
      <c r="AW20" s="96" t="str">
        <f>IF(DI20=0,"",DI20)</f>
        <v/>
      </c>
      <c r="AX20" s="96"/>
      <c r="AY20" s="97" t="str">
        <f>IFERROR(_xlfn.RANK.EQ(AW20,AW$6:AW$115,0),"")</f>
        <v/>
      </c>
      <c r="AZ20" s="40"/>
      <c r="BA20" s="40"/>
      <c r="BB20" s="96" t="str">
        <f>IF(DK20=0,"",DK20)</f>
        <v/>
      </c>
      <c r="BC20" s="96"/>
      <c r="BD20" s="97" t="str">
        <f>IFERROR(_xlfn.RANK.EQ(BB20,BB$6:BB$115,0),"")</f>
        <v/>
      </c>
      <c r="BE20" s="40"/>
      <c r="BF20" s="40"/>
      <c r="BG20" s="96" t="str">
        <f>IF(DM20=0,"",DM20)</f>
        <v/>
      </c>
      <c r="BH20" s="96"/>
      <c r="BI20" s="97" t="str">
        <f>IFERROR(_xlfn.RANK.EQ(BG20,BG$6:BG$115,0),"")</f>
        <v/>
      </c>
      <c r="BJ20" s="40"/>
      <c r="BK20" s="40"/>
      <c r="BL20" s="96" t="str">
        <f>IF(DO20=0,"",DO20)</f>
        <v/>
      </c>
      <c r="BM20" s="96"/>
      <c r="BN20" s="97" t="str">
        <f>IFERROR(_xlfn.RANK.EQ(BL20,BL$6:BL$115,0),"")</f>
        <v/>
      </c>
      <c r="BO20" s="40"/>
      <c r="BP20" s="40"/>
      <c r="BQ20" s="96" t="str">
        <f>IF(DQ20=0,"",DQ20)</f>
        <v/>
      </c>
      <c r="BR20" s="96"/>
      <c r="BS20" s="97" t="str">
        <f>IFERROR(_xlfn.RANK.EQ(BQ20,BQ$6:BQ$115,0),"")</f>
        <v/>
      </c>
      <c r="BT20" s="40"/>
      <c r="BU20" s="40"/>
      <c r="BV20" s="96" t="str">
        <f>IF(DS20=0,"",DS20)</f>
        <v/>
      </c>
      <c r="BW20" s="96"/>
      <c r="BX20" s="97" t="str">
        <f>IFERROR(_xlfn.RANK.EQ(BV20,BV$6:BV$115,0),"")</f>
        <v/>
      </c>
      <c r="BY20" s="40"/>
      <c r="BZ20" s="40"/>
      <c r="CA20" s="96" t="str">
        <f>IF(DU20=0,"",DU20)</f>
        <v/>
      </c>
      <c r="CB20" s="96"/>
      <c r="CC20" s="97" t="str">
        <f>IFERROR(_xlfn.RANK.EQ(CA20,CA$6:CA$115,0),"")</f>
        <v/>
      </c>
      <c r="CD20" s="40"/>
      <c r="CE20" s="40"/>
      <c r="CF20" s="96" t="str">
        <f>IF(DW20=0,"",DW20)</f>
        <v/>
      </c>
      <c r="CG20" s="96"/>
      <c r="CH20" s="97" t="str">
        <f>IFERROR(_xlfn.RANK.EQ(CF20,CF$6:CF$115,0),"")</f>
        <v/>
      </c>
      <c r="CI20" s="40"/>
      <c r="CJ20" s="40"/>
      <c r="CK20" s="96" t="str">
        <f>IF(DY20=0,"",DY20)</f>
        <v/>
      </c>
      <c r="CL20" s="96"/>
      <c r="CM20" s="97" t="str">
        <f>IFERROR(_xlfn.RANK.EQ(CK20,CK$6:CK$115,0),"")</f>
        <v/>
      </c>
      <c r="CN20" s="40"/>
      <c r="CO20" s="40"/>
      <c r="CP20" s="96" t="str">
        <f>IF(EA20=0,"",EA20)</f>
        <v/>
      </c>
      <c r="CQ20" s="96"/>
      <c r="CR20" s="97" t="str">
        <f>IFERROR(_xlfn.RANK.EQ(CP20,CP$6:CP$115,0),"")</f>
        <v/>
      </c>
      <c r="CS20" s="41">
        <v>-10</v>
      </c>
      <c r="CT20" s="42">
        <f ca="1">IFERROR(AVERAGE(OFFSET('Data - For Rank'!B$2,K20,0,COUNTIF(K$6:K$115,K20)))+IFERROR(VLOOKUP((COUNT($I$6:$I$115)/4),$ER$8:$ES$12,2,FALSE()),0),"")</f>
        <v>7</v>
      </c>
      <c r="CU20" s="41"/>
      <c r="CV20" s="42" t="str">
        <f ca="1">IFERROR(AVERAGE(OFFSET('Data - For Rank'!$C$2,P20,0,COUNTIF(P$6:P$115,P20)))+IFERROR(VLOOKUP((COUNT(N$6:N$115)/4),$ER$8:$ES$12,2,FALSE()),0),"")</f>
        <v/>
      </c>
      <c r="CW20" s="41"/>
      <c r="CX20" s="42" t="str">
        <f ca="1">IFERROR(AVERAGE(OFFSET('Data - For Rank'!D$2,U20,0,COUNTIF(U$6:$U127,U20)))+IFERROR(VLOOKUP((COUNT(S$6:S$115)/4),$ER$8:$ES$12,2,FALSE()),0),"")</f>
        <v/>
      </c>
      <c r="CY20" s="41">
        <v>-15</v>
      </c>
      <c r="CZ20" s="42">
        <f ca="1">IFERROR(AVERAGE(OFFSET('Data - For Rank'!E$2,Z20,0,COUNTIF(Z$6:Z$115,Z20)))+IFERROR(VLOOKUP((COUNT(W$6:W$115)/4),$ER$8:$ES$12,2,FALSE()),0),"")</f>
        <v>9</v>
      </c>
      <c r="DA20" s="41">
        <v>20</v>
      </c>
      <c r="DB20" s="42">
        <f ca="1">IFERROR(AVERAGE(OFFSET('Data - For Rank'!F$2,AE20,0,COUNTIF(AE$6:AE$115,AE20)))+IFERROR(VLOOKUP((COUNT(AC$6:AC$115)/4),$ER$8:$ES$12,2,FALSE()),0),"")</f>
        <v>15</v>
      </c>
      <c r="DC20" s="41"/>
      <c r="DD20" s="42" t="str">
        <f ca="1">IFERROR(AVERAGE(OFFSET('Data - For Rank'!G$2,AJ20,0,COUNTIF(AJ$6:AJ$115,AJ20)))+IFERROR(VLOOKUP((COUNT(AH$6:AH$115)/4),$ER$8:$ES$12,2,FALSE()),0),"")</f>
        <v/>
      </c>
      <c r="DE20" s="41"/>
      <c r="DF20" s="42" t="str">
        <f ca="1">IFERROR(AVERAGE(OFFSET('Data - For Rank'!$H$2,AO20,0,COUNTIF(AO$6:AO$115,AO20)))+IFERROR(VLOOKUP((COUNT(AM$6:AM$115)/4),$ER$8:$ES$12,2,FALSE()),0),"")</f>
        <v/>
      </c>
      <c r="DG20" s="41"/>
      <c r="DH20" s="42" t="str">
        <f ca="1">IFERROR(AVERAGE(OFFSET('Data - For Rank'!$I$2,AT20,0,COUNTIF(AT$6:AT$115,AT20)))+IFERROR(VLOOKUP((COUNT(AR$6:AR$115)/4),$ER$8:$ES$12,2,FALSE()),0),"")</f>
        <v/>
      </c>
      <c r="DI20" s="41"/>
      <c r="DJ20" s="42" t="str">
        <f ca="1">IFERROR(AVERAGE(OFFSET('Data - For Rank'!$J$2,AY20,0,COUNTIF(AY$6:AY$115,AY20)))+IFERROR(VLOOKUP((COUNT(AW$6:AW$115)/4),$ER$8:$ES$12,2,FALSE()),0),"")</f>
        <v/>
      </c>
      <c r="DK20" s="41"/>
      <c r="DL20" s="42" t="str">
        <f ca="1">IFERROR(AVERAGE(OFFSET('Data - For Rank'!$K$2,BD20,0,COUNTIF(BD$6:BD$115,BD20)))+IFERROR(VLOOKUP((COUNT(BB$6:BB$115)/4),$ER$8:$ES$12,2,FALSE()),0),"")</f>
        <v/>
      </c>
      <c r="DM20" s="41"/>
      <c r="DN20" s="42" t="str">
        <f ca="1">IFERROR(AVERAGE(OFFSET('Data - For Rank'!$L$2,BI20,0,COUNTIF(BI$6:BI$115,BI20)))+IFERROR(VLOOKUP((COUNT(BG$6:BG$115)/4),$ER$8:$ES$12,2,FALSE()),0),"")</f>
        <v/>
      </c>
      <c r="DO20" s="41"/>
      <c r="DP20" s="42" t="str">
        <f ca="1">IFERROR(AVERAGE(OFFSET('Data - For Rank'!$M$2,BN20,0,COUNTIF(BN$6:BN$115,BN20)))+IFERROR(VLOOKUP((COUNT(BL$6:BL$115)/4),$ER$8:$ES$12,2,FALSE()),0),"")</f>
        <v/>
      </c>
      <c r="DQ20" s="41"/>
      <c r="DR20" s="42" t="str">
        <f ca="1">IFERROR(AVERAGE(OFFSET('Data - For Rank'!$N$2,BS20,0,COUNTIF(BS$6:BS$115,BS20)))+IFERROR(VLOOKUP((COUNT(BQ$6:BQ$115)/4),$ER$8:$ES$12,2,FALSE()),0),"")</f>
        <v/>
      </c>
      <c r="DS20" s="41"/>
      <c r="DT20" s="42" t="str">
        <f ca="1">IFERROR(AVERAGE(OFFSET('Data - For Rank'!$O$2,BX20,0,COUNTIF(BX$6:BX$115,BX20)))+IFERROR(VLOOKUP((COUNT(BV$6:BV$115)/4),$ER$8:$ES$12,2,FALSE()),0),"")</f>
        <v/>
      </c>
      <c r="DU20" s="41"/>
      <c r="DV20" s="42" t="str">
        <f ca="1">IFERROR(AVERAGE(OFFSET('Data - For Rank'!$P$2,CC20,0,COUNTIF(CC$6:CC$115,CC20)))+IFERROR(VLOOKUP((COUNT(CA$6:CA$115)/4),$ER$8:$ES$12,2,FALSE()),0),"")</f>
        <v/>
      </c>
      <c r="DW20" s="41"/>
      <c r="DX20" s="42" t="str">
        <f ca="1">IFERROR(AVERAGE(OFFSET('Data - For Rank'!$Q$2,CH20,0,COUNTIF(CH$6:CH$115,CH20)))+IFERROR(VLOOKUP((COUNT(CF$6:CF$115)/4),$ER$8:$ES$12,2,FALSE()),0),"")</f>
        <v/>
      </c>
      <c r="DY20" s="41"/>
      <c r="DZ20" s="42" t="str">
        <f ca="1">IFERROR(AVERAGE(OFFSET('Data - For Rank'!$R$2,CM20,0,COUNTIF(CM$6:CM$115,CM20)))+IFERROR(VLOOKUP((COUNT(CK$6:CK$115)/4),$ER$8:$ES$12,2,FALSE()),0),"")</f>
        <v/>
      </c>
      <c r="EA20" s="41"/>
      <c r="EB20" s="42" t="str">
        <f ca="1">IFERROR(AVERAGE(OFFSET('Data - For Rank'!$S$2,CR20,0,COUNTIF(CR$6:CR$115,CR20)))+IFERROR(VLOOKUP((COUNT(CP$6:CP$115)/4),$ER$8:$ES$12,2,FALSE()),0),"")</f>
        <v/>
      </c>
      <c r="EC20" s="43">
        <f>CS20+CU20+CW20+CY20+DA20+DC20+DE20+DG20+DI20+DK20+DM20+DO20+DQ20+DS20+DU20+DW20+DY20+EA20</f>
        <v>-5</v>
      </c>
      <c r="ED20" s="44">
        <f t="shared" ca="1" si="1"/>
        <v>10.333333333333334</v>
      </c>
      <c r="EM20" s="15" t="s">
        <v>92</v>
      </c>
    </row>
    <row r="21" spans="2:151" x14ac:dyDescent="0.2">
      <c r="B21" s="21">
        <f ca="1">_xlfn.RANK.EQ(C21,$C$6:$C$63,)</f>
        <v>6</v>
      </c>
      <c r="C21" s="56">
        <f ca="1">EC21</f>
        <v>70</v>
      </c>
      <c r="D21" s="56" t="s">
        <v>93</v>
      </c>
      <c r="E21" s="47" t="s">
        <v>44</v>
      </c>
      <c r="F21" s="30">
        <f ca="1">COUNT(CT21,CV21,CX21,CZ21,DB21,DD21,DF21,DH21,DJ21,DL21,DN21,DP21,DR21,DT21,DV21,DX21,DZ21,EB21)</f>
        <v>3</v>
      </c>
      <c r="G21" s="93">
        <f ca="1">IF(CT21=0,"",CT21)</f>
        <v>27</v>
      </c>
      <c r="H21" s="93"/>
      <c r="I21" s="93"/>
      <c r="K21" s="93"/>
      <c r="L21" s="93" t="str">
        <f ca="1">IF(CV21=0,"",CV21)</f>
        <v/>
      </c>
      <c r="M21" s="93"/>
      <c r="N21" s="93"/>
      <c r="P21" s="93"/>
      <c r="Q21" s="93">
        <f ca="1">IF(CX21=0,"",CX21)</f>
        <v>31</v>
      </c>
      <c r="R21" s="93"/>
      <c r="S21" s="93"/>
      <c r="U21" s="93"/>
      <c r="V21" s="93" t="str">
        <f ca="1">IF(CZ21=0,"",CZ21)</f>
        <v/>
      </c>
      <c r="W21" s="93"/>
      <c r="X21" s="93"/>
      <c r="Z21" s="93"/>
      <c r="AA21" s="93">
        <f ca="1">IF(DB21=0,"",DB21)</f>
        <v>12</v>
      </c>
      <c r="AB21" s="93"/>
      <c r="AC21" s="93"/>
      <c r="AE21" s="93"/>
      <c r="AF21" s="93" t="str">
        <f ca="1">IF(DD21=0,"",DD21)</f>
        <v/>
      </c>
      <c r="AG21" s="93"/>
      <c r="AH21" s="93"/>
      <c r="AJ21" s="93"/>
      <c r="AK21" s="93" t="str">
        <f ca="1">IF(DF21=0,"",DF21)</f>
        <v/>
      </c>
      <c r="AL21" s="93"/>
      <c r="AM21" s="93"/>
      <c r="AO21" s="93"/>
      <c r="AP21" s="93" t="str">
        <f ca="1">IF(DH21=0,"",DH21)</f>
        <v/>
      </c>
      <c r="AQ21" s="93"/>
      <c r="AR21" s="93"/>
      <c r="AT21" s="93"/>
      <c r="AU21" s="93" t="str">
        <f ca="1">IF(DJ21=0,"",DJ21)</f>
        <v/>
      </c>
      <c r="AV21" s="93"/>
      <c r="AW21" s="93"/>
      <c r="AY21" s="93"/>
      <c r="AZ21" s="93" t="str">
        <f ca="1">IF(DL21=0,"",DL21)</f>
        <v/>
      </c>
      <c r="BA21" s="93"/>
      <c r="BB21" s="93"/>
      <c r="BD21" s="93"/>
      <c r="BE21" s="93" t="str">
        <f ca="1">IF(DN21=0,"",DN21)</f>
        <v/>
      </c>
      <c r="BF21" s="93"/>
      <c r="BG21" s="93"/>
      <c r="BI21" s="93"/>
      <c r="BJ21" s="93" t="str">
        <f ca="1">IF(DP21=0,"",DP21)</f>
        <v/>
      </c>
      <c r="BK21" s="93"/>
      <c r="BL21" s="93"/>
      <c r="BN21" s="93"/>
      <c r="BO21" s="93" t="str">
        <f ca="1">IF(DR21=0,"",DR21)</f>
        <v/>
      </c>
      <c r="BP21" s="93"/>
      <c r="BQ21" s="93"/>
      <c r="BS21" s="93"/>
      <c r="BT21" s="93" t="str">
        <f ca="1">IF(DT21=0,"",DT21)</f>
        <v/>
      </c>
      <c r="BU21" s="93"/>
      <c r="BV21" s="93"/>
      <c r="BX21" s="93"/>
      <c r="BY21" s="93" t="str">
        <f ca="1">IF(DV21=0,"",DV21)</f>
        <v/>
      </c>
      <c r="BZ21" s="93"/>
      <c r="CA21" s="93"/>
      <c r="CC21" s="93"/>
      <c r="CD21" s="93" t="str">
        <f ca="1">IF(DX21=0,"",DX21)</f>
        <v/>
      </c>
      <c r="CE21" s="93"/>
      <c r="CF21" s="93"/>
      <c r="CH21" s="93"/>
      <c r="CI21" s="93" t="str">
        <f ca="1">IF(DZ21=0,"",DZ21)</f>
        <v/>
      </c>
      <c r="CJ21" s="93"/>
      <c r="CK21" s="93"/>
      <c r="CM21" s="93"/>
      <c r="CN21" s="93" t="str">
        <f ca="1">IF(EB21=0,"",EB21)</f>
        <v/>
      </c>
      <c r="CO21" s="93"/>
      <c r="CP21" s="93"/>
      <c r="CR21" s="93"/>
      <c r="CS21" s="31">
        <v>96</v>
      </c>
      <c r="CT21" s="32">
        <f ca="1">IFERROR(CT22+CT23,"")</f>
        <v>27</v>
      </c>
      <c r="CU21" s="31"/>
      <c r="CV21" s="32" t="str">
        <f ca="1">IFERROR(CV22+CV23,"")</f>
        <v/>
      </c>
      <c r="CW21" s="31">
        <v>89</v>
      </c>
      <c r="CX21" s="32">
        <f ca="1">IFERROR(CX22+CX23,"")</f>
        <v>31</v>
      </c>
      <c r="CY21" s="31"/>
      <c r="CZ21" s="32" t="str">
        <f ca="1">IFERROR(CZ22+CZ23,"")</f>
        <v/>
      </c>
      <c r="DA21" s="31">
        <v>100</v>
      </c>
      <c r="DB21" s="32">
        <f ca="1">IFERROR(DB22+DB23,"")</f>
        <v>12</v>
      </c>
      <c r="DC21" s="31"/>
      <c r="DD21" s="32" t="str">
        <f ca="1">IFERROR(DD22+DD23,"")</f>
        <v/>
      </c>
      <c r="DE21" s="31"/>
      <c r="DF21" s="32" t="str">
        <f ca="1">IFERROR(DF22+DF23,"")</f>
        <v/>
      </c>
      <c r="DG21" s="31"/>
      <c r="DH21" s="32" t="str">
        <f ca="1">IFERROR(DH22+DH23,"")</f>
        <v/>
      </c>
      <c r="DI21" s="31"/>
      <c r="DJ21" s="32" t="str">
        <f ca="1">IFERROR(DJ22+DJ23,"")</f>
        <v/>
      </c>
      <c r="DK21" s="31"/>
      <c r="DL21" s="32" t="str">
        <f ca="1">IFERROR(DL22+DL23,"")</f>
        <v/>
      </c>
      <c r="DM21" s="31"/>
      <c r="DN21" s="32" t="str">
        <f ca="1">IFERROR(DN22+DN23,"")</f>
        <v/>
      </c>
      <c r="DO21" s="31"/>
      <c r="DP21" s="32" t="str">
        <f ca="1">IFERROR(DP22+DP23,"")</f>
        <v/>
      </c>
      <c r="DQ21" s="31"/>
      <c r="DR21" s="32" t="str">
        <f ca="1">IFERROR(DR22+DR23,"")</f>
        <v/>
      </c>
      <c r="DS21" s="31"/>
      <c r="DT21" s="32" t="str">
        <f ca="1">IFERROR(DT22+DT23,"")</f>
        <v/>
      </c>
      <c r="DU21" s="31"/>
      <c r="DV21" s="32" t="str">
        <f ca="1">IFERROR(DV22+DV23,"")</f>
        <v/>
      </c>
      <c r="DW21" s="31"/>
      <c r="DX21" s="32" t="str">
        <f ca="1">IFERROR(DX22+DX23,"")</f>
        <v/>
      </c>
      <c r="DY21" s="31"/>
      <c r="DZ21" s="32" t="str">
        <f ca="1">IFERROR(DZ22+DZ23,"")</f>
        <v/>
      </c>
      <c r="EA21" s="31"/>
      <c r="EB21" s="32" t="str">
        <f ca="1">IFERROR(EB22+EB23,"")</f>
        <v/>
      </c>
      <c r="EC21" s="26">
        <f ca="1">IFERROR(LARGE($G21:$CN21,1),0)+IFERROR(LARGE($G21:$CN21,2),0)+IFERROR(LARGE($G21:$CN21,3),0)+IFERROR(LARGE($G21:$CN21,4),0)+IFERROR(LARGE($G21:$CN21,5),0)+IFERROR(LARGE($G21:$CN21,6),0)+IFERROR(LARGE($G21:$CN21,7),0)+IFERROR(LARGE($G21:$CN21,8),0)+IFERROR(LARGE($G21:$CN21,9),0)+IFERROR(LARGE($G21:$CN21,10),0)</f>
        <v>70</v>
      </c>
      <c r="ED21" s="33">
        <f t="shared" ca="1" si="1"/>
        <v>23.333333333333332</v>
      </c>
      <c r="EM21" s="15" t="s">
        <v>94</v>
      </c>
    </row>
    <row r="22" spans="2:151" s="15" customFormat="1" outlineLevel="1" x14ac:dyDescent="0.2">
      <c r="B22" s="34">
        <f ca="1">B21+0.16</f>
        <v>6.16</v>
      </c>
      <c r="D22" s="87" t="s">
        <v>95</v>
      </c>
      <c r="E22" s="35" t="s">
        <v>38</v>
      </c>
      <c r="F22" s="35"/>
      <c r="G22" s="35"/>
      <c r="H22" s="35">
        <f>IF(CS22=0,"",CS22)</f>
        <v>31</v>
      </c>
      <c r="I22" s="35"/>
      <c r="J22" s="93">
        <f>IFERROR(RANK(H22,H$6:H$115,0),"")</f>
        <v>8</v>
      </c>
      <c r="K22" s="35"/>
      <c r="L22" s="35"/>
      <c r="M22" s="35" t="str">
        <f>IF(CU22=0,"",CU22)</f>
        <v/>
      </c>
      <c r="N22" s="35"/>
      <c r="O22" s="93" t="str">
        <f>IFERROR(RANK(M22,M$6:M$115,0),"")</f>
        <v/>
      </c>
      <c r="P22" s="35"/>
      <c r="Q22" s="35"/>
      <c r="R22" s="35">
        <f>IF(CW22=0,"",CW22)</f>
        <v>40</v>
      </c>
      <c r="S22" s="35"/>
      <c r="T22" s="93">
        <f>IFERROR(RANK(R22,R$6:R$115,0),"")</f>
        <v>1</v>
      </c>
      <c r="U22" s="35"/>
      <c r="V22" s="35"/>
      <c r="W22" s="35" t="str">
        <f>IF(CY22=0,"",CY22)</f>
        <v/>
      </c>
      <c r="X22" s="35"/>
      <c r="Y22" s="93" t="str">
        <f>IFERROR(RANK(W22,W$6:W$115,0),"")</f>
        <v/>
      </c>
      <c r="Z22" s="35"/>
      <c r="AA22" s="35"/>
      <c r="AB22" s="35">
        <f>IF(DA22=0,"",DA22)</f>
        <v>27</v>
      </c>
      <c r="AC22" s="35"/>
      <c r="AD22" s="93">
        <f>IFERROR(RANK(AB22,AB$6:AB$115,0),"")</f>
        <v>12</v>
      </c>
      <c r="AE22" s="35"/>
      <c r="AF22" s="35"/>
      <c r="AG22" s="35" t="str">
        <f>IF(DC22=0,"",DC22)</f>
        <v/>
      </c>
      <c r="AH22" s="35"/>
      <c r="AI22" s="93" t="str">
        <f>IFERROR(RANK(AG22,AG$6:AG$115,0),"")</f>
        <v/>
      </c>
      <c r="AJ22" s="35"/>
      <c r="AK22" s="35"/>
      <c r="AL22" s="35" t="str">
        <f>IF(DE22=0,"",DE22)</f>
        <v/>
      </c>
      <c r="AM22" s="35"/>
      <c r="AN22" s="93" t="str">
        <f>IFERROR(RANK(AL22,AL$6:AL$115,0),"")</f>
        <v/>
      </c>
      <c r="AO22" s="35"/>
      <c r="AP22" s="35"/>
      <c r="AQ22" s="35" t="str">
        <f>IF(DG22=0,"",DG22)</f>
        <v/>
      </c>
      <c r="AR22" s="35"/>
      <c r="AS22" s="93" t="str">
        <f>IFERROR(RANK(AQ22,AQ$6:AQ$115,0),"")</f>
        <v/>
      </c>
      <c r="AT22" s="35"/>
      <c r="AU22" s="35"/>
      <c r="AV22" s="35" t="str">
        <f>IF(DI22=0,"",DI22)</f>
        <v/>
      </c>
      <c r="AW22" s="35"/>
      <c r="AX22" s="93" t="str">
        <f>IFERROR(RANK(AV22,AV$6:AV$115,0),"")</f>
        <v/>
      </c>
      <c r="AY22" s="35"/>
      <c r="AZ22" s="35"/>
      <c r="BA22" s="35" t="str">
        <f>IF(DK22=0,"",DK22)</f>
        <v/>
      </c>
      <c r="BB22" s="35"/>
      <c r="BC22" s="93" t="str">
        <f>IFERROR(RANK(BA22,BA$6:BA$115,0),"")</f>
        <v/>
      </c>
      <c r="BD22" s="35"/>
      <c r="BE22" s="35"/>
      <c r="BF22" s="35" t="str">
        <f>IF(DM22=0,"",DM22)</f>
        <v/>
      </c>
      <c r="BG22" s="35"/>
      <c r="BH22" s="93" t="str">
        <f>IFERROR(RANK(BF22,BF$6:BF$115,0),"")</f>
        <v/>
      </c>
      <c r="BI22" s="35"/>
      <c r="BJ22" s="35"/>
      <c r="BK22" s="35" t="str">
        <f>IF(DO22=0,"",DO22)</f>
        <v/>
      </c>
      <c r="BL22" s="35"/>
      <c r="BM22" s="93" t="str">
        <f>IFERROR(RANK(BK22,BK$6:BK$115,0),"")</f>
        <v/>
      </c>
      <c r="BN22" s="35"/>
      <c r="BO22" s="35"/>
      <c r="BP22" s="35" t="str">
        <f>IF(DQ22=0,"",DQ22)</f>
        <v/>
      </c>
      <c r="BQ22" s="35"/>
      <c r="BR22" s="93" t="str">
        <f>IFERROR(RANK(BP22,BP$6:BP$115,0),"")</f>
        <v/>
      </c>
      <c r="BS22" s="35"/>
      <c r="BT22" s="35"/>
      <c r="BU22" s="35" t="str">
        <f>IF(DS22=0,"",DS22)</f>
        <v/>
      </c>
      <c r="BV22" s="35"/>
      <c r="BW22" s="93" t="str">
        <f>IFERROR(RANK(BU22,BU$6:BU$115,0),"")</f>
        <v/>
      </c>
      <c r="BX22" s="35"/>
      <c r="BY22" s="35"/>
      <c r="BZ22" s="35" t="str">
        <f>IF(DU22=0,"",DU22)</f>
        <v/>
      </c>
      <c r="CA22" s="35"/>
      <c r="CB22" s="93" t="str">
        <f>IFERROR(RANK(BZ22,BZ$6:BZ$115,0),"")</f>
        <v/>
      </c>
      <c r="CC22" s="35"/>
      <c r="CD22" s="35"/>
      <c r="CE22" s="35" t="str">
        <f>IF(DW22=0,"",DW22)</f>
        <v/>
      </c>
      <c r="CF22" s="35"/>
      <c r="CG22" s="93" t="str">
        <f>IFERROR(RANK(CE22,CE$6:CE$115,0),"")</f>
        <v/>
      </c>
      <c r="CH22" s="35"/>
      <c r="CI22" s="35"/>
      <c r="CJ22" s="35" t="str">
        <f>IF(DY22=0,"",DY22)</f>
        <v/>
      </c>
      <c r="CK22" s="35"/>
      <c r="CL22" s="93" t="str">
        <f>IFERROR(RANK(CJ22,CJ$6:CJ$115,0),"")</f>
        <v/>
      </c>
      <c r="CM22" s="35"/>
      <c r="CN22" s="35"/>
      <c r="CO22" s="35" t="str">
        <f>IF(EA22=0,"",EA22)</f>
        <v/>
      </c>
      <c r="CP22" s="35"/>
      <c r="CQ22" s="93" t="str">
        <f>IFERROR(RANK(CO22,CO$6:CO$115,0),"")</f>
        <v/>
      </c>
      <c r="CR22" s="35"/>
      <c r="CS22" s="31">
        <v>31</v>
      </c>
      <c r="CT22" s="36">
        <f ca="1">IFERROR(AVERAGE(OFFSET('Data - For Rank'!B$2,J22,0,COUNTIF($J$7:J$115,J22)))+IFERROR(VLOOKUP((COUNT($H$6:$H$115)/4),$ER$8:$ES$12,2,FALSE()),0),"")</f>
        <v>10</v>
      </c>
      <c r="CU22" s="31"/>
      <c r="CV22" s="36" t="str">
        <f ca="1">IFERROR(AVERAGE(OFFSET('Data - For Rank'!$C$2,O22,0,COUNTIF(O$7:O$115,O22)))+IFERROR(VLOOKUP((COUNT(M$6:M$115)/4),$ER$8:$ES$12,2,FALSE()),0),"")</f>
        <v/>
      </c>
      <c r="CW22" s="31">
        <v>40</v>
      </c>
      <c r="CX22" s="36">
        <f ca="1">IFERROR(AVERAGE(OFFSET('Data - For Rank'!D$2,T22,0,COUNTIF(T$7:T$115,T22)))+IFERROR(VLOOKUP((COUNT(R$6:R$115)/4),$ER$8:$ES$12,2,FALSE()),0),"")</f>
        <v>16</v>
      </c>
      <c r="CY22" s="31"/>
      <c r="CZ22" s="36" t="str">
        <f ca="1">IFERROR(AVERAGE(OFFSET('Data - For Rank'!E$2,Y22,0,COUNTIF(Y$7:Y$115,Y22)))+IFERROR(VLOOKUP((COUNT(W$6:W$115)/4),$ER$8:$ES$12,2,FALSE()),0),"")</f>
        <v/>
      </c>
      <c r="DA22" s="31">
        <v>27</v>
      </c>
      <c r="DB22" s="36">
        <f ca="1">IFERROR(AVERAGE(OFFSET('Data - For Rank'!F$2,AD22,0,COUNTIF(AD$7:AD$115,AD22)))+IFERROR(VLOOKUP((COUNT(AB$6:AB$115)/4),$ER$8:$ES$12,2,FALSE()),0),"")</f>
        <v>7</v>
      </c>
      <c r="DC22" s="31"/>
      <c r="DD22" s="36" t="str">
        <f ca="1">IFERROR(AVERAGE(OFFSET('Data - For Rank'!G$2,AI22,0,COUNTIF(AI$7:AI$115,AI22)))+IFERROR(VLOOKUP((COUNT(AG$6:AG$115)/4),$ER$8:$ES$12,2,FALSE()),0),"")</f>
        <v/>
      </c>
      <c r="DE22" s="31"/>
      <c r="DF22" s="36" t="str">
        <f ca="1">IFERROR(AVERAGE(OFFSET('Data - For Rank'!$H$2,AN22,0,COUNTIF(AN$7:AN$115,AN22)))+IFERROR(VLOOKUP((COUNT(AL$6:AL$115)/4),$ER$8:$ES$12,2,FALSE()),0),"")</f>
        <v/>
      </c>
      <c r="DG22" s="31"/>
      <c r="DH22" s="36" t="str">
        <f ca="1">IFERROR(AVERAGE(OFFSET('Data - For Rank'!$I$2,AS22,0,COUNTIF(AS$7:AS$115,AS22)))+IFERROR(VLOOKUP((COUNT(AQ$6:AQ$115)/4),$ER$8:$ES$12,2,FALSE()),0),"")</f>
        <v/>
      </c>
      <c r="DI22" s="31"/>
      <c r="DJ22" s="36" t="str">
        <f ca="1">IFERROR(AVERAGE(OFFSET('Data - For Rank'!$J$2,AX22,0,COUNTIF(AX$7:AX$115,AX22)))+IFERROR(VLOOKUP((COUNT(AV$6:AV$115)/4),$ER$8:$ES$12,2,FALSE()),0),"")</f>
        <v/>
      </c>
      <c r="DK22" s="31"/>
      <c r="DL22" s="36" t="str">
        <f ca="1">IFERROR(AVERAGE(OFFSET('Data - For Rank'!$K$2,BC22,0,COUNTIF(BC$7:BC$115,BC22)))+IFERROR(VLOOKUP((COUNT(BA$6:BA$115)/4),$ER$8:$ES$12,2,FALSE()),0),"")</f>
        <v/>
      </c>
      <c r="DM22" s="31"/>
      <c r="DN22" s="36" t="str">
        <f ca="1">IFERROR(AVERAGE(OFFSET('Data - For Rank'!$L$2,BH22,0,COUNTIF(BH$7:BH$115,BH22)))+IFERROR(VLOOKUP((COUNT(BF$6:BF$115)/4),$ER$8:$ES$12,2,FALSE()),0),"")</f>
        <v/>
      </c>
      <c r="DO22" s="31"/>
      <c r="DP22" s="36" t="str">
        <f ca="1">IFERROR(AVERAGE(OFFSET('Data - For Rank'!$M$2,BM22,0,COUNTIF(BM$7:BM$115,BM22)))+IFERROR(VLOOKUP((COUNT(BK$6:BK$115)/4),$ER$8:$ES$12,2,FALSE()),0),"")</f>
        <v/>
      </c>
      <c r="DQ22" s="31"/>
      <c r="DR22" s="36" t="str">
        <f ca="1">IFERROR(AVERAGE(OFFSET('Data - For Rank'!$N$2,BR22,0,COUNTIF(BR$7:BR$115,BR22)))+IFERROR(VLOOKUP((COUNT(BP$6:BP$115)/4),$ER$8:$ES$12,2,FALSE()),0),"")</f>
        <v/>
      </c>
      <c r="DS22" s="31"/>
      <c r="DT22" s="36" t="str">
        <f ca="1">IFERROR(AVERAGE(OFFSET('Data - For Rank'!$O$2,BW22,0,COUNTIF(BW$7:BW$115,BW22)))+IFERROR(VLOOKUP((COUNT(BU$6:BU$115)/4),$ER$8:$ES$12,2,FALSE()),0),"")</f>
        <v/>
      </c>
      <c r="DU22" s="31"/>
      <c r="DV22" s="36" t="str">
        <f ca="1">IFERROR(AVERAGE(OFFSET('Data - For Rank'!$P$2,CB22,0,COUNTIF(CB$7:CB$115,CB22)))+IFERROR(VLOOKUP((COUNT(BZ$6:BZ$115)/4),$ER$8:$ES$12,2,FALSE()),0),"")</f>
        <v/>
      </c>
      <c r="DW22" s="31"/>
      <c r="DX22" s="36" t="str">
        <f ca="1">IFERROR(AVERAGE(OFFSET('Data - For Rank'!$Q$2,CG22,0,COUNTIF(CG$7:CG$115,CG22)))+IFERROR(VLOOKUP((COUNT(CE$6:CE$115)/4),$ER$8:$ES$12,2,FALSE()),0),"")</f>
        <v/>
      </c>
      <c r="DY22" s="31"/>
      <c r="DZ22" s="36" t="str">
        <f ca="1">IFERROR(AVERAGE(OFFSET('Data - For Rank'!$R$2,CL22,0,COUNTIF(CL$7:CL$115,CL22)))+IFERROR(VLOOKUP((COUNT(CJ$6:CJ$115)/4),$ER$8:$ES$12,2,FALSE()),0),"")</f>
        <v/>
      </c>
      <c r="EA22" s="31"/>
      <c r="EB22" s="36" t="str">
        <f ca="1">IFERROR(AVERAGE(OFFSET('Data - For Rank'!$S$2,CQ22,0,COUNTIF(CQ$7:CQ$115,CQ22)))+IFERROR(VLOOKUP((COUNT(CO$6:CO$115)/4),$ER$8:$ES$12,2,FALSE()),0),"")</f>
        <v/>
      </c>
      <c r="EC22" s="37">
        <f>AVERAGE(CS22,CU22,CW22,CY22,DA22,DC22,DE22,DG22,DI22,DK22,DM22,DO22,DQ22,DS22,DU22,DW22,DY22,EA22)</f>
        <v>32.666666666666664</v>
      </c>
      <c r="ED22" s="33">
        <f t="shared" ca="1" si="1"/>
        <v>11</v>
      </c>
    </row>
    <row r="23" spans="2:151" s="15" customFormat="1" outlineLevel="1" x14ac:dyDescent="0.2">
      <c r="B23" s="38">
        <f ca="1">B21+0.026</f>
        <v>6.0259999999999998</v>
      </c>
      <c r="D23" s="87" t="s">
        <v>96</v>
      </c>
      <c r="E23" s="39" t="s">
        <v>39</v>
      </c>
      <c r="F23" s="40">
        <f ca="1">IF(COUNT(CT21:EB21)&gt;10,SMALL(G21:CN21,COUNT(G21:CN21)-10),MIN(CT21:EB21))</f>
        <v>12</v>
      </c>
      <c r="G23" s="40"/>
      <c r="H23" s="40"/>
      <c r="I23" s="96">
        <f>IF(CS23=0,"",CS23)</f>
        <v>27</v>
      </c>
      <c r="J23" s="96"/>
      <c r="K23" s="97">
        <f>IFERROR(_xlfn.RANK.EQ(I23,I$6:I$115,0),"")</f>
        <v>2</v>
      </c>
      <c r="L23" s="40"/>
      <c r="M23" s="40"/>
      <c r="N23" s="96" t="str">
        <f>IF(CU23=0,"",CU23)</f>
        <v/>
      </c>
      <c r="O23" s="96"/>
      <c r="P23" s="97" t="str">
        <f>IFERROR(_xlfn.RANK.EQ(N23,N$6:N$115,0),"")</f>
        <v/>
      </c>
      <c r="Q23" s="40"/>
      <c r="R23" s="40"/>
      <c r="S23" s="96">
        <f>IF(CW23=0,"",CW23)</f>
        <v>21</v>
      </c>
      <c r="T23" s="96"/>
      <c r="U23" s="97">
        <f>IFERROR(_xlfn.RANK.EQ(S23,S$6:S$115,0),"")</f>
        <v>2</v>
      </c>
      <c r="V23" s="40"/>
      <c r="W23" s="40"/>
      <c r="X23" s="96" t="str">
        <f>IF(CY23=0,"",CY23)</f>
        <v/>
      </c>
      <c r="Y23" s="96"/>
      <c r="Z23" s="97" t="str">
        <f>IFERROR(_xlfn.RANK.EQ(X23,X$6:X$115,0),"")</f>
        <v/>
      </c>
      <c r="AA23" s="40"/>
      <c r="AB23" s="40"/>
      <c r="AC23" s="96">
        <f>IF(DA23=0,"",DA23)</f>
        <v>-20</v>
      </c>
      <c r="AD23" s="96"/>
      <c r="AE23" s="97">
        <f>IFERROR(_xlfn.RANK.EQ(AC23,AC$6:AC$115,0),"")</f>
        <v>14</v>
      </c>
      <c r="AF23" s="40"/>
      <c r="AG23" s="40"/>
      <c r="AH23" s="96" t="str">
        <f>IF(DC23=0,"",DC23)</f>
        <v/>
      </c>
      <c r="AI23" s="96"/>
      <c r="AJ23" s="97" t="str">
        <f>IFERROR(_xlfn.RANK.EQ(AH23,AH$6:AH$115,0),"")</f>
        <v/>
      </c>
      <c r="AK23" s="40"/>
      <c r="AL23" s="40"/>
      <c r="AM23" s="96" t="str">
        <f>IF(DE23=0,"",DE23)</f>
        <v/>
      </c>
      <c r="AN23" s="96"/>
      <c r="AO23" s="97" t="str">
        <f>IFERROR(_xlfn.RANK.EQ(AM23,AM$6:AM$115,0),"")</f>
        <v/>
      </c>
      <c r="AP23" s="40"/>
      <c r="AQ23" s="40"/>
      <c r="AR23" s="96" t="str">
        <f>IF(DG23=0,"",DG23)</f>
        <v/>
      </c>
      <c r="AS23" s="96"/>
      <c r="AT23" s="97" t="str">
        <f>IFERROR(_xlfn.RANK.EQ(AR23,AR$6:AR$115,0),"")</f>
        <v/>
      </c>
      <c r="AU23" s="40"/>
      <c r="AV23" s="40"/>
      <c r="AW23" s="96" t="str">
        <f>IF(DI23=0,"",DI23)</f>
        <v/>
      </c>
      <c r="AX23" s="96"/>
      <c r="AY23" s="97" t="str">
        <f>IFERROR(_xlfn.RANK.EQ(AW23,AW$6:AW$115,0),"")</f>
        <v/>
      </c>
      <c r="AZ23" s="40"/>
      <c r="BA23" s="40"/>
      <c r="BB23" s="96" t="str">
        <f>IF(DK23=0,"",DK23)</f>
        <v/>
      </c>
      <c r="BC23" s="96"/>
      <c r="BD23" s="97" t="str">
        <f>IFERROR(_xlfn.RANK.EQ(BB23,BB$6:BB$115,0),"")</f>
        <v/>
      </c>
      <c r="BE23" s="40"/>
      <c r="BF23" s="40"/>
      <c r="BG23" s="96" t="str">
        <f>IF(DM23=0,"",DM23)</f>
        <v/>
      </c>
      <c r="BH23" s="96"/>
      <c r="BI23" s="97" t="str">
        <f>IFERROR(_xlfn.RANK.EQ(BG23,BG$6:BG$115,0),"")</f>
        <v/>
      </c>
      <c r="BJ23" s="40"/>
      <c r="BK23" s="40"/>
      <c r="BL23" s="96" t="str">
        <f>IF(DO23=0,"",DO23)</f>
        <v/>
      </c>
      <c r="BM23" s="96"/>
      <c r="BN23" s="97" t="str">
        <f>IFERROR(_xlfn.RANK.EQ(BL23,BL$6:BL$115,0),"")</f>
        <v/>
      </c>
      <c r="BO23" s="40"/>
      <c r="BP23" s="40"/>
      <c r="BQ23" s="96" t="str">
        <f>IF(DQ23=0,"",DQ23)</f>
        <v/>
      </c>
      <c r="BR23" s="96"/>
      <c r="BS23" s="97" t="str">
        <f>IFERROR(_xlfn.RANK.EQ(BQ23,BQ$6:BQ$115,0),"")</f>
        <v/>
      </c>
      <c r="BT23" s="40"/>
      <c r="BU23" s="40"/>
      <c r="BV23" s="96" t="str">
        <f>IF(DS23=0,"",DS23)</f>
        <v/>
      </c>
      <c r="BW23" s="96"/>
      <c r="BX23" s="97" t="str">
        <f>IFERROR(_xlfn.RANK.EQ(BV23,BV$6:BV$115,0),"")</f>
        <v/>
      </c>
      <c r="BY23" s="40"/>
      <c r="BZ23" s="40"/>
      <c r="CA23" s="96" t="str">
        <f>IF(DU23=0,"",DU23)</f>
        <v/>
      </c>
      <c r="CB23" s="96"/>
      <c r="CC23" s="97" t="str">
        <f>IFERROR(_xlfn.RANK.EQ(CA23,CA$6:CA$115,0),"")</f>
        <v/>
      </c>
      <c r="CD23" s="40"/>
      <c r="CE23" s="40"/>
      <c r="CF23" s="96" t="str">
        <f>IF(DW23=0,"",DW23)</f>
        <v/>
      </c>
      <c r="CG23" s="96"/>
      <c r="CH23" s="97" t="str">
        <f>IFERROR(_xlfn.RANK.EQ(CF23,CF$6:CF$115,0),"")</f>
        <v/>
      </c>
      <c r="CI23" s="40"/>
      <c r="CJ23" s="40"/>
      <c r="CK23" s="96" t="str">
        <f>IF(DY23=0,"",DY23)</f>
        <v/>
      </c>
      <c r="CL23" s="96"/>
      <c r="CM23" s="97" t="str">
        <f>IFERROR(_xlfn.RANK.EQ(CK23,CK$6:CK$115,0),"")</f>
        <v/>
      </c>
      <c r="CN23" s="40"/>
      <c r="CO23" s="40"/>
      <c r="CP23" s="96" t="str">
        <f>IF(EA23=0,"",EA23)</f>
        <v/>
      </c>
      <c r="CQ23" s="96"/>
      <c r="CR23" s="97" t="str">
        <f>IFERROR(_xlfn.RANK.EQ(CP23,CP$6:CP$115,0),"")</f>
        <v/>
      </c>
      <c r="CS23" s="41">
        <v>27</v>
      </c>
      <c r="CT23" s="42">
        <f ca="1">IFERROR(AVERAGE(OFFSET('Data - For Rank'!B$2,K23,0,COUNTIF(K$6:K$115,K23)))+IFERROR(VLOOKUP((COUNT($I$6:$I$115)/4),$ER$8:$ES$12,2,FALSE()),0),"")</f>
        <v>17</v>
      </c>
      <c r="CU23" s="41"/>
      <c r="CV23" s="42" t="str">
        <f ca="1">IFERROR(AVERAGE(OFFSET('Data - For Rank'!$C$2,P23,0,COUNTIF(P$6:P$115,P23)))+IFERROR(VLOOKUP((COUNT(N$6:N$115)/4),$ER$8:$ES$12,2,FALSE()),0),"")</f>
        <v/>
      </c>
      <c r="CW23" s="41">
        <v>21</v>
      </c>
      <c r="CX23" s="42">
        <f ca="1">IFERROR(AVERAGE(OFFSET('Data - For Rank'!D$2,U23,0,COUNTIF(U$6:$U130,U23)))+IFERROR(VLOOKUP((COUNT(S$6:S$115)/4),$ER$8:$ES$12,2,FALSE()),0),"")</f>
        <v>15</v>
      </c>
      <c r="CY23" s="41"/>
      <c r="CZ23" s="42" t="str">
        <f ca="1">IFERROR(AVERAGE(OFFSET('Data - For Rank'!E$2,Z23,0,COUNTIF(Z$6:Z$115,Z23)))+IFERROR(VLOOKUP((COUNT(W$6:W$115)/4),$ER$8:$ES$12,2,FALSE()),0),"")</f>
        <v/>
      </c>
      <c r="DA23" s="41">
        <v>-20</v>
      </c>
      <c r="DB23" s="42">
        <f ca="1">IFERROR(AVERAGE(OFFSET('Data - For Rank'!F$2,AE23,0,COUNTIF(AE$6:AE$115,AE23)))+IFERROR(VLOOKUP((COUNT(AC$6:AC$115)/4),$ER$8:$ES$12,2,FALSE()),0),"")</f>
        <v>5</v>
      </c>
      <c r="DC23" s="41"/>
      <c r="DD23" s="42" t="str">
        <f ca="1">IFERROR(AVERAGE(OFFSET('Data - For Rank'!G$2,AJ23,0,COUNTIF(AJ$6:AJ$115,AJ23)))+IFERROR(VLOOKUP((COUNT(AH$6:AH$115)/4),$ER$8:$ES$12,2,FALSE()),0),"")</f>
        <v/>
      </c>
      <c r="DE23" s="41"/>
      <c r="DF23" s="42" t="str">
        <f ca="1">IFERROR(AVERAGE(OFFSET('Data - For Rank'!$H$2,AO23,0,COUNTIF(AO$6:AO$115,AO23)))+IFERROR(VLOOKUP((COUNT(AM$6:AM$115)/4),$ER$8:$ES$12,2,FALSE()),0),"")</f>
        <v/>
      </c>
      <c r="DG23" s="41"/>
      <c r="DH23" s="42" t="str">
        <f ca="1">IFERROR(AVERAGE(OFFSET('Data - For Rank'!$I$2,AT23,0,COUNTIF(AT$6:AT$115,AT23)))+IFERROR(VLOOKUP((COUNT(AR$6:AR$115)/4),$ER$8:$ES$12,2,FALSE()),0),"")</f>
        <v/>
      </c>
      <c r="DI23" s="41"/>
      <c r="DJ23" s="42" t="str">
        <f ca="1">IFERROR(AVERAGE(OFFSET('Data - For Rank'!$J$2,AY23,0,COUNTIF(AY$6:AY$115,AY23)))+IFERROR(VLOOKUP((COUNT(AW$6:AW$115)/4),$ER$8:$ES$12,2,FALSE()),0),"")</f>
        <v/>
      </c>
      <c r="DK23" s="41"/>
      <c r="DL23" s="42" t="str">
        <f ca="1">IFERROR(AVERAGE(OFFSET('Data - For Rank'!$K$2,BD23,0,COUNTIF(BD$6:BD$115,BD23)))+IFERROR(VLOOKUP((COUNT(BB$6:BB$115)/4),$ER$8:$ES$12,2,FALSE()),0),"")</f>
        <v/>
      </c>
      <c r="DM23" s="41"/>
      <c r="DN23" s="42" t="str">
        <f ca="1">IFERROR(AVERAGE(OFFSET('Data - For Rank'!$L$2,BI23,0,COUNTIF(BI$6:BI$115,BI23)))+IFERROR(VLOOKUP((COUNT(BG$6:BG$115)/4),$ER$8:$ES$12,2,FALSE()),0),"")</f>
        <v/>
      </c>
      <c r="DO23" s="41"/>
      <c r="DP23" s="42" t="str">
        <f ca="1">IFERROR(AVERAGE(OFFSET('Data - For Rank'!$M$2,BN23,0,COUNTIF(BN$6:BN$115,BN23)))+IFERROR(VLOOKUP((COUNT(BL$6:BL$115)/4),$ER$8:$ES$12,2,FALSE()),0),"")</f>
        <v/>
      </c>
      <c r="DQ23" s="41"/>
      <c r="DR23" s="42" t="str">
        <f ca="1">IFERROR(AVERAGE(OFFSET('Data - For Rank'!$N$2,BS23,0,COUNTIF(BS$6:BS$115,BS23)))+IFERROR(VLOOKUP((COUNT(BQ$6:BQ$115)/4),$ER$8:$ES$12,2,FALSE()),0),"")</f>
        <v/>
      </c>
      <c r="DS23" s="41"/>
      <c r="DT23" s="42" t="str">
        <f ca="1">IFERROR(AVERAGE(OFFSET('Data - For Rank'!$O$2,BX23,0,COUNTIF(BX$6:BX$115,BX23)))+IFERROR(VLOOKUP((COUNT(BV$6:BV$115)/4),$ER$8:$ES$12,2,FALSE()),0),"")</f>
        <v/>
      </c>
      <c r="DU23" s="41"/>
      <c r="DV23" s="42" t="str">
        <f ca="1">IFERROR(AVERAGE(OFFSET('Data - For Rank'!$P$2,CC23,0,COUNTIF(CC$6:CC$115,CC23)))+IFERROR(VLOOKUP((COUNT(CA$6:CA$115)/4),$ER$8:$ES$12,2,FALSE()),0),"")</f>
        <v/>
      </c>
      <c r="DW23" s="41"/>
      <c r="DX23" s="42" t="str">
        <f ca="1">IFERROR(AVERAGE(OFFSET('Data - For Rank'!$Q$2,CH23,0,COUNTIF(CH$6:CH$115,CH23)))+IFERROR(VLOOKUP((COUNT(CF$6:CF$115)/4),$ER$8:$ES$12,2,FALSE()),0),"")</f>
        <v/>
      </c>
      <c r="DY23" s="41"/>
      <c r="DZ23" s="42" t="str">
        <f ca="1">IFERROR(AVERAGE(OFFSET('Data - For Rank'!$R$2,CM23,0,COUNTIF(CM$6:CM$115,CM23)))+IFERROR(VLOOKUP((COUNT(CK$6:CK$115)/4),$ER$8:$ES$12,2,FALSE()),0),"")</f>
        <v/>
      </c>
      <c r="EA23" s="41"/>
      <c r="EB23" s="42" t="str">
        <f ca="1">IFERROR(AVERAGE(OFFSET('Data - For Rank'!$S$2,CR23,0,COUNTIF(CR$6:CR$115,CR23)))+IFERROR(VLOOKUP((COUNT(CP$6:CP$115)/4),$ER$8:$ES$12,2,FALSE()),0),"")</f>
        <v/>
      </c>
      <c r="EC23" s="43">
        <f>CS23+CU23+CW23+CY23+DA23+DC23+DE23+DG23+DI23+DK23+DM23+DO23+DQ23+DS23+DU23+DW23+DY23+EA23</f>
        <v>28</v>
      </c>
      <c r="ED23" s="44">
        <f t="shared" ca="1" si="1"/>
        <v>12.333333333333334</v>
      </c>
    </row>
    <row r="24" spans="2:151" x14ac:dyDescent="0.2">
      <c r="B24" s="21">
        <f ca="1">_xlfn.RANK.EQ(C24,$C$6:$C$63,)</f>
        <v>6</v>
      </c>
      <c r="C24" s="56">
        <f ca="1">EC24</f>
        <v>70</v>
      </c>
      <c r="D24" s="56" t="s">
        <v>97</v>
      </c>
      <c r="E24" s="46" t="s">
        <v>45</v>
      </c>
      <c r="F24" s="30">
        <f ca="1">COUNT(CT24,CV24,CX24,CZ24,DB24,DD24,DF24,DH24,DJ24,DL24,DN24,DP24,DR24,DT24,DV24,DX24,DZ24,EB24)</f>
        <v>3</v>
      </c>
      <c r="G24" s="93">
        <f ca="1">IF(CT24=0,"",CT24)</f>
        <v>31.5</v>
      </c>
      <c r="H24" s="93"/>
      <c r="I24" s="93"/>
      <c r="K24" s="93"/>
      <c r="L24" s="93" t="str">
        <f ca="1">IF(CV24=0,"",CV24)</f>
        <v/>
      </c>
      <c r="M24" s="93"/>
      <c r="N24" s="93"/>
      <c r="P24" s="93"/>
      <c r="Q24" s="93">
        <f ca="1">IF(CX24=0,"",CX24)</f>
        <v>15</v>
      </c>
      <c r="R24" s="93"/>
      <c r="S24" s="93"/>
      <c r="U24" s="93"/>
      <c r="V24" s="93" t="str">
        <f ca="1">IF(CZ24=0,"",CZ24)</f>
        <v/>
      </c>
      <c r="W24" s="93"/>
      <c r="X24" s="93"/>
      <c r="Z24" s="93"/>
      <c r="AA24" s="93">
        <f ca="1">IF(DB24=0,"",DB24)</f>
        <v>23.5</v>
      </c>
      <c r="AB24" s="93"/>
      <c r="AC24" s="93"/>
      <c r="AE24" s="93"/>
      <c r="AF24" s="93" t="str">
        <f ca="1">IF(DD24=0,"",DD24)</f>
        <v/>
      </c>
      <c r="AG24" s="93"/>
      <c r="AH24" s="93"/>
      <c r="AJ24" s="93"/>
      <c r="AK24" s="93" t="str">
        <f ca="1">IF(DF24=0,"",DF24)</f>
        <v/>
      </c>
      <c r="AL24" s="93"/>
      <c r="AM24" s="93"/>
      <c r="AO24" s="93"/>
      <c r="AP24" s="93" t="str">
        <f ca="1">IF(DH24=0,"",DH24)</f>
        <v/>
      </c>
      <c r="AQ24" s="93"/>
      <c r="AR24" s="93"/>
      <c r="AT24" s="93"/>
      <c r="AU24" s="93" t="str">
        <f ca="1">IF(DJ24=0,"",DJ24)</f>
        <v/>
      </c>
      <c r="AV24" s="93"/>
      <c r="AW24" s="93"/>
      <c r="AY24" s="93"/>
      <c r="AZ24" s="93" t="str">
        <f ca="1">IF(DL24=0,"",DL24)</f>
        <v/>
      </c>
      <c r="BA24" s="93"/>
      <c r="BB24" s="93"/>
      <c r="BD24" s="93"/>
      <c r="BE24" s="93" t="str">
        <f ca="1">IF(DN24=0,"",DN24)</f>
        <v/>
      </c>
      <c r="BF24" s="93"/>
      <c r="BG24" s="93"/>
      <c r="BI24" s="93"/>
      <c r="BJ24" s="93" t="str">
        <f ca="1">IF(DP24=0,"",DP24)</f>
        <v/>
      </c>
      <c r="BK24" s="93"/>
      <c r="BL24" s="93"/>
      <c r="BN24" s="93"/>
      <c r="BO24" s="93" t="str">
        <f ca="1">IF(DR24=0,"",DR24)</f>
        <v/>
      </c>
      <c r="BP24" s="93"/>
      <c r="BQ24" s="93"/>
      <c r="BS24" s="93"/>
      <c r="BT24" s="93" t="str">
        <f ca="1">IF(DT24=0,"",DT24)</f>
        <v/>
      </c>
      <c r="BU24" s="93"/>
      <c r="BV24" s="93"/>
      <c r="BX24" s="93"/>
      <c r="BY24" s="93" t="str">
        <f ca="1">IF(DV24=0,"",DV24)</f>
        <v/>
      </c>
      <c r="BZ24" s="93"/>
      <c r="CA24" s="93"/>
      <c r="CC24" s="93"/>
      <c r="CD24" s="93" t="str">
        <f ca="1">IF(DX24=0,"",DX24)</f>
        <v/>
      </c>
      <c r="CE24" s="93"/>
      <c r="CF24" s="93"/>
      <c r="CH24" s="93"/>
      <c r="CI24" s="93" t="str">
        <f ca="1">IF(DZ24=0,"",DZ24)</f>
        <v/>
      </c>
      <c r="CJ24" s="93"/>
      <c r="CK24" s="93"/>
      <c r="CM24" s="93"/>
      <c r="CN24" s="93" t="str">
        <f ca="1">IF(EB24=0,"",EB24)</f>
        <v/>
      </c>
      <c r="CO24" s="93"/>
      <c r="CP24" s="93"/>
      <c r="CR24" s="93"/>
      <c r="CS24" s="31">
        <v>77</v>
      </c>
      <c r="CT24" s="32">
        <f ca="1">IFERROR(CT25+CT26,"")</f>
        <v>31.5</v>
      </c>
      <c r="CU24" s="31"/>
      <c r="CV24" s="32" t="str">
        <f ca="1">IFERROR(CV25+CV26,"")</f>
        <v/>
      </c>
      <c r="CW24" s="31">
        <v>87</v>
      </c>
      <c r="CX24" s="32">
        <f ca="1">IFERROR(CX25+CX26,"")</f>
        <v>15</v>
      </c>
      <c r="CY24" s="31"/>
      <c r="CZ24" s="32" t="str">
        <f ca="1">IFERROR(CZ25+CZ26,"")</f>
        <v/>
      </c>
      <c r="DA24" s="31">
        <v>81</v>
      </c>
      <c r="DB24" s="32">
        <f ca="1">IFERROR(DB25+DB26,"")</f>
        <v>23.5</v>
      </c>
      <c r="DC24" s="31"/>
      <c r="DD24" s="32" t="str">
        <f ca="1">IFERROR(DD25+DD26,"")</f>
        <v/>
      </c>
      <c r="DE24" s="31"/>
      <c r="DF24" s="32" t="str">
        <f ca="1">IFERROR(DF25+DF26,"")</f>
        <v/>
      </c>
      <c r="DG24" s="31"/>
      <c r="DH24" s="32" t="str">
        <f ca="1">IFERROR(DH25+DH26,"")</f>
        <v/>
      </c>
      <c r="DI24" s="31"/>
      <c r="DJ24" s="32" t="str">
        <f ca="1">IFERROR(DJ25+DJ26,"")</f>
        <v/>
      </c>
      <c r="DK24" s="31"/>
      <c r="DL24" s="32" t="str">
        <f ca="1">IFERROR(DL25+DL26,"")</f>
        <v/>
      </c>
      <c r="DM24" s="31"/>
      <c r="DN24" s="32" t="str">
        <f ca="1">IFERROR(DN25+DN26,"")</f>
        <v/>
      </c>
      <c r="DO24" s="31"/>
      <c r="DP24" s="32" t="str">
        <f ca="1">IFERROR(DP25+DP26,"")</f>
        <v/>
      </c>
      <c r="DQ24" s="31"/>
      <c r="DR24" s="32" t="str">
        <f ca="1">IFERROR(DR25+DR26,"")</f>
        <v/>
      </c>
      <c r="DS24" s="31"/>
      <c r="DT24" s="32" t="str">
        <f ca="1">IFERROR(DT25+DT26,"")</f>
        <v/>
      </c>
      <c r="DU24" s="31"/>
      <c r="DV24" s="32" t="str">
        <f ca="1">IFERROR(DV25+DV26,"")</f>
        <v/>
      </c>
      <c r="DW24" s="31"/>
      <c r="DX24" s="32" t="str">
        <f ca="1">IFERROR(DX25+DX26,"")</f>
        <v/>
      </c>
      <c r="DY24" s="31"/>
      <c r="DZ24" s="32" t="str">
        <f ca="1">IFERROR(DZ25+DZ26,"")</f>
        <v/>
      </c>
      <c r="EA24" s="31"/>
      <c r="EB24" s="32" t="str">
        <f ca="1">IFERROR(EB25+EB26,"")</f>
        <v/>
      </c>
      <c r="EC24" s="26">
        <f ca="1">IFERROR(LARGE($G24:$CN24,1),0)+IFERROR(LARGE($G24:$CN24,2),0)+IFERROR(LARGE($G24:$CN24,3),0)+IFERROR(LARGE($G24:$CN24,4),0)+IFERROR(LARGE($G24:$CN24,5),0)+IFERROR(LARGE($G24:$CN24,6),0)+IFERROR(LARGE($G24:$CN24,7),0)+IFERROR(LARGE($G24:$CN24,8),0)+IFERROR(LARGE($G24:$CN24,9),0)+IFERROR(LARGE($G24:$CN24,10),0)</f>
        <v>70</v>
      </c>
      <c r="ED24" s="33">
        <f t="shared" ca="1" si="1"/>
        <v>23.333333333333332</v>
      </c>
      <c r="EM24" s="100" t="s">
        <v>98</v>
      </c>
    </row>
    <row r="25" spans="2:151" s="15" customFormat="1" outlineLevel="1" x14ac:dyDescent="0.2">
      <c r="B25" s="34">
        <f ca="1">B24+0.17</f>
        <v>6.17</v>
      </c>
      <c r="D25" s="87" t="s">
        <v>99</v>
      </c>
      <c r="E25" s="35" t="s">
        <v>38</v>
      </c>
      <c r="F25" s="48"/>
      <c r="G25" s="48"/>
      <c r="H25" s="35">
        <f>IF(CS25=0,"",CS25)</f>
        <v>39</v>
      </c>
      <c r="I25" s="48"/>
      <c r="J25" s="93">
        <f>IFERROR(RANK(H25,H$6:H$115,0),"")</f>
        <v>2</v>
      </c>
      <c r="K25" s="35"/>
      <c r="L25" s="35"/>
      <c r="M25" s="35" t="str">
        <f>IF(CU25=0,"",CU25)</f>
        <v/>
      </c>
      <c r="N25" s="35"/>
      <c r="O25" s="93" t="str">
        <f>IFERROR(RANK(M25,M$6:M$115,0),"")</f>
        <v/>
      </c>
      <c r="P25" s="35"/>
      <c r="Q25" s="35"/>
      <c r="R25" s="35">
        <f>IF(CW25=0,"",CW25)</f>
        <v>31</v>
      </c>
      <c r="S25" s="35"/>
      <c r="T25" s="93">
        <f>IFERROR(RANK(R25,R$6:R$115,0),"")</f>
        <v>7</v>
      </c>
      <c r="U25" s="35"/>
      <c r="V25" s="35"/>
      <c r="W25" s="35" t="str">
        <f>IF(CY25=0,"",CY25)</f>
        <v/>
      </c>
      <c r="X25" s="35"/>
      <c r="Y25" s="93" t="str">
        <f>IFERROR(RANK(W25,W$6:W$115,0),"")</f>
        <v/>
      </c>
      <c r="Z25" s="35"/>
      <c r="AA25" s="35"/>
      <c r="AB25" s="35">
        <f>IF(DA25=0,"",DA25)</f>
        <v>34</v>
      </c>
      <c r="AC25" s="35"/>
      <c r="AD25" s="93">
        <f>IFERROR(RANK(AB25,AB$6:AB$115,0),"")</f>
        <v>2</v>
      </c>
      <c r="AE25" s="35"/>
      <c r="AF25" s="35"/>
      <c r="AG25" s="35" t="str">
        <f>IF(DC25=0,"",DC25)</f>
        <v/>
      </c>
      <c r="AH25" s="35"/>
      <c r="AI25" s="93" t="str">
        <f>IFERROR(RANK(AG25,AG$6:AG$115,0),"")</f>
        <v/>
      </c>
      <c r="AJ25" s="35"/>
      <c r="AK25" s="35"/>
      <c r="AL25" s="35" t="str">
        <f>IF(DE25=0,"",DE25)</f>
        <v/>
      </c>
      <c r="AM25" s="35"/>
      <c r="AN25" s="93" t="str">
        <f>IFERROR(RANK(AL25,AL$6:AL$115,0),"")</f>
        <v/>
      </c>
      <c r="AO25" s="35"/>
      <c r="AP25" s="35"/>
      <c r="AQ25" s="35" t="str">
        <f>IF(DG25=0,"",DG25)</f>
        <v/>
      </c>
      <c r="AR25" s="35"/>
      <c r="AS25" s="93" t="str">
        <f>IFERROR(RANK(AQ25,AQ$6:AQ$115,0),"")</f>
        <v/>
      </c>
      <c r="AT25" s="35"/>
      <c r="AU25" s="35"/>
      <c r="AV25" s="35" t="str">
        <f>IF(DI25=0,"",DI25)</f>
        <v/>
      </c>
      <c r="AW25" s="35"/>
      <c r="AX25" s="93" t="str">
        <f>IFERROR(RANK(AV25,AV$6:AV$115,0),"")</f>
        <v/>
      </c>
      <c r="AY25" s="35"/>
      <c r="AZ25" s="35"/>
      <c r="BA25" s="35" t="str">
        <f>IF(DK25=0,"",DK25)</f>
        <v/>
      </c>
      <c r="BB25" s="35"/>
      <c r="BC25" s="93" t="str">
        <f>IFERROR(RANK(BA25,BA$6:BA$115,0),"")</f>
        <v/>
      </c>
      <c r="BD25" s="35"/>
      <c r="BE25" s="35"/>
      <c r="BF25" s="35" t="str">
        <f>IF(DM25=0,"",DM25)</f>
        <v/>
      </c>
      <c r="BG25" s="35"/>
      <c r="BH25" s="93" t="str">
        <f>IFERROR(RANK(BF25,BF$6:BF$115,0),"")</f>
        <v/>
      </c>
      <c r="BI25" s="35"/>
      <c r="BJ25" s="35"/>
      <c r="BK25" s="35" t="str">
        <f>IF(DO25=0,"",DO25)</f>
        <v/>
      </c>
      <c r="BL25" s="35"/>
      <c r="BM25" s="93" t="str">
        <f>IFERROR(RANK(BK25,BK$6:BK$115,0),"")</f>
        <v/>
      </c>
      <c r="BN25" s="35"/>
      <c r="BO25" s="35"/>
      <c r="BP25" s="35" t="str">
        <f>IF(DQ25=0,"",DQ25)</f>
        <v/>
      </c>
      <c r="BQ25" s="35"/>
      <c r="BR25" s="93" t="str">
        <f>IFERROR(RANK(BP25,BP$6:BP$115,0),"")</f>
        <v/>
      </c>
      <c r="BS25" s="35"/>
      <c r="BT25" s="35"/>
      <c r="BU25" s="35" t="str">
        <f>IF(DS25=0,"",DS25)</f>
        <v/>
      </c>
      <c r="BV25" s="35"/>
      <c r="BW25" s="93" t="str">
        <f>IFERROR(RANK(BU25,BU$6:BU$115,0),"")</f>
        <v/>
      </c>
      <c r="BX25" s="35"/>
      <c r="BY25" s="35"/>
      <c r="BZ25" s="35" t="str">
        <f>IF(DU25=0,"",DU25)</f>
        <v/>
      </c>
      <c r="CA25" s="35"/>
      <c r="CB25" s="93" t="str">
        <f>IFERROR(RANK(BZ25,BZ$6:BZ$115,0),"")</f>
        <v/>
      </c>
      <c r="CC25" s="35"/>
      <c r="CD25" s="35"/>
      <c r="CE25" s="35" t="str">
        <f>IF(DW25=0,"",DW25)</f>
        <v/>
      </c>
      <c r="CF25" s="35"/>
      <c r="CG25" s="93" t="str">
        <f>IFERROR(RANK(CE25,CE$6:CE$115,0),"")</f>
        <v/>
      </c>
      <c r="CH25" s="35"/>
      <c r="CI25" s="35"/>
      <c r="CJ25" s="35" t="str">
        <f>IF(DY25=0,"",DY25)</f>
        <v/>
      </c>
      <c r="CK25" s="35"/>
      <c r="CL25" s="93" t="str">
        <f>IFERROR(RANK(CJ25,CJ$6:CJ$115,0),"")</f>
        <v/>
      </c>
      <c r="CM25" s="35"/>
      <c r="CN25" s="35"/>
      <c r="CO25" s="35" t="str">
        <f>IF(EA25=0,"",EA25)</f>
        <v/>
      </c>
      <c r="CP25" s="35"/>
      <c r="CQ25" s="93" t="str">
        <f>IFERROR(RANK(CO25,CO$6:CO$115,0),"")</f>
        <v/>
      </c>
      <c r="CR25" s="35"/>
      <c r="CS25" s="31">
        <v>39</v>
      </c>
      <c r="CT25" s="36">
        <f ca="1">IFERROR(AVERAGE(OFFSET('Data - For Rank'!B$2,J25,0,COUNTIF($J$7:J$115,J25)))+IFERROR(VLOOKUP((COUNT($H$6:$H$115)/4),$ER$8:$ES$12,2,FALSE()),0),"")</f>
        <v>17</v>
      </c>
      <c r="CU25" s="31"/>
      <c r="CV25" s="36" t="str">
        <f ca="1">IFERROR(AVERAGE(OFFSET('Data - For Rank'!$C$2,O25,0,COUNTIF(O$7:O$115,O25)))+IFERROR(VLOOKUP((COUNT(M$6:M$115)/4),$ER$8:$ES$12,2,FALSE()),0),"")</f>
        <v/>
      </c>
      <c r="CW25" s="31">
        <v>31</v>
      </c>
      <c r="CX25" s="36">
        <f ca="1">IFERROR(AVERAGE(OFFSET('Data - For Rank'!D$2,T25,0,COUNTIF(T$7:T$115,T25)))+IFERROR(VLOOKUP((COUNT(R$6:R$115)/4),$ER$8:$ES$12,2,FALSE()),0),"")</f>
        <v>10</v>
      </c>
      <c r="CY25" s="31"/>
      <c r="CZ25" s="36" t="str">
        <f ca="1">IFERROR(AVERAGE(OFFSET('Data - For Rank'!E$2,Y25,0,COUNTIF(Y$7:Y$115,Y25)))+IFERROR(VLOOKUP((COUNT(W$6:W$115)/4),$ER$8:$ES$12,2,FALSE()),0),"")</f>
        <v/>
      </c>
      <c r="DA25" s="31">
        <v>34</v>
      </c>
      <c r="DB25" s="36">
        <f ca="1">IFERROR(AVERAGE(OFFSET('Data - For Rank'!F$2,AD25,0,COUNTIF(AD$7:AD$115,AD25)))+IFERROR(VLOOKUP((COUNT(AB$6:AB$115)/4),$ER$8:$ES$12,2,FALSE()),0),"")</f>
        <v>16.5</v>
      </c>
      <c r="DC25" s="31"/>
      <c r="DD25" s="36" t="str">
        <f ca="1">IFERROR(AVERAGE(OFFSET('Data - For Rank'!G$2,AI25,0,COUNTIF(AI$7:AI$115,AI25)))+IFERROR(VLOOKUP((COUNT(AG$6:AG$115)/4),$ER$8:$ES$12,2,FALSE()),0),"")</f>
        <v/>
      </c>
      <c r="DE25" s="31"/>
      <c r="DF25" s="36" t="str">
        <f ca="1">IFERROR(AVERAGE(OFFSET('Data - For Rank'!$H$2,AN25,0,COUNTIF(AN$7:AN$115,AN25)))+IFERROR(VLOOKUP((COUNT(AL$6:AL$115)/4),$ER$8:$ES$12,2,FALSE()),0),"")</f>
        <v/>
      </c>
      <c r="DG25" s="31"/>
      <c r="DH25" s="36" t="str">
        <f ca="1">IFERROR(AVERAGE(OFFSET('Data - For Rank'!$I$2,AS25,0,COUNTIF(AS$7:AS$115,AS25)))+IFERROR(VLOOKUP((COUNT(AQ$6:AQ$115)/4),$ER$8:$ES$12,2,FALSE()),0),"")</f>
        <v/>
      </c>
      <c r="DI25" s="31"/>
      <c r="DJ25" s="36" t="str">
        <f ca="1">IFERROR(AVERAGE(OFFSET('Data - For Rank'!$J$2,AX25,0,COUNTIF(AX$7:AX$115,AX25)))+IFERROR(VLOOKUP((COUNT(AV$6:AV$115)/4),$ER$8:$ES$12,2,FALSE()),0),"")</f>
        <v/>
      </c>
      <c r="DK25" s="31"/>
      <c r="DL25" s="36" t="str">
        <f ca="1">IFERROR(AVERAGE(OFFSET('Data - For Rank'!$K$2,BC25,0,COUNTIF(BC$7:BC$115,BC25)))+IFERROR(VLOOKUP((COUNT(BA$6:BA$115)/4),$ER$8:$ES$12,2,FALSE()),0),"")</f>
        <v/>
      </c>
      <c r="DM25" s="31"/>
      <c r="DN25" s="36" t="str">
        <f ca="1">IFERROR(AVERAGE(OFFSET('Data - For Rank'!$L$2,BH25,0,COUNTIF(BH$7:BH$115,BH25)))+IFERROR(VLOOKUP((COUNT(BF$6:BF$115)/4),$ER$8:$ES$12,2,FALSE()),0),"")</f>
        <v/>
      </c>
      <c r="DO25" s="31"/>
      <c r="DP25" s="36" t="str">
        <f ca="1">IFERROR(AVERAGE(OFFSET('Data - For Rank'!$M$2,BM25,0,COUNTIF(BM$7:BM$115,BM25)))+IFERROR(VLOOKUP((COUNT(BK$6:BK$115)/4),$ER$8:$ES$12,2,FALSE()),0),"")</f>
        <v/>
      </c>
      <c r="DQ25" s="31"/>
      <c r="DR25" s="36" t="str">
        <f ca="1">IFERROR(AVERAGE(OFFSET('Data - For Rank'!$N$2,BR25,0,COUNTIF(BR$7:BR$115,BR25)))+IFERROR(VLOOKUP((COUNT(BP$6:BP$115)/4),$ER$8:$ES$12,2,FALSE()),0),"")</f>
        <v/>
      </c>
      <c r="DS25" s="31"/>
      <c r="DT25" s="36" t="str">
        <f ca="1">IFERROR(AVERAGE(OFFSET('Data - For Rank'!$O$2,BW25,0,COUNTIF(BW$7:BW$115,BW25)))+IFERROR(VLOOKUP((COUNT(BU$6:BU$115)/4),$ER$8:$ES$12,2,FALSE()),0),"")</f>
        <v/>
      </c>
      <c r="DU25" s="31"/>
      <c r="DV25" s="36" t="str">
        <f ca="1">IFERROR(AVERAGE(OFFSET('Data - For Rank'!$P$2,CB25,0,COUNTIF(CB$7:CB$115,CB25)))+IFERROR(VLOOKUP((COUNT(BZ$6:BZ$115)/4),$ER$8:$ES$12,2,FALSE()),0),"")</f>
        <v/>
      </c>
      <c r="DW25" s="31"/>
      <c r="DX25" s="36" t="str">
        <f ca="1">IFERROR(AVERAGE(OFFSET('Data - For Rank'!$Q$2,CG25,0,COUNTIF(CG$7:CG$115,CG25)))+IFERROR(VLOOKUP((COUNT(CE$6:CE$115)/4),$ER$8:$ES$12,2,FALSE()),0),"")</f>
        <v/>
      </c>
      <c r="DY25" s="31"/>
      <c r="DZ25" s="36" t="str">
        <f ca="1">IFERROR(AVERAGE(OFFSET('Data - For Rank'!$R$2,CL25,0,COUNTIF(CL$7:CL$115,CL25)))+IFERROR(VLOOKUP((COUNT(CJ$6:CJ$115)/4),$ER$8:$ES$12,2,FALSE()),0),"")</f>
        <v/>
      </c>
      <c r="EA25" s="31"/>
      <c r="EB25" s="36" t="str">
        <f ca="1">IFERROR(AVERAGE(OFFSET('Data - For Rank'!$S$2,CQ25,0,COUNTIF(CQ$7:CQ$115,CQ25)))+IFERROR(VLOOKUP((COUNT(CO$6:CO$115)/4),$ER$8:$ES$12,2,FALSE()),0),"")</f>
        <v/>
      </c>
      <c r="EC25" s="37">
        <f>AVERAGE(CS25,CU25,CW25,CY25,DA25,DC25,DE25,DG25,DI25,DK25,DM25,DO25,DQ25,DS25,DU25,DW25,DY25,EA25)</f>
        <v>34.666666666666664</v>
      </c>
      <c r="ED25" s="33">
        <f t="shared" ca="1" si="1"/>
        <v>14.5</v>
      </c>
      <c r="EF25" s="36"/>
    </row>
    <row r="26" spans="2:151" s="15" customFormat="1" outlineLevel="1" x14ac:dyDescent="0.2">
      <c r="B26" s="38">
        <f ca="1">B24+0.027</f>
        <v>6.0270000000000001</v>
      </c>
      <c r="D26" s="87" t="s">
        <v>100</v>
      </c>
      <c r="E26" s="39" t="s">
        <v>39</v>
      </c>
      <c r="F26" s="40">
        <f ca="1">IF(COUNT(CT24:EB24)&gt;10,SMALL(G24:CN24,COUNT(G24:CN24)-10),MIN(CT24:EB24))</f>
        <v>15</v>
      </c>
      <c r="G26" s="40"/>
      <c r="H26" s="40"/>
      <c r="I26" s="96">
        <f>IF(CS26=0,"",CS26)</f>
        <v>10</v>
      </c>
      <c r="J26" s="96"/>
      <c r="K26" s="97">
        <f>IFERROR(_xlfn.RANK.EQ(I26,I$6:I$115,0),"")</f>
        <v>4</v>
      </c>
      <c r="L26" s="40"/>
      <c r="M26" s="40"/>
      <c r="N26" s="96" t="str">
        <f>IF(CU26=0,"",CU26)</f>
        <v/>
      </c>
      <c r="O26" s="96"/>
      <c r="P26" s="97" t="str">
        <f>IFERROR(_xlfn.RANK.EQ(N26,N$6:N$115,0),"")</f>
        <v/>
      </c>
      <c r="Q26" s="40"/>
      <c r="R26" s="40"/>
      <c r="S26" s="96">
        <f>IF(CW26=0,"",CW26)</f>
        <v>-32</v>
      </c>
      <c r="T26" s="96"/>
      <c r="U26" s="97">
        <f>IFERROR(_xlfn.RANK.EQ(S26,S$6:S$115,0),"")</f>
        <v>12</v>
      </c>
      <c r="V26" s="40"/>
      <c r="W26" s="40"/>
      <c r="X26" s="96" t="str">
        <f>IF(CY26=0,"",CY26)</f>
        <v/>
      </c>
      <c r="Y26" s="96"/>
      <c r="Z26" s="97" t="str">
        <f>IFERROR(_xlfn.RANK.EQ(X26,X$6:X$115,0),"")</f>
        <v/>
      </c>
      <c r="AA26" s="40"/>
      <c r="AB26" s="40"/>
      <c r="AC26" s="96">
        <f>IF(DA26=0,"",DA26)</f>
        <v>-8</v>
      </c>
      <c r="AD26" s="96"/>
      <c r="AE26" s="97">
        <f>IFERROR(_xlfn.RANK.EQ(AC26,AC$6:AC$115,0),"")</f>
        <v>12</v>
      </c>
      <c r="AF26" s="40"/>
      <c r="AG26" s="40"/>
      <c r="AH26" s="96" t="str">
        <f>IF(DC26=0,"",DC26)</f>
        <v/>
      </c>
      <c r="AI26" s="96"/>
      <c r="AJ26" s="97" t="str">
        <f>IFERROR(_xlfn.RANK.EQ(AH26,AH$6:AH$115,0),"")</f>
        <v/>
      </c>
      <c r="AK26" s="40"/>
      <c r="AL26" s="40"/>
      <c r="AM26" s="96" t="str">
        <f>IF(DE26=0,"",DE26)</f>
        <v/>
      </c>
      <c r="AN26" s="96"/>
      <c r="AO26" s="97" t="str">
        <f>IFERROR(_xlfn.RANK.EQ(AM26,AM$6:AM$115,0),"")</f>
        <v/>
      </c>
      <c r="AP26" s="40"/>
      <c r="AQ26" s="40"/>
      <c r="AR26" s="96" t="str">
        <f>IF(DG26=0,"",DG26)</f>
        <v/>
      </c>
      <c r="AS26" s="96"/>
      <c r="AT26" s="97" t="str">
        <f>IFERROR(_xlfn.RANK.EQ(AR26,AR$6:AR$115,0),"")</f>
        <v/>
      </c>
      <c r="AU26" s="40"/>
      <c r="AV26" s="40"/>
      <c r="AW26" s="96" t="str">
        <f>IF(DI26=0,"",DI26)</f>
        <v/>
      </c>
      <c r="AX26" s="96"/>
      <c r="AY26" s="97" t="str">
        <f>IFERROR(_xlfn.RANK.EQ(AW26,AW$6:AW$115,0),"")</f>
        <v/>
      </c>
      <c r="AZ26" s="40"/>
      <c r="BA26" s="40"/>
      <c r="BB26" s="96" t="str">
        <f>IF(DK26=0,"",DK26)</f>
        <v/>
      </c>
      <c r="BC26" s="96"/>
      <c r="BD26" s="97" t="str">
        <f>IFERROR(_xlfn.RANK.EQ(BB26,BB$6:BB$115,0),"")</f>
        <v/>
      </c>
      <c r="BE26" s="40"/>
      <c r="BF26" s="40"/>
      <c r="BG26" s="96" t="str">
        <f>IF(DM26=0,"",DM26)</f>
        <v/>
      </c>
      <c r="BH26" s="96"/>
      <c r="BI26" s="97" t="str">
        <f>IFERROR(_xlfn.RANK.EQ(BG26,BG$6:BG$115,0),"")</f>
        <v/>
      </c>
      <c r="BJ26" s="40"/>
      <c r="BK26" s="40"/>
      <c r="BL26" s="96" t="str">
        <f>IF(DO26=0,"",DO26)</f>
        <v/>
      </c>
      <c r="BM26" s="96"/>
      <c r="BN26" s="97" t="str">
        <f>IFERROR(_xlfn.RANK.EQ(BL26,BL$6:BL$115,0),"")</f>
        <v/>
      </c>
      <c r="BO26" s="40"/>
      <c r="BP26" s="40"/>
      <c r="BQ26" s="96" t="str">
        <f>IF(DQ26=0,"",DQ26)</f>
        <v/>
      </c>
      <c r="BR26" s="96"/>
      <c r="BS26" s="97" t="str">
        <f>IFERROR(_xlfn.RANK.EQ(BQ26,BQ$6:BQ$115,0),"")</f>
        <v/>
      </c>
      <c r="BT26" s="40"/>
      <c r="BU26" s="40"/>
      <c r="BV26" s="96" t="str">
        <f>IF(DS26=0,"",DS26)</f>
        <v/>
      </c>
      <c r="BW26" s="96"/>
      <c r="BX26" s="97" t="str">
        <f>IFERROR(_xlfn.RANK.EQ(BV26,BV$6:BV$115,0),"")</f>
        <v/>
      </c>
      <c r="BY26" s="40"/>
      <c r="BZ26" s="40"/>
      <c r="CA26" s="96" t="str">
        <f>IF(DU26=0,"",DU26)</f>
        <v/>
      </c>
      <c r="CB26" s="96"/>
      <c r="CC26" s="97" t="str">
        <f>IFERROR(_xlfn.RANK.EQ(CA26,CA$6:CA$115,0),"")</f>
        <v/>
      </c>
      <c r="CD26" s="40"/>
      <c r="CE26" s="40"/>
      <c r="CF26" s="96" t="str">
        <f>IF(DW26=0,"",DW26)</f>
        <v/>
      </c>
      <c r="CG26" s="96"/>
      <c r="CH26" s="97" t="str">
        <f>IFERROR(_xlfn.RANK.EQ(CF26,CF$6:CF$115,0),"")</f>
        <v/>
      </c>
      <c r="CI26" s="40"/>
      <c r="CJ26" s="40"/>
      <c r="CK26" s="96" t="str">
        <f>IF(DY26=0,"",DY26)</f>
        <v/>
      </c>
      <c r="CL26" s="96"/>
      <c r="CM26" s="97" t="str">
        <f>IFERROR(_xlfn.RANK.EQ(CK26,CK$6:CK$115,0),"")</f>
        <v/>
      </c>
      <c r="CN26" s="40"/>
      <c r="CO26" s="40"/>
      <c r="CP26" s="96" t="str">
        <f>IF(EA26=0,"",EA26)</f>
        <v/>
      </c>
      <c r="CQ26" s="96"/>
      <c r="CR26" s="97" t="str">
        <f>IFERROR(_xlfn.RANK.EQ(CP26,CP$6:CP$115,0),"")</f>
        <v/>
      </c>
      <c r="CS26" s="41">
        <v>10</v>
      </c>
      <c r="CT26" s="42">
        <f ca="1">IFERROR(AVERAGE(OFFSET('Data - For Rank'!B$2,K26,0,COUNTIF(K$6:K$115,K26)))+IFERROR(VLOOKUP((COUNT($I$6:$I$115)/4),$ER$8:$ES$12,2,FALSE()),0),"")</f>
        <v>14.5</v>
      </c>
      <c r="CU26" s="41"/>
      <c r="CV26" s="42" t="str">
        <f ca="1">IFERROR(AVERAGE(OFFSET('Data - For Rank'!$C$2,P26,0,COUNTIF(P$6:P$115,P26)))+IFERROR(VLOOKUP((COUNT(N$6:N$115)/4),$ER$8:$ES$12,2,FALSE()),0),"")</f>
        <v/>
      </c>
      <c r="CW26" s="41">
        <v>-32</v>
      </c>
      <c r="CX26" s="42">
        <f ca="1">IFERROR(AVERAGE(OFFSET('Data - For Rank'!D$2,U26,0,COUNTIF(U$6:$U133,U26)))+IFERROR(VLOOKUP((COUNT(S$6:S$115)/4),$ER$8:$ES$12,2,FALSE()),0),"")</f>
        <v>5</v>
      </c>
      <c r="CY26" s="41"/>
      <c r="CZ26" s="42" t="str">
        <f ca="1">IFERROR(AVERAGE(OFFSET('Data - For Rank'!E$2,Z26,0,COUNTIF(Z$6:Z$115,Z26)))+IFERROR(VLOOKUP((COUNT(W$6:W$115)/4),$ER$8:$ES$12,2,FALSE()),0),"")</f>
        <v/>
      </c>
      <c r="DA26" s="41">
        <v>-8</v>
      </c>
      <c r="DB26" s="42">
        <f ca="1">IFERROR(AVERAGE(OFFSET('Data - For Rank'!F$2,AE26,0,COUNTIF(AE$6:AE$115,AE26)))+IFERROR(VLOOKUP((COUNT(AC$6:AC$115)/4),$ER$8:$ES$12,2,FALSE()),0),"")</f>
        <v>7</v>
      </c>
      <c r="DC26" s="41"/>
      <c r="DD26" s="42" t="str">
        <f ca="1">IFERROR(AVERAGE(OFFSET('Data - For Rank'!G$2,AJ26,0,COUNTIF(AJ$6:AJ$115,AJ26)))+IFERROR(VLOOKUP((COUNT(AH$6:AH$115)/4),$ER$8:$ES$12,2,FALSE()),0),"")</f>
        <v/>
      </c>
      <c r="DE26" s="41"/>
      <c r="DF26" s="42" t="str">
        <f ca="1">IFERROR(AVERAGE(OFFSET('Data - For Rank'!$H$2,AO26,0,COUNTIF(AO$6:AO$115,AO26)))+IFERROR(VLOOKUP((COUNT(AM$6:AM$115)/4),$ER$8:$ES$12,2,FALSE()),0),"")</f>
        <v/>
      </c>
      <c r="DG26" s="41"/>
      <c r="DH26" s="42" t="str">
        <f ca="1">IFERROR(AVERAGE(OFFSET('Data - For Rank'!$I$2,AT26,0,COUNTIF(AT$6:AT$115,AT26)))+IFERROR(VLOOKUP((COUNT(AR$6:AR$115)/4),$ER$8:$ES$12,2,FALSE()),0),"")</f>
        <v/>
      </c>
      <c r="DI26" s="41"/>
      <c r="DJ26" s="42" t="str">
        <f ca="1">IFERROR(AVERAGE(OFFSET('Data - For Rank'!$J$2,AY26,0,COUNTIF(AY$6:AY$115,AY26)))+IFERROR(VLOOKUP((COUNT(AW$6:AW$115)/4),$ER$8:$ES$12,2,FALSE()),0),"")</f>
        <v/>
      </c>
      <c r="DK26" s="41"/>
      <c r="DL26" s="42" t="str">
        <f ca="1">IFERROR(AVERAGE(OFFSET('Data - For Rank'!$K$2,BD26,0,COUNTIF(BD$6:BD$115,BD26)))+IFERROR(VLOOKUP((COUNT(BB$6:BB$115)/4),$ER$8:$ES$12,2,FALSE()),0),"")</f>
        <v/>
      </c>
      <c r="DM26" s="41"/>
      <c r="DN26" s="42" t="str">
        <f ca="1">IFERROR(AVERAGE(OFFSET('Data - For Rank'!$L$2,BI26,0,COUNTIF(BI$6:BI$115,BI26)))+IFERROR(VLOOKUP((COUNT(BG$6:BG$115)/4),$ER$8:$ES$12,2,FALSE()),0),"")</f>
        <v/>
      </c>
      <c r="DO26" s="41"/>
      <c r="DP26" s="42" t="str">
        <f ca="1">IFERROR(AVERAGE(OFFSET('Data - For Rank'!$M$2,BN26,0,COUNTIF(BN$6:BN$115,BN26)))+IFERROR(VLOOKUP((COUNT(BL$6:BL$115)/4),$ER$8:$ES$12,2,FALSE()),0),"")</f>
        <v/>
      </c>
      <c r="DQ26" s="41"/>
      <c r="DR26" s="42" t="str">
        <f ca="1">IFERROR(AVERAGE(OFFSET('Data - For Rank'!$N$2,BS26,0,COUNTIF(BS$6:BS$115,BS26)))+IFERROR(VLOOKUP((COUNT(BQ$6:BQ$115)/4),$ER$8:$ES$12,2,FALSE()),0),"")</f>
        <v/>
      </c>
      <c r="DS26" s="41"/>
      <c r="DT26" s="42" t="str">
        <f ca="1">IFERROR(AVERAGE(OFFSET('Data - For Rank'!$O$2,BX26,0,COUNTIF(BX$6:BX$115,BX26)))+IFERROR(VLOOKUP((COUNT(BV$6:BV$115)/4),$ER$8:$ES$12,2,FALSE()),0),"")</f>
        <v/>
      </c>
      <c r="DU26" s="41"/>
      <c r="DV26" s="42" t="str">
        <f ca="1">IFERROR(AVERAGE(OFFSET('Data - For Rank'!$P$2,CC26,0,COUNTIF(CC$6:CC$115,CC26)))+IFERROR(VLOOKUP((COUNT(CA$6:CA$115)/4),$ER$8:$ES$12,2,FALSE()),0),"")</f>
        <v/>
      </c>
      <c r="DW26" s="41"/>
      <c r="DX26" s="42" t="str">
        <f ca="1">IFERROR(AVERAGE(OFFSET('Data - For Rank'!$Q$2,CH26,0,COUNTIF(CH$6:CH$115,CH26)))+IFERROR(VLOOKUP((COUNT(CF$6:CF$115)/4),$ER$8:$ES$12,2,FALSE()),0),"")</f>
        <v/>
      </c>
      <c r="DY26" s="41"/>
      <c r="DZ26" s="42" t="str">
        <f ca="1">IFERROR(AVERAGE(OFFSET('Data - For Rank'!$R$2,CM26,0,COUNTIF(CM$6:CM$115,CM26)))+IFERROR(VLOOKUP((COUNT(CK$6:CK$115)/4),$ER$8:$ES$12,2,FALSE()),0),"")</f>
        <v/>
      </c>
      <c r="EA26" s="41"/>
      <c r="EB26" s="42" t="str">
        <f ca="1">IFERROR(AVERAGE(OFFSET('Data - For Rank'!$S$2,CR26,0,COUNTIF(CR$6:CR$115,CR26)))+IFERROR(VLOOKUP((COUNT(CP$6:CP$115)/4),$ER$8:$ES$12,2,FALSE()),0),"")</f>
        <v/>
      </c>
      <c r="EC26" s="43">
        <f>CS26+CU26+CW26+CY26+DA26+DC26+DE26+DG26+DI26+DK26+DM26+DO26+DQ26+DS26+DU26+DW26+DY26+EA26</f>
        <v>-30</v>
      </c>
      <c r="ED26" s="44">
        <f t="shared" ca="1" si="1"/>
        <v>8.8333333333333339</v>
      </c>
    </row>
    <row r="27" spans="2:151" x14ac:dyDescent="0.2">
      <c r="B27" s="21">
        <f ca="1">_xlfn.RANK.EQ(C27,$C$6:$C$63,)</f>
        <v>8</v>
      </c>
      <c r="C27" s="56">
        <f ca="1">EC27</f>
        <v>65.5</v>
      </c>
      <c r="D27" s="56" t="s">
        <v>101</v>
      </c>
      <c r="E27" s="29" t="s">
        <v>46</v>
      </c>
      <c r="F27" s="30">
        <f ca="1">COUNT(CT27,CV27,CX27,CZ27,DB27,DD27,DF27,DH27,DJ27,DL27,DN27,DP27,DR27,DT27,DV27,DX27,DZ27,EB27)</f>
        <v>3</v>
      </c>
      <c r="G27" s="93">
        <f ca="1">IF(CT27=0,"",CT27)</f>
        <v>23</v>
      </c>
      <c r="H27" s="93"/>
      <c r="I27" s="93"/>
      <c r="K27" s="93"/>
      <c r="L27" s="93" t="str">
        <f ca="1">IF(CV27=0,"",CV27)</f>
        <v/>
      </c>
      <c r="M27" s="93"/>
      <c r="N27" s="93"/>
      <c r="P27" s="93"/>
      <c r="Q27" s="93" t="str">
        <f ca="1">IF(CX27=0,"",CX27)</f>
        <v/>
      </c>
      <c r="R27" s="93"/>
      <c r="S27" s="93"/>
      <c r="U27" s="93"/>
      <c r="V27" s="93">
        <f ca="1">IF(CZ27=0,"",CZ27)</f>
        <v>19.5</v>
      </c>
      <c r="W27" s="93"/>
      <c r="X27" s="93"/>
      <c r="Z27" s="93"/>
      <c r="AA27" s="93">
        <f ca="1">IF(DB27=0,"",DB27)</f>
        <v>23</v>
      </c>
      <c r="AB27" s="93"/>
      <c r="AC27" s="93"/>
      <c r="AE27" s="93"/>
      <c r="AF27" s="93" t="str">
        <f ca="1">IF(DD27=0,"",DD27)</f>
        <v/>
      </c>
      <c r="AG27" s="93"/>
      <c r="AH27" s="93"/>
      <c r="AJ27" s="93"/>
      <c r="AK27" s="93" t="str">
        <f ca="1">IF(DF27=0,"",DF27)</f>
        <v/>
      </c>
      <c r="AL27" s="93"/>
      <c r="AM27" s="93"/>
      <c r="AO27" s="93"/>
      <c r="AP27" s="93" t="str">
        <f ca="1">IF(DH27=0,"",DH27)</f>
        <v/>
      </c>
      <c r="AQ27" s="93"/>
      <c r="AR27" s="93"/>
      <c r="AT27" s="93"/>
      <c r="AU27" s="93" t="str">
        <f ca="1">IF(DJ27=0,"",DJ27)</f>
        <v/>
      </c>
      <c r="AV27" s="93"/>
      <c r="AW27" s="93"/>
      <c r="AY27" s="93"/>
      <c r="AZ27" s="93" t="str">
        <f ca="1">IF(DL27=0,"",DL27)</f>
        <v/>
      </c>
      <c r="BA27" s="93"/>
      <c r="BB27" s="93"/>
      <c r="BD27" s="93"/>
      <c r="BE27" s="93" t="str">
        <f ca="1">IF(DN27=0,"",DN27)</f>
        <v/>
      </c>
      <c r="BF27" s="93"/>
      <c r="BG27" s="93"/>
      <c r="BI27" s="93"/>
      <c r="BJ27" s="93" t="str">
        <f ca="1">IF(DP27=0,"",DP27)</f>
        <v/>
      </c>
      <c r="BK27" s="93"/>
      <c r="BL27" s="93"/>
      <c r="BN27" s="93"/>
      <c r="BO27" s="93" t="str">
        <f ca="1">IF(DR27=0,"",DR27)</f>
        <v/>
      </c>
      <c r="BP27" s="93"/>
      <c r="BQ27" s="93"/>
      <c r="BS27" s="93"/>
      <c r="BT27" s="93" t="str">
        <f ca="1">IF(DT27=0,"",DT27)</f>
        <v/>
      </c>
      <c r="BU27" s="93"/>
      <c r="BV27" s="93"/>
      <c r="BX27" s="93"/>
      <c r="BY27" s="93" t="str">
        <f ca="1">IF(DV27=0,"",DV27)</f>
        <v/>
      </c>
      <c r="BZ27" s="93"/>
      <c r="CA27" s="93"/>
      <c r="CC27" s="93"/>
      <c r="CD27" s="93" t="str">
        <f ca="1">IF(DX27=0,"",DX27)</f>
        <v/>
      </c>
      <c r="CE27" s="93"/>
      <c r="CF27" s="93"/>
      <c r="CH27" s="93"/>
      <c r="CI27" s="93" t="str">
        <f ca="1">IF(DZ27=0,"",DZ27)</f>
        <v/>
      </c>
      <c r="CJ27" s="93"/>
      <c r="CK27" s="93"/>
      <c r="CM27" s="93"/>
      <c r="CN27" s="93" t="str">
        <f ca="1">IF(EB27=0,"",EB27)</f>
        <v/>
      </c>
      <c r="CO27" s="93"/>
      <c r="CP27" s="93"/>
      <c r="CR27" s="93"/>
      <c r="CS27" s="31">
        <v>90</v>
      </c>
      <c r="CT27" s="32">
        <f ca="1">IFERROR(CT28+CT29,"")</f>
        <v>23</v>
      </c>
      <c r="CU27" s="31"/>
      <c r="CV27" s="32" t="str">
        <f ca="1">IFERROR(CV28+CV29,"")</f>
        <v/>
      </c>
      <c r="CW27" s="31"/>
      <c r="CX27" s="32" t="str">
        <f ca="1">IFERROR(CX28+CX29,"")</f>
        <v/>
      </c>
      <c r="CY27" s="31">
        <v>91</v>
      </c>
      <c r="CZ27" s="32">
        <f ca="1">IFERROR(CZ28+CZ29,"")</f>
        <v>19.5</v>
      </c>
      <c r="DA27" s="31">
        <v>94</v>
      </c>
      <c r="DB27" s="32">
        <f ca="1">IFERROR(DB28+DB29,"")</f>
        <v>23</v>
      </c>
      <c r="DC27" s="31"/>
      <c r="DD27" s="32" t="str">
        <f ca="1">IFERROR(DD28+DD29,"")</f>
        <v/>
      </c>
      <c r="DE27" s="31"/>
      <c r="DF27" s="32" t="str">
        <f ca="1">IFERROR(DF28+DF29,"")</f>
        <v/>
      </c>
      <c r="DG27" s="31"/>
      <c r="DH27" s="32" t="str">
        <f ca="1">IFERROR(DH28+DH29,"")</f>
        <v/>
      </c>
      <c r="DI27" s="31"/>
      <c r="DJ27" s="32" t="str">
        <f ca="1">IFERROR(DJ28+DJ29,"")</f>
        <v/>
      </c>
      <c r="DK27" s="31"/>
      <c r="DL27" s="32" t="str">
        <f ca="1">IFERROR(DL28+DL29,"")</f>
        <v/>
      </c>
      <c r="DM27" s="31"/>
      <c r="DN27" s="32" t="str">
        <f ca="1">IFERROR(DN28+DN29,"")</f>
        <v/>
      </c>
      <c r="DO27" s="31"/>
      <c r="DP27" s="32" t="str">
        <f ca="1">IFERROR(DP28+DP29,"")</f>
        <v/>
      </c>
      <c r="DQ27" s="31"/>
      <c r="DR27" s="32" t="str">
        <f ca="1">IFERROR(DR28+DR29,"")</f>
        <v/>
      </c>
      <c r="DS27" s="31"/>
      <c r="DT27" s="32" t="str">
        <f ca="1">IFERROR(DT28+DT29,"")</f>
        <v/>
      </c>
      <c r="DU27" s="31"/>
      <c r="DV27" s="32" t="str">
        <f ca="1">IFERROR(DV28+DV29,"")</f>
        <v/>
      </c>
      <c r="DW27" s="31"/>
      <c r="DX27" s="32" t="str">
        <f ca="1">IFERROR(DX28+DX29,"")</f>
        <v/>
      </c>
      <c r="DY27" s="31"/>
      <c r="DZ27" s="32" t="str">
        <f ca="1">IFERROR(DZ28+DZ29,"")</f>
        <v/>
      </c>
      <c r="EA27" s="31"/>
      <c r="EB27" s="32" t="str">
        <f ca="1">IFERROR(EB28+EB29,"")</f>
        <v/>
      </c>
      <c r="EC27" s="26">
        <f ca="1">IFERROR(LARGE($G27:$CN27,1),0)+IFERROR(LARGE($G27:$CN27,2),0)+IFERROR(LARGE($G27:$CN27,3),0)+IFERROR(LARGE($G27:$CN27,4),0)+IFERROR(LARGE($G27:$CN27,5),0)+IFERROR(LARGE($G27:$CN27,6),0)+IFERROR(LARGE($G27:$CN27,7),0)+IFERROR(LARGE($G27:$CN27,8),0)+IFERROR(LARGE($G27:$CN27,9),0)+IFERROR(LARGE($G27:$CN27,10),0)</f>
        <v>65.5</v>
      </c>
      <c r="ED27" s="33">
        <f t="shared" ca="1" si="1"/>
        <v>21.833333333333332</v>
      </c>
      <c r="ET27" s="87"/>
      <c r="EU27" s="87"/>
    </row>
    <row r="28" spans="2:151" s="15" customFormat="1" outlineLevel="1" x14ac:dyDescent="0.2">
      <c r="B28" s="34">
        <f ca="1">B27+0.18</f>
        <v>8.18</v>
      </c>
      <c r="D28" s="87" t="s">
        <v>102</v>
      </c>
      <c r="E28" s="35" t="s">
        <v>38</v>
      </c>
      <c r="F28" s="35"/>
      <c r="G28" s="35"/>
      <c r="H28" s="35">
        <f>IF(CS28=0,"",CS28)</f>
        <v>31</v>
      </c>
      <c r="I28" s="35"/>
      <c r="J28" s="93">
        <f>IFERROR(RANK(H28,H$6:H$115,0),"")</f>
        <v>8</v>
      </c>
      <c r="K28" s="35"/>
      <c r="L28" s="35"/>
      <c r="M28" s="35" t="str">
        <f>IF(CU28=0,"",CU28)</f>
        <v/>
      </c>
      <c r="N28" s="35"/>
      <c r="O28" s="93" t="str">
        <f>IFERROR(RANK(M28,M$6:M$115,0),"")</f>
        <v/>
      </c>
      <c r="P28" s="35"/>
      <c r="Q28" s="35"/>
      <c r="R28" s="35" t="str">
        <f>IF(CW28=0,"",CW28)</f>
        <v/>
      </c>
      <c r="S28" s="35"/>
      <c r="T28" s="93" t="str">
        <f>IFERROR(RANK(R28,R$6:R$115,0),"")</f>
        <v/>
      </c>
      <c r="U28" s="35"/>
      <c r="V28" s="35"/>
      <c r="W28" s="35">
        <f>IF(CY28=0,"",CY28)</f>
        <v>28</v>
      </c>
      <c r="X28" s="35"/>
      <c r="Y28" s="93">
        <f>IFERROR(RANK(W28,W$6:W$115,0),"")</f>
        <v>6</v>
      </c>
      <c r="Z28" s="35"/>
      <c r="AA28" s="35"/>
      <c r="AB28" s="35">
        <f>IF(DA28=0,"",DA28)</f>
        <v>31</v>
      </c>
      <c r="AC28" s="35"/>
      <c r="AD28" s="93">
        <f>IFERROR(RANK(AB28,AB$6:AB$115,0),"")</f>
        <v>7</v>
      </c>
      <c r="AE28" s="35"/>
      <c r="AF28" s="35"/>
      <c r="AG28" s="35" t="str">
        <f>IF(DC28=0,"",DC28)</f>
        <v/>
      </c>
      <c r="AH28" s="35"/>
      <c r="AI28" s="93" t="str">
        <f>IFERROR(RANK(AG28,AG$6:AG$115,0),"")</f>
        <v/>
      </c>
      <c r="AJ28" s="35"/>
      <c r="AK28" s="35"/>
      <c r="AL28" s="35" t="str">
        <f>IF(DE28=0,"",DE28)</f>
        <v/>
      </c>
      <c r="AM28" s="35"/>
      <c r="AN28" s="93" t="str">
        <f>IFERROR(RANK(AL28,AL$6:AL$115,0),"")</f>
        <v/>
      </c>
      <c r="AO28" s="35"/>
      <c r="AP28" s="35"/>
      <c r="AQ28" s="35" t="str">
        <f>IF(DG28=0,"",DG28)</f>
        <v/>
      </c>
      <c r="AR28" s="35"/>
      <c r="AS28" s="93" t="str">
        <f>IFERROR(RANK(AQ28,AQ$6:AQ$115,0),"")</f>
        <v/>
      </c>
      <c r="AT28" s="35"/>
      <c r="AU28" s="35"/>
      <c r="AV28" s="35" t="str">
        <f>IF(DI28=0,"",DI28)</f>
        <v/>
      </c>
      <c r="AW28" s="35"/>
      <c r="AX28" s="93" t="str">
        <f>IFERROR(RANK(AV28,AV$6:AV$115,0),"")</f>
        <v/>
      </c>
      <c r="AY28" s="35"/>
      <c r="AZ28" s="35"/>
      <c r="BA28" s="35" t="str">
        <f>IF(DK28=0,"",DK28)</f>
        <v/>
      </c>
      <c r="BB28" s="35"/>
      <c r="BC28" s="93" t="str">
        <f>IFERROR(RANK(BA28,BA$6:BA$115,0),"")</f>
        <v/>
      </c>
      <c r="BD28" s="35"/>
      <c r="BE28" s="35"/>
      <c r="BF28" s="35" t="str">
        <f>IF(DM28=0,"",DM28)</f>
        <v/>
      </c>
      <c r="BG28" s="35"/>
      <c r="BH28" s="93" t="str">
        <f>IFERROR(RANK(BF28,BF$6:BF$115,0),"")</f>
        <v/>
      </c>
      <c r="BI28" s="35"/>
      <c r="BJ28" s="35"/>
      <c r="BK28" s="35" t="str">
        <f>IF(DO28=0,"",DO28)</f>
        <v/>
      </c>
      <c r="BL28" s="35"/>
      <c r="BM28" s="93" t="str">
        <f>IFERROR(RANK(BK28,BK$6:BK$115,0),"")</f>
        <v/>
      </c>
      <c r="BN28" s="35"/>
      <c r="BO28" s="35"/>
      <c r="BP28" s="35" t="str">
        <f>IF(DQ28=0,"",DQ28)</f>
        <v/>
      </c>
      <c r="BQ28" s="35"/>
      <c r="BR28" s="93" t="str">
        <f>IFERROR(RANK(BP28,BP$6:BP$115,0),"")</f>
        <v/>
      </c>
      <c r="BS28" s="35"/>
      <c r="BT28" s="35"/>
      <c r="BU28" s="35" t="str">
        <f>IF(DS28=0,"",DS28)</f>
        <v/>
      </c>
      <c r="BV28" s="35"/>
      <c r="BW28" s="93" t="str">
        <f>IFERROR(RANK(BU28,BU$6:BU$115,0),"")</f>
        <v/>
      </c>
      <c r="BX28" s="35"/>
      <c r="BY28" s="35"/>
      <c r="BZ28" s="35" t="str">
        <f>IF(DU28=0,"",DU28)</f>
        <v/>
      </c>
      <c r="CA28" s="35"/>
      <c r="CB28" s="93" t="str">
        <f>IFERROR(RANK(BZ28,BZ$6:BZ$115,0),"")</f>
        <v/>
      </c>
      <c r="CC28" s="35"/>
      <c r="CD28" s="35"/>
      <c r="CE28" s="35" t="str">
        <f>IF(DW28=0,"",DW28)</f>
        <v/>
      </c>
      <c r="CF28" s="35"/>
      <c r="CG28" s="93" t="str">
        <f>IFERROR(RANK(CE28,CE$6:CE$115,0),"")</f>
        <v/>
      </c>
      <c r="CH28" s="35"/>
      <c r="CI28" s="35"/>
      <c r="CJ28" s="35" t="str">
        <f>IF(DY28=0,"",DY28)</f>
        <v/>
      </c>
      <c r="CK28" s="35"/>
      <c r="CL28" s="93" t="str">
        <f>IFERROR(RANK(CJ28,CJ$6:CJ$115,0),"")</f>
        <v/>
      </c>
      <c r="CM28" s="35"/>
      <c r="CN28" s="35"/>
      <c r="CO28" s="35" t="str">
        <f>IF(EA28=0,"",EA28)</f>
        <v/>
      </c>
      <c r="CP28" s="35"/>
      <c r="CQ28" s="93" t="str">
        <f>IFERROR(RANK(CO28,CO$6:CO$115,0),"")</f>
        <v/>
      </c>
      <c r="CR28" s="35"/>
      <c r="CS28" s="31">
        <v>31</v>
      </c>
      <c r="CT28" s="36">
        <f ca="1">IFERROR(AVERAGE(OFFSET('Data - For Rank'!B$2,J28,0,COUNTIF($J$7:J$115,J28)))+IFERROR(VLOOKUP((COUNT($H$6:$H$115)/4),$ER$8:$ES$12,2,FALSE()),0),"")</f>
        <v>10</v>
      </c>
      <c r="CU28" s="31"/>
      <c r="CV28" s="36" t="str">
        <f ca="1">IFERROR(AVERAGE(OFFSET('Data - For Rank'!$C$2,O28,0,COUNTIF(O$7:O$115,O28)))+IFERROR(VLOOKUP((COUNT(M$6:M$115)/4),$ER$8:$ES$12,2,FALSE()),0),"")</f>
        <v/>
      </c>
      <c r="CW28" s="31"/>
      <c r="CX28" s="36" t="str">
        <f ca="1">IFERROR(AVERAGE(OFFSET('Data - For Rank'!D$2,T28,0,COUNTIF(T$7:T$115,T28)))+IFERROR(VLOOKUP((COUNT(R$6:R$115)/4),$ER$8:$ES$12,2,FALSE()),0),"")</f>
        <v/>
      </c>
      <c r="CY28" s="31">
        <v>28</v>
      </c>
      <c r="CZ28" s="36">
        <f ca="1">IFERROR(AVERAGE(OFFSET('Data - For Rank'!E$2,Y28,0,COUNTIF(Y$7:Y$115,Y28)))+IFERROR(VLOOKUP((COUNT(W$6:W$115)/4),$ER$8:$ES$12,2,FALSE()),0),"")</f>
        <v>8.5</v>
      </c>
      <c r="DA28" s="31">
        <v>31</v>
      </c>
      <c r="DB28" s="36">
        <f ca="1">IFERROR(AVERAGE(OFFSET('Data - For Rank'!F$2,AD28,0,COUNTIF(AD$7:AD$115,AD28)))+IFERROR(VLOOKUP((COUNT(AB$6:AB$115)/4),$ER$8:$ES$12,2,FALSE()),0),"")</f>
        <v>11</v>
      </c>
      <c r="DC28" s="31"/>
      <c r="DD28" s="36" t="str">
        <f ca="1">IFERROR(AVERAGE(OFFSET('Data - For Rank'!G$2,AI28,0,COUNTIF(AI$7:AI$115,AI28)))+IFERROR(VLOOKUP((COUNT(AG$6:AG$115)/4),$ER$8:$ES$12,2,FALSE()),0),"")</f>
        <v/>
      </c>
      <c r="DE28" s="31"/>
      <c r="DF28" s="36" t="str">
        <f ca="1">IFERROR(AVERAGE(OFFSET('Data - For Rank'!$H$2,AN28,0,COUNTIF(AN$7:AN$115,AN28)))+IFERROR(VLOOKUP((COUNT(AL$6:AL$115)/4),$ER$8:$ES$12,2,FALSE()),0),"")</f>
        <v/>
      </c>
      <c r="DG28" s="31"/>
      <c r="DH28" s="36" t="str">
        <f ca="1">IFERROR(AVERAGE(OFFSET('Data - For Rank'!$I$2,AS28,0,COUNTIF(AS$7:AS$115,AS28)))+IFERROR(VLOOKUP((COUNT(AQ$6:AQ$115)/4),$ER$8:$ES$12,2,FALSE()),0),"")</f>
        <v/>
      </c>
      <c r="DI28" s="31"/>
      <c r="DJ28" s="36" t="str">
        <f ca="1">IFERROR(AVERAGE(OFFSET('Data - For Rank'!$J$2,AX28,0,COUNTIF(AX$7:AX$115,AX28)))+IFERROR(VLOOKUP((COUNT(AV$6:AV$115)/4),$ER$8:$ES$12,2,FALSE()),0),"")</f>
        <v/>
      </c>
      <c r="DK28" s="31"/>
      <c r="DL28" s="36" t="str">
        <f ca="1">IFERROR(AVERAGE(OFFSET('Data - For Rank'!$K$2,BC28,0,COUNTIF(BC$7:BC$115,BC28)))+IFERROR(VLOOKUP((COUNT(BA$6:BA$115)/4),$ER$8:$ES$12,2,FALSE()),0),"")</f>
        <v/>
      </c>
      <c r="DM28" s="31"/>
      <c r="DN28" s="36" t="str">
        <f ca="1">IFERROR(AVERAGE(OFFSET('Data - For Rank'!$L$2,BH28,0,COUNTIF(BH$7:BH$115,BH28)))+IFERROR(VLOOKUP((COUNT(BF$6:BF$115)/4),$ER$8:$ES$12,2,FALSE()),0),"")</f>
        <v/>
      </c>
      <c r="DO28" s="31"/>
      <c r="DP28" s="36" t="str">
        <f ca="1">IFERROR(AVERAGE(OFFSET('Data - For Rank'!$M$2,BM28,0,COUNTIF(BM$7:BM$115,BM28)))+IFERROR(VLOOKUP((COUNT(BK$6:BK$115)/4),$ER$8:$ES$12,2,FALSE()),0),"")</f>
        <v/>
      </c>
      <c r="DQ28" s="31"/>
      <c r="DR28" s="36" t="str">
        <f ca="1">IFERROR(AVERAGE(OFFSET('Data - For Rank'!$N$2,BR28,0,COUNTIF(BR$7:BR$115,BR28)))+IFERROR(VLOOKUP((COUNT(BP$6:BP$115)/4),$ER$8:$ES$12,2,FALSE()),0),"")</f>
        <v/>
      </c>
      <c r="DS28" s="31"/>
      <c r="DT28" s="36" t="str">
        <f ca="1">IFERROR(AVERAGE(OFFSET('Data - For Rank'!$O$2,BW28,0,COUNTIF(BW$7:BW$115,BW28)))+IFERROR(VLOOKUP((COUNT(BU$6:BU$115)/4),$ER$8:$ES$12,2,FALSE()),0),"")</f>
        <v/>
      </c>
      <c r="DU28" s="31"/>
      <c r="DV28" s="36" t="str">
        <f ca="1">IFERROR(AVERAGE(OFFSET('Data - For Rank'!$P$2,CB28,0,COUNTIF(CB$7:CB$115,CB28)))+IFERROR(VLOOKUP((COUNT(BZ$6:BZ$115)/4),$ER$8:$ES$12,2,FALSE()),0),"")</f>
        <v/>
      </c>
      <c r="DW28" s="31"/>
      <c r="DX28" s="36" t="str">
        <f ca="1">IFERROR(AVERAGE(OFFSET('Data - For Rank'!$Q$2,CG28,0,COUNTIF(CG$7:CG$115,CG28)))+IFERROR(VLOOKUP((COUNT(CE$6:CE$115)/4),$ER$8:$ES$12,2,FALSE()),0),"")</f>
        <v/>
      </c>
      <c r="DY28" s="31"/>
      <c r="DZ28" s="36" t="str">
        <f ca="1">IFERROR(AVERAGE(OFFSET('Data - For Rank'!$R$2,CL28,0,COUNTIF(CL$7:CL$115,CL28)))+IFERROR(VLOOKUP((COUNT(CJ$6:CJ$115)/4),$ER$8:$ES$12,2,FALSE()),0),"")</f>
        <v/>
      </c>
      <c r="EA28" s="31"/>
      <c r="EB28" s="36" t="str">
        <f ca="1">IFERROR(AVERAGE(OFFSET('Data - For Rank'!$S$2,CQ28,0,COUNTIF(CQ$7:CQ$115,CQ28)))+IFERROR(VLOOKUP((COUNT(CO$6:CO$115)/4),$ER$8:$ES$12,2,FALSE()),0),"")</f>
        <v/>
      </c>
      <c r="EC28" s="37">
        <f>AVERAGE(CS28,CU28,CW28,CY28,DA28,DC28,DE28,DG28,DI28,DK28,DM28,DO28,DQ28,DS28,DU28,DW28,DY28,EA28)</f>
        <v>30</v>
      </c>
      <c r="ED28" s="33">
        <f t="shared" ca="1" si="1"/>
        <v>9.8333333333333339</v>
      </c>
      <c r="EP28" s="87"/>
    </row>
    <row r="29" spans="2:151" s="15" customFormat="1" outlineLevel="1" x14ac:dyDescent="0.2">
      <c r="B29" s="38">
        <f ca="1">B27+0.028</f>
        <v>8.0280000000000005</v>
      </c>
      <c r="D29" s="87" t="s">
        <v>103</v>
      </c>
      <c r="E29" s="39" t="s">
        <v>39</v>
      </c>
      <c r="F29" s="40">
        <f ca="1">IF(COUNT(CT27:EB27)&gt;10,SMALL(G27:CN27,COUNT(G27:CN27)-10),MIN(CT27:EB27))</f>
        <v>19.5</v>
      </c>
      <c r="G29" s="40"/>
      <c r="H29" s="40"/>
      <c r="I29" s="96">
        <f>IF(CS29=0,"",CS29)</f>
        <v>6</v>
      </c>
      <c r="J29" s="96"/>
      <c r="K29" s="97">
        <f>IFERROR(_xlfn.RANK.EQ(I29,I$6:I$115,0),"")</f>
        <v>6</v>
      </c>
      <c r="L29" s="40"/>
      <c r="M29" s="40"/>
      <c r="N29" s="96" t="str">
        <f>IF(CU29=0,"",CU29)</f>
        <v/>
      </c>
      <c r="O29" s="96"/>
      <c r="P29" s="97" t="str">
        <f>IFERROR(_xlfn.RANK.EQ(N29,N$6:N$115,0),"")</f>
        <v/>
      </c>
      <c r="Q29" s="40"/>
      <c r="R29" s="40"/>
      <c r="S29" s="96" t="str">
        <f>IF(CW29=0,"",CW29)</f>
        <v/>
      </c>
      <c r="T29" s="96"/>
      <c r="U29" s="97" t="str">
        <f>IFERROR(_xlfn.RANK.EQ(S29,S$6:S$115,0),"")</f>
        <v/>
      </c>
      <c r="V29" s="40"/>
      <c r="W29" s="40"/>
      <c r="X29" s="96">
        <f>IF(CY29=0,"",CY29)</f>
        <v>-11</v>
      </c>
      <c r="Y29" s="96"/>
      <c r="Z29" s="97">
        <f>IFERROR(_xlfn.RANK.EQ(X29,X$6:X$115,0),"")</f>
        <v>4</v>
      </c>
      <c r="AA29" s="40"/>
      <c r="AB29" s="40"/>
      <c r="AC29" s="96">
        <f>IF(DA29=0,"",DA29)</f>
        <v>8</v>
      </c>
      <c r="AD29" s="96"/>
      <c r="AE29" s="97">
        <f>IFERROR(_xlfn.RANK.EQ(AC29,AC$6:AC$115,0),"")</f>
        <v>6</v>
      </c>
      <c r="AF29" s="40"/>
      <c r="AG29" s="40"/>
      <c r="AH29" s="96" t="str">
        <f>IF(DC29=0,"",DC29)</f>
        <v/>
      </c>
      <c r="AI29" s="96"/>
      <c r="AJ29" s="97" t="str">
        <f>IFERROR(_xlfn.RANK.EQ(AH29,AH$6:AH$115,0),"")</f>
        <v/>
      </c>
      <c r="AK29" s="40"/>
      <c r="AL29" s="40"/>
      <c r="AM29" s="96" t="str">
        <f>IF(DE29=0,"",DE29)</f>
        <v/>
      </c>
      <c r="AN29" s="96"/>
      <c r="AO29" s="97" t="str">
        <f>IFERROR(_xlfn.RANK.EQ(AM29,AM$6:AM$115,0),"")</f>
        <v/>
      </c>
      <c r="AP29" s="40"/>
      <c r="AQ29" s="40"/>
      <c r="AR29" s="96" t="str">
        <f>IF(DG29=0,"",DG29)</f>
        <v/>
      </c>
      <c r="AS29" s="96"/>
      <c r="AT29" s="97" t="str">
        <f>IFERROR(_xlfn.RANK.EQ(AR29,AR$6:AR$115,0),"")</f>
        <v/>
      </c>
      <c r="AU29" s="40"/>
      <c r="AV29" s="40"/>
      <c r="AW29" s="96" t="str">
        <f>IF(DI29=0,"",DI29)</f>
        <v/>
      </c>
      <c r="AX29" s="96"/>
      <c r="AY29" s="97" t="str">
        <f>IFERROR(_xlfn.RANK.EQ(AW29,AW$6:AW$115,0),"")</f>
        <v/>
      </c>
      <c r="AZ29" s="40"/>
      <c r="BA29" s="40"/>
      <c r="BB29" s="96" t="str">
        <f>IF(DK29=0,"",DK29)</f>
        <v/>
      </c>
      <c r="BC29" s="96"/>
      <c r="BD29" s="97" t="str">
        <f>IFERROR(_xlfn.RANK.EQ(BB29,BB$6:BB$115,0),"")</f>
        <v/>
      </c>
      <c r="BE29" s="40"/>
      <c r="BF29" s="40"/>
      <c r="BG29" s="96" t="str">
        <f>IF(DM29=0,"",DM29)</f>
        <v/>
      </c>
      <c r="BH29" s="96"/>
      <c r="BI29" s="97" t="str">
        <f>IFERROR(_xlfn.RANK.EQ(BG29,BG$6:BG$115,0),"")</f>
        <v/>
      </c>
      <c r="BJ29" s="40"/>
      <c r="BK29" s="40"/>
      <c r="BL29" s="96" t="str">
        <f>IF(DO29=0,"",DO29)</f>
        <v/>
      </c>
      <c r="BM29" s="96"/>
      <c r="BN29" s="97" t="str">
        <f>IFERROR(_xlfn.RANK.EQ(BL29,BL$6:BL$115,0),"")</f>
        <v/>
      </c>
      <c r="BO29" s="40"/>
      <c r="BP29" s="40"/>
      <c r="BQ29" s="96" t="str">
        <f>IF(DQ29=0,"",DQ29)</f>
        <v/>
      </c>
      <c r="BR29" s="96"/>
      <c r="BS29" s="97" t="str">
        <f>IFERROR(_xlfn.RANK.EQ(BQ29,BQ$6:BQ$115,0),"")</f>
        <v/>
      </c>
      <c r="BT29" s="40"/>
      <c r="BU29" s="40"/>
      <c r="BV29" s="96" t="str">
        <f>IF(DS29=0,"",DS29)</f>
        <v/>
      </c>
      <c r="BW29" s="96"/>
      <c r="BX29" s="97" t="str">
        <f>IFERROR(_xlfn.RANK.EQ(BV29,BV$6:BV$115,0),"")</f>
        <v/>
      </c>
      <c r="BY29" s="40"/>
      <c r="BZ29" s="40"/>
      <c r="CA29" s="96" t="str">
        <f>IF(DU29=0,"",DU29)</f>
        <v/>
      </c>
      <c r="CB29" s="96"/>
      <c r="CC29" s="97" t="str">
        <f>IFERROR(_xlfn.RANK.EQ(CA29,CA$6:CA$115,0),"")</f>
        <v/>
      </c>
      <c r="CD29" s="40"/>
      <c r="CE29" s="40"/>
      <c r="CF29" s="96" t="str">
        <f>IF(DW29=0,"",DW29)</f>
        <v/>
      </c>
      <c r="CG29" s="96"/>
      <c r="CH29" s="97" t="str">
        <f>IFERROR(_xlfn.RANK.EQ(CF29,CF$6:CF$115,0),"")</f>
        <v/>
      </c>
      <c r="CI29" s="40"/>
      <c r="CJ29" s="40"/>
      <c r="CK29" s="96" t="str">
        <f>IF(DY29=0,"",DY29)</f>
        <v/>
      </c>
      <c r="CL29" s="96"/>
      <c r="CM29" s="97" t="str">
        <f>IFERROR(_xlfn.RANK.EQ(CK29,CK$6:CK$115,0),"")</f>
        <v/>
      </c>
      <c r="CN29" s="40"/>
      <c r="CO29" s="40"/>
      <c r="CP29" s="96" t="str">
        <f>IF(EA29=0,"",EA29)</f>
        <v/>
      </c>
      <c r="CQ29" s="96"/>
      <c r="CR29" s="97" t="str">
        <f>IFERROR(_xlfn.RANK.EQ(CP29,CP$6:CP$115,0),"")</f>
        <v/>
      </c>
      <c r="CS29" s="41">
        <v>6</v>
      </c>
      <c r="CT29" s="42">
        <f ca="1">IFERROR(AVERAGE(OFFSET('Data - For Rank'!B$2,K29,0,COUNTIF(K$6:K$115,K29)))+IFERROR(VLOOKUP((COUNT($I$6:$I$115)/4),$ER$8:$ES$12,2,FALSE()),0),"")</f>
        <v>13</v>
      </c>
      <c r="CU29" s="41"/>
      <c r="CV29" s="42" t="str">
        <f ca="1">IFERROR(AVERAGE(OFFSET('Data - For Rank'!$C$2,P29,0,COUNTIF(P$6:P$115,P29)))+IFERROR(VLOOKUP((COUNT(N$6:N$115)/4),$ER$8:$ES$12,2,FALSE()),0),"")</f>
        <v/>
      </c>
      <c r="CW29" s="41"/>
      <c r="CX29" s="42" t="str">
        <f ca="1">IFERROR(AVERAGE(OFFSET('Data - For Rank'!D$2,U29,0,COUNTIF(U$6:$U136,U29)))+IFERROR(VLOOKUP((COUNT(S$6:S$115)/4),$ER$8:$ES$12,2,FALSE()),0),"")</f>
        <v/>
      </c>
      <c r="CY29" s="41">
        <v>-11</v>
      </c>
      <c r="CZ29" s="42">
        <f ca="1">IFERROR(AVERAGE(OFFSET('Data - For Rank'!E$2,Z29,0,COUNTIF(Z$6:Z$115,Z29)))+IFERROR(VLOOKUP((COUNT(W$6:W$115)/4),$ER$8:$ES$12,2,FALSE()),0),"")</f>
        <v>11</v>
      </c>
      <c r="DA29" s="41">
        <v>8</v>
      </c>
      <c r="DB29" s="42">
        <f ca="1">IFERROR(AVERAGE(OFFSET('Data - For Rank'!F$2,AE29,0,COUNTIF(AE$6:AE$115,AE29)))+IFERROR(VLOOKUP((COUNT(AC$6:AC$115)/4),$ER$8:$ES$12,2,FALSE()),0),"")</f>
        <v>12</v>
      </c>
      <c r="DC29" s="41"/>
      <c r="DD29" s="42" t="str">
        <f ca="1">IFERROR(AVERAGE(OFFSET('Data - For Rank'!G$2,AJ29,0,COUNTIF(AJ$6:AJ$115,AJ29)))+IFERROR(VLOOKUP((COUNT(AH$6:AH$115)/4),$ER$8:$ES$12,2,FALSE()),0),"")</f>
        <v/>
      </c>
      <c r="DE29" s="41"/>
      <c r="DF29" s="42" t="str">
        <f ca="1">IFERROR(AVERAGE(OFFSET('Data - For Rank'!$H$2,AO29,0,COUNTIF(AO$6:AO$115,AO29)))+IFERROR(VLOOKUP((COUNT(AM$6:AM$115)/4),$ER$8:$ES$12,2,FALSE()),0),"")</f>
        <v/>
      </c>
      <c r="DG29" s="41"/>
      <c r="DH29" s="42" t="str">
        <f ca="1">IFERROR(AVERAGE(OFFSET('Data - For Rank'!$I$2,AT29,0,COUNTIF(AT$6:AT$115,AT29)))+IFERROR(VLOOKUP((COUNT(AR$6:AR$115)/4),$ER$8:$ES$12,2,FALSE()),0),"")</f>
        <v/>
      </c>
      <c r="DI29" s="41"/>
      <c r="DJ29" s="42" t="str">
        <f ca="1">IFERROR(AVERAGE(OFFSET('Data - For Rank'!$J$2,AY29,0,COUNTIF(AY$6:AY$115,AY29)))+IFERROR(VLOOKUP((COUNT(AW$6:AW$115)/4),$ER$8:$ES$12,2,FALSE()),0),"")</f>
        <v/>
      </c>
      <c r="DK29" s="41"/>
      <c r="DL29" s="42" t="str">
        <f ca="1">IFERROR(AVERAGE(OFFSET('Data - For Rank'!$K$2,BD29,0,COUNTIF(BD$6:BD$115,BD29)))+IFERROR(VLOOKUP((COUNT(BB$6:BB$115)/4),$ER$8:$ES$12,2,FALSE()),0),"")</f>
        <v/>
      </c>
      <c r="DM29" s="41"/>
      <c r="DN29" s="42" t="str">
        <f ca="1">IFERROR(AVERAGE(OFFSET('Data - For Rank'!$L$2,BI29,0,COUNTIF(BI$6:BI$115,BI29)))+IFERROR(VLOOKUP((COUNT(BG$6:BG$115)/4),$ER$8:$ES$12,2,FALSE()),0),"")</f>
        <v/>
      </c>
      <c r="DO29" s="41"/>
      <c r="DP29" s="42" t="str">
        <f ca="1">IFERROR(AVERAGE(OFFSET('Data - For Rank'!$M$2,BN29,0,COUNTIF(BN$6:BN$115,BN29)))+IFERROR(VLOOKUP((COUNT(BL$6:BL$115)/4),$ER$8:$ES$12,2,FALSE()),0),"")</f>
        <v/>
      </c>
      <c r="DQ29" s="41"/>
      <c r="DR29" s="42" t="str">
        <f ca="1">IFERROR(AVERAGE(OFFSET('Data - For Rank'!$N$2,BS29,0,COUNTIF(BS$6:BS$115,BS29)))+IFERROR(VLOOKUP((COUNT(BQ$6:BQ$115)/4),$ER$8:$ES$12,2,FALSE()),0),"")</f>
        <v/>
      </c>
      <c r="DS29" s="41"/>
      <c r="DT29" s="42" t="str">
        <f ca="1">IFERROR(AVERAGE(OFFSET('Data - For Rank'!$O$2,BX29,0,COUNTIF(BX$6:BX$115,BX29)))+IFERROR(VLOOKUP((COUNT(BV$6:BV$115)/4),$ER$8:$ES$12,2,FALSE()),0),"")</f>
        <v/>
      </c>
      <c r="DU29" s="41"/>
      <c r="DV29" s="42" t="str">
        <f ca="1">IFERROR(AVERAGE(OFFSET('Data - For Rank'!$P$2,CC29,0,COUNTIF(CC$6:CC$115,CC29)))+IFERROR(VLOOKUP((COUNT(CA$6:CA$115)/4),$ER$8:$ES$12,2,FALSE()),0),"")</f>
        <v/>
      </c>
      <c r="DW29" s="41"/>
      <c r="DX29" s="42" t="str">
        <f ca="1">IFERROR(AVERAGE(OFFSET('Data - For Rank'!$Q$2,CH29,0,COUNTIF(CH$6:CH$115,CH29)))+IFERROR(VLOOKUP((COUNT(CF$6:CF$115)/4),$ER$8:$ES$12,2,FALSE()),0),"")</f>
        <v/>
      </c>
      <c r="DY29" s="41"/>
      <c r="DZ29" s="42" t="str">
        <f ca="1">IFERROR(AVERAGE(OFFSET('Data - For Rank'!$R$2,CM29,0,COUNTIF(CM$6:CM$115,CM29)))+IFERROR(VLOOKUP((COUNT(CK$6:CK$115)/4),$ER$8:$ES$12,2,FALSE()),0),"")</f>
        <v/>
      </c>
      <c r="EA29" s="41"/>
      <c r="EB29" s="42" t="str">
        <f ca="1">IFERROR(AVERAGE(OFFSET('Data - For Rank'!$S$2,CR29,0,COUNTIF(CR$6:CR$115,CR29)))+IFERROR(VLOOKUP((COUNT(CP$6:CP$115)/4),$ER$8:$ES$12,2,FALSE()),0),"")</f>
        <v/>
      </c>
      <c r="EC29" s="43">
        <f>CS29+CU29+CW29+CY29+DA29+DC29+DE29+DG29+DI29+DK29+DM29+DO29+DQ29+DS29+DU29+DW29+DY29+EA29</f>
        <v>3</v>
      </c>
      <c r="ED29" s="44">
        <f t="shared" ca="1" si="1"/>
        <v>12</v>
      </c>
      <c r="EP29" s="87"/>
    </row>
    <row r="30" spans="2:151" x14ac:dyDescent="0.2">
      <c r="B30" s="21">
        <f ca="1">_xlfn.RANK.EQ(C30,$C$6:$C$63,)</f>
        <v>9</v>
      </c>
      <c r="C30" s="56">
        <f ca="1">EC30</f>
        <v>60.5</v>
      </c>
      <c r="D30" s="56" t="s">
        <v>104</v>
      </c>
      <c r="E30" s="29" t="s">
        <v>47</v>
      </c>
      <c r="F30" s="30">
        <f ca="1">COUNT(CT30,CV30,CX30,CZ30,DB30,DD30,DF30,DH30,DJ30,DL30,DN30,DP30,DR30,DT30,DV30,DX30,DZ30,EB30)</f>
        <v>3</v>
      </c>
      <c r="G30" s="93">
        <f ca="1">IF(CT30=0,"",CT30)</f>
        <v>24.5</v>
      </c>
      <c r="H30" s="93"/>
      <c r="I30" s="93"/>
      <c r="K30" s="93"/>
      <c r="L30" s="93" t="str">
        <f ca="1">IF(CV30=0,"",CV30)</f>
        <v/>
      </c>
      <c r="M30" s="93"/>
      <c r="N30" s="93"/>
      <c r="P30" s="93"/>
      <c r="Q30" s="93">
        <f ca="1">IF(CX30=0,"",CX30)</f>
        <v>27</v>
      </c>
      <c r="R30" s="93"/>
      <c r="S30" s="93"/>
      <c r="U30" s="93"/>
      <c r="V30" s="93" t="str">
        <f ca="1">IF(CZ30=0,"",CZ30)</f>
        <v/>
      </c>
      <c r="W30" s="93"/>
      <c r="X30" s="93"/>
      <c r="Z30" s="93"/>
      <c r="AA30" s="93">
        <f ca="1">IF(DB30=0,"",DB30)</f>
        <v>9</v>
      </c>
      <c r="AB30" s="93"/>
      <c r="AC30" s="93"/>
      <c r="AE30" s="93"/>
      <c r="AF30" s="93" t="str">
        <f ca="1">IF(DD30=0,"",DD30)</f>
        <v/>
      </c>
      <c r="AG30" s="93"/>
      <c r="AH30" s="93"/>
      <c r="AJ30" s="93"/>
      <c r="AK30" s="93" t="str">
        <f ca="1">IF(DF30=0,"",DF30)</f>
        <v/>
      </c>
      <c r="AL30" s="93"/>
      <c r="AM30" s="93"/>
      <c r="AO30" s="93"/>
      <c r="AP30" s="93" t="str">
        <f ca="1">IF(DH30=0,"",DH30)</f>
        <v/>
      </c>
      <c r="AQ30" s="93"/>
      <c r="AR30" s="93"/>
      <c r="AT30" s="93"/>
      <c r="AU30" s="93" t="str">
        <f ca="1">IF(DJ30=0,"",DJ30)</f>
        <v/>
      </c>
      <c r="AV30" s="93"/>
      <c r="AW30" s="93"/>
      <c r="AY30" s="93"/>
      <c r="AZ30" s="93" t="str">
        <f ca="1">IF(DL30=0,"",DL30)</f>
        <v/>
      </c>
      <c r="BA30" s="93"/>
      <c r="BB30" s="93"/>
      <c r="BD30" s="93"/>
      <c r="BE30" s="93" t="str">
        <f ca="1">IF(DN30=0,"",DN30)</f>
        <v/>
      </c>
      <c r="BF30" s="93"/>
      <c r="BG30" s="93"/>
      <c r="BI30" s="93"/>
      <c r="BJ30" s="93" t="str">
        <f ca="1">IF(DP30=0,"",DP30)</f>
        <v/>
      </c>
      <c r="BK30" s="93"/>
      <c r="BL30" s="93"/>
      <c r="BN30" s="93"/>
      <c r="BO30" s="93" t="str">
        <f ca="1">IF(DR30=0,"",DR30)</f>
        <v/>
      </c>
      <c r="BP30" s="93"/>
      <c r="BQ30" s="93"/>
      <c r="BS30" s="93"/>
      <c r="BT30" s="93" t="str">
        <f ca="1">IF(DT30=0,"",DT30)</f>
        <v/>
      </c>
      <c r="BU30" s="93"/>
      <c r="BV30" s="93"/>
      <c r="BX30" s="93"/>
      <c r="BY30" s="93" t="str">
        <f ca="1">IF(DV30=0,"",DV30)</f>
        <v/>
      </c>
      <c r="BZ30" s="93"/>
      <c r="CA30" s="93"/>
      <c r="CC30" s="93"/>
      <c r="CD30" s="93" t="str">
        <f ca="1">IF(DX30=0,"",DX30)</f>
        <v/>
      </c>
      <c r="CE30" s="93"/>
      <c r="CF30" s="93"/>
      <c r="CH30" s="93"/>
      <c r="CI30" s="93" t="str">
        <f ca="1">IF(DZ30=0,"",DZ30)</f>
        <v/>
      </c>
      <c r="CJ30" s="93"/>
      <c r="CK30" s="93"/>
      <c r="CM30" s="93"/>
      <c r="CN30" s="93" t="str">
        <f ca="1">IF(EB30=0,"",EB30)</f>
        <v/>
      </c>
      <c r="CO30" s="93"/>
      <c r="CP30" s="93"/>
      <c r="CR30" s="93"/>
      <c r="CS30" s="31">
        <v>96</v>
      </c>
      <c r="CT30" s="32">
        <f ca="1">IFERROR(CT31+CT32,"")</f>
        <v>24.5</v>
      </c>
      <c r="CU30" s="31"/>
      <c r="CV30" s="32" t="str">
        <f ca="1">IFERROR(CV31+CV32,"")</f>
        <v/>
      </c>
      <c r="CW30" s="31">
        <v>95</v>
      </c>
      <c r="CX30" s="32">
        <f ca="1">IFERROR(CX31+CX32,"")</f>
        <v>27</v>
      </c>
      <c r="CY30" s="31"/>
      <c r="CZ30" s="32" t="str">
        <f ca="1">IFERROR(CZ31+CZ32,"")</f>
        <v/>
      </c>
      <c r="DA30" s="31">
        <v>102</v>
      </c>
      <c r="DB30" s="32">
        <f ca="1">IFERROR(DB31+DB32,"")</f>
        <v>9</v>
      </c>
      <c r="DC30" s="31"/>
      <c r="DD30" s="32" t="str">
        <f ca="1">IFERROR(DD31+DD32,"")</f>
        <v/>
      </c>
      <c r="DE30" s="31"/>
      <c r="DF30" s="32" t="str">
        <f ca="1">IFERROR(DF31+DF32,"")</f>
        <v/>
      </c>
      <c r="DG30" s="31"/>
      <c r="DH30" s="32" t="str">
        <f ca="1">IFERROR(DH31+DH32,"")</f>
        <v/>
      </c>
      <c r="DI30" s="31"/>
      <c r="DJ30" s="32" t="str">
        <f ca="1">IFERROR(DJ31+DJ32,"")</f>
        <v/>
      </c>
      <c r="DK30" s="31"/>
      <c r="DL30" s="32" t="str">
        <f ca="1">IFERROR(DL31+DL32,"")</f>
        <v/>
      </c>
      <c r="DM30" s="31"/>
      <c r="DN30" s="32" t="str">
        <f ca="1">IFERROR(DN31+DN32,"")</f>
        <v/>
      </c>
      <c r="DO30" s="31"/>
      <c r="DP30" s="32" t="str">
        <f ca="1">IFERROR(DP31+DP32,"")</f>
        <v/>
      </c>
      <c r="DQ30" s="31"/>
      <c r="DR30" s="32" t="str">
        <f ca="1">IFERROR(DR31+DR32,"")</f>
        <v/>
      </c>
      <c r="DS30" s="31"/>
      <c r="DT30" s="32" t="str">
        <f ca="1">IFERROR(DT31+DT32,"")</f>
        <v/>
      </c>
      <c r="DU30" s="31"/>
      <c r="DV30" s="32" t="str">
        <f ca="1">IFERROR(DV31+DV32,"")</f>
        <v/>
      </c>
      <c r="DW30" s="31"/>
      <c r="DX30" s="32" t="str">
        <f ca="1">IFERROR(DX31+DX32,"")</f>
        <v/>
      </c>
      <c r="DY30" s="31"/>
      <c r="DZ30" s="32" t="str">
        <f ca="1">IFERROR(DZ31+DZ32,"")</f>
        <v/>
      </c>
      <c r="EA30" s="31"/>
      <c r="EB30" s="32" t="str">
        <f ca="1">IFERROR(EB31+EB32,"")</f>
        <v/>
      </c>
      <c r="EC30" s="26">
        <f ca="1">IFERROR(LARGE($G30:$CN30,1),0)+IFERROR(LARGE($G30:$CN30,2),0)+IFERROR(LARGE($G30:$CN30,3),0)+IFERROR(LARGE($G30:$CN30,4),0)+IFERROR(LARGE($G30:$CN30,5),0)+IFERROR(LARGE($G30:$CN30,6),0)+IFERROR(LARGE($G30:$CN30,7),0)+IFERROR(LARGE($G30:$CN30,8),0)+IFERROR(LARGE($G30:$CN30,9),0)+IFERROR(LARGE($G30:$CN30,10),0)</f>
        <v>60.5</v>
      </c>
      <c r="ED30" s="33">
        <f t="shared" ca="1" si="1"/>
        <v>20.166666666666668</v>
      </c>
      <c r="EP30" s="87"/>
    </row>
    <row r="31" spans="2:151" s="15" customFormat="1" outlineLevel="1" x14ac:dyDescent="0.2">
      <c r="B31" s="34">
        <f ca="1">B30+0.19</f>
        <v>9.19</v>
      </c>
      <c r="D31" s="87" t="s">
        <v>105</v>
      </c>
      <c r="E31" s="35" t="s">
        <v>38</v>
      </c>
      <c r="F31" s="35"/>
      <c r="G31" s="35"/>
      <c r="H31" s="35">
        <f>IF(CS31=0,"",CS31)</f>
        <v>31</v>
      </c>
      <c r="I31" s="35"/>
      <c r="J31" s="93">
        <f>IFERROR(RANK(H31,H$6:H$115,0),"")</f>
        <v>8</v>
      </c>
      <c r="K31" s="35"/>
      <c r="L31" s="35"/>
      <c r="M31" s="35" t="str">
        <f>IF(CU31=0,"",CU31)</f>
        <v/>
      </c>
      <c r="N31" s="35"/>
      <c r="O31" s="93" t="str">
        <f>IFERROR(RANK(M31,M$6:M$115,0),"")</f>
        <v/>
      </c>
      <c r="P31" s="35"/>
      <c r="Q31" s="35"/>
      <c r="R31" s="35">
        <f>IF(CW31=0,"",CW31)</f>
        <v>35</v>
      </c>
      <c r="S31" s="35"/>
      <c r="T31" s="93">
        <f>IFERROR(RANK(R31,R$6:R$115,0),"")</f>
        <v>4</v>
      </c>
      <c r="U31" s="35"/>
      <c r="V31" s="35"/>
      <c r="W31" s="35" t="str">
        <f>IF(CY31=0,"",CY31)</f>
        <v/>
      </c>
      <c r="X31" s="35"/>
      <c r="Y31" s="93" t="str">
        <f>IFERROR(RANK(W31,W$6:W$115,0),"")</f>
        <v/>
      </c>
      <c r="Z31" s="35"/>
      <c r="AA31" s="35"/>
      <c r="AB31" s="35">
        <f>IF(DA31=0,"",DA31)</f>
        <v>23</v>
      </c>
      <c r="AC31" s="35"/>
      <c r="AD31" s="93">
        <f>IFERROR(RANK(AB31,AB$6:AB$115,0),"")</f>
        <v>13</v>
      </c>
      <c r="AE31" s="35"/>
      <c r="AF31" s="35"/>
      <c r="AG31" s="35" t="str">
        <f>IF(DC31=0,"",DC31)</f>
        <v/>
      </c>
      <c r="AH31" s="35"/>
      <c r="AI31" s="93" t="str">
        <f>IFERROR(RANK(AG31,AG$6:AG$115,0),"")</f>
        <v/>
      </c>
      <c r="AJ31" s="35"/>
      <c r="AK31" s="35"/>
      <c r="AL31" s="35" t="str">
        <f>IF(DE31=0,"",DE31)</f>
        <v/>
      </c>
      <c r="AM31" s="35"/>
      <c r="AN31" s="93" t="str">
        <f>IFERROR(RANK(AL31,AL$6:AL$115,0),"")</f>
        <v/>
      </c>
      <c r="AO31" s="35"/>
      <c r="AP31" s="35"/>
      <c r="AQ31" s="35" t="str">
        <f>IF(DG31=0,"",DG31)</f>
        <v/>
      </c>
      <c r="AR31" s="35"/>
      <c r="AS31" s="93" t="str">
        <f>IFERROR(RANK(AQ31,AQ$6:AQ$115,0),"")</f>
        <v/>
      </c>
      <c r="AT31" s="35"/>
      <c r="AU31" s="35"/>
      <c r="AV31" s="35" t="str">
        <f>IF(DI31=0,"",DI31)</f>
        <v/>
      </c>
      <c r="AW31" s="35"/>
      <c r="AX31" s="93" t="str">
        <f>IFERROR(RANK(AV31,AV$6:AV$115,0),"")</f>
        <v/>
      </c>
      <c r="AY31" s="35"/>
      <c r="AZ31" s="35"/>
      <c r="BA31" s="35" t="str">
        <f>IF(DK31=0,"",DK31)</f>
        <v/>
      </c>
      <c r="BB31" s="35"/>
      <c r="BC31" s="93" t="str">
        <f>IFERROR(RANK(BA31,BA$6:BA$115,0),"")</f>
        <v/>
      </c>
      <c r="BD31" s="35"/>
      <c r="BE31" s="35"/>
      <c r="BF31" s="35" t="str">
        <f>IF(DM31=0,"",DM31)</f>
        <v/>
      </c>
      <c r="BG31" s="35"/>
      <c r="BH31" s="93" t="str">
        <f>IFERROR(RANK(BF31,BF$6:BF$115,0),"")</f>
        <v/>
      </c>
      <c r="BI31" s="35"/>
      <c r="BJ31" s="35"/>
      <c r="BK31" s="35" t="str">
        <f>IF(DO31=0,"",DO31)</f>
        <v/>
      </c>
      <c r="BL31" s="35"/>
      <c r="BM31" s="93" t="str">
        <f>IFERROR(RANK(BK31,BK$6:BK$115,0),"")</f>
        <v/>
      </c>
      <c r="BN31" s="35"/>
      <c r="BO31" s="35"/>
      <c r="BP31" s="35" t="str">
        <f>IF(DQ31=0,"",DQ31)</f>
        <v/>
      </c>
      <c r="BQ31" s="35"/>
      <c r="BR31" s="93" t="str">
        <f>IFERROR(RANK(BP31,BP$6:BP$115,0),"")</f>
        <v/>
      </c>
      <c r="BS31" s="35"/>
      <c r="BT31" s="35"/>
      <c r="BU31" s="35" t="str">
        <f>IF(DS31=0,"",DS31)</f>
        <v/>
      </c>
      <c r="BV31" s="35"/>
      <c r="BW31" s="93" t="str">
        <f>IFERROR(RANK(BU31,BU$6:BU$115,0),"")</f>
        <v/>
      </c>
      <c r="BX31" s="35"/>
      <c r="BY31" s="35"/>
      <c r="BZ31" s="35" t="str">
        <f>IF(DU31=0,"",DU31)</f>
        <v/>
      </c>
      <c r="CA31" s="35"/>
      <c r="CB31" s="93" t="str">
        <f>IFERROR(RANK(BZ31,BZ$6:BZ$115,0),"")</f>
        <v/>
      </c>
      <c r="CC31" s="35"/>
      <c r="CD31" s="35"/>
      <c r="CE31" s="35" t="str">
        <f>IF(DW31=0,"",DW31)</f>
        <v/>
      </c>
      <c r="CF31" s="35"/>
      <c r="CG31" s="93" t="str">
        <f>IFERROR(RANK(CE31,CE$6:CE$115,0),"")</f>
        <v/>
      </c>
      <c r="CH31" s="35"/>
      <c r="CI31" s="35"/>
      <c r="CJ31" s="35" t="str">
        <f>IF(DY31=0,"",DY31)</f>
        <v/>
      </c>
      <c r="CK31" s="35"/>
      <c r="CL31" s="93" t="str">
        <f>IFERROR(RANK(CJ31,CJ$6:CJ$115,0),"")</f>
        <v/>
      </c>
      <c r="CM31" s="35"/>
      <c r="CN31" s="35"/>
      <c r="CO31" s="35" t="str">
        <f>IF(EA31=0,"",EA31)</f>
        <v/>
      </c>
      <c r="CP31" s="35"/>
      <c r="CQ31" s="93" t="str">
        <f>IFERROR(RANK(CO31,CO$6:CO$115,0),"")</f>
        <v/>
      </c>
      <c r="CR31" s="35"/>
      <c r="CS31" s="31">
        <v>31</v>
      </c>
      <c r="CT31" s="36">
        <f ca="1">IFERROR(AVERAGE(OFFSET('Data - For Rank'!B$2,J31,0,COUNTIF($J$7:J$115,J31)))+IFERROR(VLOOKUP((COUNT($H$6:$H$115)/4),$ER$8:$ES$12,2,FALSE()),0),"")</f>
        <v>10</v>
      </c>
      <c r="CU31" s="31"/>
      <c r="CV31" s="36" t="str">
        <f ca="1">IFERROR(AVERAGE(OFFSET('Data - For Rank'!$C$2,O31,0,COUNTIF(O$7:O$115,O31)))+IFERROR(VLOOKUP((COUNT(M$6:M$115)/4),$ER$8:$ES$12,2,FALSE()),0),"")</f>
        <v/>
      </c>
      <c r="CW31" s="31">
        <v>35</v>
      </c>
      <c r="CX31" s="36">
        <f ca="1">IFERROR(AVERAGE(OFFSET('Data - For Rank'!D$2,T31,0,COUNTIF(T$7:T$115,T31)))+IFERROR(VLOOKUP((COUNT(R$6:R$115)/4),$ER$8:$ES$12,2,FALSE()),0),"")</f>
        <v>13</v>
      </c>
      <c r="CY31" s="31"/>
      <c r="CZ31" s="36" t="str">
        <f ca="1">IFERROR(AVERAGE(OFFSET('Data - For Rank'!E$2,Y31,0,COUNTIF(Y$7:Y$115,Y31)))+IFERROR(VLOOKUP((COUNT(W$6:W$115)/4),$ER$8:$ES$12,2,FALSE()),0),"")</f>
        <v/>
      </c>
      <c r="DA31" s="31">
        <v>23</v>
      </c>
      <c r="DB31" s="36">
        <f ca="1">IFERROR(AVERAGE(OFFSET('Data - For Rank'!F$2,AD31,0,COUNTIF(AD$7:AD$115,AD31)))+IFERROR(VLOOKUP((COUNT(AB$6:AB$115)/4),$ER$8:$ES$12,2,FALSE()),0),"")</f>
        <v>6</v>
      </c>
      <c r="DC31" s="31"/>
      <c r="DD31" s="36" t="str">
        <f ca="1">IFERROR(AVERAGE(OFFSET('Data - For Rank'!G$2,AI31,0,COUNTIF(AI$7:AI$115,AI31)))+IFERROR(VLOOKUP((COUNT(AG$6:AG$115)/4),$ER$8:$ES$12,2,FALSE()),0),"")</f>
        <v/>
      </c>
      <c r="DE31" s="31"/>
      <c r="DF31" s="36" t="str">
        <f ca="1">IFERROR(AVERAGE(OFFSET('Data - For Rank'!$H$2,AN31,0,COUNTIF(AN$7:AN$115,AN31)))+IFERROR(VLOOKUP((COUNT(AL$6:AL$115)/4),$ER$8:$ES$12,2,FALSE()),0),"")</f>
        <v/>
      </c>
      <c r="DG31" s="31"/>
      <c r="DH31" s="36" t="str">
        <f ca="1">IFERROR(AVERAGE(OFFSET('Data - For Rank'!$I$2,AS31,0,COUNTIF(AS$7:AS$115,AS31)))+IFERROR(VLOOKUP((COUNT(AQ$6:AQ$115)/4),$ER$8:$ES$12,2,FALSE()),0),"")</f>
        <v/>
      </c>
      <c r="DI31" s="31"/>
      <c r="DJ31" s="36" t="str">
        <f ca="1">IFERROR(AVERAGE(OFFSET('Data - For Rank'!$J$2,AX31,0,COUNTIF(AX$7:AX$115,AX31)))+IFERROR(VLOOKUP((COUNT(AV$6:AV$115)/4),$ER$8:$ES$12,2,FALSE()),0),"")</f>
        <v/>
      </c>
      <c r="DK31" s="31"/>
      <c r="DL31" s="36" t="str">
        <f ca="1">IFERROR(AVERAGE(OFFSET('Data - For Rank'!$K$2,BC31,0,COUNTIF(BC$7:BC$115,BC31)))+IFERROR(VLOOKUP((COUNT(BA$6:BA$115)/4),$ER$8:$ES$12,2,FALSE()),0),"")</f>
        <v/>
      </c>
      <c r="DM31" s="31"/>
      <c r="DN31" s="36" t="str">
        <f ca="1">IFERROR(AVERAGE(OFFSET('Data - For Rank'!$L$2,BH31,0,COUNTIF(BH$7:BH$115,BH31)))+IFERROR(VLOOKUP((COUNT(BF$6:BF$115)/4),$ER$8:$ES$12,2,FALSE()),0),"")</f>
        <v/>
      </c>
      <c r="DO31" s="31"/>
      <c r="DP31" s="36" t="str">
        <f ca="1">IFERROR(AVERAGE(OFFSET('Data - For Rank'!$M$2,BM31,0,COUNTIF(BM$7:BM$115,BM31)))+IFERROR(VLOOKUP((COUNT(BK$6:BK$115)/4),$ER$8:$ES$12,2,FALSE()),0),"")</f>
        <v/>
      </c>
      <c r="DQ31" s="31"/>
      <c r="DR31" s="36" t="str">
        <f ca="1">IFERROR(AVERAGE(OFFSET('Data - For Rank'!$N$2,BR31,0,COUNTIF(BR$7:BR$115,BR31)))+IFERROR(VLOOKUP((COUNT(BP$6:BP$115)/4),$ER$8:$ES$12,2,FALSE()),0),"")</f>
        <v/>
      </c>
      <c r="DS31" s="31"/>
      <c r="DT31" s="36" t="str">
        <f ca="1">IFERROR(AVERAGE(OFFSET('Data - For Rank'!$O$2,BW31,0,COUNTIF(BW$7:BW$115,BW31)))+IFERROR(VLOOKUP((COUNT(BU$6:BU$115)/4),$ER$8:$ES$12,2,FALSE()),0),"")</f>
        <v/>
      </c>
      <c r="DU31" s="31"/>
      <c r="DV31" s="36" t="str">
        <f ca="1">IFERROR(AVERAGE(OFFSET('Data - For Rank'!$P$2,CB31,0,COUNTIF(CB$7:CB$115,CB31)))+IFERROR(VLOOKUP((COUNT(BZ$6:BZ$115)/4),$ER$8:$ES$12,2,FALSE()),0),"")</f>
        <v/>
      </c>
      <c r="DW31" s="31"/>
      <c r="DX31" s="36" t="str">
        <f ca="1">IFERROR(AVERAGE(OFFSET('Data - For Rank'!$Q$2,CG31,0,COUNTIF(CG$7:CG$115,CG31)))+IFERROR(VLOOKUP((COUNT(CE$6:CE$115)/4),$ER$8:$ES$12,2,FALSE()),0),"")</f>
        <v/>
      </c>
      <c r="DY31" s="31"/>
      <c r="DZ31" s="36" t="str">
        <f ca="1">IFERROR(AVERAGE(OFFSET('Data - For Rank'!$R$2,CL31,0,COUNTIF(CL$7:CL$115,CL31)))+IFERROR(VLOOKUP((COUNT(CJ$6:CJ$115)/4),$ER$8:$ES$12,2,FALSE()),0),"")</f>
        <v/>
      </c>
      <c r="EA31" s="31"/>
      <c r="EB31" s="36" t="str">
        <f ca="1">IFERROR(AVERAGE(OFFSET('Data - For Rank'!$S$2,CQ31,0,COUNTIF(CQ$7:CQ$115,CQ31)))+IFERROR(VLOOKUP((COUNT(CO$6:CO$115)/4),$ER$8:$ES$12,2,FALSE()),0),"")</f>
        <v/>
      </c>
      <c r="EC31" s="37">
        <f>AVERAGE(CS31,CU31,CW31,CY31,DA31,DC31,DE31,DG31,DI31,DK31,DM31,DO31,DQ31,DS31,DU31,DW31,DY31,EA31)</f>
        <v>29.666666666666668</v>
      </c>
      <c r="ED31" s="33">
        <f t="shared" ca="1" si="1"/>
        <v>9.6666666666666661</v>
      </c>
      <c r="EN31" s="87"/>
      <c r="EO31" s="87"/>
      <c r="EP31" s="87"/>
      <c r="ET31" s="87"/>
      <c r="EU31" s="87"/>
    </row>
    <row r="32" spans="2:151" s="15" customFormat="1" outlineLevel="1" x14ac:dyDescent="0.2">
      <c r="B32" s="38">
        <f ca="1">B30+0.029</f>
        <v>9.0289999999999999</v>
      </c>
      <c r="D32" s="87" t="s">
        <v>106</v>
      </c>
      <c r="E32" s="39" t="s">
        <v>39</v>
      </c>
      <c r="F32" s="40">
        <f ca="1">IF(COUNT(CT30:EB30)&gt;10,SMALL(G30:CN30,COUNT(G30:CN30)-10),MIN(CT30:EB30))</f>
        <v>9</v>
      </c>
      <c r="G32" s="40"/>
      <c r="H32" s="40"/>
      <c r="I32" s="96">
        <f>IF(CS32=0,"",CS32)</f>
        <v>10</v>
      </c>
      <c r="J32" s="96"/>
      <c r="K32" s="97">
        <f>IFERROR(_xlfn.RANK.EQ(I32,I$6:I$115,0),"")</f>
        <v>4</v>
      </c>
      <c r="L32" s="40"/>
      <c r="M32" s="40"/>
      <c r="N32" s="96" t="str">
        <f>IF(CU32=0,"",CU32)</f>
        <v/>
      </c>
      <c r="O32" s="96"/>
      <c r="P32" s="97" t="str">
        <f>IFERROR(_xlfn.RANK.EQ(N32,N$6:N$115,0),"")</f>
        <v/>
      </c>
      <c r="Q32" s="40"/>
      <c r="R32" s="40"/>
      <c r="S32" s="96">
        <f>IF(CW32=0,"",CW32)</f>
        <v>17</v>
      </c>
      <c r="T32" s="96"/>
      <c r="U32" s="97">
        <f>IFERROR(_xlfn.RANK.EQ(S32,S$6:S$115,0),"")</f>
        <v>3</v>
      </c>
      <c r="V32" s="40"/>
      <c r="W32" s="40"/>
      <c r="X32" s="96" t="str">
        <f>IF(CY32=0,"",CY32)</f>
        <v/>
      </c>
      <c r="Y32" s="96"/>
      <c r="Z32" s="97" t="str">
        <f>IFERROR(_xlfn.RANK.EQ(X32,X$6:X$115,0),"")</f>
        <v/>
      </c>
      <c r="AA32" s="40"/>
      <c r="AB32" s="40"/>
      <c r="AC32" s="96">
        <f>IF(DA32=0,"",DA32)</f>
        <v>-74</v>
      </c>
      <c r="AD32" s="96"/>
      <c r="AE32" s="97">
        <f>IFERROR(_xlfn.RANK.EQ(AC32,AC$6:AC$115,0),"")</f>
        <v>16</v>
      </c>
      <c r="AF32" s="40"/>
      <c r="AG32" s="40"/>
      <c r="AH32" s="96" t="str">
        <f>IF(DC32=0,"",DC32)</f>
        <v/>
      </c>
      <c r="AI32" s="96"/>
      <c r="AJ32" s="97" t="str">
        <f>IFERROR(_xlfn.RANK.EQ(AH32,AH$6:AH$115,0),"")</f>
        <v/>
      </c>
      <c r="AK32" s="40"/>
      <c r="AL32" s="40"/>
      <c r="AM32" s="96" t="str">
        <f>IF(DE32=0,"",DE32)</f>
        <v/>
      </c>
      <c r="AN32" s="96"/>
      <c r="AO32" s="97" t="str">
        <f>IFERROR(_xlfn.RANK.EQ(AM32,AM$6:AM$115,0),"")</f>
        <v/>
      </c>
      <c r="AP32" s="40"/>
      <c r="AQ32" s="40"/>
      <c r="AR32" s="96" t="str">
        <f>IF(DG32=0,"",DG32)</f>
        <v/>
      </c>
      <c r="AS32" s="96"/>
      <c r="AT32" s="97" t="str">
        <f>IFERROR(_xlfn.RANK.EQ(AR32,AR$6:AR$115,0),"")</f>
        <v/>
      </c>
      <c r="AU32" s="40"/>
      <c r="AV32" s="40"/>
      <c r="AW32" s="96" t="str">
        <f>IF(DI32=0,"",DI32)</f>
        <v/>
      </c>
      <c r="AX32" s="96"/>
      <c r="AY32" s="97" t="str">
        <f>IFERROR(_xlfn.RANK.EQ(AW32,AW$6:AW$115,0),"")</f>
        <v/>
      </c>
      <c r="AZ32" s="40"/>
      <c r="BA32" s="40"/>
      <c r="BB32" s="96" t="str">
        <f>IF(DK32=0,"",DK32)</f>
        <v/>
      </c>
      <c r="BC32" s="96"/>
      <c r="BD32" s="97" t="str">
        <f>IFERROR(_xlfn.RANK.EQ(BB32,BB$6:BB$115,0),"")</f>
        <v/>
      </c>
      <c r="BE32" s="40"/>
      <c r="BF32" s="40"/>
      <c r="BG32" s="96" t="str">
        <f>IF(DM32=0,"",DM32)</f>
        <v/>
      </c>
      <c r="BH32" s="96"/>
      <c r="BI32" s="97" t="str">
        <f>IFERROR(_xlfn.RANK.EQ(BG32,BG$6:BG$115,0),"")</f>
        <v/>
      </c>
      <c r="BJ32" s="40"/>
      <c r="BK32" s="40"/>
      <c r="BL32" s="96" t="str">
        <f>IF(DO32=0,"",DO32)</f>
        <v/>
      </c>
      <c r="BM32" s="96"/>
      <c r="BN32" s="97" t="str">
        <f>IFERROR(_xlfn.RANK.EQ(BL32,BL$6:BL$115,0),"")</f>
        <v/>
      </c>
      <c r="BO32" s="40"/>
      <c r="BP32" s="40"/>
      <c r="BQ32" s="96" t="str">
        <f>IF(DQ32=0,"",DQ32)</f>
        <v/>
      </c>
      <c r="BR32" s="96"/>
      <c r="BS32" s="97" t="str">
        <f>IFERROR(_xlfn.RANK.EQ(BQ32,BQ$6:BQ$115,0),"")</f>
        <v/>
      </c>
      <c r="BT32" s="40"/>
      <c r="BU32" s="40"/>
      <c r="BV32" s="96" t="str">
        <f>IF(DS32=0,"",DS32)</f>
        <v/>
      </c>
      <c r="BW32" s="96"/>
      <c r="BX32" s="97" t="str">
        <f>IFERROR(_xlfn.RANK.EQ(BV32,BV$6:BV$115,0),"")</f>
        <v/>
      </c>
      <c r="BY32" s="40"/>
      <c r="BZ32" s="40"/>
      <c r="CA32" s="96" t="str">
        <f>IF(DU32=0,"",DU32)</f>
        <v/>
      </c>
      <c r="CB32" s="96"/>
      <c r="CC32" s="97" t="str">
        <f>IFERROR(_xlfn.RANK.EQ(CA32,CA$6:CA$115,0),"")</f>
        <v/>
      </c>
      <c r="CD32" s="40"/>
      <c r="CE32" s="40"/>
      <c r="CF32" s="96" t="str">
        <f>IF(DW32=0,"",DW32)</f>
        <v/>
      </c>
      <c r="CG32" s="96"/>
      <c r="CH32" s="97" t="str">
        <f>IFERROR(_xlfn.RANK.EQ(CF32,CF$6:CF$115,0),"")</f>
        <v/>
      </c>
      <c r="CI32" s="40"/>
      <c r="CJ32" s="40"/>
      <c r="CK32" s="96" t="str">
        <f>IF(DY32=0,"",DY32)</f>
        <v/>
      </c>
      <c r="CL32" s="96"/>
      <c r="CM32" s="97" t="str">
        <f>IFERROR(_xlfn.RANK.EQ(CK32,CK$6:CK$115,0),"")</f>
        <v/>
      </c>
      <c r="CN32" s="40"/>
      <c r="CO32" s="40"/>
      <c r="CP32" s="96" t="str">
        <f>IF(EA32=0,"",EA32)</f>
        <v/>
      </c>
      <c r="CQ32" s="96"/>
      <c r="CR32" s="97" t="str">
        <f>IFERROR(_xlfn.RANK.EQ(CP32,CP$6:CP$115,0),"")</f>
        <v/>
      </c>
      <c r="CS32" s="41">
        <v>10</v>
      </c>
      <c r="CT32" s="42">
        <f ca="1">IFERROR(AVERAGE(OFFSET('Data - For Rank'!B$2,K32,0,COUNTIF(K$6:K$115,K32)))+IFERROR(VLOOKUP((COUNT($I$6:$I$115)/4),$ER$8:$ES$12,2,FALSE()),0),"")</f>
        <v>14.5</v>
      </c>
      <c r="CU32" s="41"/>
      <c r="CV32" s="42" t="str">
        <f ca="1">IFERROR(AVERAGE(OFFSET('Data - For Rank'!$C$2,P32,0,COUNTIF(P$6:P$115,P32)))+IFERROR(VLOOKUP((COUNT(N$6:N$115)/4),$ER$8:$ES$12,2,FALSE()),0),"")</f>
        <v/>
      </c>
      <c r="CW32" s="41">
        <v>17</v>
      </c>
      <c r="CX32" s="42">
        <f ca="1">IFERROR(AVERAGE(OFFSET('Data - For Rank'!D$2,U32,0,COUNTIF(U$6:$U139,U32)))+IFERROR(VLOOKUP((COUNT(S$6:S$115)/4),$ER$8:$ES$12,2,FALSE()),0),"")</f>
        <v>14</v>
      </c>
      <c r="CY32" s="41"/>
      <c r="CZ32" s="42" t="str">
        <f ca="1">IFERROR(AVERAGE(OFFSET('Data - For Rank'!E$2,Z32,0,COUNTIF(Z$6:Z$115,Z32)))+IFERROR(VLOOKUP((COUNT(W$6:W$115)/4),$ER$8:$ES$12,2,FALSE()),0),"")</f>
        <v/>
      </c>
      <c r="DA32" s="41">
        <v>-74</v>
      </c>
      <c r="DB32" s="42">
        <f ca="1">IFERROR(AVERAGE(OFFSET('Data - For Rank'!F$2,AE32,0,COUNTIF(AE$6:AE$115,AE32)))+IFERROR(VLOOKUP((COUNT(AC$6:AC$115)/4),$ER$8:$ES$12,2,FALSE()),0),"")</f>
        <v>3</v>
      </c>
      <c r="DC32" s="41"/>
      <c r="DD32" s="42" t="str">
        <f ca="1">IFERROR(AVERAGE(OFFSET('Data - For Rank'!G$2,AJ32,0,COUNTIF(AJ$6:AJ$115,AJ32)))+IFERROR(VLOOKUP((COUNT(AH$6:AH$115)/4),$ER$8:$ES$12,2,FALSE()),0),"")</f>
        <v/>
      </c>
      <c r="DE32" s="41"/>
      <c r="DF32" s="42" t="str">
        <f ca="1">IFERROR(AVERAGE(OFFSET('Data - For Rank'!$H$2,AO32,0,COUNTIF(AO$6:AO$115,AO32)))+IFERROR(VLOOKUP((COUNT(AM$6:AM$115)/4),$ER$8:$ES$12,2,FALSE()),0),"")</f>
        <v/>
      </c>
      <c r="DG32" s="41"/>
      <c r="DH32" s="42" t="str">
        <f ca="1">IFERROR(AVERAGE(OFFSET('Data - For Rank'!$I$2,AT32,0,COUNTIF(AT$6:AT$115,AT32)))+IFERROR(VLOOKUP((COUNT(AR$6:AR$115)/4),$ER$8:$ES$12,2,FALSE()),0),"")</f>
        <v/>
      </c>
      <c r="DI32" s="41"/>
      <c r="DJ32" s="42" t="str">
        <f ca="1">IFERROR(AVERAGE(OFFSET('Data - For Rank'!$J$2,AY32,0,COUNTIF(AY$6:AY$115,AY32)))+IFERROR(VLOOKUP((COUNT(AW$6:AW$115)/4),$ER$8:$ES$12,2,FALSE()),0),"")</f>
        <v/>
      </c>
      <c r="DK32" s="41"/>
      <c r="DL32" s="42" t="str">
        <f ca="1">IFERROR(AVERAGE(OFFSET('Data - For Rank'!$K$2,BD32,0,COUNTIF(BD$6:BD$115,BD32)))+IFERROR(VLOOKUP((COUNT(BB$6:BB$115)/4),$ER$8:$ES$12,2,FALSE()),0),"")</f>
        <v/>
      </c>
      <c r="DM32" s="41"/>
      <c r="DN32" s="42" t="str">
        <f ca="1">IFERROR(AVERAGE(OFFSET('Data - For Rank'!$L$2,BI32,0,COUNTIF(BI$6:BI$115,BI32)))+IFERROR(VLOOKUP((COUNT(BG$6:BG$115)/4),$ER$8:$ES$12,2,FALSE()),0),"")</f>
        <v/>
      </c>
      <c r="DO32" s="41"/>
      <c r="DP32" s="42" t="str">
        <f ca="1">IFERROR(AVERAGE(OFFSET('Data - For Rank'!$M$2,BN32,0,COUNTIF(BN$6:BN$115,BN32)))+IFERROR(VLOOKUP((COUNT(BL$6:BL$115)/4),$ER$8:$ES$12,2,FALSE()),0),"")</f>
        <v/>
      </c>
      <c r="DQ32" s="41"/>
      <c r="DR32" s="42" t="str">
        <f ca="1">IFERROR(AVERAGE(OFFSET('Data - For Rank'!$N$2,BS32,0,COUNTIF(BS$6:BS$115,BS32)))+IFERROR(VLOOKUP((COUNT(BQ$6:BQ$115)/4),$ER$8:$ES$12,2,FALSE()),0),"")</f>
        <v/>
      </c>
      <c r="DS32" s="41"/>
      <c r="DT32" s="42" t="str">
        <f ca="1">IFERROR(AVERAGE(OFFSET('Data - For Rank'!$O$2,BX32,0,COUNTIF(BX$6:BX$115,BX32)))+IFERROR(VLOOKUP((COUNT(BV$6:BV$115)/4),$ER$8:$ES$12,2,FALSE()),0),"")</f>
        <v/>
      </c>
      <c r="DU32" s="41"/>
      <c r="DV32" s="42" t="str">
        <f ca="1">IFERROR(AVERAGE(OFFSET('Data - For Rank'!$P$2,CC32,0,COUNTIF(CC$6:CC$115,CC32)))+IFERROR(VLOOKUP((COUNT(CA$6:CA$115)/4),$ER$8:$ES$12,2,FALSE()),0),"")</f>
        <v/>
      </c>
      <c r="DW32" s="41"/>
      <c r="DX32" s="42" t="str">
        <f ca="1">IFERROR(AVERAGE(OFFSET('Data - For Rank'!$Q$2,CH32,0,COUNTIF(CH$6:CH$115,CH32)))+IFERROR(VLOOKUP((COUNT(CF$6:CF$115)/4),$ER$8:$ES$12,2,FALSE()),0),"")</f>
        <v/>
      </c>
      <c r="DY32" s="41"/>
      <c r="DZ32" s="42" t="str">
        <f ca="1">IFERROR(AVERAGE(OFFSET('Data - For Rank'!$R$2,CM32,0,COUNTIF(CM$6:CM$115,CM32)))+IFERROR(VLOOKUP((COUNT(CK$6:CK$115)/4),$ER$8:$ES$12,2,FALSE()),0),"")</f>
        <v/>
      </c>
      <c r="EA32" s="41"/>
      <c r="EB32" s="42" t="str">
        <f ca="1">IFERROR(AVERAGE(OFFSET('Data - For Rank'!$S$2,CR32,0,COUNTIF(CR$6:CR$115,CR32)))+IFERROR(VLOOKUP((COUNT(CP$6:CP$115)/4),$ER$8:$ES$12,2,FALSE()),0),"")</f>
        <v/>
      </c>
      <c r="EC32" s="43">
        <f>CS32+CU32+CW32+CY32+DA32+DC32+DE32+DG32+DI32+DK32+DM32+DO32+DQ32+DS32+DU32+DW32+DY32+EA32</f>
        <v>-47</v>
      </c>
      <c r="ED32" s="44">
        <f t="shared" ca="1" si="1"/>
        <v>10.5</v>
      </c>
      <c r="EN32" s="87"/>
      <c r="EO32" s="87"/>
      <c r="EP32" s="87"/>
      <c r="ET32" s="87"/>
      <c r="EU32" s="87"/>
    </row>
    <row r="33" spans="2:151" x14ac:dyDescent="0.2">
      <c r="B33" s="21">
        <f ca="1">_xlfn.RANK.EQ(C33,$C$6:$C$63,)</f>
        <v>10</v>
      </c>
      <c r="C33" s="56">
        <f ca="1">EC33</f>
        <v>56</v>
      </c>
      <c r="D33" s="56" t="s">
        <v>107</v>
      </c>
      <c r="E33" s="29" t="s">
        <v>48</v>
      </c>
      <c r="F33" s="30">
        <f ca="1">COUNT(CT33,CV33,CX33,CZ33,DB33,DD33,DF33,DH33,DJ33,DL33,DN33,DP33,DR33,DT33,DV33,DX33,DZ33,EB33)</f>
        <v>2</v>
      </c>
      <c r="G33" s="93">
        <f ca="1">IF(CT33=0,"",CT33)</f>
        <v>22</v>
      </c>
      <c r="H33" s="93"/>
      <c r="I33" s="93"/>
      <c r="K33" s="93"/>
      <c r="L33" s="93" t="str">
        <f ca="1">IF(CV33=0,"",CV33)</f>
        <v/>
      </c>
      <c r="M33" s="93"/>
      <c r="N33" s="93"/>
      <c r="P33" s="93"/>
      <c r="Q33" s="93" t="str">
        <f ca="1">IF(CX33=0,"",CX33)</f>
        <v/>
      </c>
      <c r="R33" s="93"/>
      <c r="S33" s="93"/>
      <c r="U33" s="93"/>
      <c r="V33" s="93" t="str">
        <f ca="1">IF(CZ33=0,"",CZ33)</f>
        <v/>
      </c>
      <c r="W33" s="93"/>
      <c r="X33" s="93"/>
      <c r="Z33" s="93"/>
      <c r="AA33" s="93">
        <f ca="1">IF(DB33=0,"",DB33)</f>
        <v>34</v>
      </c>
      <c r="AB33" s="93"/>
      <c r="AC33" s="93"/>
      <c r="AE33" s="93"/>
      <c r="AF33" s="93" t="str">
        <f ca="1">IF(DD33=0,"",DD33)</f>
        <v/>
      </c>
      <c r="AG33" s="93"/>
      <c r="AH33" s="93"/>
      <c r="AJ33" s="93"/>
      <c r="AK33" s="93" t="str">
        <f ca="1">IF(DF33=0,"",DF33)</f>
        <v/>
      </c>
      <c r="AL33" s="93"/>
      <c r="AM33" s="93"/>
      <c r="AO33" s="93"/>
      <c r="AP33" s="93" t="str">
        <f ca="1">IF(DH33=0,"",DH33)</f>
        <v/>
      </c>
      <c r="AQ33" s="93"/>
      <c r="AR33" s="93"/>
      <c r="AT33" s="93"/>
      <c r="AU33" s="93" t="str">
        <f ca="1">IF(DJ33=0,"",DJ33)</f>
        <v/>
      </c>
      <c r="AV33" s="93"/>
      <c r="AW33" s="93"/>
      <c r="AY33" s="93"/>
      <c r="AZ33" s="93" t="str">
        <f ca="1">IF(DL33=0,"",DL33)</f>
        <v/>
      </c>
      <c r="BA33" s="93"/>
      <c r="BB33" s="93"/>
      <c r="BD33" s="93"/>
      <c r="BE33" s="93" t="str">
        <f ca="1">IF(DN33=0,"",DN33)</f>
        <v/>
      </c>
      <c r="BF33" s="93"/>
      <c r="BG33" s="93"/>
      <c r="BI33" s="93"/>
      <c r="BJ33" s="93" t="str">
        <f ca="1">IF(DP33=0,"",DP33)</f>
        <v/>
      </c>
      <c r="BK33" s="93"/>
      <c r="BL33" s="93"/>
      <c r="BN33" s="93"/>
      <c r="BO33" s="93" t="str">
        <f ca="1">IF(DR33=0,"",DR33)</f>
        <v/>
      </c>
      <c r="BP33" s="93"/>
      <c r="BQ33" s="93"/>
      <c r="BS33" s="93"/>
      <c r="BT33" s="93" t="str">
        <f ca="1">IF(DT33=0,"",DT33)</f>
        <v/>
      </c>
      <c r="BU33" s="93"/>
      <c r="BV33" s="93"/>
      <c r="BX33" s="93"/>
      <c r="BY33" s="93" t="str">
        <f ca="1">IF(DV33=0,"",DV33)</f>
        <v/>
      </c>
      <c r="BZ33" s="93"/>
      <c r="CA33" s="93"/>
      <c r="CC33" s="93"/>
      <c r="CD33" s="93" t="str">
        <f ca="1">IF(DX33=0,"",DX33)</f>
        <v/>
      </c>
      <c r="CE33" s="93"/>
      <c r="CF33" s="93"/>
      <c r="CH33" s="93"/>
      <c r="CI33" s="93" t="str">
        <f ca="1">IF(DZ33=0,"",DZ33)</f>
        <v/>
      </c>
      <c r="CJ33" s="93"/>
      <c r="CK33" s="93"/>
      <c r="CM33" s="93"/>
      <c r="CN33" s="93" t="str">
        <f ca="1">IF(EB33=0,"",EB33)</f>
        <v/>
      </c>
      <c r="CO33" s="93"/>
      <c r="CP33" s="93"/>
      <c r="CR33" s="93"/>
      <c r="CS33" s="31">
        <v>85</v>
      </c>
      <c r="CT33" s="32">
        <f ca="1">IFERROR(CT34+CT35,"")</f>
        <v>22</v>
      </c>
      <c r="CU33" s="31"/>
      <c r="CV33" s="32" t="str">
        <f ca="1">IFERROR(CV34+CV35,"")</f>
        <v/>
      </c>
      <c r="CW33" s="31"/>
      <c r="CX33" s="32" t="str">
        <f ca="1">IFERROR(CX34+CX35,"")</f>
        <v/>
      </c>
      <c r="CY33" s="31"/>
      <c r="CZ33" s="32" t="str">
        <f ca="1">IFERROR(CZ34+CZ35,"")</f>
        <v/>
      </c>
      <c r="DA33" s="31">
        <v>80</v>
      </c>
      <c r="DB33" s="32">
        <f ca="1">IFERROR(DB34+DB35,"")</f>
        <v>34</v>
      </c>
      <c r="DC33" s="31"/>
      <c r="DD33" s="32" t="str">
        <f ca="1">IFERROR(DD34+DD35,"")</f>
        <v/>
      </c>
      <c r="DE33" s="31"/>
      <c r="DF33" s="32" t="str">
        <f ca="1">IFERROR(DF34+DF35,"")</f>
        <v/>
      </c>
      <c r="DG33" s="31"/>
      <c r="DH33" s="32" t="str">
        <f ca="1">IFERROR(DH34+DH35,"")</f>
        <v/>
      </c>
      <c r="DI33" s="31"/>
      <c r="DJ33" s="32" t="str">
        <f ca="1">IFERROR(DJ34+DJ35,"")</f>
        <v/>
      </c>
      <c r="DK33" s="31"/>
      <c r="DL33" s="32" t="str">
        <f ca="1">IFERROR(DL34+DL35,"")</f>
        <v/>
      </c>
      <c r="DM33" s="31"/>
      <c r="DN33" s="32" t="str">
        <f ca="1">IFERROR(DN34+DN35,"")</f>
        <v/>
      </c>
      <c r="DO33" s="31"/>
      <c r="DP33" s="32" t="str">
        <f ca="1">IFERROR(DP34+DP35,"")</f>
        <v/>
      </c>
      <c r="DQ33" s="31"/>
      <c r="DR33" s="32" t="str">
        <f ca="1">IFERROR(DR34+DR35,"")</f>
        <v/>
      </c>
      <c r="DS33" s="31"/>
      <c r="DT33" s="32" t="str">
        <f ca="1">IFERROR(DT34+DT35,"")</f>
        <v/>
      </c>
      <c r="DU33" s="31"/>
      <c r="DV33" s="32" t="str">
        <f ca="1">IFERROR(DV34+DV35,"")</f>
        <v/>
      </c>
      <c r="DW33" s="31"/>
      <c r="DX33" s="32" t="str">
        <f ca="1">IFERROR(DX34+DX35,"")</f>
        <v/>
      </c>
      <c r="DY33" s="31"/>
      <c r="DZ33" s="32" t="str">
        <f ca="1">IFERROR(DZ34+DZ35,"")</f>
        <v/>
      </c>
      <c r="EA33" s="31"/>
      <c r="EB33" s="32" t="str">
        <f ca="1">IFERROR(EB34+EB35,"")</f>
        <v/>
      </c>
      <c r="EC33" s="26">
        <f ca="1">IFERROR(LARGE($G33:$CN33,1),0)+IFERROR(LARGE($G33:$CN33,2),0)+IFERROR(LARGE($G33:$CN33,3),0)+IFERROR(LARGE($G33:$CN33,4),0)+IFERROR(LARGE($G33:$CN33,5),0)+IFERROR(LARGE($G33:$CN33,6),0)+IFERROR(LARGE($G33:$CN33,7),0)+IFERROR(LARGE($G33:$CN33,8),0)+IFERROR(LARGE($G33:$CN33,9),0)+IFERROR(LARGE($G33:$CN33,10),0)</f>
        <v>56</v>
      </c>
      <c r="ED33" s="33">
        <f t="shared" ca="1" si="1"/>
        <v>28</v>
      </c>
      <c r="EN33" s="87"/>
      <c r="EO33" s="87"/>
      <c r="EP33" s="87"/>
      <c r="ET33" s="87"/>
      <c r="EU33" s="87"/>
    </row>
    <row r="34" spans="2:151" s="15" customFormat="1" outlineLevel="1" x14ac:dyDescent="0.2">
      <c r="B34" s="34">
        <f ca="1">B33+0.111</f>
        <v>10.111000000000001</v>
      </c>
      <c r="D34" s="87" t="s">
        <v>108</v>
      </c>
      <c r="E34" s="35" t="s">
        <v>38</v>
      </c>
      <c r="F34" s="35"/>
      <c r="G34" s="35"/>
      <c r="H34" s="35">
        <f>IF(CS34=0,"",CS34)</f>
        <v>32</v>
      </c>
      <c r="I34" s="35"/>
      <c r="J34" s="93">
        <f>IFERROR(RANK(H34,H$6:H$115,0),"")</f>
        <v>6</v>
      </c>
      <c r="K34" s="35"/>
      <c r="L34" s="35"/>
      <c r="M34" s="35" t="str">
        <f>IF(CU34=0,"",CU34)</f>
        <v/>
      </c>
      <c r="N34" s="35"/>
      <c r="O34" s="93" t="str">
        <f>IFERROR(RANK(M34,M$6:M$115,0),"")</f>
        <v/>
      </c>
      <c r="P34" s="35"/>
      <c r="Q34" s="35"/>
      <c r="R34" s="35" t="str">
        <f>IF(CW34=0,"",CW34)</f>
        <v/>
      </c>
      <c r="S34" s="35"/>
      <c r="T34" s="93" t="str">
        <f>IFERROR(RANK(R34,R$6:R$115,0),"")</f>
        <v/>
      </c>
      <c r="U34" s="35"/>
      <c r="V34" s="35"/>
      <c r="W34" s="35" t="str">
        <f>IF(CY34=0,"",CY34)</f>
        <v/>
      </c>
      <c r="X34" s="35"/>
      <c r="Y34" s="93" t="str">
        <f>IFERROR(RANK(W34,W$6:W$115,0),"")</f>
        <v/>
      </c>
      <c r="Z34" s="35"/>
      <c r="AA34" s="35"/>
      <c r="AB34" s="35">
        <f>IF(DA34=0,"",DA34)</f>
        <v>37</v>
      </c>
      <c r="AC34" s="35"/>
      <c r="AD34" s="93">
        <f>IFERROR(RANK(AB34,AB$6:AB$115,0),"")</f>
        <v>1</v>
      </c>
      <c r="AE34" s="35"/>
      <c r="AF34" s="35"/>
      <c r="AG34" s="35" t="str">
        <f>IF(DC34=0,"",DC34)</f>
        <v/>
      </c>
      <c r="AH34" s="35"/>
      <c r="AI34" s="93" t="str">
        <f>IFERROR(RANK(AG34,AG$6:AG$115,0),"")</f>
        <v/>
      </c>
      <c r="AJ34" s="35"/>
      <c r="AK34" s="35"/>
      <c r="AL34" s="35" t="str">
        <f>IF(DE34=0,"",DE34)</f>
        <v/>
      </c>
      <c r="AM34" s="35"/>
      <c r="AN34" s="93" t="str">
        <f>IFERROR(RANK(AL34,AL$6:AL$115,0),"")</f>
        <v/>
      </c>
      <c r="AO34" s="35"/>
      <c r="AP34" s="35"/>
      <c r="AQ34" s="35" t="str">
        <f>IF(DG34=0,"",DG34)</f>
        <v/>
      </c>
      <c r="AR34" s="35"/>
      <c r="AS34" s="93" t="str">
        <f>IFERROR(RANK(AQ34,AQ$6:AQ$115,0),"")</f>
        <v/>
      </c>
      <c r="AT34" s="35"/>
      <c r="AU34" s="35"/>
      <c r="AV34" s="35" t="str">
        <f>IF(DI34=0,"",DI34)</f>
        <v/>
      </c>
      <c r="AW34" s="35"/>
      <c r="AX34" s="93" t="str">
        <f>IFERROR(RANK(AV34,AV$6:AV$115,0),"")</f>
        <v/>
      </c>
      <c r="AY34" s="35"/>
      <c r="AZ34" s="35"/>
      <c r="BA34" s="35" t="str">
        <f>IF(DK34=0,"",DK34)</f>
        <v/>
      </c>
      <c r="BB34" s="35"/>
      <c r="BC34" s="93" t="str">
        <f>IFERROR(RANK(BA34,BA$6:BA$115,0),"")</f>
        <v/>
      </c>
      <c r="BD34" s="35"/>
      <c r="BE34" s="35"/>
      <c r="BF34" s="35" t="str">
        <f>IF(DM34=0,"",DM34)</f>
        <v/>
      </c>
      <c r="BG34" s="35"/>
      <c r="BH34" s="93" t="str">
        <f>IFERROR(RANK(BF34,BF$6:BF$115,0),"")</f>
        <v/>
      </c>
      <c r="BI34" s="35"/>
      <c r="BJ34" s="35"/>
      <c r="BK34" s="35" t="str">
        <f>IF(DO34=0,"",DO34)</f>
        <v/>
      </c>
      <c r="BL34" s="35"/>
      <c r="BM34" s="93" t="str">
        <f>IFERROR(RANK(BK34,BK$6:BK$115,0),"")</f>
        <v/>
      </c>
      <c r="BN34" s="35"/>
      <c r="BO34" s="35"/>
      <c r="BP34" s="35" t="str">
        <f>IF(DQ34=0,"",DQ34)</f>
        <v/>
      </c>
      <c r="BQ34" s="35"/>
      <c r="BR34" s="93" t="str">
        <f>IFERROR(RANK(BP34,BP$6:BP$115,0),"")</f>
        <v/>
      </c>
      <c r="BS34" s="35"/>
      <c r="BT34" s="35"/>
      <c r="BU34" s="35" t="str">
        <f>IF(DS34=0,"",DS34)</f>
        <v/>
      </c>
      <c r="BV34" s="35"/>
      <c r="BW34" s="93" t="str">
        <f>IFERROR(RANK(BU34,BU$6:BU$115,0),"")</f>
        <v/>
      </c>
      <c r="BX34" s="35"/>
      <c r="BY34" s="35"/>
      <c r="BZ34" s="35" t="str">
        <f>IF(DU34=0,"",DU34)</f>
        <v/>
      </c>
      <c r="CA34" s="35"/>
      <c r="CB34" s="93" t="str">
        <f>IFERROR(RANK(BZ34,BZ$6:BZ$115,0),"")</f>
        <v/>
      </c>
      <c r="CC34" s="35"/>
      <c r="CD34" s="35"/>
      <c r="CE34" s="35" t="str">
        <f>IF(DW34=0,"",DW34)</f>
        <v/>
      </c>
      <c r="CF34" s="35"/>
      <c r="CG34" s="93" t="str">
        <f>IFERROR(RANK(CE34,CE$6:CE$115,0),"")</f>
        <v/>
      </c>
      <c r="CH34" s="35"/>
      <c r="CI34" s="35"/>
      <c r="CJ34" s="35" t="str">
        <f>IF(DY34=0,"",DY34)</f>
        <v/>
      </c>
      <c r="CK34" s="35"/>
      <c r="CL34" s="93" t="str">
        <f>IFERROR(RANK(CJ34,CJ$6:CJ$115,0),"")</f>
        <v/>
      </c>
      <c r="CM34" s="35"/>
      <c r="CN34" s="35"/>
      <c r="CO34" s="35" t="str">
        <f>IF(EA34=0,"",EA34)</f>
        <v/>
      </c>
      <c r="CP34" s="35"/>
      <c r="CQ34" s="93" t="str">
        <f>IFERROR(RANK(CO34,CO$6:CO$115,0),"")</f>
        <v/>
      </c>
      <c r="CR34" s="35"/>
      <c r="CS34" s="31">
        <v>32</v>
      </c>
      <c r="CT34" s="36">
        <f ca="1">IFERROR(AVERAGE(OFFSET('Data - For Rank'!B$2,J34,0,COUNTIF($J$7:J$115,J34)))+IFERROR(VLOOKUP((COUNT($H$6:$H$115)/4),$ER$8:$ES$12,2,FALSE()),0),"")</f>
        <v>12.5</v>
      </c>
      <c r="CU34" s="31"/>
      <c r="CV34" s="36" t="str">
        <f ca="1">IFERROR(AVERAGE(OFFSET('Data - For Rank'!$C$2,O34,0,COUNTIF(O$7:O$115,O34)))+IFERROR(VLOOKUP((COUNT(M$6:M$115)/4),$ER$8:$ES$12,2,FALSE()),0),"")</f>
        <v/>
      </c>
      <c r="CW34" s="31"/>
      <c r="CX34" s="36" t="str">
        <f ca="1">IFERROR(AVERAGE(OFFSET('Data - For Rank'!D$2,T34,0,COUNTIF(T$7:T$115,T34)))+IFERROR(VLOOKUP((COUNT(R$6:R$115)/4),$ER$8:$ES$12,2,FALSE()),0),"")</f>
        <v/>
      </c>
      <c r="CY34" s="31"/>
      <c r="CZ34" s="36" t="str">
        <f ca="1">IFERROR(AVERAGE(OFFSET('Data - For Rank'!E$2,Y34,0,COUNTIF(Y$7:Y$115,Y34)))+IFERROR(VLOOKUP((COUNT(W$6:W$115)/4),$ER$8:$ES$12,2,FALSE()),0),"")</f>
        <v/>
      </c>
      <c r="DA34" s="31">
        <v>37</v>
      </c>
      <c r="DB34" s="36">
        <f ca="1">IFERROR(AVERAGE(OFFSET('Data - For Rank'!F$2,AD34,0,COUNTIF(AD$7:AD$115,AD34)))+IFERROR(VLOOKUP((COUNT(AB$6:AB$115)/4),$ER$8:$ES$12,2,FALSE()),0),"")</f>
        <v>18</v>
      </c>
      <c r="DC34" s="31"/>
      <c r="DD34" s="36" t="str">
        <f ca="1">IFERROR(AVERAGE(OFFSET('Data - For Rank'!G$2,AI34,0,COUNTIF(AI$7:AI$115,AI34)))+IFERROR(VLOOKUP((COUNT(AG$6:AG$115)/4),$ER$8:$ES$12,2,FALSE()),0),"")</f>
        <v/>
      </c>
      <c r="DE34" s="31"/>
      <c r="DF34" s="36" t="str">
        <f ca="1">IFERROR(AVERAGE(OFFSET('Data - For Rank'!$H$2,AN34,0,COUNTIF(AN$7:AN$115,AN34)))+IFERROR(VLOOKUP((COUNT(AL$6:AL$115)/4),$ER$8:$ES$12,2,FALSE()),0),"")</f>
        <v/>
      </c>
      <c r="DG34" s="31"/>
      <c r="DH34" s="36" t="str">
        <f ca="1">IFERROR(AVERAGE(OFFSET('Data - For Rank'!$I$2,AS34,0,COUNTIF(AS$7:AS$115,AS34)))+IFERROR(VLOOKUP((COUNT(AQ$6:AQ$115)/4),$ER$8:$ES$12,2,FALSE()),0),"")</f>
        <v/>
      </c>
      <c r="DI34" s="31"/>
      <c r="DJ34" s="36" t="str">
        <f ca="1">IFERROR(AVERAGE(OFFSET('Data - For Rank'!$J$2,AX34,0,COUNTIF(AX$7:AX$115,AX34)))+IFERROR(VLOOKUP((COUNT(AV$6:AV$115)/4),$ER$8:$ES$12,2,FALSE()),0),"")</f>
        <v/>
      </c>
      <c r="DK34" s="31"/>
      <c r="DL34" s="36" t="str">
        <f ca="1">IFERROR(AVERAGE(OFFSET('Data - For Rank'!$K$2,BC34,0,COUNTIF(BC$7:BC$115,BC34)))+IFERROR(VLOOKUP((COUNT(BA$6:BA$115)/4),$ER$8:$ES$12,2,FALSE()),0),"")</f>
        <v/>
      </c>
      <c r="DM34" s="31"/>
      <c r="DN34" s="36" t="str">
        <f ca="1">IFERROR(AVERAGE(OFFSET('Data - For Rank'!$L$2,BH34,0,COUNTIF(BH$7:BH$115,BH34)))+IFERROR(VLOOKUP((COUNT(BF$6:BF$115)/4),$ER$8:$ES$12,2,FALSE()),0),"")</f>
        <v/>
      </c>
      <c r="DO34" s="31"/>
      <c r="DP34" s="36" t="str">
        <f ca="1">IFERROR(AVERAGE(OFFSET('Data - For Rank'!$M$2,BM34,0,COUNTIF(BM$7:BM$115,BM34)))+IFERROR(VLOOKUP((COUNT(BK$6:BK$115)/4),$ER$8:$ES$12,2,FALSE()),0),"")</f>
        <v/>
      </c>
      <c r="DQ34" s="31"/>
      <c r="DR34" s="36" t="str">
        <f ca="1">IFERROR(AVERAGE(OFFSET('Data - For Rank'!$N$2,BR34,0,COUNTIF(BR$7:BR$115,BR34)))+IFERROR(VLOOKUP((COUNT(BP$6:BP$115)/4),$ER$8:$ES$12,2,FALSE()),0),"")</f>
        <v/>
      </c>
      <c r="DS34" s="31"/>
      <c r="DT34" s="36" t="str">
        <f ca="1">IFERROR(AVERAGE(OFFSET('Data - For Rank'!$O$2,BW34,0,COUNTIF(BW$7:BW$115,BW34)))+IFERROR(VLOOKUP((COUNT(BU$6:BU$115)/4),$ER$8:$ES$12,2,FALSE()),0),"")</f>
        <v/>
      </c>
      <c r="DU34" s="31"/>
      <c r="DV34" s="36" t="str">
        <f ca="1">IFERROR(AVERAGE(OFFSET('Data - For Rank'!$P$2,CB34,0,COUNTIF(CB$7:CB$115,CB34)))+IFERROR(VLOOKUP((COUNT(BZ$6:BZ$115)/4),$ER$8:$ES$12,2,FALSE()),0),"")</f>
        <v/>
      </c>
      <c r="DW34" s="31"/>
      <c r="DX34" s="36" t="str">
        <f ca="1">IFERROR(AVERAGE(OFFSET('Data - For Rank'!$Q$2,CG34,0,COUNTIF(CG$7:CG$115,CG34)))+IFERROR(VLOOKUP((COUNT(CE$6:CE$115)/4),$ER$8:$ES$12,2,FALSE()),0),"")</f>
        <v/>
      </c>
      <c r="DY34" s="31"/>
      <c r="DZ34" s="36" t="str">
        <f ca="1">IFERROR(AVERAGE(OFFSET('Data - For Rank'!$R$2,CL34,0,COUNTIF(CL$7:CL$115,CL34)))+IFERROR(VLOOKUP((COUNT(CJ$6:CJ$115)/4),$ER$8:$ES$12,2,FALSE()),0),"")</f>
        <v/>
      </c>
      <c r="EA34" s="31"/>
      <c r="EB34" s="36" t="str">
        <f ca="1">IFERROR(AVERAGE(OFFSET('Data - For Rank'!$S$2,CQ34,0,COUNTIF(CQ$7:CQ$115,CQ34)))+IFERROR(VLOOKUP((COUNT(CO$6:CO$115)/4),$ER$8:$ES$12,2,FALSE()),0),"")</f>
        <v/>
      </c>
      <c r="EC34" s="37">
        <f>AVERAGE(CS34,CU34,CW34,CY34,DA34,DC34,DE34,DG34,DI34,DK34,DM34,DO34,DQ34,DS34,DU34,DW34,DY34,EA34)</f>
        <v>34.5</v>
      </c>
      <c r="ED34" s="33">
        <f t="shared" ca="1" si="1"/>
        <v>15.25</v>
      </c>
      <c r="EN34" s="87"/>
      <c r="EO34" s="87"/>
      <c r="EP34" s="87"/>
      <c r="ET34" s="87"/>
      <c r="EU34" s="87"/>
    </row>
    <row r="35" spans="2:151" s="15" customFormat="1" outlineLevel="1" x14ac:dyDescent="0.2">
      <c r="B35" s="38">
        <f ca="1">B33+0.0211</f>
        <v>10.021100000000001</v>
      </c>
      <c r="D35" s="87" t="s">
        <v>109</v>
      </c>
      <c r="E35" s="39" t="s">
        <v>39</v>
      </c>
      <c r="F35" s="40">
        <f ca="1">IF(COUNT(CT33:EB33)&gt;10,SMALL(G33:CN33,COUNT(G33:CN33)-10),MIN(CT33:EB33))</f>
        <v>22</v>
      </c>
      <c r="G35" s="40"/>
      <c r="H35" s="40"/>
      <c r="I35" s="96">
        <f>IF(CS35=0,"",CS35)</f>
        <v>-8</v>
      </c>
      <c r="J35" s="96"/>
      <c r="K35" s="97">
        <f>IFERROR(_xlfn.RANK.EQ(I35,I$6:I$115,0),"")</f>
        <v>9</v>
      </c>
      <c r="L35" s="40"/>
      <c r="M35" s="40"/>
      <c r="N35" s="96" t="str">
        <f>IF(CU35=0,"",CU35)</f>
        <v/>
      </c>
      <c r="O35" s="96"/>
      <c r="P35" s="97" t="str">
        <f>IFERROR(_xlfn.RANK.EQ(N35,N$6:N$115,0),"")</f>
        <v/>
      </c>
      <c r="Q35" s="40"/>
      <c r="R35" s="40"/>
      <c r="S35" s="96" t="str">
        <f>IF(CW35=0,"",CW35)</f>
        <v/>
      </c>
      <c r="T35" s="96"/>
      <c r="U35" s="97" t="str">
        <f>IFERROR(_xlfn.RANK.EQ(S35,S$6:S$115,0),"")</f>
        <v/>
      </c>
      <c r="V35" s="40"/>
      <c r="W35" s="40"/>
      <c r="X35" s="96" t="str">
        <f>IF(CY35=0,"",CY35)</f>
        <v/>
      </c>
      <c r="Y35" s="96"/>
      <c r="Z35" s="97" t="str">
        <f>IFERROR(_xlfn.RANK.EQ(X35,X$6:X$115,0),"")</f>
        <v/>
      </c>
      <c r="AA35" s="40"/>
      <c r="AB35" s="40"/>
      <c r="AC35" s="96">
        <f>IF(DA35=0,"",DA35)</f>
        <v>28</v>
      </c>
      <c r="AD35" s="96"/>
      <c r="AE35" s="97">
        <f>IFERROR(_xlfn.RANK.EQ(AC35,AC$6:AC$115,0),"")</f>
        <v>3</v>
      </c>
      <c r="AF35" s="40"/>
      <c r="AG35" s="40"/>
      <c r="AH35" s="96" t="str">
        <f>IF(DC35=0,"",DC35)</f>
        <v/>
      </c>
      <c r="AI35" s="96"/>
      <c r="AJ35" s="97" t="str">
        <f>IFERROR(_xlfn.RANK.EQ(AH35,AH$6:AH$115,0),"")</f>
        <v/>
      </c>
      <c r="AK35" s="40"/>
      <c r="AL35" s="40"/>
      <c r="AM35" s="96" t="str">
        <f>IF(DE35=0,"",DE35)</f>
        <v/>
      </c>
      <c r="AN35" s="96"/>
      <c r="AO35" s="97" t="str">
        <f>IFERROR(_xlfn.RANK.EQ(AM35,AM$6:AM$115,0),"")</f>
        <v/>
      </c>
      <c r="AP35" s="40"/>
      <c r="AQ35" s="40"/>
      <c r="AR35" s="96" t="str">
        <f>IF(DG35=0,"",DG35)</f>
        <v/>
      </c>
      <c r="AS35" s="96"/>
      <c r="AT35" s="97" t="str">
        <f>IFERROR(_xlfn.RANK.EQ(AR35,AR$6:AR$115,0),"")</f>
        <v/>
      </c>
      <c r="AU35" s="40"/>
      <c r="AV35" s="40"/>
      <c r="AW35" s="96" t="str">
        <f>IF(DI35=0,"",DI35)</f>
        <v/>
      </c>
      <c r="AX35" s="96"/>
      <c r="AY35" s="97" t="str">
        <f>IFERROR(_xlfn.RANK.EQ(AW35,AW$6:AW$115,0),"")</f>
        <v/>
      </c>
      <c r="AZ35" s="40"/>
      <c r="BA35" s="40"/>
      <c r="BB35" s="96" t="str">
        <f>IF(DK35=0,"",DK35)</f>
        <v/>
      </c>
      <c r="BC35" s="96"/>
      <c r="BD35" s="97" t="str">
        <f>IFERROR(_xlfn.RANK.EQ(BB35,BB$6:BB$115,0),"")</f>
        <v/>
      </c>
      <c r="BE35" s="40"/>
      <c r="BF35" s="40"/>
      <c r="BG35" s="96" t="str">
        <f>IF(DM35=0,"",DM35)</f>
        <v/>
      </c>
      <c r="BH35" s="96"/>
      <c r="BI35" s="97" t="str">
        <f>IFERROR(_xlfn.RANK.EQ(BG35,BG$6:BG$115,0),"")</f>
        <v/>
      </c>
      <c r="BJ35" s="40"/>
      <c r="BK35" s="40"/>
      <c r="BL35" s="96" t="str">
        <f>IF(DO35=0,"",DO35)</f>
        <v/>
      </c>
      <c r="BM35" s="96"/>
      <c r="BN35" s="97" t="str">
        <f>IFERROR(_xlfn.RANK.EQ(BL35,BL$6:BL$115,0),"")</f>
        <v/>
      </c>
      <c r="BO35" s="40"/>
      <c r="BP35" s="40"/>
      <c r="BQ35" s="96" t="str">
        <f>IF(DQ35=0,"",DQ35)</f>
        <v/>
      </c>
      <c r="BR35" s="96"/>
      <c r="BS35" s="97" t="str">
        <f>IFERROR(_xlfn.RANK.EQ(BQ35,BQ$6:BQ$115,0),"")</f>
        <v/>
      </c>
      <c r="BT35" s="40"/>
      <c r="BU35" s="40"/>
      <c r="BV35" s="96" t="str">
        <f>IF(DS35=0,"",DS35)</f>
        <v/>
      </c>
      <c r="BW35" s="96"/>
      <c r="BX35" s="97" t="str">
        <f>IFERROR(_xlfn.RANK.EQ(BV35,BV$6:BV$115,0),"")</f>
        <v/>
      </c>
      <c r="BY35" s="40"/>
      <c r="BZ35" s="40"/>
      <c r="CA35" s="96" t="str">
        <f>IF(DU35=0,"",DU35)</f>
        <v/>
      </c>
      <c r="CB35" s="96"/>
      <c r="CC35" s="97" t="str">
        <f>IFERROR(_xlfn.RANK.EQ(CA35,CA$6:CA$115,0),"")</f>
        <v/>
      </c>
      <c r="CD35" s="40"/>
      <c r="CE35" s="40"/>
      <c r="CF35" s="96" t="str">
        <f>IF(DW35=0,"",DW35)</f>
        <v/>
      </c>
      <c r="CG35" s="96"/>
      <c r="CH35" s="97" t="str">
        <f>IFERROR(_xlfn.RANK.EQ(CF35,CF$6:CF$115,0),"")</f>
        <v/>
      </c>
      <c r="CI35" s="40"/>
      <c r="CJ35" s="40"/>
      <c r="CK35" s="96" t="str">
        <f>IF(DY35=0,"",DY35)</f>
        <v/>
      </c>
      <c r="CL35" s="96"/>
      <c r="CM35" s="97" t="str">
        <f>IFERROR(_xlfn.RANK.EQ(CK35,CK$6:CK$115,0),"")</f>
        <v/>
      </c>
      <c r="CN35" s="40"/>
      <c r="CO35" s="40"/>
      <c r="CP35" s="96" t="str">
        <f>IF(EA35=0,"",EA35)</f>
        <v/>
      </c>
      <c r="CQ35" s="96"/>
      <c r="CR35" s="97" t="str">
        <f>IFERROR(_xlfn.RANK.EQ(CP35,CP$6:CP$115,0),"")</f>
        <v/>
      </c>
      <c r="CS35" s="41">
        <v>-8</v>
      </c>
      <c r="CT35" s="42">
        <f ca="1">IFERROR(AVERAGE(OFFSET('Data - For Rank'!B$2,K35,0,COUNTIF(K$6:K$115,K35)))+IFERROR(VLOOKUP((COUNT($I$6:$I$115)/4),$ER$8:$ES$12,2,FALSE()),0),"")</f>
        <v>9.5</v>
      </c>
      <c r="CU35" s="41"/>
      <c r="CV35" s="42" t="str">
        <f ca="1">IFERROR(AVERAGE(OFFSET('Data - For Rank'!$C$2,P35,0,COUNTIF(P$6:P$115,P35)))+IFERROR(VLOOKUP((COUNT(N$6:N$115)/4),$ER$8:$ES$12,2,FALSE()),0),"")</f>
        <v/>
      </c>
      <c r="CW35" s="41"/>
      <c r="CX35" s="42" t="str">
        <f ca="1">IFERROR(AVERAGE(OFFSET('Data - For Rank'!D$2,U35,0,COUNTIF(U$6:$U142,U35)))+IFERROR(VLOOKUP((COUNT(S$6:S$115)/4),$ER$8:$ES$12,2,FALSE()),0),"")</f>
        <v/>
      </c>
      <c r="CY35" s="41"/>
      <c r="CZ35" s="42" t="str">
        <f ca="1">IFERROR(AVERAGE(OFFSET('Data - For Rank'!E$2,Z35,0,COUNTIF(Z$6:Z$115,Z35)))+IFERROR(VLOOKUP((COUNT(W$6:W$115)/4),$ER$8:$ES$12,2,FALSE()),0),"")</f>
        <v/>
      </c>
      <c r="DA35" s="41">
        <v>28</v>
      </c>
      <c r="DB35" s="42">
        <f ca="1">IFERROR(AVERAGE(OFFSET('Data - For Rank'!F$2,AE35,0,COUNTIF(AE$6:AE$115,AE35)))+IFERROR(VLOOKUP((COUNT(AC$6:AC$115)/4),$ER$8:$ES$12,2,FALSE()),0),"")</f>
        <v>16</v>
      </c>
      <c r="DC35" s="41"/>
      <c r="DD35" s="42" t="str">
        <f ca="1">IFERROR(AVERAGE(OFFSET('Data - For Rank'!G$2,AJ35,0,COUNTIF(AJ$6:AJ$115,AJ35)))+IFERROR(VLOOKUP((COUNT(AH$6:AH$115)/4),$ER$8:$ES$12,2,FALSE()),0),"")</f>
        <v/>
      </c>
      <c r="DE35" s="41"/>
      <c r="DF35" s="42" t="str">
        <f ca="1">IFERROR(AVERAGE(OFFSET('Data - For Rank'!$H$2,AO35,0,COUNTIF(AO$6:AO$115,AO35)))+IFERROR(VLOOKUP((COUNT(AM$6:AM$115)/4),$ER$8:$ES$12,2,FALSE()),0),"")</f>
        <v/>
      </c>
      <c r="DG35" s="41"/>
      <c r="DH35" s="42" t="str">
        <f ca="1">IFERROR(AVERAGE(OFFSET('Data - For Rank'!$I$2,AT35,0,COUNTIF(AT$6:AT$115,AT35)))+IFERROR(VLOOKUP((COUNT(AR$6:AR$115)/4),$ER$8:$ES$12,2,FALSE()),0),"")</f>
        <v/>
      </c>
      <c r="DI35" s="41"/>
      <c r="DJ35" s="42" t="str">
        <f ca="1">IFERROR(AVERAGE(OFFSET('Data - For Rank'!$J$2,AY35,0,COUNTIF(AY$6:AY$115,AY35)))+IFERROR(VLOOKUP((COUNT(AW$6:AW$115)/4),$ER$8:$ES$12,2,FALSE()),0),"")</f>
        <v/>
      </c>
      <c r="DK35" s="41"/>
      <c r="DL35" s="42" t="str">
        <f ca="1">IFERROR(AVERAGE(OFFSET('Data - For Rank'!$K$2,BD35,0,COUNTIF(BD$6:BD$115,BD35)))+IFERROR(VLOOKUP((COUNT(BB$6:BB$115)/4),$ER$8:$ES$12,2,FALSE()),0),"")</f>
        <v/>
      </c>
      <c r="DM35" s="41"/>
      <c r="DN35" s="42" t="str">
        <f ca="1">IFERROR(AVERAGE(OFFSET('Data - For Rank'!$L$2,BI35,0,COUNTIF(BI$6:BI$115,BI35)))+IFERROR(VLOOKUP((COUNT(BG$6:BG$115)/4),$ER$8:$ES$12,2,FALSE()),0),"")</f>
        <v/>
      </c>
      <c r="DO35" s="41"/>
      <c r="DP35" s="42" t="str">
        <f ca="1">IFERROR(AVERAGE(OFFSET('Data - For Rank'!$M$2,BN35,0,COUNTIF(BN$6:BN$115,BN35)))+IFERROR(VLOOKUP((COUNT(BL$6:BL$115)/4),$ER$8:$ES$12,2,FALSE()),0),"")</f>
        <v/>
      </c>
      <c r="DQ35" s="41"/>
      <c r="DR35" s="42" t="str">
        <f ca="1">IFERROR(AVERAGE(OFFSET('Data - For Rank'!$N$2,BS35,0,COUNTIF(BS$6:BS$115,BS35)))+IFERROR(VLOOKUP((COUNT(BQ$6:BQ$115)/4),$ER$8:$ES$12,2,FALSE()),0),"")</f>
        <v/>
      </c>
      <c r="DS35" s="41"/>
      <c r="DT35" s="42" t="str">
        <f ca="1">IFERROR(AVERAGE(OFFSET('Data - For Rank'!$O$2,BX35,0,COUNTIF(BX$6:BX$115,BX35)))+IFERROR(VLOOKUP((COUNT(BV$6:BV$115)/4),$ER$8:$ES$12,2,FALSE()),0),"")</f>
        <v/>
      </c>
      <c r="DU35" s="41"/>
      <c r="DV35" s="42" t="str">
        <f ca="1">IFERROR(AVERAGE(OFFSET('Data - For Rank'!$P$2,CC35,0,COUNTIF(CC$6:CC$115,CC35)))+IFERROR(VLOOKUP((COUNT(CA$6:CA$115)/4),$ER$8:$ES$12,2,FALSE()),0),"")</f>
        <v/>
      </c>
      <c r="DW35" s="41"/>
      <c r="DX35" s="42" t="str">
        <f ca="1">IFERROR(AVERAGE(OFFSET('Data - For Rank'!$Q$2,CH35,0,COUNTIF(CH$6:CH$115,CH35)))+IFERROR(VLOOKUP((COUNT(CF$6:CF$115)/4),$ER$8:$ES$12,2,FALSE()),0),"")</f>
        <v/>
      </c>
      <c r="DY35" s="41"/>
      <c r="DZ35" s="42" t="str">
        <f ca="1">IFERROR(AVERAGE(OFFSET('Data - For Rank'!$R$2,CM35,0,COUNTIF(CM$6:CM$115,CM35)))+IFERROR(VLOOKUP((COUNT(CK$6:CK$115)/4),$ER$8:$ES$12,2,FALSE()),0),"")</f>
        <v/>
      </c>
      <c r="EA35" s="41"/>
      <c r="EB35" s="42" t="str">
        <f ca="1">IFERROR(AVERAGE(OFFSET('Data - For Rank'!$S$2,CR35,0,COUNTIF(CR$6:CR$115,CR35)))+IFERROR(VLOOKUP((COUNT(CP$6:CP$115)/4),$ER$8:$ES$12,2,FALSE()),0),"")</f>
        <v/>
      </c>
      <c r="EC35" s="43">
        <f>CS35+CU35+CW35+CY35+DA35+DC35+DE35+DG35+DI35+DK35+DM35+DO35+DQ35+DS35+DU35+DW35+DY35+EA35</f>
        <v>20</v>
      </c>
      <c r="ED35" s="44">
        <f t="shared" ca="1" si="1"/>
        <v>12.75</v>
      </c>
      <c r="EN35" s="87"/>
      <c r="EO35" s="87"/>
      <c r="EP35" s="87"/>
      <c r="ET35" s="87"/>
      <c r="EU35" s="87"/>
    </row>
    <row r="36" spans="2:151" x14ac:dyDescent="0.2">
      <c r="B36" s="21">
        <f ca="1">_xlfn.RANK.EQ(C36,$C$6:$C$63,)</f>
        <v>11</v>
      </c>
      <c r="C36" s="56">
        <f ca="1">EC36</f>
        <v>54.5</v>
      </c>
      <c r="D36" s="56" t="s">
        <v>110</v>
      </c>
      <c r="E36" s="45" t="s">
        <v>49</v>
      </c>
      <c r="F36" s="30">
        <f ca="1">COUNT(CT36,CV36,CX36,CZ36,DB36,DD36,DF36,DH36,DJ36,DL36,DN36,DP36,DR36,DT36,DV36,DX36,DZ36,EB36)</f>
        <v>3</v>
      </c>
      <c r="G36" s="93">
        <f ca="1">IF(CT36=0,"",CT36)</f>
        <v>18.5</v>
      </c>
      <c r="H36" s="93"/>
      <c r="I36" s="93"/>
      <c r="K36" s="93"/>
      <c r="L36" s="93" t="str">
        <f ca="1">IF(CV36=0,"",CV36)</f>
        <v/>
      </c>
      <c r="M36" s="93"/>
      <c r="N36" s="93"/>
      <c r="P36" s="93"/>
      <c r="Q36" s="93">
        <f ca="1">IF(CX36=0,"",CX36)</f>
        <v>19</v>
      </c>
      <c r="R36" s="93"/>
      <c r="S36" s="93"/>
      <c r="U36" s="93"/>
      <c r="V36" s="93">
        <f ca="1">IF(CZ36=0,"",CZ36)</f>
        <v>17</v>
      </c>
      <c r="W36" s="93"/>
      <c r="X36" s="93"/>
      <c r="Z36" s="93"/>
      <c r="AA36" s="93" t="str">
        <f ca="1">IF(DB36=0,"",DB36)</f>
        <v/>
      </c>
      <c r="AB36" s="93"/>
      <c r="AC36" s="93"/>
      <c r="AE36" s="93"/>
      <c r="AF36" s="93" t="str">
        <f ca="1">IF(DD36=0,"",DD36)</f>
        <v/>
      </c>
      <c r="AG36" s="93"/>
      <c r="AH36" s="93"/>
      <c r="AJ36" s="93"/>
      <c r="AK36" s="93" t="str">
        <f ca="1">IF(DF36=0,"",DF36)</f>
        <v/>
      </c>
      <c r="AL36" s="93"/>
      <c r="AM36" s="93"/>
      <c r="AO36" s="93"/>
      <c r="AP36" s="93" t="str">
        <f ca="1">IF(DH36=0,"",DH36)</f>
        <v/>
      </c>
      <c r="AQ36" s="93"/>
      <c r="AR36" s="93"/>
      <c r="AT36" s="93"/>
      <c r="AU36" s="93" t="str">
        <f ca="1">IF(DJ36=0,"",DJ36)</f>
        <v/>
      </c>
      <c r="AV36" s="93"/>
      <c r="AW36" s="93"/>
      <c r="AY36" s="93"/>
      <c r="AZ36" s="93" t="str">
        <f ca="1">IF(DL36=0,"",DL36)</f>
        <v/>
      </c>
      <c r="BA36" s="93"/>
      <c r="BB36" s="93"/>
      <c r="BD36" s="93"/>
      <c r="BE36" s="93" t="str">
        <f ca="1">IF(DN36=0,"",DN36)</f>
        <v/>
      </c>
      <c r="BF36" s="93"/>
      <c r="BG36" s="93"/>
      <c r="BI36" s="93"/>
      <c r="BJ36" s="93" t="str">
        <f ca="1">IF(DP36=0,"",DP36)</f>
        <v/>
      </c>
      <c r="BK36" s="93"/>
      <c r="BL36" s="93"/>
      <c r="BN36" s="93"/>
      <c r="BO36" s="93" t="str">
        <f ca="1">IF(DR36=0,"",DR36)</f>
        <v/>
      </c>
      <c r="BP36" s="93"/>
      <c r="BQ36" s="93"/>
      <c r="BS36" s="93"/>
      <c r="BT36" s="93" t="str">
        <f ca="1">IF(DT36=0,"",DT36)</f>
        <v/>
      </c>
      <c r="BU36" s="93"/>
      <c r="BV36" s="93"/>
      <c r="BX36" s="93"/>
      <c r="BY36" s="93" t="str">
        <f ca="1">IF(DV36=0,"",DV36)</f>
        <v/>
      </c>
      <c r="BZ36" s="93"/>
      <c r="CA36" s="93"/>
      <c r="CC36" s="93"/>
      <c r="CD36" s="93" t="str">
        <f ca="1">IF(DX36=0,"",DX36)</f>
        <v/>
      </c>
      <c r="CE36" s="93"/>
      <c r="CF36" s="93"/>
      <c r="CH36" s="93"/>
      <c r="CI36" s="93" t="str">
        <f ca="1">IF(DZ36=0,"",DZ36)</f>
        <v/>
      </c>
      <c r="CJ36" s="93"/>
      <c r="CK36" s="93"/>
      <c r="CM36" s="93"/>
      <c r="CN36" s="93" t="str">
        <f ca="1">IF(EB36=0,"",EB36)</f>
        <v/>
      </c>
      <c r="CO36" s="93"/>
      <c r="CP36" s="93"/>
      <c r="CR36" s="93"/>
      <c r="CS36" s="31">
        <v>89</v>
      </c>
      <c r="CT36" s="32">
        <f ca="1">IFERROR(CT37+CT38,"")</f>
        <v>18.5</v>
      </c>
      <c r="CU36" s="31"/>
      <c r="CV36" s="32" t="str">
        <f ca="1">IFERROR(CV37+CV38,"")</f>
        <v/>
      </c>
      <c r="CW36" s="31">
        <v>91</v>
      </c>
      <c r="CX36" s="32">
        <f ca="1">IFERROR(CX37+CX38,"")</f>
        <v>19</v>
      </c>
      <c r="CY36" s="31">
        <v>93</v>
      </c>
      <c r="CZ36" s="32">
        <f ca="1">IFERROR(CZ37+CZ38,"")</f>
        <v>17</v>
      </c>
      <c r="DA36" s="31"/>
      <c r="DB36" s="32" t="str">
        <f ca="1">IFERROR(DB37+DB38,"")</f>
        <v/>
      </c>
      <c r="DC36" s="31"/>
      <c r="DD36" s="32" t="str">
        <f ca="1">IFERROR(DD37+DD38,"")</f>
        <v/>
      </c>
      <c r="DE36" s="31"/>
      <c r="DF36" s="32" t="str">
        <f ca="1">IFERROR(DF37+DF38,"")</f>
        <v/>
      </c>
      <c r="DG36" s="31"/>
      <c r="DH36" s="32" t="str">
        <f ca="1">IFERROR(DH37+DH38,"")</f>
        <v/>
      </c>
      <c r="DI36" s="31"/>
      <c r="DJ36" s="32" t="str">
        <f ca="1">IFERROR(DJ37+DJ38,"")</f>
        <v/>
      </c>
      <c r="DK36" s="31"/>
      <c r="DL36" s="32" t="str">
        <f ca="1">IFERROR(DL37+DL38,"")</f>
        <v/>
      </c>
      <c r="DM36" s="31"/>
      <c r="DN36" s="32" t="str">
        <f ca="1">IFERROR(DN37+DN38,"")</f>
        <v/>
      </c>
      <c r="DO36" s="31"/>
      <c r="DP36" s="32" t="str">
        <f ca="1">IFERROR(DP37+DP38,"")</f>
        <v/>
      </c>
      <c r="DQ36" s="31"/>
      <c r="DR36" s="32" t="str">
        <f ca="1">IFERROR(DR37+DR38,"")</f>
        <v/>
      </c>
      <c r="DS36" s="31"/>
      <c r="DT36" s="32" t="str">
        <f ca="1">IFERROR(DT37+DT38,"")</f>
        <v/>
      </c>
      <c r="DU36" s="31"/>
      <c r="DV36" s="32" t="str">
        <f ca="1">IFERROR(DV37+DV38,"")</f>
        <v/>
      </c>
      <c r="DW36" s="31"/>
      <c r="DX36" s="32" t="str">
        <f ca="1">IFERROR(DX37+DX38,"")</f>
        <v/>
      </c>
      <c r="DY36" s="31"/>
      <c r="DZ36" s="32" t="str">
        <f ca="1">IFERROR(DZ37+DZ38,"")</f>
        <v/>
      </c>
      <c r="EA36" s="31"/>
      <c r="EB36" s="32" t="str">
        <f ca="1">IFERROR(EB37+EB38,"")</f>
        <v/>
      </c>
      <c r="EC36" s="26">
        <f ca="1">IFERROR(LARGE($G36:$CN36,1),0)+IFERROR(LARGE($G36:$CN36,2),0)+IFERROR(LARGE($G36:$CN36,3),0)+IFERROR(LARGE($G36:$CN36,4),0)+IFERROR(LARGE($G36:$CN36,5),0)+IFERROR(LARGE($G36:$CN36,6),0)+IFERROR(LARGE($G36:$CN36,7),0)+IFERROR(LARGE($G36:$CN36,8),0)+IFERROR(LARGE($G36:$CN36,9),0)+IFERROR(LARGE($G36:$CN36,10),0)</f>
        <v>54.5</v>
      </c>
      <c r="ED36" s="33">
        <f t="shared" ca="1" si="1"/>
        <v>18.166666666666668</v>
      </c>
      <c r="ET36" s="87"/>
    </row>
    <row r="37" spans="2:151" s="15" customFormat="1" outlineLevel="1" x14ac:dyDescent="0.2">
      <c r="B37" s="34">
        <f ca="1">B36+0.112</f>
        <v>11.112</v>
      </c>
      <c r="D37" s="87" t="s">
        <v>111</v>
      </c>
      <c r="E37" s="35" t="s">
        <v>38</v>
      </c>
      <c r="F37" s="35"/>
      <c r="G37" s="35"/>
      <c r="H37" s="35">
        <f>IF(CS37=0,"",CS37)</f>
        <v>33</v>
      </c>
      <c r="I37" s="35"/>
      <c r="J37" s="93">
        <f>IFERROR(RANK(H37,H$6:H$115,0),"")</f>
        <v>4</v>
      </c>
      <c r="K37" s="35"/>
      <c r="L37" s="35"/>
      <c r="M37" s="35" t="str">
        <f>IF(CU37=0,"",CU37)</f>
        <v/>
      </c>
      <c r="N37" s="35"/>
      <c r="O37" s="93" t="str">
        <f>IFERROR(RANK(M37,M$6:M$115,0),"")</f>
        <v/>
      </c>
      <c r="P37" s="35"/>
      <c r="Q37" s="35"/>
      <c r="R37" s="35">
        <f>IF(CW37=0,"",CW37)</f>
        <v>33</v>
      </c>
      <c r="S37" s="35"/>
      <c r="T37" s="93">
        <f>IFERROR(RANK(R37,R$6:R$115,0),"")</f>
        <v>5</v>
      </c>
      <c r="U37" s="35"/>
      <c r="V37" s="35"/>
      <c r="W37" s="35">
        <f>IF(CY37=0,"",CY37)</f>
        <v>26</v>
      </c>
      <c r="X37" s="35"/>
      <c r="Y37" s="93">
        <f>IFERROR(RANK(W37,W$6:W$115,0),"")</f>
        <v>8</v>
      </c>
      <c r="Z37" s="35"/>
      <c r="AA37" s="35"/>
      <c r="AB37" s="35" t="str">
        <f>IF(DA37=0,"",DA37)</f>
        <v/>
      </c>
      <c r="AC37" s="35"/>
      <c r="AD37" s="93" t="str">
        <f>IFERROR(RANK(AB37,AB$6:AB$115,0),"")</f>
        <v/>
      </c>
      <c r="AE37" s="35"/>
      <c r="AF37" s="35"/>
      <c r="AG37" s="35" t="str">
        <f>IF(DC37=0,"",DC37)</f>
        <v/>
      </c>
      <c r="AH37" s="35"/>
      <c r="AI37" s="93" t="str">
        <f>IFERROR(RANK(AG37,AG$6:AG$115,0),"")</f>
        <v/>
      </c>
      <c r="AJ37" s="35"/>
      <c r="AK37" s="35"/>
      <c r="AL37" s="35" t="str">
        <f>IF(DE37=0,"",DE37)</f>
        <v/>
      </c>
      <c r="AM37" s="35"/>
      <c r="AN37" s="93" t="str">
        <f>IFERROR(RANK(AL37,AL$6:AL$115,0),"")</f>
        <v/>
      </c>
      <c r="AO37" s="35"/>
      <c r="AP37" s="35"/>
      <c r="AQ37" s="35" t="str">
        <f>IF(DG37=0,"",DG37)</f>
        <v/>
      </c>
      <c r="AR37" s="35"/>
      <c r="AS37" s="93" t="str">
        <f>IFERROR(RANK(AQ37,AQ$6:AQ$115,0),"")</f>
        <v/>
      </c>
      <c r="AT37" s="35"/>
      <c r="AU37" s="35"/>
      <c r="AV37" s="35" t="str">
        <f>IF(DI37=0,"",DI37)</f>
        <v/>
      </c>
      <c r="AW37" s="35"/>
      <c r="AX37" s="93" t="str">
        <f>IFERROR(RANK(AV37,AV$6:AV$115,0),"")</f>
        <v/>
      </c>
      <c r="AY37" s="35"/>
      <c r="AZ37" s="35"/>
      <c r="BA37" s="35" t="str">
        <f>IF(DK37=0,"",DK37)</f>
        <v/>
      </c>
      <c r="BB37" s="35"/>
      <c r="BC37" s="93" t="str">
        <f>IFERROR(RANK(BA37,BA$6:BA$115,0),"")</f>
        <v/>
      </c>
      <c r="BD37" s="35"/>
      <c r="BE37" s="35"/>
      <c r="BF37" s="35" t="str">
        <f>IF(DM37=0,"",DM37)</f>
        <v/>
      </c>
      <c r="BG37" s="35"/>
      <c r="BH37" s="93" t="str">
        <f>IFERROR(RANK(BF37,BF$6:BF$115,0),"")</f>
        <v/>
      </c>
      <c r="BI37" s="35"/>
      <c r="BJ37" s="35"/>
      <c r="BK37" s="35" t="str">
        <f>IF(DO37=0,"",DO37)</f>
        <v/>
      </c>
      <c r="BL37" s="35"/>
      <c r="BM37" s="93" t="str">
        <f>IFERROR(RANK(BK37,BK$6:BK$115,0),"")</f>
        <v/>
      </c>
      <c r="BN37" s="35"/>
      <c r="BO37" s="35"/>
      <c r="BP37" s="35" t="str">
        <f>IF(DQ37=0,"",DQ37)</f>
        <v/>
      </c>
      <c r="BQ37" s="35"/>
      <c r="BR37" s="93" t="str">
        <f>IFERROR(RANK(BP37,BP$6:BP$115,0),"")</f>
        <v/>
      </c>
      <c r="BS37" s="35"/>
      <c r="BT37" s="35"/>
      <c r="BU37" s="35" t="str">
        <f>IF(DS37=0,"",DS37)</f>
        <v/>
      </c>
      <c r="BV37" s="35"/>
      <c r="BW37" s="93" t="str">
        <f>IFERROR(RANK(BU37,BU$6:BU$115,0),"")</f>
        <v/>
      </c>
      <c r="BX37" s="35"/>
      <c r="BY37" s="35"/>
      <c r="BZ37" s="35" t="str">
        <f>IF(DU37=0,"",DU37)</f>
        <v/>
      </c>
      <c r="CA37" s="35"/>
      <c r="CB37" s="93" t="str">
        <f>IFERROR(RANK(BZ37,BZ$6:BZ$115,0),"")</f>
        <v/>
      </c>
      <c r="CC37" s="35"/>
      <c r="CD37" s="35"/>
      <c r="CE37" s="35" t="str">
        <f>IF(DW37=0,"",DW37)</f>
        <v/>
      </c>
      <c r="CF37" s="35"/>
      <c r="CG37" s="93" t="str">
        <f>IFERROR(RANK(CE37,CE$6:CE$115,0),"")</f>
        <v/>
      </c>
      <c r="CH37" s="35"/>
      <c r="CI37" s="35"/>
      <c r="CJ37" s="35" t="str">
        <f>IF(DY37=0,"",DY37)</f>
        <v/>
      </c>
      <c r="CK37" s="35"/>
      <c r="CL37" s="93" t="str">
        <f>IFERROR(RANK(CJ37,CJ$6:CJ$115,0),"")</f>
        <v/>
      </c>
      <c r="CM37" s="35"/>
      <c r="CN37" s="35"/>
      <c r="CO37" s="35" t="str">
        <f>IF(EA37=0,"",EA37)</f>
        <v/>
      </c>
      <c r="CP37" s="35"/>
      <c r="CQ37" s="93" t="str">
        <f>IFERROR(RANK(CO37,CO$6:CO$115,0),"")</f>
        <v/>
      </c>
      <c r="CR37" s="35"/>
      <c r="CS37" s="31">
        <v>33</v>
      </c>
      <c r="CT37" s="36">
        <f ca="1">IFERROR(AVERAGE(OFFSET('Data - For Rank'!B$2,J37,0,COUNTIF($J$7:J$115,J37)))+IFERROR(VLOOKUP((COUNT($H$6:$H$115)/4),$ER$8:$ES$12,2,FALSE()),0),"")</f>
        <v>14.5</v>
      </c>
      <c r="CU37" s="31"/>
      <c r="CV37" s="36" t="str">
        <f ca="1">IFERROR(AVERAGE(OFFSET('Data - For Rank'!$C$2,O37,0,COUNTIF(O$7:O$115,O37)))+IFERROR(VLOOKUP((COUNT(M$6:M$115)/4),$ER$8:$ES$12,2,FALSE()),0),"")</f>
        <v/>
      </c>
      <c r="CW37" s="31">
        <v>33</v>
      </c>
      <c r="CX37" s="36">
        <f ca="1">IFERROR(AVERAGE(OFFSET('Data - For Rank'!D$2,T37,0,COUNTIF(T$7:T$115,T37)))+IFERROR(VLOOKUP((COUNT(R$6:R$115)/4),$ER$8:$ES$12,2,FALSE()),0),"")</f>
        <v>12</v>
      </c>
      <c r="CY37" s="31">
        <v>26</v>
      </c>
      <c r="CZ37" s="36">
        <f ca="1">IFERROR(AVERAGE(OFFSET('Data - For Rank'!E$2,Y37,0,COUNTIF(Y$7:Y$115,Y37)))+IFERROR(VLOOKUP((COUNT(W$6:W$115)/4),$ER$8:$ES$12,2,FALSE()),0),"")</f>
        <v>7</v>
      </c>
      <c r="DA37" s="31"/>
      <c r="DB37" s="36" t="str">
        <f ca="1">IFERROR(AVERAGE(OFFSET('Data - For Rank'!F$2,AD37,0,COUNTIF(AD$7:AD$115,AD37)))+IFERROR(VLOOKUP((COUNT(AB$6:AB$115)/4),$ER$8:$ES$12,2,FALSE()),0),"")</f>
        <v/>
      </c>
      <c r="DC37" s="31"/>
      <c r="DD37" s="36" t="str">
        <f ca="1">IFERROR(AVERAGE(OFFSET('Data - For Rank'!G$2,AI37,0,COUNTIF(AI$7:AI$115,AI37)))+IFERROR(VLOOKUP((COUNT(AG$6:AG$115)/4),$ER$8:$ES$12,2,FALSE()),0),"")</f>
        <v/>
      </c>
      <c r="DE37" s="31"/>
      <c r="DF37" s="36" t="str">
        <f ca="1">IFERROR(AVERAGE(OFFSET('Data - For Rank'!$H$2,AN37,0,COUNTIF(AN$7:AN$115,AN37)))+IFERROR(VLOOKUP((COUNT(AL$6:AL$115)/4),$ER$8:$ES$12,2,FALSE()),0),"")</f>
        <v/>
      </c>
      <c r="DG37" s="31"/>
      <c r="DH37" s="36" t="str">
        <f ca="1">IFERROR(AVERAGE(OFFSET('Data - For Rank'!$I$2,AS37,0,COUNTIF(AS$7:AS$115,AS37)))+IFERROR(VLOOKUP((COUNT(AQ$6:AQ$115)/4),$ER$8:$ES$12,2,FALSE()),0),"")</f>
        <v/>
      </c>
      <c r="DI37" s="31"/>
      <c r="DJ37" s="36" t="str">
        <f ca="1">IFERROR(AVERAGE(OFFSET('Data - For Rank'!$J$2,AX37,0,COUNTIF(AX$7:AX$115,AX37)))+IFERROR(VLOOKUP((COUNT(AV$6:AV$115)/4),$ER$8:$ES$12,2,FALSE()),0),"")</f>
        <v/>
      </c>
      <c r="DK37" s="31"/>
      <c r="DL37" s="36" t="str">
        <f ca="1">IFERROR(AVERAGE(OFFSET('Data - For Rank'!$K$2,BC37,0,COUNTIF(BC$7:BC$115,BC37)))+IFERROR(VLOOKUP((COUNT(BA$6:BA$115)/4),$ER$8:$ES$12,2,FALSE()),0),"")</f>
        <v/>
      </c>
      <c r="DM37" s="31"/>
      <c r="DN37" s="36" t="str">
        <f ca="1">IFERROR(AVERAGE(OFFSET('Data - For Rank'!$L$2,BH37,0,COUNTIF(BH$7:BH$115,BH37)))+IFERROR(VLOOKUP((COUNT(BF$6:BF$115)/4),$ER$8:$ES$12,2,FALSE()),0),"")</f>
        <v/>
      </c>
      <c r="DO37" s="31"/>
      <c r="DP37" s="36" t="str">
        <f ca="1">IFERROR(AVERAGE(OFFSET('Data - For Rank'!$M$2,BM37,0,COUNTIF(BM$7:BM$115,BM37)))+IFERROR(VLOOKUP((COUNT(BK$6:BK$115)/4),$ER$8:$ES$12,2,FALSE()),0),"")</f>
        <v/>
      </c>
      <c r="DQ37" s="31"/>
      <c r="DR37" s="36" t="str">
        <f ca="1">IFERROR(AVERAGE(OFFSET('Data - For Rank'!$N$2,BR37,0,COUNTIF(BR$7:BR$115,BR37)))+IFERROR(VLOOKUP((COUNT(BP$6:BP$115)/4),$ER$8:$ES$12,2,FALSE()),0),"")</f>
        <v/>
      </c>
      <c r="DS37" s="31"/>
      <c r="DT37" s="36" t="str">
        <f ca="1">IFERROR(AVERAGE(OFFSET('Data - For Rank'!$O$2,BW37,0,COUNTIF(BW$7:BW$115,BW37)))+IFERROR(VLOOKUP((COUNT(BU$6:BU$115)/4),$ER$8:$ES$12,2,FALSE()),0),"")</f>
        <v/>
      </c>
      <c r="DU37" s="31"/>
      <c r="DV37" s="36" t="str">
        <f ca="1">IFERROR(AVERAGE(OFFSET('Data - For Rank'!$P$2,CB37,0,COUNTIF(CB$7:CB$115,CB37)))+IFERROR(VLOOKUP((COUNT(BZ$6:BZ$115)/4),$ER$8:$ES$12,2,FALSE()),0),"")</f>
        <v/>
      </c>
      <c r="DW37" s="31"/>
      <c r="DX37" s="36" t="str">
        <f ca="1">IFERROR(AVERAGE(OFFSET('Data - For Rank'!$Q$2,CG37,0,COUNTIF(CG$7:CG$115,CG37)))+IFERROR(VLOOKUP((COUNT(CE$6:CE$115)/4),$ER$8:$ES$12,2,FALSE()),0),"")</f>
        <v/>
      </c>
      <c r="DY37" s="31"/>
      <c r="DZ37" s="36" t="str">
        <f ca="1">IFERROR(AVERAGE(OFFSET('Data - For Rank'!$R$2,CL37,0,COUNTIF(CL$7:CL$115,CL37)))+IFERROR(VLOOKUP((COUNT(CJ$6:CJ$115)/4),$ER$8:$ES$12,2,FALSE()),0),"")</f>
        <v/>
      </c>
      <c r="EA37" s="31"/>
      <c r="EB37" s="36" t="str">
        <f ca="1">IFERROR(AVERAGE(OFFSET('Data - For Rank'!$S$2,CQ37,0,COUNTIF(CQ$7:CQ$115,CQ37)))+IFERROR(VLOOKUP((COUNT(CO$6:CO$115)/4),$ER$8:$ES$12,2,FALSE()),0),"")</f>
        <v/>
      </c>
      <c r="EC37" s="37">
        <f>AVERAGE(CS37,CU37,CW37,CY37,DA37,DC37,DE37,DG37,DI37,DK37,DM37,DO37,DQ37,DS37,DU37,DW37,DY37,EA37)</f>
        <v>30.666666666666668</v>
      </c>
      <c r="ED37" s="33">
        <f t="shared" ca="1" si="1"/>
        <v>11.166666666666666</v>
      </c>
      <c r="ET37" s="87"/>
    </row>
    <row r="38" spans="2:151" s="15" customFormat="1" outlineLevel="1" x14ac:dyDescent="0.2">
      <c r="B38" s="38">
        <f ca="1">B36+0.0212</f>
        <v>11.0212</v>
      </c>
      <c r="D38" s="87" t="s">
        <v>112</v>
      </c>
      <c r="E38" s="49" t="s">
        <v>39</v>
      </c>
      <c r="F38" s="40">
        <f ca="1">IF(COUNT(CT36:EB36)&gt;10,SMALL(G36:CN36,COUNT(G36:CN36)-10),MIN(CT36:EB36))</f>
        <v>17</v>
      </c>
      <c r="G38" s="40"/>
      <c r="H38" s="40"/>
      <c r="I38" s="96">
        <f>IF(CS38=0,"",CS38)</f>
        <v>-15</v>
      </c>
      <c r="J38" s="96"/>
      <c r="K38" s="97">
        <f>IFERROR(_xlfn.RANK.EQ(I38,I$6:I$115,0),"")</f>
        <v>15</v>
      </c>
      <c r="L38" s="40"/>
      <c r="M38" s="40"/>
      <c r="N38" s="96" t="str">
        <f>IF(CU38=0,"",CU38)</f>
        <v/>
      </c>
      <c r="O38" s="96"/>
      <c r="P38" s="97" t="str">
        <f>IFERROR(_xlfn.RANK.EQ(N38,N$6:N$115,0),"")</f>
        <v/>
      </c>
      <c r="Q38" s="40"/>
      <c r="R38" s="40"/>
      <c r="S38" s="96">
        <f>IF(CW38=0,"",CW38)</f>
        <v>-12</v>
      </c>
      <c r="T38" s="96"/>
      <c r="U38" s="97">
        <f>IFERROR(_xlfn.RANK.EQ(S38,S$6:S$115,0),"")</f>
        <v>10</v>
      </c>
      <c r="V38" s="40"/>
      <c r="W38" s="40"/>
      <c r="X38" s="96">
        <f>IF(CY38=0,"",CY38)</f>
        <v>-13</v>
      </c>
      <c r="Y38" s="96"/>
      <c r="Z38" s="97">
        <f>IFERROR(_xlfn.RANK.EQ(X38,X$6:X$115,0),"")</f>
        <v>5</v>
      </c>
      <c r="AA38" s="40"/>
      <c r="AB38" s="40"/>
      <c r="AC38" s="96" t="str">
        <f>IF(DA38=0,"",DA38)</f>
        <v/>
      </c>
      <c r="AD38" s="96"/>
      <c r="AE38" s="97" t="str">
        <f>IFERROR(_xlfn.RANK.EQ(AC38,AC$6:AC$115,0),"")</f>
        <v/>
      </c>
      <c r="AF38" s="40"/>
      <c r="AG38" s="40"/>
      <c r="AH38" s="96" t="str">
        <f>IF(DC38=0,"",DC38)</f>
        <v/>
      </c>
      <c r="AI38" s="96"/>
      <c r="AJ38" s="97" t="str">
        <f>IFERROR(_xlfn.RANK.EQ(AH38,AH$6:AH$115,0),"")</f>
        <v/>
      </c>
      <c r="AK38" s="40"/>
      <c r="AL38" s="40"/>
      <c r="AM38" s="96" t="str">
        <f>IF(DE38=0,"",DE38)</f>
        <v/>
      </c>
      <c r="AN38" s="96"/>
      <c r="AO38" s="97" t="str">
        <f>IFERROR(_xlfn.RANK.EQ(AM38,AM$6:AM$115,0),"")</f>
        <v/>
      </c>
      <c r="AP38" s="40"/>
      <c r="AQ38" s="40"/>
      <c r="AR38" s="96" t="str">
        <f>IF(DG38=0,"",DG38)</f>
        <v/>
      </c>
      <c r="AS38" s="96"/>
      <c r="AT38" s="97" t="str">
        <f>IFERROR(_xlfn.RANK.EQ(AR38,AR$6:AR$115,0),"")</f>
        <v/>
      </c>
      <c r="AU38" s="40"/>
      <c r="AV38" s="40"/>
      <c r="AW38" s="96" t="str">
        <f>IF(DI38=0,"",DI38)</f>
        <v/>
      </c>
      <c r="AX38" s="96"/>
      <c r="AY38" s="97" t="str">
        <f>IFERROR(_xlfn.RANK.EQ(AW38,AW$6:AW$115,0),"")</f>
        <v/>
      </c>
      <c r="AZ38" s="40"/>
      <c r="BA38" s="40"/>
      <c r="BB38" s="96" t="str">
        <f>IF(DK38=0,"",DK38)</f>
        <v/>
      </c>
      <c r="BC38" s="96"/>
      <c r="BD38" s="97" t="str">
        <f>IFERROR(_xlfn.RANK.EQ(BB38,BB$6:BB$115,0),"")</f>
        <v/>
      </c>
      <c r="BE38" s="40"/>
      <c r="BF38" s="40"/>
      <c r="BG38" s="96" t="str">
        <f>IF(DM38=0,"",DM38)</f>
        <v/>
      </c>
      <c r="BH38" s="96"/>
      <c r="BI38" s="97" t="str">
        <f>IFERROR(_xlfn.RANK.EQ(BG38,BG$6:BG$115,0),"")</f>
        <v/>
      </c>
      <c r="BJ38" s="40"/>
      <c r="BK38" s="40"/>
      <c r="BL38" s="96" t="str">
        <f>IF(DO38=0,"",DO38)</f>
        <v/>
      </c>
      <c r="BM38" s="96"/>
      <c r="BN38" s="97" t="str">
        <f>IFERROR(_xlfn.RANK.EQ(BL38,BL$6:BL$115,0),"")</f>
        <v/>
      </c>
      <c r="BO38" s="40"/>
      <c r="BP38" s="40"/>
      <c r="BQ38" s="96" t="str">
        <f>IF(DQ38=0,"",DQ38)</f>
        <v/>
      </c>
      <c r="BR38" s="96"/>
      <c r="BS38" s="97" t="str">
        <f>IFERROR(_xlfn.RANK.EQ(BQ38,BQ$6:BQ$115,0),"")</f>
        <v/>
      </c>
      <c r="BT38" s="40"/>
      <c r="BU38" s="40"/>
      <c r="BV38" s="96" t="str">
        <f>IF(DS38=0,"",DS38)</f>
        <v/>
      </c>
      <c r="BW38" s="96"/>
      <c r="BX38" s="97" t="str">
        <f>IFERROR(_xlfn.RANK.EQ(BV38,BV$6:BV$115,0),"")</f>
        <v/>
      </c>
      <c r="BY38" s="40"/>
      <c r="BZ38" s="40"/>
      <c r="CA38" s="96" t="str">
        <f>IF(DU38=0,"",DU38)</f>
        <v/>
      </c>
      <c r="CB38" s="96"/>
      <c r="CC38" s="97" t="str">
        <f>IFERROR(_xlfn.RANK.EQ(CA38,CA$6:CA$115,0),"")</f>
        <v/>
      </c>
      <c r="CD38" s="40"/>
      <c r="CE38" s="40"/>
      <c r="CF38" s="96" t="str">
        <f>IF(DW38=0,"",DW38)</f>
        <v/>
      </c>
      <c r="CG38" s="96"/>
      <c r="CH38" s="97" t="str">
        <f>IFERROR(_xlfn.RANK.EQ(CF38,CF$6:CF$115,0),"")</f>
        <v/>
      </c>
      <c r="CI38" s="40"/>
      <c r="CJ38" s="40"/>
      <c r="CK38" s="96" t="str">
        <f>IF(DY38=0,"",DY38)</f>
        <v/>
      </c>
      <c r="CL38" s="96"/>
      <c r="CM38" s="97" t="str">
        <f>IFERROR(_xlfn.RANK.EQ(CK38,CK$6:CK$115,0),"")</f>
        <v/>
      </c>
      <c r="CN38" s="40"/>
      <c r="CO38" s="40"/>
      <c r="CP38" s="96" t="str">
        <f>IF(EA38=0,"",EA38)</f>
        <v/>
      </c>
      <c r="CQ38" s="96"/>
      <c r="CR38" s="97" t="str">
        <f>IFERROR(_xlfn.RANK.EQ(CP38,CP$6:CP$115,0),"")</f>
        <v/>
      </c>
      <c r="CS38" s="41">
        <v>-15</v>
      </c>
      <c r="CT38" s="42">
        <f ca="1">IFERROR(AVERAGE(OFFSET('Data - For Rank'!B$2,K38,0,COUNTIF(K$6:K$115,K38)))+IFERROR(VLOOKUP((COUNT($I$6:$I$115)/4),$ER$8:$ES$12,2,FALSE()),0),"")</f>
        <v>4</v>
      </c>
      <c r="CU38" s="41"/>
      <c r="CV38" s="42" t="str">
        <f ca="1">IFERROR(AVERAGE(OFFSET('Data - For Rank'!$C$2,P38,0,COUNTIF(P$6:P$115,P38)))+IFERROR(VLOOKUP((COUNT(N$6:N$115)/4),$ER$8:$ES$12,2,FALSE()),0),"")</f>
        <v/>
      </c>
      <c r="CW38" s="41">
        <v>-12</v>
      </c>
      <c r="CX38" s="42">
        <f ca="1">IFERROR(AVERAGE(OFFSET('Data - For Rank'!D$2,U38,0,COUNTIF(U$6:$U145,U38)))+IFERROR(VLOOKUP((COUNT(S$6:S$115)/4),$ER$8:$ES$12,2,FALSE()),0),"")</f>
        <v>7</v>
      </c>
      <c r="CY38" s="41">
        <v>-13</v>
      </c>
      <c r="CZ38" s="42">
        <f ca="1">IFERROR(AVERAGE(OFFSET('Data - For Rank'!E$2,Z38,0,COUNTIF(Z$6:Z$115,Z38)))+IFERROR(VLOOKUP((COUNT(W$6:W$115)/4),$ER$8:$ES$12,2,FALSE()),0),"")</f>
        <v>10</v>
      </c>
      <c r="DA38" s="41"/>
      <c r="DB38" s="42" t="str">
        <f ca="1">IFERROR(AVERAGE(OFFSET('Data - For Rank'!F$2,AE38,0,COUNTIF(AE$6:AE$115,AE38)))+IFERROR(VLOOKUP((COUNT(AC$6:AC$115)/4),$ER$8:$ES$12,2,FALSE()),0),"")</f>
        <v/>
      </c>
      <c r="DC38" s="41"/>
      <c r="DD38" s="42" t="str">
        <f ca="1">IFERROR(AVERAGE(OFFSET('Data - For Rank'!G$2,AJ38,0,COUNTIF(AJ$6:AJ$115,AJ38)))+IFERROR(VLOOKUP((COUNT(AH$6:AH$115)/4),$ER$8:$ES$12,2,FALSE()),0),"")</f>
        <v/>
      </c>
      <c r="DE38" s="41"/>
      <c r="DF38" s="42" t="str">
        <f ca="1">IFERROR(AVERAGE(OFFSET('Data - For Rank'!$H$2,AO38,0,COUNTIF(AO$6:AO$115,AO38)))+IFERROR(VLOOKUP((COUNT(AM$6:AM$115)/4),$ER$8:$ES$12,2,FALSE()),0),"")</f>
        <v/>
      </c>
      <c r="DG38" s="41"/>
      <c r="DH38" s="42" t="str">
        <f ca="1">IFERROR(AVERAGE(OFFSET('Data - For Rank'!$I$2,AT38,0,COUNTIF(AT$6:AT$115,AT38)))+IFERROR(VLOOKUP((COUNT(AR$6:AR$115)/4),$ER$8:$ES$12,2,FALSE()),0),"")</f>
        <v/>
      </c>
      <c r="DI38" s="41"/>
      <c r="DJ38" s="42" t="str">
        <f ca="1">IFERROR(AVERAGE(OFFSET('Data - For Rank'!$J$2,AY38,0,COUNTIF(AY$6:AY$115,AY38)))+IFERROR(VLOOKUP((COUNT(AW$6:AW$115)/4),$ER$8:$ES$12,2,FALSE()),0),"")</f>
        <v/>
      </c>
      <c r="DK38" s="41"/>
      <c r="DL38" s="42" t="str">
        <f ca="1">IFERROR(AVERAGE(OFFSET('Data - For Rank'!$K$2,BD38,0,COUNTIF(BD$6:BD$115,BD38)))+IFERROR(VLOOKUP((COUNT(BB$6:BB$115)/4),$ER$8:$ES$12,2,FALSE()),0),"")</f>
        <v/>
      </c>
      <c r="DM38" s="41"/>
      <c r="DN38" s="42" t="str">
        <f ca="1">IFERROR(AVERAGE(OFFSET('Data - For Rank'!$L$2,BI38,0,COUNTIF(BI$6:BI$115,BI38)))+IFERROR(VLOOKUP((COUNT(BG$6:BG$115)/4),$ER$8:$ES$12,2,FALSE()),0),"")</f>
        <v/>
      </c>
      <c r="DO38" s="41"/>
      <c r="DP38" s="42" t="str">
        <f ca="1">IFERROR(AVERAGE(OFFSET('Data - For Rank'!$M$2,BN38,0,COUNTIF(BN$6:BN$115,BN38)))+IFERROR(VLOOKUP((COUNT(BL$6:BL$115)/4),$ER$8:$ES$12,2,FALSE()),0),"")</f>
        <v/>
      </c>
      <c r="DQ38" s="41"/>
      <c r="DR38" s="42" t="str">
        <f ca="1">IFERROR(AVERAGE(OFFSET('Data - For Rank'!$N$2,BS38,0,COUNTIF(BS$6:BS$115,BS38)))+IFERROR(VLOOKUP((COUNT(BQ$6:BQ$115)/4),$ER$8:$ES$12,2,FALSE()),0),"")</f>
        <v/>
      </c>
      <c r="DS38" s="41"/>
      <c r="DT38" s="42" t="str">
        <f ca="1">IFERROR(AVERAGE(OFFSET('Data - For Rank'!$O$2,BX38,0,COUNTIF(BX$6:BX$115,BX38)))+IFERROR(VLOOKUP((COUNT(BV$6:BV$115)/4),$ER$8:$ES$12,2,FALSE()),0),"")</f>
        <v/>
      </c>
      <c r="DU38" s="41"/>
      <c r="DV38" s="42" t="str">
        <f ca="1">IFERROR(AVERAGE(OFFSET('Data - For Rank'!$P$2,CC38,0,COUNTIF(CC$6:CC$115,CC38)))+IFERROR(VLOOKUP((COUNT(CA$6:CA$115)/4),$ER$8:$ES$12,2,FALSE()),0),"")</f>
        <v/>
      </c>
      <c r="DW38" s="41"/>
      <c r="DX38" s="42" t="str">
        <f ca="1">IFERROR(AVERAGE(OFFSET('Data - For Rank'!$Q$2,CH38,0,COUNTIF(CH$6:CH$115,CH38)))+IFERROR(VLOOKUP((COUNT(CF$6:CF$115)/4),$ER$8:$ES$12,2,FALSE()),0),"")</f>
        <v/>
      </c>
      <c r="DY38" s="41"/>
      <c r="DZ38" s="42" t="str">
        <f ca="1">IFERROR(AVERAGE(OFFSET('Data - For Rank'!$R$2,CM38,0,COUNTIF(CM$6:CM$115,CM38)))+IFERROR(VLOOKUP((COUNT(CK$6:CK$115)/4),$ER$8:$ES$12,2,FALSE()),0),"")</f>
        <v/>
      </c>
      <c r="EA38" s="41"/>
      <c r="EB38" s="42" t="str">
        <f ca="1">IFERROR(AVERAGE(OFFSET('Data - For Rank'!$S$2,CR38,0,COUNTIF(CR$6:CR$115,CR38)))+IFERROR(VLOOKUP((COUNT(CP$6:CP$115)/4),$ER$8:$ES$12,2,FALSE()),0),"")</f>
        <v/>
      </c>
      <c r="EC38" s="43">
        <f>CS38+CU38+CW38+CY38+DA38+DC38+DE38+DG38+DI38+DK38+DM38+DO38+DQ38+DS38+DU38+DW38+DY38+EA38</f>
        <v>-40</v>
      </c>
      <c r="ED38" s="44">
        <f t="shared" ca="1" si="1"/>
        <v>7</v>
      </c>
      <c r="ET38" s="87"/>
    </row>
    <row r="39" spans="2:151" x14ac:dyDescent="0.2">
      <c r="B39" s="21">
        <f ca="1">_xlfn.RANK.EQ(C39,$C$6:$C$63,)</f>
        <v>12</v>
      </c>
      <c r="C39" s="56">
        <f ca="1">EC39</f>
        <v>50</v>
      </c>
      <c r="D39" s="56" t="s">
        <v>113</v>
      </c>
      <c r="E39" s="29" t="s">
        <v>50</v>
      </c>
      <c r="F39" s="30">
        <f ca="1">COUNT(CT39,CV39,CX39,CZ39,DB39,DD39,DF39,DH39,DJ39,DL39,DN39,DP39,DR39,DT39,DV39,DX39,DZ39,EB39)</f>
        <v>3</v>
      </c>
      <c r="G39" s="93">
        <f ca="1">IF(CT39=0,"",CT39)</f>
        <v>10.5</v>
      </c>
      <c r="H39" s="93"/>
      <c r="I39" s="93"/>
      <c r="K39" s="93"/>
      <c r="L39" s="93" t="str">
        <f ca="1">IF(CV39=0,"",CV39)</f>
        <v/>
      </c>
      <c r="M39" s="93"/>
      <c r="N39" s="93"/>
      <c r="P39" s="93"/>
      <c r="Q39" s="93">
        <f ca="1">IF(CX39=0,"",CX39)</f>
        <v>14.5</v>
      </c>
      <c r="R39" s="93"/>
      <c r="S39" s="93"/>
      <c r="U39" s="93"/>
      <c r="V39" s="93" t="str">
        <f ca="1">IF(CZ39=0,"",CZ39)</f>
        <v/>
      </c>
      <c r="W39" s="93"/>
      <c r="X39" s="93"/>
      <c r="Z39" s="93"/>
      <c r="AA39" s="93">
        <f ca="1">IF(DB39=0,"",DB39)</f>
        <v>25</v>
      </c>
      <c r="AB39" s="93"/>
      <c r="AC39" s="93"/>
      <c r="AE39" s="93"/>
      <c r="AF39" s="93" t="str">
        <f ca="1">IF(DD39=0,"",DD39)</f>
        <v/>
      </c>
      <c r="AG39" s="93"/>
      <c r="AH39" s="93"/>
      <c r="AJ39" s="93"/>
      <c r="AK39" s="93" t="str">
        <f ca="1">IF(DF39=0,"",DF39)</f>
        <v/>
      </c>
      <c r="AL39" s="93"/>
      <c r="AM39" s="93"/>
      <c r="AO39" s="93"/>
      <c r="AP39" s="93" t="str">
        <f ca="1">IF(DH39=0,"",DH39)</f>
        <v/>
      </c>
      <c r="AQ39" s="93"/>
      <c r="AR39" s="93"/>
      <c r="AT39" s="93"/>
      <c r="AU39" s="93" t="str">
        <f ca="1">IF(DJ39=0,"",DJ39)</f>
        <v/>
      </c>
      <c r="AV39" s="93"/>
      <c r="AW39" s="93"/>
      <c r="AY39" s="93"/>
      <c r="AZ39" s="93" t="str">
        <f ca="1">IF(DL39=0,"",DL39)</f>
        <v/>
      </c>
      <c r="BA39" s="93"/>
      <c r="BB39" s="93"/>
      <c r="BD39" s="93"/>
      <c r="BE39" s="93" t="str">
        <f ca="1">IF(DN39=0,"",DN39)</f>
        <v/>
      </c>
      <c r="BF39" s="93"/>
      <c r="BG39" s="93"/>
      <c r="BI39" s="93"/>
      <c r="BJ39" s="93" t="str">
        <f ca="1">IF(DP39=0,"",DP39)</f>
        <v/>
      </c>
      <c r="BK39" s="93"/>
      <c r="BL39" s="93"/>
      <c r="BN39" s="93"/>
      <c r="BO39" s="93" t="str">
        <f ca="1">IF(DR39=0,"",DR39)</f>
        <v/>
      </c>
      <c r="BP39" s="93"/>
      <c r="BQ39" s="93"/>
      <c r="BS39" s="93"/>
      <c r="BT39" s="93" t="str">
        <f ca="1">IF(DT39=0,"",DT39)</f>
        <v/>
      </c>
      <c r="BU39" s="93"/>
      <c r="BV39" s="93"/>
      <c r="BX39" s="93"/>
      <c r="BY39" s="93" t="str">
        <f ca="1">IF(DV39=0,"",DV39)</f>
        <v/>
      </c>
      <c r="BZ39" s="93"/>
      <c r="CA39" s="93"/>
      <c r="CC39" s="93"/>
      <c r="CD39" s="93" t="str">
        <f ca="1">IF(DX39=0,"",DX39)</f>
        <v/>
      </c>
      <c r="CE39" s="93"/>
      <c r="CF39" s="93"/>
      <c r="CH39" s="93"/>
      <c r="CI39" s="93" t="str">
        <f ca="1">IF(DZ39=0,"",DZ39)</f>
        <v/>
      </c>
      <c r="CJ39" s="93"/>
      <c r="CK39" s="93"/>
      <c r="CM39" s="93"/>
      <c r="CN39" s="93" t="str">
        <f ca="1">IF(EB39=0,"",EB39)</f>
        <v/>
      </c>
      <c r="CO39" s="93"/>
      <c r="CP39" s="93"/>
      <c r="CR39" s="93"/>
      <c r="CS39" s="31">
        <v>93</v>
      </c>
      <c r="CT39" s="32">
        <f ca="1">IFERROR(CT40+CT41,"")</f>
        <v>10.5</v>
      </c>
      <c r="CU39" s="31"/>
      <c r="CV39" s="32" t="str">
        <f ca="1">IFERROR(CV40+CV41,"")</f>
        <v/>
      </c>
      <c r="CW39" s="31">
        <v>101</v>
      </c>
      <c r="CX39" s="32">
        <f ca="1">IFERROR(CX40+CX41,"")</f>
        <v>14.5</v>
      </c>
      <c r="CY39" s="31"/>
      <c r="CZ39" s="32" t="str">
        <f ca="1">IFERROR(CZ40+CZ41,"")</f>
        <v/>
      </c>
      <c r="DA39" s="31">
        <v>92</v>
      </c>
      <c r="DB39" s="32">
        <f ca="1">IFERROR(DB40+DB41,"")</f>
        <v>25</v>
      </c>
      <c r="DC39" s="31"/>
      <c r="DD39" s="32" t="str">
        <f ca="1">IFERROR(DD40+DD41,"")</f>
        <v/>
      </c>
      <c r="DE39" s="31"/>
      <c r="DF39" s="32" t="str">
        <f ca="1">IFERROR(DF40+DF41,"")</f>
        <v/>
      </c>
      <c r="DG39" s="31"/>
      <c r="DH39" s="32" t="str">
        <f ca="1">IFERROR(DH40+DH41,"")</f>
        <v/>
      </c>
      <c r="DI39" s="31"/>
      <c r="DJ39" s="32" t="str">
        <f ca="1">IFERROR(DJ40+DJ41,"")</f>
        <v/>
      </c>
      <c r="DK39" s="31"/>
      <c r="DL39" s="32" t="str">
        <f ca="1">IFERROR(DL40+DL41,"")</f>
        <v/>
      </c>
      <c r="DM39" s="31"/>
      <c r="DN39" s="32" t="str">
        <f ca="1">IFERROR(DN40+DN41,"")</f>
        <v/>
      </c>
      <c r="DO39" s="31"/>
      <c r="DP39" s="32" t="str">
        <f ca="1">IFERROR(DP40+DP41,"")</f>
        <v/>
      </c>
      <c r="DQ39" s="31"/>
      <c r="DR39" s="32" t="str">
        <f ca="1">IFERROR(DR40+DR41,"")</f>
        <v/>
      </c>
      <c r="DS39" s="31"/>
      <c r="DT39" s="32" t="str">
        <f ca="1">IFERROR(DT40+DT41,"")</f>
        <v/>
      </c>
      <c r="DU39" s="31"/>
      <c r="DV39" s="32" t="str">
        <f ca="1">IFERROR(DV40+DV41,"")</f>
        <v/>
      </c>
      <c r="DW39" s="31"/>
      <c r="DX39" s="32" t="str">
        <f ca="1">IFERROR(DX40+DX41,"")</f>
        <v/>
      </c>
      <c r="DY39" s="31"/>
      <c r="DZ39" s="32" t="str">
        <f ca="1">IFERROR(DZ40+DZ41,"")</f>
        <v/>
      </c>
      <c r="EA39" s="31"/>
      <c r="EB39" s="32" t="str">
        <f ca="1">IFERROR(EB40+EB41,"")</f>
        <v/>
      </c>
      <c r="EC39" s="26">
        <f ca="1">IFERROR(LARGE($G39:$CN39,1),0)+IFERROR(LARGE($G39:$CN39,2),0)+IFERROR(LARGE($G39:$CN39,3),0)+IFERROR(LARGE($G39:$CN39,4),0)+IFERROR(LARGE($G39:$CN39,5),0)+IFERROR(LARGE($G39:$CN39,6),0)+IFERROR(LARGE($G39:$CN39,7),0)+IFERROR(LARGE($G39:$CN39,8),0)+IFERROR(LARGE($G39:$CN39,9),0)+IFERROR(LARGE($G39:$CN39,10),0)</f>
        <v>50</v>
      </c>
      <c r="ED39" s="33">
        <f t="shared" ca="1" si="1"/>
        <v>16.666666666666668</v>
      </c>
      <c r="ET39" s="87"/>
    </row>
    <row r="40" spans="2:151" s="15" customFormat="1" outlineLevel="1" x14ac:dyDescent="0.2">
      <c r="B40" s="34">
        <f ca="1">B39+0.113</f>
        <v>12.113</v>
      </c>
      <c r="D40" s="87" t="s">
        <v>114</v>
      </c>
      <c r="E40" s="35" t="s">
        <v>38</v>
      </c>
      <c r="F40" s="35"/>
      <c r="G40" s="35"/>
      <c r="H40" s="35">
        <f>IF(CS40=0,"",CS40)</f>
        <v>30</v>
      </c>
      <c r="I40" s="35"/>
      <c r="J40" s="93">
        <f>IFERROR(RANK(H40,H$6:H$115,0),"")</f>
        <v>11</v>
      </c>
      <c r="K40" s="35"/>
      <c r="L40" s="35"/>
      <c r="M40" s="35" t="str">
        <f>IF(CU40=0,"",CU40)</f>
        <v/>
      </c>
      <c r="N40" s="35"/>
      <c r="O40" s="93" t="str">
        <f>IFERROR(RANK(M40,M$6:M$115,0),"")</f>
        <v/>
      </c>
      <c r="P40" s="35"/>
      <c r="Q40" s="35"/>
      <c r="R40" s="35">
        <f>IF(CW40=0,"",CW40)</f>
        <v>24</v>
      </c>
      <c r="S40" s="35"/>
      <c r="T40" s="93">
        <f>IFERROR(RANK(R40,R$6:R$115,0),"")</f>
        <v>11</v>
      </c>
      <c r="U40" s="35"/>
      <c r="V40" s="35"/>
      <c r="W40" s="35" t="str">
        <f>IF(CY40=0,"",CY40)</f>
        <v/>
      </c>
      <c r="X40" s="35"/>
      <c r="Y40" s="93" t="str">
        <f>IFERROR(RANK(W40,W$6:W$115,0),"")</f>
        <v/>
      </c>
      <c r="Z40" s="35"/>
      <c r="AA40" s="35"/>
      <c r="AB40" s="35">
        <f>IF(DA40=0,"",DA40)</f>
        <v>31</v>
      </c>
      <c r="AC40" s="35"/>
      <c r="AD40" s="93">
        <f>IFERROR(RANK(AB40,AB$6:AB$115,0),"")</f>
        <v>7</v>
      </c>
      <c r="AE40" s="35"/>
      <c r="AF40" s="35"/>
      <c r="AG40" s="35" t="str">
        <f>IF(DC40=0,"",DC40)</f>
        <v/>
      </c>
      <c r="AH40" s="35"/>
      <c r="AI40" s="93" t="str">
        <f>IFERROR(RANK(AG40,AG$6:AG$115,0),"")</f>
        <v/>
      </c>
      <c r="AJ40" s="35"/>
      <c r="AK40" s="35"/>
      <c r="AL40" s="35" t="str">
        <f>IF(DE40=0,"",DE40)</f>
        <v/>
      </c>
      <c r="AM40" s="35"/>
      <c r="AN40" s="93" t="str">
        <f>IFERROR(RANK(AL40,AL$6:AL$115,0),"")</f>
        <v/>
      </c>
      <c r="AO40" s="35"/>
      <c r="AP40" s="35"/>
      <c r="AQ40" s="35" t="str">
        <f>IF(DG40=0,"",DG40)</f>
        <v/>
      </c>
      <c r="AR40" s="35"/>
      <c r="AS40" s="93" t="str">
        <f>IFERROR(RANK(AQ40,AQ$6:AQ$115,0),"")</f>
        <v/>
      </c>
      <c r="AT40" s="35"/>
      <c r="AU40" s="35"/>
      <c r="AV40" s="35" t="str">
        <f>IF(DI40=0,"",DI40)</f>
        <v/>
      </c>
      <c r="AW40" s="35"/>
      <c r="AX40" s="93" t="str">
        <f>IFERROR(RANK(AV40,AV$6:AV$115,0),"")</f>
        <v/>
      </c>
      <c r="AY40" s="35"/>
      <c r="AZ40" s="35"/>
      <c r="BA40" s="35" t="str">
        <f>IF(DK40=0,"",DK40)</f>
        <v/>
      </c>
      <c r="BB40" s="35"/>
      <c r="BC40" s="93" t="str">
        <f>IFERROR(RANK(BA40,BA$6:BA$115,0),"")</f>
        <v/>
      </c>
      <c r="BD40" s="35"/>
      <c r="BE40" s="35"/>
      <c r="BF40" s="35" t="str">
        <f>IF(DM40=0,"",DM40)</f>
        <v/>
      </c>
      <c r="BG40" s="35"/>
      <c r="BH40" s="93" t="str">
        <f>IFERROR(RANK(BF40,BF$6:BF$115,0),"")</f>
        <v/>
      </c>
      <c r="BI40" s="35"/>
      <c r="BJ40" s="35"/>
      <c r="BK40" s="35" t="str">
        <f>IF(DO40=0,"",DO40)</f>
        <v/>
      </c>
      <c r="BL40" s="35"/>
      <c r="BM40" s="93" t="str">
        <f>IFERROR(RANK(BK40,BK$6:BK$115,0),"")</f>
        <v/>
      </c>
      <c r="BN40" s="35"/>
      <c r="BO40" s="35"/>
      <c r="BP40" s="35" t="str">
        <f>IF(DQ40=0,"",DQ40)</f>
        <v/>
      </c>
      <c r="BQ40" s="35"/>
      <c r="BR40" s="93" t="str">
        <f>IFERROR(RANK(BP40,BP$6:BP$115,0),"")</f>
        <v/>
      </c>
      <c r="BS40" s="35"/>
      <c r="BT40" s="35"/>
      <c r="BU40" s="35" t="str">
        <f>IF(DS40=0,"",DS40)</f>
        <v/>
      </c>
      <c r="BV40" s="35"/>
      <c r="BW40" s="93" t="str">
        <f>IFERROR(RANK(BU40,BU$6:BU$115,0),"")</f>
        <v/>
      </c>
      <c r="BX40" s="35"/>
      <c r="BY40" s="35"/>
      <c r="BZ40" s="35" t="str">
        <f>IF(DU40=0,"",DU40)</f>
        <v/>
      </c>
      <c r="CA40" s="35"/>
      <c r="CB40" s="93" t="str">
        <f>IFERROR(RANK(BZ40,BZ$6:BZ$115,0),"")</f>
        <v/>
      </c>
      <c r="CC40" s="35"/>
      <c r="CD40" s="35"/>
      <c r="CE40" s="35" t="str">
        <f>IF(DW40=0,"",DW40)</f>
        <v/>
      </c>
      <c r="CF40" s="35"/>
      <c r="CG40" s="93" t="str">
        <f>IFERROR(RANK(CE40,CE$6:CE$115,0),"")</f>
        <v/>
      </c>
      <c r="CH40" s="35"/>
      <c r="CI40" s="35"/>
      <c r="CJ40" s="35" t="str">
        <f>IF(DY40=0,"",DY40)</f>
        <v/>
      </c>
      <c r="CK40" s="35"/>
      <c r="CL40" s="93" t="str">
        <f>IFERROR(RANK(CJ40,CJ$6:CJ$115,0),"")</f>
        <v/>
      </c>
      <c r="CM40" s="35"/>
      <c r="CN40" s="35"/>
      <c r="CO40" s="35" t="str">
        <f>IF(EA40=0,"",EA40)</f>
        <v/>
      </c>
      <c r="CP40" s="35"/>
      <c r="CQ40" s="93" t="str">
        <f>IFERROR(RANK(CO40,CO$6:CO$115,0),"")</f>
        <v/>
      </c>
      <c r="CR40" s="35"/>
      <c r="CS40" s="31">
        <v>30</v>
      </c>
      <c r="CT40" s="36">
        <f ca="1">IFERROR(AVERAGE(OFFSET('Data - For Rank'!B$2,J40,0,COUNTIF($J$7:J$115,J40)))+IFERROR(VLOOKUP((COUNT($H$6:$H$115)/4),$ER$8:$ES$12,2,FALSE()),0),"")</f>
        <v>7.5</v>
      </c>
      <c r="CU40" s="31"/>
      <c r="CV40" s="36" t="str">
        <f ca="1">IFERROR(AVERAGE(OFFSET('Data - For Rank'!$C$2,O40,0,COUNTIF(O$7:O$115,O40)))+IFERROR(VLOOKUP((COUNT(M$6:M$115)/4),$ER$8:$ES$12,2,FALSE()),0),"")</f>
        <v/>
      </c>
      <c r="CW40" s="31">
        <v>24</v>
      </c>
      <c r="CX40" s="36">
        <f ca="1">IFERROR(AVERAGE(OFFSET('Data - For Rank'!D$2,T40,0,COUNTIF(T$7:T$115,T40)))+IFERROR(VLOOKUP((COUNT(R$6:R$115)/4),$ER$8:$ES$12,2,FALSE()),0),"")</f>
        <v>6</v>
      </c>
      <c r="CY40" s="31"/>
      <c r="CZ40" s="36" t="str">
        <f ca="1">IFERROR(AVERAGE(OFFSET('Data - For Rank'!E$2,Y40,0,COUNTIF(Y$7:Y$115,Y40)))+IFERROR(VLOOKUP((COUNT(W$6:W$115)/4),$ER$8:$ES$12,2,FALSE()),0),"")</f>
        <v/>
      </c>
      <c r="DA40" s="31">
        <v>31</v>
      </c>
      <c r="DB40" s="36">
        <f ca="1">IFERROR(AVERAGE(OFFSET('Data - For Rank'!F$2,AD40,0,COUNTIF(AD$7:AD$115,AD40)))+IFERROR(VLOOKUP((COUNT(AB$6:AB$115)/4),$ER$8:$ES$12,2,FALSE()),0),"")</f>
        <v>11</v>
      </c>
      <c r="DC40" s="31"/>
      <c r="DD40" s="36" t="str">
        <f ca="1">IFERROR(AVERAGE(OFFSET('Data - For Rank'!G$2,AI40,0,COUNTIF(AI$7:AI$115,AI40)))+IFERROR(VLOOKUP((COUNT(AG$6:AG$115)/4),$ER$8:$ES$12,2,FALSE()),0),"")</f>
        <v/>
      </c>
      <c r="DE40" s="31"/>
      <c r="DF40" s="36" t="str">
        <f ca="1">IFERROR(AVERAGE(OFFSET('Data - For Rank'!$H$2,AN40,0,COUNTIF(AN$7:AN$115,AN40)))+IFERROR(VLOOKUP((COUNT(AL$6:AL$115)/4),$ER$8:$ES$12,2,FALSE()),0),"")</f>
        <v/>
      </c>
      <c r="DG40" s="31"/>
      <c r="DH40" s="36" t="str">
        <f ca="1">IFERROR(AVERAGE(OFFSET('Data - For Rank'!$I$2,AS40,0,COUNTIF(AS$7:AS$115,AS40)))+IFERROR(VLOOKUP((COUNT(AQ$6:AQ$115)/4),$ER$8:$ES$12,2,FALSE()),0),"")</f>
        <v/>
      </c>
      <c r="DI40" s="31"/>
      <c r="DJ40" s="36" t="str">
        <f ca="1">IFERROR(AVERAGE(OFFSET('Data - For Rank'!$J$2,AX40,0,COUNTIF(AX$7:AX$115,AX40)))+IFERROR(VLOOKUP((COUNT(AV$6:AV$115)/4),$ER$8:$ES$12,2,FALSE()),0),"")</f>
        <v/>
      </c>
      <c r="DK40" s="31"/>
      <c r="DL40" s="36" t="str">
        <f ca="1">IFERROR(AVERAGE(OFFSET('Data - For Rank'!$K$2,BC40,0,COUNTIF(BC$7:BC$115,BC40)))+IFERROR(VLOOKUP((COUNT(BA$6:BA$115)/4),$ER$8:$ES$12,2,FALSE()),0),"")</f>
        <v/>
      </c>
      <c r="DM40" s="31"/>
      <c r="DN40" s="36" t="str">
        <f ca="1">IFERROR(AVERAGE(OFFSET('Data - For Rank'!$L$2,BH40,0,COUNTIF(BH$7:BH$115,BH40)))+IFERROR(VLOOKUP((COUNT(BF$6:BF$115)/4),$ER$8:$ES$12,2,FALSE()),0),"")</f>
        <v/>
      </c>
      <c r="DO40" s="31"/>
      <c r="DP40" s="36" t="str">
        <f ca="1">IFERROR(AVERAGE(OFFSET('Data - For Rank'!$M$2,BM40,0,COUNTIF(BM$7:BM$115,BM40)))+IFERROR(VLOOKUP((COUNT(BK$6:BK$115)/4),$ER$8:$ES$12,2,FALSE()),0),"")</f>
        <v/>
      </c>
      <c r="DQ40" s="31"/>
      <c r="DR40" s="36" t="str">
        <f ca="1">IFERROR(AVERAGE(OFFSET('Data - For Rank'!$N$2,BR40,0,COUNTIF(BR$7:BR$115,BR40)))+IFERROR(VLOOKUP((COUNT(BP$6:BP$115)/4),$ER$8:$ES$12,2,FALSE()),0),"")</f>
        <v/>
      </c>
      <c r="DS40" s="31"/>
      <c r="DT40" s="36" t="str">
        <f ca="1">IFERROR(AVERAGE(OFFSET('Data - For Rank'!$O$2,BW40,0,COUNTIF(BW$7:BW$115,BW40)))+IFERROR(VLOOKUP((COUNT(BU$6:BU$115)/4),$ER$8:$ES$12,2,FALSE()),0),"")</f>
        <v/>
      </c>
      <c r="DU40" s="31"/>
      <c r="DV40" s="36" t="str">
        <f ca="1">IFERROR(AVERAGE(OFFSET('Data - For Rank'!$P$2,CB40,0,COUNTIF(CB$7:CB$115,CB40)))+IFERROR(VLOOKUP((COUNT(BZ$6:BZ$115)/4),$ER$8:$ES$12,2,FALSE()),0),"")</f>
        <v/>
      </c>
      <c r="DW40" s="31"/>
      <c r="DX40" s="36" t="str">
        <f ca="1">IFERROR(AVERAGE(OFFSET('Data - For Rank'!$Q$2,CG40,0,COUNTIF(CG$7:CG$115,CG40)))+IFERROR(VLOOKUP((COUNT(CE$6:CE$115)/4),$ER$8:$ES$12,2,FALSE()),0),"")</f>
        <v/>
      </c>
      <c r="DY40" s="31"/>
      <c r="DZ40" s="36" t="str">
        <f ca="1">IFERROR(AVERAGE(OFFSET('Data - For Rank'!$R$2,CL40,0,COUNTIF(CL$7:CL$115,CL40)))+IFERROR(VLOOKUP((COUNT(CJ$6:CJ$115)/4),$ER$8:$ES$12,2,FALSE()),0),"")</f>
        <v/>
      </c>
      <c r="EA40" s="31"/>
      <c r="EB40" s="36" t="str">
        <f ca="1">IFERROR(AVERAGE(OFFSET('Data - For Rank'!$S$2,CQ40,0,COUNTIF(CQ$7:CQ$115,CQ40)))+IFERROR(VLOOKUP((COUNT(CO$6:CO$115)/4),$ER$8:$ES$12,2,FALSE()),0),"")</f>
        <v/>
      </c>
      <c r="EC40" s="37">
        <f>AVERAGE(CS40,CU40,CW40,CY40,DA40,DC40,DE40,DG40,DI40,DK40,DM40,DO40,DQ40,DS40,DU40,DW40,DY40,EA40)</f>
        <v>28.333333333333332</v>
      </c>
      <c r="ED40" s="33">
        <f t="shared" ca="1" si="1"/>
        <v>8.1666666666666661</v>
      </c>
      <c r="ET40" s="87"/>
    </row>
    <row r="41" spans="2:151" s="15" customFormat="1" outlineLevel="1" x14ac:dyDescent="0.2">
      <c r="B41" s="38">
        <f ca="1">B39+0.0213</f>
        <v>12.0213</v>
      </c>
      <c r="D41" s="87" t="s">
        <v>115</v>
      </c>
      <c r="E41" s="39" t="s">
        <v>39</v>
      </c>
      <c r="F41" s="40">
        <f ca="1">IF(COUNT(CT39:EB39)&gt;10,SMALL(G39:CN39,COUNT(G39:CN39)-10),MIN(CT39:EB39))</f>
        <v>10.5</v>
      </c>
      <c r="G41" s="40"/>
      <c r="H41" s="40"/>
      <c r="I41" s="96">
        <f>IF(CS41=0,"",CS41)</f>
        <v>-27</v>
      </c>
      <c r="J41" s="96"/>
      <c r="K41" s="97">
        <f>IFERROR(_xlfn.RANK.EQ(I41,I$6:I$115,0),"")</f>
        <v>16</v>
      </c>
      <c r="L41" s="40"/>
      <c r="M41" s="40"/>
      <c r="N41" s="96" t="str">
        <f>IF(CU41=0,"",CU41)</f>
        <v/>
      </c>
      <c r="O41" s="96"/>
      <c r="P41" s="97" t="str">
        <f>IFERROR(_xlfn.RANK.EQ(N41,N$6:N$115,0),"")</f>
        <v/>
      </c>
      <c r="Q41" s="40"/>
      <c r="R41" s="40"/>
      <c r="S41" s="96">
        <f>IF(CW41=0,"",CW41)</f>
        <v>-9</v>
      </c>
      <c r="T41" s="96"/>
      <c r="U41" s="97">
        <f>IFERROR(_xlfn.RANK.EQ(S41,S$6:S$115,0),"")</f>
        <v>8</v>
      </c>
      <c r="V41" s="40"/>
      <c r="W41" s="40"/>
      <c r="X41" s="96" t="str">
        <f>IF(CY41=0,"",CY41)</f>
        <v/>
      </c>
      <c r="Y41" s="96"/>
      <c r="Z41" s="97" t="str">
        <f>IFERROR(_xlfn.RANK.EQ(X41,X$6:X$115,0),"")</f>
        <v/>
      </c>
      <c r="AA41" s="40"/>
      <c r="AB41" s="40"/>
      <c r="AC41" s="96">
        <f>IF(DA41=0,"",DA41)</f>
        <v>18</v>
      </c>
      <c r="AD41" s="96"/>
      <c r="AE41" s="97">
        <f>IFERROR(_xlfn.RANK.EQ(AC41,AC$6:AC$115,0),"")</f>
        <v>5</v>
      </c>
      <c r="AF41" s="40"/>
      <c r="AG41" s="40"/>
      <c r="AH41" s="96" t="str">
        <f>IF(DC41=0,"",DC41)</f>
        <v/>
      </c>
      <c r="AI41" s="96"/>
      <c r="AJ41" s="97" t="str">
        <f>IFERROR(_xlfn.RANK.EQ(AH41,AH$6:AH$115,0),"")</f>
        <v/>
      </c>
      <c r="AK41" s="40"/>
      <c r="AL41" s="40"/>
      <c r="AM41" s="96" t="str">
        <f>IF(DE41=0,"",DE41)</f>
        <v/>
      </c>
      <c r="AN41" s="96"/>
      <c r="AO41" s="97" t="str">
        <f>IFERROR(_xlfn.RANK.EQ(AM41,AM$6:AM$115,0),"")</f>
        <v/>
      </c>
      <c r="AP41" s="40"/>
      <c r="AQ41" s="40"/>
      <c r="AR41" s="96" t="str">
        <f>IF(DG41=0,"",DG41)</f>
        <v/>
      </c>
      <c r="AS41" s="96"/>
      <c r="AT41" s="97" t="str">
        <f>IFERROR(_xlfn.RANK.EQ(AR41,AR$6:AR$115,0),"")</f>
        <v/>
      </c>
      <c r="AU41" s="40"/>
      <c r="AV41" s="40"/>
      <c r="AW41" s="96" t="str">
        <f>IF(DI41=0,"",DI41)</f>
        <v/>
      </c>
      <c r="AX41" s="96"/>
      <c r="AY41" s="97" t="str">
        <f>IFERROR(_xlfn.RANK.EQ(AW41,AW$6:AW$115,0),"")</f>
        <v/>
      </c>
      <c r="AZ41" s="40"/>
      <c r="BA41" s="40"/>
      <c r="BB41" s="96" t="str">
        <f>IF(DK41=0,"",DK41)</f>
        <v/>
      </c>
      <c r="BC41" s="96"/>
      <c r="BD41" s="97" t="str">
        <f>IFERROR(_xlfn.RANK.EQ(BB41,BB$6:BB$115,0),"")</f>
        <v/>
      </c>
      <c r="BE41" s="40"/>
      <c r="BF41" s="40"/>
      <c r="BG41" s="96" t="str">
        <f>IF(DM41=0,"",DM41)</f>
        <v/>
      </c>
      <c r="BH41" s="96"/>
      <c r="BI41" s="97" t="str">
        <f>IFERROR(_xlfn.RANK.EQ(BG41,BG$6:BG$115,0),"")</f>
        <v/>
      </c>
      <c r="BJ41" s="40"/>
      <c r="BK41" s="40"/>
      <c r="BL41" s="96" t="str">
        <f>IF(DO41=0,"",DO41)</f>
        <v/>
      </c>
      <c r="BM41" s="96"/>
      <c r="BN41" s="97" t="str">
        <f>IFERROR(_xlfn.RANK.EQ(BL41,BL$6:BL$115,0),"")</f>
        <v/>
      </c>
      <c r="BO41" s="40"/>
      <c r="BP41" s="40"/>
      <c r="BQ41" s="96" t="str">
        <f>IF(DQ41=0,"",DQ41)</f>
        <v/>
      </c>
      <c r="BR41" s="96"/>
      <c r="BS41" s="97" t="str">
        <f>IFERROR(_xlfn.RANK.EQ(BQ41,BQ$6:BQ$115,0),"")</f>
        <v/>
      </c>
      <c r="BT41" s="40"/>
      <c r="BU41" s="40"/>
      <c r="BV41" s="96" t="str">
        <f>IF(DS41=0,"",DS41)</f>
        <v/>
      </c>
      <c r="BW41" s="96"/>
      <c r="BX41" s="97" t="str">
        <f>IFERROR(_xlfn.RANK.EQ(BV41,BV$6:BV$115,0),"")</f>
        <v/>
      </c>
      <c r="BY41" s="40"/>
      <c r="BZ41" s="40"/>
      <c r="CA41" s="96" t="str">
        <f>IF(DU41=0,"",DU41)</f>
        <v/>
      </c>
      <c r="CB41" s="96"/>
      <c r="CC41" s="97" t="str">
        <f>IFERROR(_xlfn.RANK.EQ(CA41,CA$6:CA$115,0),"")</f>
        <v/>
      </c>
      <c r="CD41" s="40"/>
      <c r="CE41" s="40"/>
      <c r="CF41" s="96" t="str">
        <f>IF(DW41=0,"",DW41)</f>
        <v/>
      </c>
      <c r="CG41" s="96"/>
      <c r="CH41" s="97" t="str">
        <f>IFERROR(_xlfn.RANK.EQ(CF41,CF$6:CF$115,0),"")</f>
        <v/>
      </c>
      <c r="CI41" s="40"/>
      <c r="CJ41" s="40"/>
      <c r="CK41" s="96" t="str">
        <f>IF(DY41=0,"",DY41)</f>
        <v/>
      </c>
      <c r="CL41" s="96"/>
      <c r="CM41" s="97" t="str">
        <f>IFERROR(_xlfn.RANK.EQ(CK41,CK$6:CK$115,0),"")</f>
        <v/>
      </c>
      <c r="CN41" s="40"/>
      <c r="CO41" s="40"/>
      <c r="CP41" s="96" t="str">
        <f>IF(EA41=0,"",EA41)</f>
        <v/>
      </c>
      <c r="CQ41" s="96"/>
      <c r="CR41" s="97" t="str">
        <f>IFERROR(_xlfn.RANK.EQ(CP41,CP$6:CP$115,0),"")</f>
        <v/>
      </c>
      <c r="CS41" s="41">
        <v>-27</v>
      </c>
      <c r="CT41" s="42">
        <f ca="1">IFERROR(AVERAGE(OFFSET('Data - For Rank'!B$2,K41,0,COUNTIF(K$6:K$115,K41)))+IFERROR(VLOOKUP((COUNT($I$6:$I$115)/4),$ER$8:$ES$12,2,FALSE()),0),"")</f>
        <v>3</v>
      </c>
      <c r="CU41" s="41"/>
      <c r="CV41" s="42" t="str">
        <f ca="1">IFERROR(AVERAGE(OFFSET('Data - For Rank'!$C$2,P41,0,COUNTIF(P$6:P$115,P41)))+IFERROR(VLOOKUP((COUNT(N$6:N$115)/4),$ER$8:$ES$12,2,FALSE()),0),"")</f>
        <v/>
      </c>
      <c r="CW41" s="41">
        <v>-9</v>
      </c>
      <c r="CX41" s="42">
        <f ca="1">IFERROR(AVERAGE(OFFSET('Data - For Rank'!D$2,U41,0,COUNTIF(U$6:$U148,U41)))+IFERROR(VLOOKUP((COUNT(S$6:S$115)/4),$ER$8:$ES$12,2,FALSE()),0),"")</f>
        <v>8.5</v>
      </c>
      <c r="CY41" s="41"/>
      <c r="CZ41" s="42" t="str">
        <f ca="1">IFERROR(AVERAGE(OFFSET('Data - For Rank'!E$2,Z41,0,COUNTIF(Z$6:Z$115,Z41)))+IFERROR(VLOOKUP((COUNT(W$6:W$115)/4),$ER$8:$ES$12,2,FALSE()),0),"")</f>
        <v/>
      </c>
      <c r="DA41" s="41">
        <v>18</v>
      </c>
      <c r="DB41" s="42">
        <f ca="1">IFERROR(AVERAGE(OFFSET('Data - For Rank'!F$2,AE41,0,COUNTIF(AE$6:AE$115,AE41)))+IFERROR(VLOOKUP((COUNT(AC$6:AC$115)/4),$ER$8:$ES$12,2,FALSE()),0),"")</f>
        <v>14</v>
      </c>
      <c r="DC41" s="41"/>
      <c r="DD41" s="42" t="str">
        <f ca="1">IFERROR(AVERAGE(OFFSET('Data - For Rank'!G$2,AJ41,0,COUNTIF(AJ$6:AJ$115,AJ41)))+IFERROR(VLOOKUP((COUNT(AH$6:AH$115)/4),$ER$8:$ES$12,2,FALSE()),0),"")</f>
        <v/>
      </c>
      <c r="DE41" s="41"/>
      <c r="DF41" s="42" t="str">
        <f ca="1">IFERROR(AVERAGE(OFFSET('Data - For Rank'!$H$2,AO41,0,COUNTIF(AO$6:AO$115,AO41)))+IFERROR(VLOOKUP((COUNT(AM$6:AM$115)/4),$ER$8:$ES$12,2,FALSE()),0),"")</f>
        <v/>
      </c>
      <c r="DG41" s="41"/>
      <c r="DH41" s="42" t="str">
        <f ca="1">IFERROR(AVERAGE(OFFSET('Data - For Rank'!$I$2,AT41,0,COUNTIF(AT$6:AT$115,AT41)))+IFERROR(VLOOKUP((COUNT(AR$6:AR$115)/4),$ER$8:$ES$12,2,FALSE()),0),"")</f>
        <v/>
      </c>
      <c r="DI41" s="41"/>
      <c r="DJ41" s="42" t="str">
        <f ca="1">IFERROR(AVERAGE(OFFSET('Data - For Rank'!$J$2,AY41,0,COUNTIF(AY$6:AY$115,AY41)))+IFERROR(VLOOKUP((COUNT(AW$6:AW$115)/4),$ER$8:$ES$12,2,FALSE()),0),"")</f>
        <v/>
      </c>
      <c r="DK41" s="41"/>
      <c r="DL41" s="42" t="str">
        <f ca="1">IFERROR(AVERAGE(OFFSET('Data - For Rank'!$K$2,BD41,0,COUNTIF(BD$6:BD$115,BD41)))+IFERROR(VLOOKUP((COUNT(BB$6:BB$115)/4),$ER$8:$ES$12,2,FALSE()),0),"")</f>
        <v/>
      </c>
      <c r="DM41" s="41"/>
      <c r="DN41" s="42" t="str">
        <f ca="1">IFERROR(AVERAGE(OFFSET('Data - For Rank'!$L$2,BI41,0,COUNTIF(BI$6:BI$115,BI41)))+IFERROR(VLOOKUP((COUNT(BG$6:BG$115)/4),$ER$8:$ES$12,2,FALSE()),0),"")</f>
        <v/>
      </c>
      <c r="DO41" s="41"/>
      <c r="DP41" s="42" t="str">
        <f ca="1">IFERROR(AVERAGE(OFFSET('Data - For Rank'!$M$2,BN41,0,COUNTIF(BN$6:BN$115,BN41)))+IFERROR(VLOOKUP((COUNT(BL$6:BL$115)/4),$ER$8:$ES$12,2,FALSE()),0),"")</f>
        <v/>
      </c>
      <c r="DQ41" s="41"/>
      <c r="DR41" s="42" t="str">
        <f ca="1">IFERROR(AVERAGE(OFFSET('Data - For Rank'!$N$2,BS41,0,COUNTIF(BS$6:BS$115,BS41)))+IFERROR(VLOOKUP((COUNT(BQ$6:BQ$115)/4),$ER$8:$ES$12,2,FALSE()),0),"")</f>
        <v/>
      </c>
      <c r="DS41" s="41"/>
      <c r="DT41" s="42" t="str">
        <f ca="1">IFERROR(AVERAGE(OFFSET('Data - For Rank'!$O$2,BX41,0,COUNTIF(BX$6:BX$115,BX41)))+IFERROR(VLOOKUP((COUNT(BV$6:BV$115)/4),$ER$8:$ES$12,2,FALSE()),0),"")</f>
        <v/>
      </c>
      <c r="DU41" s="41"/>
      <c r="DV41" s="42" t="str">
        <f ca="1">IFERROR(AVERAGE(OFFSET('Data - For Rank'!$P$2,CC41,0,COUNTIF(CC$6:CC$115,CC41)))+IFERROR(VLOOKUP((COUNT(CA$6:CA$115)/4),$ER$8:$ES$12,2,FALSE()),0),"")</f>
        <v/>
      </c>
      <c r="DW41" s="41"/>
      <c r="DX41" s="42" t="str">
        <f ca="1">IFERROR(AVERAGE(OFFSET('Data - For Rank'!$Q$2,CH41,0,COUNTIF(CH$6:CH$115,CH41)))+IFERROR(VLOOKUP((COUNT(CF$6:CF$115)/4),$ER$8:$ES$12,2,FALSE()),0),"")</f>
        <v/>
      </c>
      <c r="DY41" s="41"/>
      <c r="DZ41" s="42" t="str">
        <f ca="1">IFERROR(AVERAGE(OFFSET('Data - For Rank'!$R$2,CM41,0,COUNTIF(CM$6:CM$115,CM41)))+IFERROR(VLOOKUP((COUNT(CK$6:CK$115)/4),$ER$8:$ES$12,2,FALSE()),0),"")</f>
        <v/>
      </c>
      <c r="EA41" s="41"/>
      <c r="EB41" s="42" t="str">
        <f ca="1">IFERROR(AVERAGE(OFFSET('Data - For Rank'!$S$2,CR41,0,COUNTIF(CR$6:CR$115,CR41)))+IFERROR(VLOOKUP((COUNT(CP$6:CP$115)/4),$ER$8:$ES$12,2,FALSE()),0),"")</f>
        <v/>
      </c>
      <c r="EC41" s="43">
        <f>CS41+CU41+CW41+CY41+DA41+DC41+DE41+DG41+DI41+DK41+DM41+DO41+DQ41+DS41+DU41+DW41+DY41+EA41</f>
        <v>-18</v>
      </c>
      <c r="ED41" s="44">
        <f t="shared" ca="1" si="1"/>
        <v>8.5</v>
      </c>
      <c r="ET41" s="87"/>
    </row>
    <row r="42" spans="2:151" x14ac:dyDescent="0.2">
      <c r="B42" s="21">
        <f ca="1">_xlfn.RANK.EQ(C42,$C$6:$C$63,)</f>
        <v>13</v>
      </c>
      <c r="C42" s="56">
        <f ca="1">EC42</f>
        <v>43.5</v>
      </c>
      <c r="D42" s="56" t="s">
        <v>116</v>
      </c>
      <c r="E42" s="47" t="s">
        <v>51</v>
      </c>
      <c r="F42" s="30">
        <f ca="1">COUNT(CT42,CV42,CX42,CZ42,DB42,DD42,DF42,DH42,DJ42,DL42,DN42,DP42,DR42,DT42,DV42,DX42,DZ42,EB42)</f>
        <v>3</v>
      </c>
      <c r="G42" s="93">
        <f ca="1">IF(CT42=0,"",CT42)</f>
        <v>17</v>
      </c>
      <c r="H42" s="93"/>
      <c r="I42" s="93"/>
      <c r="K42" s="93"/>
      <c r="L42" s="93" t="str">
        <f ca="1">IF(CV42=0,"",CV42)</f>
        <v/>
      </c>
      <c r="M42" s="93"/>
      <c r="N42" s="93"/>
      <c r="P42" s="93"/>
      <c r="Q42" s="93">
        <f ca="1">IF(CX42=0,"",CX42)</f>
        <v>17.5</v>
      </c>
      <c r="R42" s="93"/>
      <c r="S42" s="93"/>
      <c r="U42" s="93"/>
      <c r="V42" s="93" t="str">
        <f ca="1">IF(CZ42=0,"",CZ42)</f>
        <v/>
      </c>
      <c r="W42" s="93"/>
      <c r="X42" s="93"/>
      <c r="Z42" s="93"/>
      <c r="AA42" s="93">
        <f ca="1">IF(DB42=0,"",DB42)</f>
        <v>9</v>
      </c>
      <c r="AB42" s="93"/>
      <c r="AC42" s="93"/>
      <c r="AE42" s="93"/>
      <c r="AF42" s="93" t="str">
        <f ca="1">IF(DD42=0,"",DD42)</f>
        <v/>
      </c>
      <c r="AG42" s="93"/>
      <c r="AH42" s="93"/>
      <c r="AJ42" s="93"/>
      <c r="AK42" s="93" t="str">
        <f ca="1">IF(DF42=0,"",DF42)</f>
        <v/>
      </c>
      <c r="AL42" s="93"/>
      <c r="AM42" s="93"/>
      <c r="AO42" s="93"/>
      <c r="AP42" s="93" t="str">
        <f ca="1">IF(DH42=0,"",DH42)</f>
        <v/>
      </c>
      <c r="AQ42" s="93"/>
      <c r="AR42" s="93"/>
      <c r="AT42" s="93"/>
      <c r="AU42" s="93" t="str">
        <f ca="1">IF(DJ42=0,"",DJ42)</f>
        <v/>
      </c>
      <c r="AV42" s="93"/>
      <c r="AW42" s="93"/>
      <c r="AY42" s="93"/>
      <c r="AZ42" s="93" t="str">
        <f ca="1">IF(DL42=0,"",DL42)</f>
        <v/>
      </c>
      <c r="BA42" s="93"/>
      <c r="BB42" s="93"/>
      <c r="BD42" s="93"/>
      <c r="BE42" s="93" t="str">
        <f ca="1">IF(DN42=0,"",DN42)</f>
        <v/>
      </c>
      <c r="BF42" s="93"/>
      <c r="BG42" s="93"/>
      <c r="BI42" s="93"/>
      <c r="BJ42" s="93" t="str">
        <f ca="1">IF(DP42=0,"",DP42)</f>
        <v/>
      </c>
      <c r="BK42" s="93"/>
      <c r="BL42" s="93"/>
      <c r="BN42" s="93"/>
      <c r="BO42" s="93" t="str">
        <f ca="1">IF(DR42=0,"",DR42)</f>
        <v/>
      </c>
      <c r="BP42" s="93"/>
      <c r="BQ42" s="93"/>
      <c r="BS42" s="93"/>
      <c r="BT42" s="93" t="str">
        <f ca="1">IF(DT42=0,"",DT42)</f>
        <v/>
      </c>
      <c r="BU42" s="93"/>
      <c r="BV42" s="93"/>
      <c r="BX42" s="93"/>
      <c r="BY42" s="93" t="str">
        <f ca="1">IF(DV42=0,"",DV42)</f>
        <v/>
      </c>
      <c r="BZ42" s="93"/>
      <c r="CA42" s="93"/>
      <c r="CC42" s="93"/>
      <c r="CD42" s="93" t="str">
        <f ca="1">IF(DX42=0,"",DX42)</f>
        <v/>
      </c>
      <c r="CE42" s="93"/>
      <c r="CF42" s="93"/>
      <c r="CH42" s="93"/>
      <c r="CI42" s="93" t="str">
        <f ca="1">IF(DZ42=0,"",DZ42)</f>
        <v/>
      </c>
      <c r="CJ42" s="93"/>
      <c r="CK42" s="93"/>
      <c r="CM42" s="93"/>
      <c r="CN42" s="93" t="str">
        <f ca="1">IF(EB42=0,"",EB42)</f>
        <v/>
      </c>
      <c r="CO42" s="93"/>
      <c r="CP42" s="93"/>
      <c r="CR42" s="93"/>
      <c r="CS42" s="31">
        <v>99</v>
      </c>
      <c r="CT42" s="32">
        <f ca="1">IFERROR(CT43+CT44,"")</f>
        <v>17</v>
      </c>
      <c r="CU42" s="31"/>
      <c r="CV42" s="32" t="str">
        <f ca="1">IFERROR(CV43+CV44,"")</f>
        <v/>
      </c>
      <c r="CW42" s="31">
        <v>103</v>
      </c>
      <c r="CX42" s="32">
        <f ca="1">IFERROR(CX43+CX44,"")</f>
        <v>17.5</v>
      </c>
      <c r="CY42" s="31"/>
      <c r="CZ42" s="32" t="str">
        <f ca="1">IFERROR(CZ43+CZ44,"")</f>
        <v/>
      </c>
      <c r="DA42" s="31">
        <v>107</v>
      </c>
      <c r="DB42" s="32">
        <f ca="1">IFERROR(DB43+DB44,"")</f>
        <v>9</v>
      </c>
      <c r="DC42" s="31"/>
      <c r="DD42" s="32" t="str">
        <f ca="1">IFERROR(DD43+DD44,"")</f>
        <v/>
      </c>
      <c r="DE42" s="31"/>
      <c r="DF42" s="32" t="str">
        <f ca="1">IFERROR(DF43+DF44,"")</f>
        <v/>
      </c>
      <c r="DG42" s="31"/>
      <c r="DH42" s="32" t="str">
        <f ca="1">IFERROR(DH43+DH44,"")</f>
        <v/>
      </c>
      <c r="DI42" s="31"/>
      <c r="DJ42" s="32" t="str">
        <f ca="1">IFERROR(DJ43+DJ44,"")</f>
        <v/>
      </c>
      <c r="DK42" s="31"/>
      <c r="DL42" s="32" t="str">
        <f ca="1">IFERROR(DL43+DL44,"")</f>
        <v/>
      </c>
      <c r="DM42" s="31"/>
      <c r="DN42" s="32" t="str">
        <f ca="1">IFERROR(DN43+DN44,"")</f>
        <v/>
      </c>
      <c r="DO42" s="31"/>
      <c r="DP42" s="32" t="str">
        <f ca="1">IFERROR(DP43+DP44,"")</f>
        <v/>
      </c>
      <c r="DQ42" s="31"/>
      <c r="DR42" s="32" t="str">
        <f ca="1">IFERROR(DR43+DR44,"")</f>
        <v/>
      </c>
      <c r="DS42" s="31"/>
      <c r="DT42" s="32" t="str">
        <f ca="1">IFERROR(DT43+DT44,"")</f>
        <v/>
      </c>
      <c r="DU42" s="31"/>
      <c r="DV42" s="32" t="str">
        <f ca="1">IFERROR(DV43+DV44,"")</f>
        <v/>
      </c>
      <c r="DW42" s="31"/>
      <c r="DX42" s="32" t="str">
        <f ca="1">IFERROR(DX43+DX44,"")</f>
        <v/>
      </c>
      <c r="DY42" s="31"/>
      <c r="DZ42" s="32" t="str">
        <f ca="1">IFERROR(DZ43+DZ44,"")</f>
        <v/>
      </c>
      <c r="EA42" s="31"/>
      <c r="EB42" s="32" t="str">
        <f ca="1">IFERROR(EB43+EB44,"")</f>
        <v/>
      </c>
      <c r="EC42" s="26">
        <f ca="1">IFERROR(LARGE($G42:$CN42,1),0)+IFERROR(LARGE($G42:$CN42,2),0)+IFERROR(LARGE($G42:$CN42,3),0)+IFERROR(LARGE($G42:$CN42,4),0)+IFERROR(LARGE($G42:$CN42,5),0)+IFERROR(LARGE($G42:$CN42,6),0)+IFERROR(LARGE($G42:$CN42,7),0)+IFERROR(LARGE($G42:$CN42,8),0)+IFERROR(LARGE($G42:$CN42,9),0)+IFERROR(LARGE($G42:$CN42,10),0)</f>
        <v>43.5</v>
      </c>
      <c r="ED42" s="33">
        <f t="shared" ca="1" si="1"/>
        <v>14.5</v>
      </c>
      <c r="ET42" s="87"/>
    </row>
    <row r="43" spans="2:151" s="15" customFormat="1" outlineLevel="1" x14ac:dyDescent="0.2">
      <c r="B43" s="34">
        <f ca="1">B42+0.114</f>
        <v>13.114000000000001</v>
      </c>
      <c r="D43" s="87" t="s">
        <v>117</v>
      </c>
      <c r="E43" s="35" t="s">
        <v>38</v>
      </c>
      <c r="F43" s="35"/>
      <c r="G43" s="35"/>
      <c r="H43" s="35">
        <f>IF(CS43=0,"",CS43)</f>
        <v>30</v>
      </c>
      <c r="I43" s="35"/>
      <c r="J43" s="93">
        <f>IFERROR(RANK(H43,H$6:H$115,0),"")</f>
        <v>11</v>
      </c>
      <c r="K43" s="35"/>
      <c r="L43" s="35"/>
      <c r="M43" s="35" t="str">
        <f>IF(CU43=0,"",CU43)</f>
        <v/>
      </c>
      <c r="N43" s="35"/>
      <c r="O43" s="93" t="str">
        <f>IFERROR(RANK(M43,M$6:M$115,0),"")</f>
        <v/>
      </c>
      <c r="P43" s="35"/>
      <c r="Q43" s="35"/>
      <c r="R43" s="35">
        <f>IF(CW43=0,"",CW43)</f>
        <v>27</v>
      </c>
      <c r="S43" s="35"/>
      <c r="T43" s="93">
        <f>IFERROR(RANK(R43,R$6:R$115,0),"")</f>
        <v>8</v>
      </c>
      <c r="U43" s="35"/>
      <c r="V43" s="35"/>
      <c r="W43" s="35" t="str">
        <f>IF(CY43=0,"",CY43)</f>
        <v/>
      </c>
      <c r="X43" s="35"/>
      <c r="Y43" s="93" t="str">
        <f>IFERROR(RANK(W43,W$6:W$115,0),"")</f>
        <v/>
      </c>
      <c r="Z43" s="35"/>
      <c r="AA43" s="35"/>
      <c r="AB43" s="35">
        <f>IF(DA43=0,"",DA43)</f>
        <v>21</v>
      </c>
      <c r="AC43" s="35"/>
      <c r="AD43" s="93">
        <f>IFERROR(RANK(AB43,AB$6:AB$115,0),"")</f>
        <v>14</v>
      </c>
      <c r="AE43" s="35"/>
      <c r="AF43" s="35"/>
      <c r="AG43" s="35" t="str">
        <f>IF(DC43=0,"",DC43)</f>
        <v/>
      </c>
      <c r="AH43" s="35"/>
      <c r="AI43" s="93" t="str">
        <f>IFERROR(RANK(AG43,AG$6:AG$115,0),"")</f>
        <v/>
      </c>
      <c r="AJ43" s="35"/>
      <c r="AK43" s="35"/>
      <c r="AL43" s="35" t="str">
        <f>IF(DE43=0,"",DE43)</f>
        <v/>
      </c>
      <c r="AM43" s="35"/>
      <c r="AN43" s="93" t="str">
        <f>IFERROR(RANK(AL43,AL$6:AL$115,0),"")</f>
        <v/>
      </c>
      <c r="AO43" s="35"/>
      <c r="AP43" s="35"/>
      <c r="AQ43" s="35" t="str">
        <f>IF(DG43=0,"",DG43)</f>
        <v/>
      </c>
      <c r="AR43" s="35"/>
      <c r="AS43" s="93" t="str">
        <f>IFERROR(RANK(AQ43,AQ$6:AQ$115,0),"")</f>
        <v/>
      </c>
      <c r="AT43" s="35"/>
      <c r="AU43" s="35"/>
      <c r="AV43" s="35" t="str">
        <f>IF(DI43=0,"",DI43)</f>
        <v/>
      </c>
      <c r="AW43" s="35"/>
      <c r="AX43" s="93" t="str">
        <f>IFERROR(RANK(AV43,AV$6:AV$115,0),"")</f>
        <v/>
      </c>
      <c r="AY43" s="35"/>
      <c r="AZ43" s="35"/>
      <c r="BA43" s="35" t="str">
        <f>IF(DK43=0,"",DK43)</f>
        <v/>
      </c>
      <c r="BB43" s="35"/>
      <c r="BC43" s="93" t="str">
        <f>IFERROR(RANK(BA43,BA$6:BA$115,0),"")</f>
        <v/>
      </c>
      <c r="BD43" s="35"/>
      <c r="BE43" s="35"/>
      <c r="BF43" s="35" t="str">
        <f>IF(DM43=0,"",DM43)</f>
        <v/>
      </c>
      <c r="BG43" s="35"/>
      <c r="BH43" s="93" t="str">
        <f>IFERROR(RANK(BF43,BF$6:BF$115,0),"")</f>
        <v/>
      </c>
      <c r="BI43" s="35"/>
      <c r="BJ43" s="35"/>
      <c r="BK43" s="35" t="str">
        <f>IF(DO43=0,"",DO43)</f>
        <v/>
      </c>
      <c r="BL43" s="35"/>
      <c r="BM43" s="93" t="str">
        <f>IFERROR(RANK(BK43,BK$6:BK$115,0),"")</f>
        <v/>
      </c>
      <c r="BN43" s="35"/>
      <c r="BO43" s="35"/>
      <c r="BP43" s="35" t="str">
        <f>IF(DQ43=0,"",DQ43)</f>
        <v/>
      </c>
      <c r="BQ43" s="35"/>
      <c r="BR43" s="93" t="str">
        <f>IFERROR(RANK(BP43,BP$6:BP$115,0),"")</f>
        <v/>
      </c>
      <c r="BS43" s="35"/>
      <c r="BT43" s="35"/>
      <c r="BU43" s="35" t="str">
        <f>IF(DS43=0,"",DS43)</f>
        <v/>
      </c>
      <c r="BV43" s="35"/>
      <c r="BW43" s="93" t="str">
        <f>IFERROR(RANK(BU43,BU$6:BU$115,0),"")</f>
        <v/>
      </c>
      <c r="BX43" s="35"/>
      <c r="BY43" s="35"/>
      <c r="BZ43" s="35" t="str">
        <f>IF(DU43=0,"",DU43)</f>
        <v/>
      </c>
      <c r="CA43" s="35"/>
      <c r="CB43" s="93" t="str">
        <f>IFERROR(RANK(BZ43,BZ$6:BZ$115,0),"")</f>
        <v/>
      </c>
      <c r="CC43" s="35"/>
      <c r="CD43" s="35"/>
      <c r="CE43" s="35" t="str">
        <f>IF(DW43=0,"",DW43)</f>
        <v/>
      </c>
      <c r="CF43" s="35"/>
      <c r="CG43" s="93" t="str">
        <f>IFERROR(RANK(CE43,CE$6:CE$115,0),"")</f>
        <v/>
      </c>
      <c r="CH43" s="35"/>
      <c r="CI43" s="35"/>
      <c r="CJ43" s="35" t="str">
        <f>IF(DY43=0,"",DY43)</f>
        <v/>
      </c>
      <c r="CK43" s="35"/>
      <c r="CL43" s="93" t="str">
        <f>IFERROR(RANK(CJ43,CJ$6:CJ$115,0),"")</f>
        <v/>
      </c>
      <c r="CM43" s="35"/>
      <c r="CN43" s="35"/>
      <c r="CO43" s="35" t="str">
        <f>IF(EA43=0,"",EA43)</f>
        <v/>
      </c>
      <c r="CP43" s="35"/>
      <c r="CQ43" s="93" t="str">
        <f>IFERROR(RANK(CO43,CO$6:CO$115,0),"")</f>
        <v/>
      </c>
      <c r="CR43" s="35"/>
      <c r="CS43" s="31">
        <v>30</v>
      </c>
      <c r="CT43" s="36">
        <f ca="1">IFERROR(AVERAGE(OFFSET('Data - For Rank'!B$2,J43,0,COUNTIF($J$7:J$115,J43)))+IFERROR(VLOOKUP((COUNT($H$6:$H$115)/4),$ER$8:$ES$12,2,FALSE()),0),"")</f>
        <v>7.5</v>
      </c>
      <c r="CU43" s="31"/>
      <c r="CV43" s="36" t="str">
        <f ca="1">IFERROR(AVERAGE(OFFSET('Data - For Rank'!$C$2,O43,0,COUNTIF(O$7:O$115,O43)))+IFERROR(VLOOKUP((COUNT(M$6:M$115)/4),$ER$8:$ES$12,2,FALSE()),0),"")</f>
        <v/>
      </c>
      <c r="CW43" s="31">
        <v>27</v>
      </c>
      <c r="CX43" s="36">
        <f ca="1">IFERROR(AVERAGE(OFFSET('Data - For Rank'!D$2,T43,0,COUNTIF(T$7:T$115,T43)))+IFERROR(VLOOKUP((COUNT(R$6:R$115)/4),$ER$8:$ES$12,2,FALSE()),0),"")</f>
        <v>9</v>
      </c>
      <c r="CY43" s="31"/>
      <c r="CZ43" s="36" t="str">
        <f ca="1">IFERROR(AVERAGE(OFFSET('Data - For Rank'!E$2,Y43,0,COUNTIF(Y$7:Y$115,Y43)))+IFERROR(VLOOKUP((COUNT(W$6:W$115)/4),$ER$8:$ES$12,2,FALSE()),0),"")</f>
        <v/>
      </c>
      <c r="DA43" s="31">
        <v>21</v>
      </c>
      <c r="DB43" s="36">
        <f ca="1">IFERROR(AVERAGE(OFFSET('Data - For Rank'!F$2,AD43,0,COUNTIF(AD$7:AD$115,AD43)))+IFERROR(VLOOKUP((COUNT(AB$6:AB$115)/4),$ER$8:$ES$12,2,FALSE()),0),"")</f>
        <v>5</v>
      </c>
      <c r="DC43" s="31"/>
      <c r="DD43" s="36" t="str">
        <f ca="1">IFERROR(AVERAGE(OFFSET('Data - For Rank'!G$2,AI43,0,COUNTIF(AI$7:AI$115,AI43)))+IFERROR(VLOOKUP((COUNT(AG$6:AG$115)/4),$ER$8:$ES$12,2,FALSE()),0),"")</f>
        <v/>
      </c>
      <c r="DE43" s="31"/>
      <c r="DF43" s="36" t="str">
        <f ca="1">IFERROR(AVERAGE(OFFSET('Data - For Rank'!$H$2,AN43,0,COUNTIF(AN$7:AN$115,AN43)))+IFERROR(VLOOKUP((COUNT(AL$6:AL$115)/4),$ER$8:$ES$12,2,FALSE()),0),"")</f>
        <v/>
      </c>
      <c r="DG43" s="31"/>
      <c r="DH43" s="36" t="str">
        <f ca="1">IFERROR(AVERAGE(OFFSET('Data - For Rank'!$I$2,AS43,0,COUNTIF(AS$7:AS$115,AS43)))+IFERROR(VLOOKUP((COUNT(AQ$6:AQ$115)/4),$ER$8:$ES$12,2,FALSE()),0),"")</f>
        <v/>
      </c>
      <c r="DI43" s="31"/>
      <c r="DJ43" s="36" t="str">
        <f ca="1">IFERROR(AVERAGE(OFFSET('Data - For Rank'!$J$2,AX43,0,COUNTIF(AX$7:AX$115,AX43)))+IFERROR(VLOOKUP((COUNT(AV$6:AV$115)/4),$ER$8:$ES$12,2,FALSE()),0),"")</f>
        <v/>
      </c>
      <c r="DK43" s="31"/>
      <c r="DL43" s="36" t="str">
        <f ca="1">IFERROR(AVERAGE(OFFSET('Data - For Rank'!$K$2,BC43,0,COUNTIF(BC$7:BC$115,BC43)))+IFERROR(VLOOKUP((COUNT(BA$6:BA$115)/4),$ER$8:$ES$12,2,FALSE()),0),"")</f>
        <v/>
      </c>
      <c r="DM43" s="31"/>
      <c r="DN43" s="36" t="str">
        <f ca="1">IFERROR(AVERAGE(OFFSET('Data - For Rank'!$L$2,BH43,0,COUNTIF(BH$7:BH$115,BH43)))+IFERROR(VLOOKUP((COUNT(BF$6:BF$115)/4),$ER$8:$ES$12,2,FALSE()),0),"")</f>
        <v/>
      </c>
      <c r="DO43" s="31"/>
      <c r="DP43" s="36" t="str">
        <f ca="1">IFERROR(AVERAGE(OFFSET('Data - For Rank'!$M$2,BM43,0,COUNTIF(BM$7:BM$115,BM43)))+IFERROR(VLOOKUP((COUNT(BK$6:BK$115)/4),$ER$8:$ES$12,2,FALSE()),0),"")</f>
        <v/>
      </c>
      <c r="DQ43" s="31"/>
      <c r="DR43" s="36" t="str">
        <f ca="1">IFERROR(AVERAGE(OFFSET('Data - For Rank'!$N$2,BR43,0,COUNTIF(BR$7:BR$115,BR43)))+IFERROR(VLOOKUP((COUNT(BP$6:BP$115)/4),$ER$8:$ES$12,2,FALSE()),0),"")</f>
        <v/>
      </c>
      <c r="DS43" s="31"/>
      <c r="DT43" s="36" t="str">
        <f ca="1">IFERROR(AVERAGE(OFFSET('Data - For Rank'!$O$2,BW43,0,COUNTIF(BW$7:BW$115,BW43)))+IFERROR(VLOOKUP((COUNT(BU$6:BU$115)/4),$ER$8:$ES$12,2,FALSE()),0),"")</f>
        <v/>
      </c>
      <c r="DU43" s="31"/>
      <c r="DV43" s="36" t="str">
        <f ca="1">IFERROR(AVERAGE(OFFSET('Data - For Rank'!$P$2,CB43,0,COUNTIF(CB$7:CB$115,CB43)))+IFERROR(VLOOKUP((COUNT(BZ$6:BZ$115)/4),$ER$8:$ES$12,2,FALSE()),0),"")</f>
        <v/>
      </c>
      <c r="DW43" s="31"/>
      <c r="DX43" s="36" t="str">
        <f ca="1">IFERROR(AVERAGE(OFFSET('Data - For Rank'!$Q$2,CG43,0,COUNTIF(CG$7:CG$115,CG43)))+IFERROR(VLOOKUP((COUNT(CE$6:CE$115)/4),$ER$8:$ES$12,2,FALSE()),0),"")</f>
        <v/>
      </c>
      <c r="DY43" s="31"/>
      <c r="DZ43" s="36" t="str">
        <f ca="1">IFERROR(AVERAGE(OFFSET('Data - For Rank'!$R$2,CL43,0,COUNTIF(CL$7:CL$115,CL43)))+IFERROR(VLOOKUP((COUNT(CJ$6:CJ$115)/4),$ER$8:$ES$12,2,FALSE()),0),"")</f>
        <v/>
      </c>
      <c r="EA43" s="31"/>
      <c r="EB43" s="36" t="str">
        <f ca="1">IFERROR(AVERAGE(OFFSET('Data - For Rank'!$S$2,CQ43,0,COUNTIF(CQ$7:CQ$115,CQ43)))+IFERROR(VLOOKUP((COUNT(CO$6:CO$115)/4),$ER$8:$ES$12,2,FALSE()),0),"")</f>
        <v/>
      </c>
      <c r="EC43" s="37">
        <f>AVERAGE(CS43,CU43,CW43,CY43,DA43,DC43,DE43,DG43,DI43,DK43,DM43,DO43,DQ43,DS43,DU43,DW43,DY43,EA43)</f>
        <v>26</v>
      </c>
      <c r="ED43" s="33">
        <f t="shared" ca="1" si="1"/>
        <v>7.166666666666667</v>
      </c>
      <c r="ET43" s="87"/>
    </row>
    <row r="44" spans="2:151" s="15" customFormat="1" outlineLevel="1" x14ac:dyDescent="0.2">
      <c r="B44" s="38">
        <f ca="1">B42+0.0214</f>
        <v>13.0214</v>
      </c>
      <c r="D44" s="87" t="s">
        <v>118</v>
      </c>
      <c r="E44" s="39" t="s">
        <v>39</v>
      </c>
      <c r="F44" s="40">
        <f ca="1">IF(COUNT(CT42:EB42)&gt;10,SMALL(G42:CN42,COUNT(G42:CN42)-10),MIN(CT42:EB42))</f>
        <v>9</v>
      </c>
      <c r="G44" s="40"/>
      <c r="H44" s="40"/>
      <c r="I44" s="96">
        <f>IF(CS44=0,"",CS44)</f>
        <v>-8</v>
      </c>
      <c r="J44" s="96"/>
      <c r="K44" s="97">
        <f>IFERROR(_xlfn.RANK.EQ(I44,I$6:I$115,0),"")</f>
        <v>9</v>
      </c>
      <c r="L44" s="40"/>
      <c r="M44" s="40"/>
      <c r="N44" s="96" t="str">
        <f>IF(CU44=0,"",CU44)</f>
        <v/>
      </c>
      <c r="O44" s="96"/>
      <c r="P44" s="97" t="str">
        <f>IFERROR(_xlfn.RANK.EQ(N44,N$6:N$115,0),"")</f>
        <v/>
      </c>
      <c r="Q44" s="40"/>
      <c r="R44" s="40"/>
      <c r="S44" s="96">
        <f>IF(CW44=0,"",CW44)</f>
        <v>-9</v>
      </c>
      <c r="T44" s="96"/>
      <c r="U44" s="97">
        <f>IFERROR(_xlfn.RANK.EQ(S44,S$6:S$115,0),"")</f>
        <v>8</v>
      </c>
      <c r="V44" s="40"/>
      <c r="W44" s="40"/>
      <c r="X44" s="96" t="str">
        <f>IF(CY44=0,"",CY44)</f>
        <v/>
      </c>
      <c r="Y44" s="96"/>
      <c r="Z44" s="97" t="str">
        <f>IFERROR(_xlfn.RANK.EQ(X44,X$6:X$115,0),"")</f>
        <v/>
      </c>
      <c r="AA44" s="40"/>
      <c r="AB44" s="40"/>
      <c r="AC44" s="96">
        <f>IF(DA44=0,"",DA44)</f>
        <v>-54</v>
      </c>
      <c r="AD44" s="96"/>
      <c r="AE44" s="97">
        <f>IFERROR(_xlfn.RANK.EQ(AC44,AC$6:AC$115,0),"")</f>
        <v>15</v>
      </c>
      <c r="AF44" s="40"/>
      <c r="AG44" s="40"/>
      <c r="AH44" s="96" t="str">
        <f>IF(DC44=0,"",DC44)</f>
        <v/>
      </c>
      <c r="AI44" s="96"/>
      <c r="AJ44" s="97" t="str">
        <f>IFERROR(_xlfn.RANK.EQ(AH44,AH$6:AH$115,0),"")</f>
        <v/>
      </c>
      <c r="AK44" s="40"/>
      <c r="AL44" s="40"/>
      <c r="AM44" s="96" t="str">
        <f>IF(DE44=0,"",DE44)</f>
        <v/>
      </c>
      <c r="AN44" s="96"/>
      <c r="AO44" s="97" t="str">
        <f>IFERROR(_xlfn.RANK.EQ(AM44,AM$6:AM$115,0),"")</f>
        <v/>
      </c>
      <c r="AP44" s="40"/>
      <c r="AQ44" s="40"/>
      <c r="AR44" s="96" t="str">
        <f>IF(DG44=0,"",DG44)</f>
        <v/>
      </c>
      <c r="AS44" s="96"/>
      <c r="AT44" s="97" t="str">
        <f>IFERROR(_xlfn.RANK.EQ(AR44,AR$6:AR$115,0),"")</f>
        <v/>
      </c>
      <c r="AU44" s="40"/>
      <c r="AV44" s="40"/>
      <c r="AW44" s="96" t="str">
        <f>IF(DI44=0,"",DI44)</f>
        <v/>
      </c>
      <c r="AX44" s="96"/>
      <c r="AY44" s="97" t="str">
        <f>IFERROR(_xlfn.RANK.EQ(AW44,AW$6:AW$115,0),"")</f>
        <v/>
      </c>
      <c r="AZ44" s="40"/>
      <c r="BA44" s="40"/>
      <c r="BB44" s="96" t="str">
        <f>IF(DK44=0,"",DK44)</f>
        <v/>
      </c>
      <c r="BC44" s="96"/>
      <c r="BD44" s="97" t="str">
        <f>IFERROR(_xlfn.RANK.EQ(BB44,BB$6:BB$115,0),"")</f>
        <v/>
      </c>
      <c r="BE44" s="40"/>
      <c r="BF44" s="40"/>
      <c r="BG44" s="96" t="str">
        <f>IF(DM44=0,"",DM44)</f>
        <v/>
      </c>
      <c r="BH44" s="96"/>
      <c r="BI44" s="97" t="str">
        <f>IFERROR(_xlfn.RANK.EQ(BG44,BG$6:BG$115,0),"")</f>
        <v/>
      </c>
      <c r="BJ44" s="40"/>
      <c r="BK44" s="40"/>
      <c r="BL44" s="96" t="str">
        <f>IF(DO44=0,"",DO44)</f>
        <v/>
      </c>
      <c r="BM44" s="96"/>
      <c r="BN44" s="97" t="str">
        <f>IFERROR(_xlfn.RANK.EQ(BL44,BL$6:BL$115,0),"")</f>
        <v/>
      </c>
      <c r="BO44" s="40"/>
      <c r="BP44" s="40"/>
      <c r="BQ44" s="96" t="str">
        <f>IF(DQ44=0,"",DQ44)</f>
        <v/>
      </c>
      <c r="BR44" s="96"/>
      <c r="BS44" s="97" t="str">
        <f>IFERROR(_xlfn.RANK.EQ(BQ44,BQ$6:BQ$115,0),"")</f>
        <v/>
      </c>
      <c r="BT44" s="40"/>
      <c r="BU44" s="40"/>
      <c r="BV44" s="96" t="str">
        <f>IF(DS44=0,"",DS44)</f>
        <v/>
      </c>
      <c r="BW44" s="96"/>
      <c r="BX44" s="97" t="str">
        <f>IFERROR(_xlfn.RANK.EQ(BV44,BV$6:BV$115,0),"")</f>
        <v/>
      </c>
      <c r="BY44" s="40"/>
      <c r="BZ44" s="40"/>
      <c r="CA44" s="96" t="str">
        <f>IF(DU44=0,"",DU44)</f>
        <v/>
      </c>
      <c r="CB44" s="96"/>
      <c r="CC44" s="97" t="str">
        <f>IFERROR(_xlfn.RANK.EQ(CA44,CA$6:CA$115,0),"")</f>
        <v/>
      </c>
      <c r="CD44" s="40"/>
      <c r="CE44" s="40"/>
      <c r="CF44" s="96" t="str">
        <f>IF(DW44=0,"",DW44)</f>
        <v/>
      </c>
      <c r="CG44" s="96"/>
      <c r="CH44" s="97" t="str">
        <f>IFERROR(_xlfn.RANK.EQ(CF44,CF$6:CF$115,0),"")</f>
        <v/>
      </c>
      <c r="CI44" s="40"/>
      <c r="CJ44" s="40"/>
      <c r="CK44" s="96" t="str">
        <f>IF(DY44=0,"",DY44)</f>
        <v/>
      </c>
      <c r="CL44" s="96"/>
      <c r="CM44" s="97" t="str">
        <f>IFERROR(_xlfn.RANK.EQ(CK44,CK$6:CK$115,0),"")</f>
        <v/>
      </c>
      <c r="CN44" s="40"/>
      <c r="CO44" s="40"/>
      <c r="CP44" s="96" t="str">
        <f>IF(EA44=0,"",EA44)</f>
        <v/>
      </c>
      <c r="CQ44" s="96"/>
      <c r="CR44" s="97" t="str">
        <f>IFERROR(_xlfn.RANK.EQ(CP44,CP$6:CP$115,0),"")</f>
        <v/>
      </c>
      <c r="CS44" s="41">
        <v>-8</v>
      </c>
      <c r="CT44" s="42">
        <f ca="1">IFERROR(AVERAGE(OFFSET('Data - For Rank'!B$2,K44,0,COUNTIF(K$6:K$115,K44)))+IFERROR(VLOOKUP((COUNT($I$6:$I$115)/4),$ER$8:$ES$12,2,FALSE()),0),"")</f>
        <v>9.5</v>
      </c>
      <c r="CU44" s="41"/>
      <c r="CV44" s="42" t="str">
        <f ca="1">IFERROR(AVERAGE(OFFSET('Data - For Rank'!$C$2,P44,0,COUNTIF(P$6:P$115,P44)))+IFERROR(VLOOKUP((COUNT(N$6:N$115)/4),$ER$8:$ES$12,2,FALSE()),0),"")</f>
        <v/>
      </c>
      <c r="CW44" s="41">
        <v>-9</v>
      </c>
      <c r="CX44" s="42">
        <f ca="1">IFERROR(AVERAGE(OFFSET('Data - For Rank'!D$2,U44,0,COUNTIF(U$6:$U151,U44)))+IFERROR(VLOOKUP((COUNT(S$6:S$115)/4),$ER$8:$ES$12,2,FALSE()),0),"")</f>
        <v>8.5</v>
      </c>
      <c r="CY44" s="41"/>
      <c r="CZ44" s="42" t="str">
        <f ca="1">IFERROR(AVERAGE(OFFSET('Data - For Rank'!E$2,Z44,0,COUNTIF(Z$6:Z$115,Z44)))+IFERROR(VLOOKUP((COUNT(W$6:W$115)/4),$ER$8:$ES$12,2,FALSE()),0),"")</f>
        <v/>
      </c>
      <c r="DA44" s="41">
        <v>-54</v>
      </c>
      <c r="DB44" s="42">
        <f ca="1">IFERROR(AVERAGE(OFFSET('Data - For Rank'!F$2,AE44,0,COUNTIF(AE$6:AE$115,AE44)))+IFERROR(VLOOKUP((COUNT(AC$6:AC$115)/4),$ER$8:$ES$12,2,FALSE()),0),"")</f>
        <v>4</v>
      </c>
      <c r="DC44" s="41"/>
      <c r="DD44" s="42" t="str">
        <f ca="1">IFERROR(AVERAGE(OFFSET('Data - For Rank'!G$2,AJ44,0,COUNTIF(AJ$6:AJ$115,AJ44)))+IFERROR(VLOOKUP((COUNT(AH$6:AH$115)/4),$ER$8:$ES$12,2,FALSE()),0),"")</f>
        <v/>
      </c>
      <c r="DE44" s="41"/>
      <c r="DF44" s="42" t="str">
        <f ca="1">IFERROR(AVERAGE(OFFSET('Data - For Rank'!$H$2,AO44,0,COUNTIF(AO$6:AO$115,AO44)))+IFERROR(VLOOKUP((COUNT(AM$6:AM$115)/4),$ER$8:$ES$12,2,FALSE()),0),"")</f>
        <v/>
      </c>
      <c r="DG44" s="41"/>
      <c r="DH44" s="42" t="str">
        <f ca="1">IFERROR(AVERAGE(OFFSET('Data - For Rank'!$I$2,AT44,0,COUNTIF(AT$6:AT$115,AT44)))+IFERROR(VLOOKUP((COUNT(AR$6:AR$115)/4),$ER$8:$ES$12,2,FALSE()),0),"")</f>
        <v/>
      </c>
      <c r="DI44" s="41"/>
      <c r="DJ44" s="42" t="str">
        <f ca="1">IFERROR(AVERAGE(OFFSET('Data - For Rank'!$J$2,AY44,0,COUNTIF(AY$6:AY$115,AY44)))+IFERROR(VLOOKUP((COUNT(AW$6:AW$115)/4),$ER$8:$ES$12,2,FALSE()),0),"")</f>
        <v/>
      </c>
      <c r="DK44" s="41"/>
      <c r="DL44" s="42" t="str">
        <f ca="1">IFERROR(AVERAGE(OFFSET('Data - For Rank'!$K$2,BD44,0,COUNTIF(BD$6:BD$115,BD44)))+IFERROR(VLOOKUP((COUNT(BB$6:BB$115)/4),$ER$8:$ES$12,2,FALSE()),0),"")</f>
        <v/>
      </c>
      <c r="DM44" s="41"/>
      <c r="DN44" s="42" t="str">
        <f ca="1">IFERROR(AVERAGE(OFFSET('Data - For Rank'!$L$2,BI44,0,COUNTIF(BI$6:BI$115,BI44)))+IFERROR(VLOOKUP((COUNT(BG$6:BG$115)/4),$ER$8:$ES$12,2,FALSE()),0),"")</f>
        <v/>
      </c>
      <c r="DO44" s="41"/>
      <c r="DP44" s="42" t="str">
        <f ca="1">IFERROR(AVERAGE(OFFSET('Data - For Rank'!$M$2,BN44,0,COUNTIF(BN$6:BN$115,BN44)))+IFERROR(VLOOKUP((COUNT(BL$6:BL$115)/4),$ER$8:$ES$12,2,FALSE()),0),"")</f>
        <v/>
      </c>
      <c r="DQ44" s="41"/>
      <c r="DR44" s="42" t="str">
        <f ca="1">IFERROR(AVERAGE(OFFSET('Data - For Rank'!$N$2,BS44,0,COUNTIF(BS$6:BS$115,BS44)))+IFERROR(VLOOKUP((COUNT(BQ$6:BQ$115)/4),$ER$8:$ES$12,2,FALSE()),0),"")</f>
        <v/>
      </c>
      <c r="DS44" s="41"/>
      <c r="DT44" s="42" t="str">
        <f ca="1">IFERROR(AVERAGE(OFFSET('Data - For Rank'!$O$2,BX44,0,COUNTIF(BX$6:BX$115,BX44)))+IFERROR(VLOOKUP((COUNT(BV$6:BV$115)/4),$ER$8:$ES$12,2,FALSE()),0),"")</f>
        <v/>
      </c>
      <c r="DU44" s="41"/>
      <c r="DV44" s="42" t="str">
        <f ca="1">IFERROR(AVERAGE(OFFSET('Data - For Rank'!$P$2,CC44,0,COUNTIF(CC$6:CC$115,CC44)))+IFERROR(VLOOKUP((COUNT(CA$6:CA$115)/4),$ER$8:$ES$12,2,FALSE()),0),"")</f>
        <v/>
      </c>
      <c r="DW44" s="41"/>
      <c r="DX44" s="42" t="str">
        <f ca="1">IFERROR(AVERAGE(OFFSET('Data - For Rank'!$Q$2,CH44,0,COUNTIF(CH$6:CH$115,CH44)))+IFERROR(VLOOKUP((COUNT(CF$6:CF$115)/4),$ER$8:$ES$12,2,FALSE()),0),"")</f>
        <v/>
      </c>
      <c r="DY44" s="41"/>
      <c r="DZ44" s="42" t="str">
        <f ca="1">IFERROR(AVERAGE(OFFSET('Data - For Rank'!$R$2,CM44,0,COUNTIF(CM$6:CM$115,CM44)))+IFERROR(VLOOKUP((COUNT(CK$6:CK$115)/4),$ER$8:$ES$12,2,FALSE()),0),"")</f>
        <v/>
      </c>
      <c r="EA44" s="41"/>
      <c r="EB44" s="42" t="str">
        <f ca="1">IFERROR(AVERAGE(OFFSET('Data - For Rank'!$S$2,CR44,0,COUNTIF(CR$6:CR$115,CR44)))+IFERROR(VLOOKUP((COUNT(CP$6:CP$115)/4),$ER$8:$ES$12,2,FALSE()),0),"")</f>
        <v/>
      </c>
      <c r="EC44" s="43">
        <f>CS44+CU44+CW44+CY44+DA44+DC44+DE44+DG44+DI44+DK44+DM44+DO44+DQ44+DS44+DU44+DW44+DY44+EA44</f>
        <v>-71</v>
      </c>
      <c r="ED44" s="44">
        <f t="shared" ca="1" si="1"/>
        <v>7.333333333333333</v>
      </c>
      <c r="ET44" s="87"/>
    </row>
    <row r="45" spans="2:151" x14ac:dyDescent="0.2">
      <c r="B45" s="21">
        <f ca="1">_xlfn.RANK.EQ(C45,$C$6:$C$63,)</f>
        <v>13</v>
      </c>
      <c r="C45" s="56">
        <f ca="1">EC45</f>
        <v>43.5</v>
      </c>
      <c r="D45" s="56" t="s">
        <v>119</v>
      </c>
      <c r="E45" s="45" t="s">
        <v>52</v>
      </c>
      <c r="F45" s="30">
        <f ca="1">COUNT(CT45,CV45,CX45,CZ45,DB45,DD45,DF45,DH45,DJ45,DL45,DN45,DP45,DR45,DT45,DV45,DX45,DZ45,EB45)</f>
        <v>3</v>
      </c>
      <c r="G45" s="93">
        <f ca="1">IF(CT45=0,"",CT45)</f>
        <v>9.5</v>
      </c>
      <c r="H45" s="93"/>
      <c r="I45" s="93"/>
      <c r="K45" s="93"/>
      <c r="L45" s="93" t="str">
        <f ca="1">IF(CV45=0,"",CV45)</f>
        <v/>
      </c>
      <c r="M45" s="93"/>
      <c r="N45" s="93"/>
      <c r="P45" s="93"/>
      <c r="Q45" s="93" t="str">
        <f ca="1">IF(CX45=0,"",CX45)</f>
        <v/>
      </c>
      <c r="R45" s="93"/>
      <c r="S45" s="93"/>
      <c r="U45" s="93"/>
      <c r="V45" s="93">
        <f ca="1">IF(CZ45=0,"",CZ45)</f>
        <v>16.5</v>
      </c>
      <c r="W45" s="93"/>
      <c r="X45" s="93"/>
      <c r="Z45" s="93"/>
      <c r="AA45" s="93">
        <f ca="1">IF(DB45=0,"",DB45)</f>
        <v>17.5</v>
      </c>
      <c r="AB45" s="93"/>
      <c r="AC45" s="93"/>
      <c r="AE45" s="93"/>
      <c r="AF45" s="93" t="str">
        <f ca="1">IF(DD45=0,"",DD45)</f>
        <v/>
      </c>
      <c r="AG45" s="93"/>
      <c r="AH45" s="93"/>
      <c r="AJ45" s="93"/>
      <c r="AK45" s="93" t="str">
        <f ca="1">IF(DF45=0,"",DF45)</f>
        <v/>
      </c>
      <c r="AL45" s="93"/>
      <c r="AM45" s="93"/>
      <c r="AO45" s="93"/>
      <c r="AP45" s="93" t="str">
        <f ca="1">IF(DH45=0,"",DH45)</f>
        <v/>
      </c>
      <c r="AQ45" s="93"/>
      <c r="AR45" s="93"/>
      <c r="AT45" s="93"/>
      <c r="AU45" s="93" t="str">
        <f ca="1">IF(DJ45=0,"",DJ45)</f>
        <v/>
      </c>
      <c r="AV45" s="93"/>
      <c r="AW45" s="93"/>
      <c r="AY45" s="93"/>
      <c r="AZ45" s="93" t="str">
        <f ca="1">IF(DL45=0,"",DL45)</f>
        <v/>
      </c>
      <c r="BA45" s="93"/>
      <c r="BB45" s="93"/>
      <c r="BD45" s="93"/>
      <c r="BE45" s="93" t="str">
        <f ca="1">IF(DN45=0,"",DN45)</f>
        <v/>
      </c>
      <c r="BF45" s="93"/>
      <c r="BG45" s="93"/>
      <c r="BI45" s="93"/>
      <c r="BJ45" s="93" t="str">
        <f ca="1">IF(DP45=0,"",DP45)</f>
        <v/>
      </c>
      <c r="BK45" s="93"/>
      <c r="BL45" s="93"/>
      <c r="BN45" s="93"/>
      <c r="BO45" s="93" t="str">
        <f ca="1">IF(DR45=0,"",DR45)</f>
        <v/>
      </c>
      <c r="BP45" s="93"/>
      <c r="BQ45" s="93"/>
      <c r="BS45" s="93"/>
      <c r="BT45" s="93" t="str">
        <f ca="1">IF(DT45=0,"",DT45)</f>
        <v/>
      </c>
      <c r="BU45" s="93"/>
      <c r="BV45" s="93"/>
      <c r="BX45" s="93"/>
      <c r="BY45" s="93" t="str">
        <f ca="1">IF(DV45=0,"",DV45)</f>
        <v/>
      </c>
      <c r="BZ45" s="93"/>
      <c r="CA45" s="93"/>
      <c r="CC45" s="93"/>
      <c r="CD45" s="93" t="str">
        <f ca="1">IF(DX45=0,"",DX45)</f>
        <v/>
      </c>
      <c r="CE45" s="93"/>
      <c r="CF45" s="93"/>
      <c r="CH45" s="93"/>
      <c r="CI45" s="93" t="str">
        <f ca="1">IF(DZ45=0,"",DZ45)</f>
        <v/>
      </c>
      <c r="CJ45" s="93"/>
      <c r="CK45" s="93"/>
      <c r="CM45" s="93"/>
      <c r="CN45" s="93" t="str">
        <f ca="1">IF(EB45=0,"",EB45)</f>
        <v/>
      </c>
      <c r="CO45" s="93"/>
      <c r="CP45" s="93"/>
      <c r="CR45" s="93"/>
      <c r="CS45" s="31">
        <v>87</v>
      </c>
      <c r="CT45" s="32">
        <f ca="1">IFERROR(CT46+CT47,"")</f>
        <v>9.5</v>
      </c>
      <c r="CU45" s="31"/>
      <c r="CV45" s="32" t="str">
        <f ca="1">IFERROR(CV46+CV47,"")</f>
        <v/>
      </c>
      <c r="CW45" s="31"/>
      <c r="CX45" s="32" t="str">
        <f ca="1">IFERROR(CX46+CX47,"")</f>
        <v/>
      </c>
      <c r="CY45" s="31">
        <v>84</v>
      </c>
      <c r="CZ45" s="32">
        <f ca="1">IFERROR(CZ46+CZ47,"")</f>
        <v>16.5</v>
      </c>
      <c r="DA45" s="31">
        <v>85</v>
      </c>
      <c r="DB45" s="32">
        <f ca="1">IFERROR(DB46+DB47,"")</f>
        <v>17.5</v>
      </c>
      <c r="DC45" s="31"/>
      <c r="DD45" s="32" t="str">
        <f ca="1">IFERROR(DD46+DD47,"")</f>
        <v/>
      </c>
      <c r="DE45" s="31"/>
      <c r="DF45" s="32" t="str">
        <f ca="1">IFERROR(DF46+DF47,"")</f>
        <v/>
      </c>
      <c r="DG45" s="31"/>
      <c r="DH45" s="32" t="str">
        <f ca="1">IFERROR(DH46+DH47,"")</f>
        <v/>
      </c>
      <c r="DI45" s="31"/>
      <c r="DJ45" s="32" t="str">
        <f ca="1">IFERROR(DJ46+DJ47,"")</f>
        <v/>
      </c>
      <c r="DK45" s="31"/>
      <c r="DL45" s="32" t="str">
        <f ca="1">IFERROR(DL46+DL47,"")</f>
        <v/>
      </c>
      <c r="DM45" s="31"/>
      <c r="DN45" s="32" t="str">
        <f ca="1">IFERROR(DN46+DN47,"")</f>
        <v/>
      </c>
      <c r="DO45" s="31"/>
      <c r="DP45" s="32" t="str">
        <f ca="1">IFERROR(DP46+DP47,"")</f>
        <v/>
      </c>
      <c r="DQ45" s="31"/>
      <c r="DR45" s="32" t="str">
        <f ca="1">IFERROR(DR46+DR47,"")</f>
        <v/>
      </c>
      <c r="DS45" s="31"/>
      <c r="DT45" s="32" t="str">
        <f ca="1">IFERROR(DT46+DT47,"")</f>
        <v/>
      </c>
      <c r="DU45" s="31"/>
      <c r="DV45" s="32" t="str">
        <f ca="1">IFERROR(DV46+DV47,"")</f>
        <v/>
      </c>
      <c r="DW45" s="31"/>
      <c r="DX45" s="32" t="str">
        <f ca="1">IFERROR(DX46+DX47,"")</f>
        <v/>
      </c>
      <c r="DY45" s="31"/>
      <c r="DZ45" s="32" t="str">
        <f ca="1">IFERROR(DZ46+DZ47,"")</f>
        <v/>
      </c>
      <c r="EA45" s="31"/>
      <c r="EB45" s="32" t="str">
        <f ca="1">IFERROR(EB46+EB47,"")</f>
        <v/>
      </c>
      <c r="EC45" s="26">
        <f ca="1">IFERROR(LARGE($G45:$CN45,1),0)+IFERROR(LARGE($G45:$CN45,2),0)+IFERROR(LARGE($G45:$CN45,3),0)+IFERROR(LARGE($G45:$CN45,4),0)+IFERROR(LARGE($G45:$CN45,5),0)+IFERROR(LARGE($G45:$CN45,6),0)+IFERROR(LARGE($G45:$CN45,7),0)+IFERROR(LARGE($G45:$CN45,8),0)+IFERROR(LARGE($G45:$CN45,9),0)+IFERROR(LARGE($G45:$CN45,10),0)</f>
        <v>43.5</v>
      </c>
      <c r="ED45" s="33">
        <f t="shared" ca="1" si="1"/>
        <v>14.5</v>
      </c>
      <c r="ET45" s="87"/>
    </row>
    <row r="46" spans="2:151" s="15" customFormat="1" outlineLevel="1" x14ac:dyDescent="0.2">
      <c r="B46" s="34">
        <f ca="1">B45+0.115</f>
        <v>13.115</v>
      </c>
      <c r="D46" s="87" t="s">
        <v>120</v>
      </c>
      <c r="E46" s="35" t="s">
        <v>38</v>
      </c>
      <c r="F46" s="35"/>
      <c r="G46" s="35"/>
      <c r="H46" s="35">
        <f>IF(CS46=0,"",CS46)</f>
        <v>28</v>
      </c>
      <c r="I46" s="35"/>
      <c r="J46" s="93">
        <f>IFERROR(RANK(H46,H$6:H$115,0),"")</f>
        <v>14</v>
      </c>
      <c r="K46" s="35"/>
      <c r="L46" s="35"/>
      <c r="M46" s="35" t="str">
        <f>IF(CU46=0,"",CU46)</f>
        <v/>
      </c>
      <c r="N46" s="35"/>
      <c r="O46" s="93" t="str">
        <f>IFERROR(RANK(M46,M$6:M$115,0),"")</f>
        <v/>
      </c>
      <c r="P46" s="35"/>
      <c r="Q46" s="35"/>
      <c r="R46" s="35" t="str">
        <f>IF(CW46=0,"",CW46)</f>
        <v/>
      </c>
      <c r="S46" s="35"/>
      <c r="T46" s="93" t="str">
        <f>IFERROR(RANK(R46,R$6:R$115,0),"")</f>
        <v/>
      </c>
      <c r="U46" s="35"/>
      <c r="V46" s="35"/>
      <c r="W46" s="35">
        <f>IF(CY46=0,"",CY46)</f>
        <v>28</v>
      </c>
      <c r="X46" s="35"/>
      <c r="Y46" s="93">
        <f>IFERROR(RANK(W46,W$6:W$115,0),"")</f>
        <v>6</v>
      </c>
      <c r="Z46" s="35"/>
      <c r="AA46" s="35"/>
      <c r="AB46" s="35">
        <f>IF(DA46=0,"",DA46)</f>
        <v>30</v>
      </c>
      <c r="AC46" s="35"/>
      <c r="AD46" s="93">
        <f>IFERROR(RANK(AB46,AB$6:AB$115,0),"")</f>
        <v>10</v>
      </c>
      <c r="AE46" s="35"/>
      <c r="AF46" s="35"/>
      <c r="AG46" s="35" t="str">
        <f>IF(DC46=0,"",DC46)</f>
        <v/>
      </c>
      <c r="AH46" s="35"/>
      <c r="AI46" s="93" t="str">
        <f>IFERROR(RANK(AG46,AG$6:AG$115,0),"")</f>
        <v/>
      </c>
      <c r="AJ46" s="35"/>
      <c r="AK46" s="35"/>
      <c r="AL46" s="35" t="str">
        <f>IF(DE46=0,"",DE46)</f>
        <v/>
      </c>
      <c r="AM46" s="35"/>
      <c r="AN46" s="93" t="str">
        <f>IFERROR(RANK(AL46,AL$6:AL$115,0),"")</f>
        <v/>
      </c>
      <c r="AO46" s="35"/>
      <c r="AP46" s="35"/>
      <c r="AQ46" s="35" t="str">
        <f>IF(DG46=0,"",DG46)</f>
        <v/>
      </c>
      <c r="AR46" s="35"/>
      <c r="AS46" s="93" t="str">
        <f>IFERROR(RANK(AQ46,AQ$6:AQ$115,0),"")</f>
        <v/>
      </c>
      <c r="AT46" s="35"/>
      <c r="AU46" s="35"/>
      <c r="AV46" s="35" t="str">
        <f>IF(DI46=0,"",DI46)</f>
        <v/>
      </c>
      <c r="AW46" s="35"/>
      <c r="AX46" s="93" t="str">
        <f>IFERROR(RANK(AV46,AV$6:AV$115,0),"")</f>
        <v/>
      </c>
      <c r="AY46" s="35"/>
      <c r="AZ46" s="35"/>
      <c r="BA46" s="35" t="str">
        <f>IF(DK46=0,"",DK46)</f>
        <v/>
      </c>
      <c r="BB46" s="35"/>
      <c r="BC46" s="93" t="str">
        <f>IFERROR(RANK(BA46,BA$6:BA$115,0),"")</f>
        <v/>
      </c>
      <c r="BD46" s="35"/>
      <c r="BE46" s="35"/>
      <c r="BF46" s="35" t="str">
        <f>IF(DM46=0,"",DM46)</f>
        <v/>
      </c>
      <c r="BG46" s="35"/>
      <c r="BH46" s="93" t="str">
        <f>IFERROR(RANK(BF46,BF$6:BF$115,0),"")</f>
        <v/>
      </c>
      <c r="BI46" s="35"/>
      <c r="BJ46" s="35"/>
      <c r="BK46" s="35" t="str">
        <f>IF(DO46=0,"",DO46)</f>
        <v/>
      </c>
      <c r="BL46" s="35"/>
      <c r="BM46" s="93" t="str">
        <f>IFERROR(RANK(BK46,BK$6:BK$115,0),"")</f>
        <v/>
      </c>
      <c r="BN46" s="35"/>
      <c r="BO46" s="35"/>
      <c r="BP46" s="35" t="str">
        <f>IF(DQ46=0,"",DQ46)</f>
        <v/>
      </c>
      <c r="BQ46" s="35"/>
      <c r="BR46" s="93" t="str">
        <f>IFERROR(RANK(BP46,BP$6:BP$115,0),"")</f>
        <v/>
      </c>
      <c r="BS46" s="35"/>
      <c r="BT46" s="35"/>
      <c r="BU46" s="35" t="str">
        <f>IF(DS46=0,"",DS46)</f>
        <v/>
      </c>
      <c r="BV46" s="35"/>
      <c r="BW46" s="93" t="str">
        <f>IFERROR(RANK(BU46,BU$6:BU$115,0),"")</f>
        <v/>
      </c>
      <c r="BX46" s="35"/>
      <c r="BY46" s="35"/>
      <c r="BZ46" s="35" t="str">
        <f>IF(DU46=0,"",DU46)</f>
        <v/>
      </c>
      <c r="CA46" s="35"/>
      <c r="CB46" s="93" t="str">
        <f>IFERROR(RANK(BZ46,BZ$6:BZ$115,0),"")</f>
        <v/>
      </c>
      <c r="CC46" s="35"/>
      <c r="CD46" s="35"/>
      <c r="CE46" s="35" t="str">
        <f>IF(DW46=0,"",DW46)</f>
        <v/>
      </c>
      <c r="CF46" s="35"/>
      <c r="CG46" s="93" t="str">
        <f>IFERROR(RANK(CE46,CE$6:CE$115,0),"")</f>
        <v/>
      </c>
      <c r="CH46" s="35"/>
      <c r="CI46" s="35"/>
      <c r="CJ46" s="35" t="str">
        <f>IF(DY46=0,"",DY46)</f>
        <v/>
      </c>
      <c r="CK46" s="35"/>
      <c r="CL46" s="93" t="str">
        <f>IFERROR(RANK(CJ46,CJ$6:CJ$115,0),"")</f>
        <v/>
      </c>
      <c r="CM46" s="35"/>
      <c r="CN46" s="35"/>
      <c r="CO46" s="35" t="str">
        <f>IF(EA46=0,"",EA46)</f>
        <v/>
      </c>
      <c r="CP46" s="35"/>
      <c r="CQ46" s="93" t="str">
        <f>IFERROR(RANK(CO46,CO$6:CO$115,0),"")</f>
        <v/>
      </c>
      <c r="CR46" s="35"/>
      <c r="CS46" s="31">
        <v>28</v>
      </c>
      <c r="CT46" s="36">
        <f ca="1">IFERROR(AVERAGE(OFFSET('Data - For Rank'!B$2,J46,0,COUNTIF($J$7:J$115,J46)))+IFERROR(VLOOKUP((COUNT($H$6:$H$115)/4),$ER$8:$ES$12,2,FALSE()),0),"")</f>
        <v>4.5</v>
      </c>
      <c r="CU46" s="31"/>
      <c r="CV46" s="36" t="str">
        <f ca="1">IFERROR(AVERAGE(OFFSET('Data - For Rank'!$C$2,O46,0,COUNTIF(O$7:O$115,O46)))+IFERROR(VLOOKUP((COUNT(M$6:M$115)/4),$ER$8:$ES$12,2,FALSE()),0),"")</f>
        <v/>
      </c>
      <c r="CW46" s="31"/>
      <c r="CX46" s="36" t="str">
        <f ca="1">IFERROR(AVERAGE(OFFSET('Data - For Rank'!D$2,T46,0,COUNTIF(T$7:T$115,T46)))+IFERROR(VLOOKUP((COUNT(R$6:R$115)/4),$ER$8:$ES$12,2,FALSE()),0),"")</f>
        <v/>
      </c>
      <c r="CY46" s="31">
        <v>28</v>
      </c>
      <c r="CZ46" s="36">
        <f ca="1">IFERROR(AVERAGE(OFFSET('Data - For Rank'!E$2,Y46,0,COUNTIF(Y$7:Y$115,Y46)))+IFERROR(VLOOKUP((COUNT(W$6:W$115)/4),$ER$8:$ES$12,2,FALSE()),0),"")</f>
        <v>8.5</v>
      </c>
      <c r="DA46" s="31">
        <v>30</v>
      </c>
      <c r="DB46" s="36">
        <f ca="1">IFERROR(AVERAGE(OFFSET('Data - For Rank'!F$2,AD46,0,COUNTIF(AD$7:AD$115,AD46)))+IFERROR(VLOOKUP((COUNT(AB$6:AB$115)/4),$ER$8:$ES$12,2,FALSE()),0),"")</f>
        <v>8.5</v>
      </c>
      <c r="DC46" s="31"/>
      <c r="DD46" s="36" t="str">
        <f ca="1">IFERROR(AVERAGE(OFFSET('Data - For Rank'!G$2,AI46,0,COUNTIF(AI$7:AI$115,AI46)))+IFERROR(VLOOKUP((COUNT(AG$6:AG$115)/4),$ER$8:$ES$12,2,FALSE()),0),"")</f>
        <v/>
      </c>
      <c r="DE46" s="31"/>
      <c r="DF46" s="36" t="str">
        <f ca="1">IFERROR(AVERAGE(OFFSET('Data - For Rank'!$H$2,AN46,0,COUNTIF(AN$7:AN$115,AN46)))+IFERROR(VLOOKUP((COUNT(AL$6:AL$115)/4),$ER$8:$ES$12,2,FALSE()),0),"")</f>
        <v/>
      </c>
      <c r="DG46" s="31"/>
      <c r="DH46" s="36" t="str">
        <f ca="1">IFERROR(AVERAGE(OFFSET('Data - For Rank'!$I$2,AS46,0,COUNTIF(AS$7:AS$115,AS46)))+IFERROR(VLOOKUP((COUNT(AQ$6:AQ$115)/4),$ER$8:$ES$12,2,FALSE()),0),"")</f>
        <v/>
      </c>
      <c r="DI46" s="31"/>
      <c r="DJ46" s="36" t="str">
        <f ca="1">IFERROR(AVERAGE(OFFSET('Data - For Rank'!$J$2,AX46,0,COUNTIF(AX$7:AX$115,AX46)))+IFERROR(VLOOKUP((COUNT(AV$6:AV$115)/4),$ER$8:$ES$12,2,FALSE()),0),"")</f>
        <v/>
      </c>
      <c r="DK46" s="31"/>
      <c r="DL46" s="36" t="str">
        <f ca="1">IFERROR(AVERAGE(OFFSET('Data - For Rank'!$K$2,BC46,0,COUNTIF(BC$7:BC$115,BC46)))+IFERROR(VLOOKUP((COUNT(BA$6:BA$115)/4),$ER$8:$ES$12,2,FALSE()),0),"")</f>
        <v/>
      </c>
      <c r="DM46" s="31"/>
      <c r="DN46" s="36" t="str">
        <f ca="1">IFERROR(AVERAGE(OFFSET('Data - For Rank'!$L$2,BH46,0,COUNTIF(BH$7:BH$115,BH46)))+IFERROR(VLOOKUP((COUNT(BF$6:BF$115)/4),$ER$8:$ES$12,2,FALSE()),0),"")</f>
        <v/>
      </c>
      <c r="DO46" s="31"/>
      <c r="DP46" s="36" t="str">
        <f ca="1">IFERROR(AVERAGE(OFFSET('Data - For Rank'!$M$2,BM46,0,COUNTIF(BM$7:BM$115,BM46)))+IFERROR(VLOOKUP((COUNT(BK$6:BK$115)/4),$ER$8:$ES$12,2,FALSE()),0),"")</f>
        <v/>
      </c>
      <c r="DQ46" s="31"/>
      <c r="DR46" s="36" t="str">
        <f ca="1">IFERROR(AVERAGE(OFFSET('Data - For Rank'!$N$2,BR46,0,COUNTIF(BR$7:BR$115,BR46)))+IFERROR(VLOOKUP((COUNT(BP$6:BP$115)/4),$ER$8:$ES$12,2,FALSE()),0),"")</f>
        <v/>
      </c>
      <c r="DS46" s="31"/>
      <c r="DT46" s="36" t="str">
        <f ca="1">IFERROR(AVERAGE(OFFSET('Data - For Rank'!$O$2,BW46,0,COUNTIF(BW$7:BW$115,BW46)))+IFERROR(VLOOKUP((COUNT(BU$6:BU$115)/4),$ER$8:$ES$12,2,FALSE()),0),"")</f>
        <v/>
      </c>
      <c r="DU46" s="31"/>
      <c r="DV46" s="36" t="str">
        <f ca="1">IFERROR(AVERAGE(OFFSET('Data - For Rank'!$P$2,CB46,0,COUNTIF(CB$7:CB$115,CB46)))+IFERROR(VLOOKUP((COUNT(BZ$6:BZ$115)/4),$ER$8:$ES$12,2,FALSE()),0),"")</f>
        <v/>
      </c>
      <c r="DW46" s="31"/>
      <c r="DX46" s="36" t="str">
        <f ca="1">IFERROR(AVERAGE(OFFSET('Data - For Rank'!$Q$2,CG46,0,COUNTIF(CG$7:CG$115,CG46)))+IFERROR(VLOOKUP((COUNT(CE$6:CE$115)/4),$ER$8:$ES$12,2,FALSE()),0),"")</f>
        <v/>
      </c>
      <c r="DY46" s="31"/>
      <c r="DZ46" s="36" t="str">
        <f ca="1">IFERROR(AVERAGE(OFFSET('Data - For Rank'!$R$2,CL46,0,COUNTIF(CL$7:CL$115,CL46)))+IFERROR(VLOOKUP((COUNT(CJ$6:CJ$115)/4),$ER$8:$ES$12,2,FALSE()),0),"")</f>
        <v/>
      </c>
      <c r="EA46" s="31"/>
      <c r="EB46" s="36" t="str">
        <f ca="1">IFERROR(AVERAGE(OFFSET('Data - For Rank'!$S$2,CQ46,0,COUNTIF(CQ$7:CQ$115,CQ46)))+IFERROR(VLOOKUP((COUNT(CO$6:CO$115)/4),$ER$8:$ES$12,2,FALSE()),0),"")</f>
        <v/>
      </c>
      <c r="EC46" s="37">
        <f>AVERAGE(CS46,CU46,CW46,CY46,DA46,DC46,DE46,DG46,DI46,DK46,DM46,DO46,DQ46,DS46,DU46,DW46,DY46,EA46)</f>
        <v>28.666666666666668</v>
      </c>
      <c r="ED46" s="33">
        <f t="shared" ca="1" si="1"/>
        <v>7.166666666666667</v>
      </c>
      <c r="ET46" s="87"/>
    </row>
    <row r="47" spans="2:151" s="15" customFormat="1" outlineLevel="1" x14ac:dyDescent="0.2">
      <c r="B47" s="38">
        <f ca="1">B45+0.0215</f>
        <v>13.0215</v>
      </c>
      <c r="D47" s="87" t="s">
        <v>121</v>
      </c>
      <c r="E47" s="39" t="s">
        <v>39</v>
      </c>
      <c r="F47" s="40">
        <f ca="1">IF(COUNT(CT45:EB45)&gt;10,SMALL(G45:CN45,COUNT(G45:CN45)-10),MIN(CT45:EB45))</f>
        <v>9.5</v>
      </c>
      <c r="G47" s="40"/>
      <c r="H47" s="40"/>
      <c r="I47" s="96">
        <f>IF(CS47=0,"",CS47)</f>
        <v>-12</v>
      </c>
      <c r="J47" s="96"/>
      <c r="K47" s="97">
        <f>IFERROR(_xlfn.RANK.EQ(I47,I$6:I$115,0),"")</f>
        <v>14</v>
      </c>
      <c r="L47" s="40"/>
      <c r="M47" s="40"/>
      <c r="N47" s="96" t="str">
        <f>IF(CU47=0,"",CU47)</f>
        <v/>
      </c>
      <c r="O47" s="96"/>
      <c r="P47" s="97" t="str">
        <f>IFERROR(_xlfn.RANK.EQ(N47,N$6:N$115,0),"")</f>
        <v/>
      </c>
      <c r="Q47" s="40"/>
      <c r="R47" s="40"/>
      <c r="S47" s="96" t="str">
        <f>IF(CW47=0,"",CW47)</f>
        <v/>
      </c>
      <c r="T47" s="96"/>
      <c r="U47" s="97" t="str">
        <f>IFERROR(_xlfn.RANK.EQ(S47,S$6:S$115,0),"")</f>
        <v/>
      </c>
      <c r="V47" s="40"/>
      <c r="W47" s="40"/>
      <c r="X47" s="96">
        <f>IF(CY47=0,"",CY47)</f>
        <v>-17</v>
      </c>
      <c r="Y47" s="96"/>
      <c r="Z47" s="97">
        <f>IFERROR(_xlfn.RANK.EQ(X47,X$6:X$115,0),"")</f>
        <v>7</v>
      </c>
      <c r="AA47" s="40"/>
      <c r="AB47" s="40"/>
      <c r="AC47" s="96">
        <f>IF(DA47=0,"",DA47)</f>
        <v>4</v>
      </c>
      <c r="AD47" s="96"/>
      <c r="AE47" s="97">
        <f>IFERROR(_xlfn.RANK.EQ(AC47,AC$6:AC$115,0),"")</f>
        <v>10</v>
      </c>
      <c r="AF47" s="40"/>
      <c r="AG47" s="40"/>
      <c r="AH47" s="96" t="str">
        <f>IF(DC47=0,"",DC47)</f>
        <v/>
      </c>
      <c r="AI47" s="96"/>
      <c r="AJ47" s="97" t="str">
        <f>IFERROR(_xlfn.RANK.EQ(AH47,AH$6:AH$115,0),"")</f>
        <v/>
      </c>
      <c r="AK47" s="40"/>
      <c r="AL47" s="40"/>
      <c r="AM47" s="96" t="str">
        <f>IF(DE47=0,"",DE47)</f>
        <v/>
      </c>
      <c r="AN47" s="96"/>
      <c r="AO47" s="97" t="str">
        <f>IFERROR(_xlfn.RANK.EQ(AM47,AM$6:AM$115,0),"")</f>
        <v/>
      </c>
      <c r="AP47" s="40"/>
      <c r="AQ47" s="40"/>
      <c r="AR47" s="96" t="str">
        <f>IF(DG47=0,"",DG47)</f>
        <v/>
      </c>
      <c r="AS47" s="96"/>
      <c r="AT47" s="97" t="str">
        <f>IFERROR(_xlfn.RANK.EQ(AR47,AR$6:AR$115,0),"")</f>
        <v/>
      </c>
      <c r="AU47" s="40"/>
      <c r="AV47" s="40"/>
      <c r="AW47" s="96" t="str">
        <f>IF(DI47=0,"",DI47)</f>
        <v/>
      </c>
      <c r="AX47" s="96"/>
      <c r="AY47" s="97" t="str">
        <f>IFERROR(_xlfn.RANK.EQ(AW47,AW$6:AW$115,0),"")</f>
        <v/>
      </c>
      <c r="AZ47" s="40"/>
      <c r="BA47" s="40"/>
      <c r="BB47" s="96" t="str">
        <f>IF(DK47=0,"",DK47)</f>
        <v/>
      </c>
      <c r="BC47" s="96"/>
      <c r="BD47" s="97" t="str">
        <f>IFERROR(_xlfn.RANK.EQ(BB47,BB$6:BB$115,0),"")</f>
        <v/>
      </c>
      <c r="BE47" s="40"/>
      <c r="BF47" s="40"/>
      <c r="BG47" s="96" t="str">
        <f>IF(DM47=0,"",DM47)</f>
        <v/>
      </c>
      <c r="BH47" s="96"/>
      <c r="BI47" s="97" t="str">
        <f>IFERROR(_xlfn.RANK.EQ(BG47,BG$6:BG$115,0),"")</f>
        <v/>
      </c>
      <c r="BJ47" s="40"/>
      <c r="BK47" s="40"/>
      <c r="BL47" s="96" t="str">
        <f>IF(DO47=0,"",DO47)</f>
        <v/>
      </c>
      <c r="BM47" s="96"/>
      <c r="BN47" s="97" t="str">
        <f>IFERROR(_xlfn.RANK.EQ(BL47,BL$6:BL$115,0),"")</f>
        <v/>
      </c>
      <c r="BO47" s="40"/>
      <c r="BP47" s="40"/>
      <c r="BQ47" s="96" t="str">
        <f>IF(DQ47=0,"",DQ47)</f>
        <v/>
      </c>
      <c r="BR47" s="96"/>
      <c r="BS47" s="97" t="str">
        <f>IFERROR(_xlfn.RANK.EQ(BQ47,BQ$6:BQ$115,0),"")</f>
        <v/>
      </c>
      <c r="BT47" s="40"/>
      <c r="BU47" s="40"/>
      <c r="BV47" s="96" t="str">
        <f>IF(DS47=0,"",DS47)</f>
        <v/>
      </c>
      <c r="BW47" s="96"/>
      <c r="BX47" s="97" t="str">
        <f>IFERROR(_xlfn.RANK.EQ(BV47,BV$6:BV$115,0),"")</f>
        <v/>
      </c>
      <c r="BY47" s="40"/>
      <c r="BZ47" s="40"/>
      <c r="CA47" s="96" t="str">
        <f>IF(DU47=0,"",DU47)</f>
        <v/>
      </c>
      <c r="CB47" s="96"/>
      <c r="CC47" s="97" t="str">
        <f>IFERROR(_xlfn.RANK.EQ(CA47,CA$6:CA$115,0),"")</f>
        <v/>
      </c>
      <c r="CD47" s="40"/>
      <c r="CE47" s="40"/>
      <c r="CF47" s="96" t="str">
        <f>IF(DW47=0,"",DW47)</f>
        <v/>
      </c>
      <c r="CG47" s="96"/>
      <c r="CH47" s="97" t="str">
        <f>IFERROR(_xlfn.RANK.EQ(CF47,CF$6:CF$115,0),"")</f>
        <v/>
      </c>
      <c r="CI47" s="40"/>
      <c r="CJ47" s="40"/>
      <c r="CK47" s="96" t="str">
        <f>IF(DY47=0,"",DY47)</f>
        <v/>
      </c>
      <c r="CL47" s="96"/>
      <c r="CM47" s="97" t="str">
        <f>IFERROR(_xlfn.RANK.EQ(CK47,CK$6:CK$115,0),"")</f>
        <v/>
      </c>
      <c r="CN47" s="40"/>
      <c r="CO47" s="40"/>
      <c r="CP47" s="96" t="str">
        <f>IF(EA47=0,"",EA47)</f>
        <v/>
      </c>
      <c r="CQ47" s="96"/>
      <c r="CR47" s="97" t="str">
        <f>IFERROR(_xlfn.RANK.EQ(CP47,CP$6:CP$115,0),"")</f>
        <v/>
      </c>
      <c r="CS47" s="41">
        <v>-12</v>
      </c>
      <c r="CT47" s="42">
        <f ca="1">IFERROR(AVERAGE(OFFSET('Data - For Rank'!B$2,K47,0,COUNTIF(K$6:K$115,K47)))+IFERROR(VLOOKUP((COUNT($I$6:$I$115)/4),$ER$8:$ES$12,2,FALSE()),0),"")</f>
        <v>5</v>
      </c>
      <c r="CU47" s="41"/>
      <c r="CV47" s="42" t="str">
        <f ca="1">IFERROR(AVERAGE(OFFSET('Data - For Rank'!$C$2,P47,0,COUNTIF(P$6:P$115,P47)))+IFERROR(VLOOKUP((COUNT(N$6:N$115)/4),$ER$8:$ES$12,2,FALSE()),0),"")</f>
        <v/>
      </c>
      <c r="CW47" s="41"/>
      <c r="CX47" s="42" t="str">
        <f ca="1">IFERROR(AVERAGE(OFFSET('Data - For Rank'!D$2,U47,0,COUNTIF(U$6:$U154,U47)))+IFERROR(VLOOKUP((COUNT(S$6:S$115)/4),$ER$8:$ES$12,2,FALSE()),0),"")</f>
        <v/>
      </c>
      <c r="CY47" s="41">
        <v>-17</v>
      </c>
      <c r="CZ47" s="42">
        <f ca="1">IFERROR(AVERAGE(OFFSET('Data - For Rank'!E$2,Z47,0,COUNTIF(Z$6:Z$115,Z47)))+IFERROR(VLOOKUP((COUNT(W$6:W$115)/4),$ER$8:$ES$12,2,FALSE()),0),"")</f>
        <v>8</v>
      </c>
      <c r="DA47" s="41">
        <v>4</v>
      </c>
      <c r="DB47" s="42">
        <f ca="1">IFERROR(AVERAGE(OFFSET('Data - For Rank'!F$2,AE47,0,COUNTIF(AE$6:AE$115,AE47)))+IFERROR(VLOOKUP((COUNT(AC$6:AC$115)/4),$ER$8:$ES$12,2,FALSE()),0),"")</f>
        <v>9</v>
      </c>
      <c r="DC47" s="41"/>
      <c r="DD47" s="42" t="str">
        <f ca="1">IFERROR(AVERAGE(OFFSET('Data - For Rank'!G$2,AJ47,0,COUNTIF(AJ$6:AJ$115,AJ47)))+IFERROR(VLOOKUP((COUNT(AH$6:AH$115)/4),$ER$8:$ES$12,2,FALSE()),0),"")</f>
        <v/>
      </c>
      <c r="DE47" s="41"/>
      <c r="DF47" s="42" t="str">
        <f ca="1">IFERROR(AVERAGE(OFFSET('Data - For Rank'!$H$2,AO47,0,COUNTIF(AO$6:AO$115,AO47)))+IFERROR(VLOOKUP((COUNT(AM$6:AM$115)/4),$ER$8:$ES$12,2,FALSE()),0),"")</f>
        <v/>
      </c>
      <c r="DG47" s="41"/>
      <c r="DH47" s="42" t="str">
        <f ca="1">IFERROR(AVERAGE(OFFSET('Data - For Rank'!$I$2,AT47,0,COUNTIF(AT$6:AT$115,AT47)))+IFERROR(VLOOKUP((COUNT(AR$6:AR$115)/4),$ER$8:$ES$12,2,FALSE()),0),"")</f>
        <v/>
      </c>
      <c r="DI47" s="41"/>
      <c r="DJ47" s="42" t="str">
        <f ca="1">IFERROR(AVERAGE(OFFSET('Data - For Rank'!$J$2,AY47,0,COUNTIF(AY$6:AY$115,AY47)))+IFERROR(VLOOKUP((COUNT(AW$6:AW$115)/4),$ER$8:$ES$12,2,FALSE()),0),"")</f>
        <v/>
      </c>
      <c r="DK47" s="41"/>
      <c r="DL47" s="42" t="str">
        <f ca="1">IFERROR(AVERAGE(OFFSET('Data - For Rank'!$K$2,BD47,0,COUNTIF(BD$6:BD$115,BD47)))+IFERROR(VLOOKUP((COUNT(BB$6:BB$115)/4),$ER$8:$ES$12,2,FALSE()),0),"")</f>
        <v/>
      </c>
      <c r="DM47" s="41"/>
      <c r="DN47" s="42" t="str">
        <f ca="1">IFERROR(AVERAGE(OFFSET('Data - For Rank'!$L$2,BI47,0,COUNTIF(BI$6:BI$115,BI47)))+IFERROR(VLOOKUP((COUNT(BG$6:BG$115)/4),$ER$8:$ES$12,2,FALSE()),0),"")</f>
        <v/>
      </c>
      <c r="DO47" s="41"/>
      <c r="DP47" s="42" t="str">
        <f ca="1">IFERROR(AVERAGE(OFFSET('Data - For Rank'!$M$2,BN47,0,COUNTIF(BN$6:BN$115,BN47)))+IFERROR(VLOOKUP((COUNT(BL$6:BL$115)/4),$ER$8:$ES$12,2,FALSE()),0),"")</f>
        <v/>
      </c>
      <c r="DQ47" s="41"/>
      <c r="DR47" s="42" t="str">
        <f ca="1">IFERROR(AVERAGE(OFFSET('Data - For Rank'!$N$2,BS47,0,COUNTIF(BS$6:BS$115,BS47)))+IFERROR(VLOOKUP((COUNT(BQ$6:BQ$115)/4),$ER$8:$ES$12,2,FALSE()),0),"")</f>
        <v/>
      </c>
      <c r="DS47" s="41"/>
      <c r="DT47" s="42" t="str">
        <f ca="1">IFERROR(AVERAGE(OFFSET('Data - For Rank'!$O$2,BX47,0,COUNTIF(BX$6:BX$115,BX47)))+IFERROR(VLOOKUP((COUNT(BV$6:BV$115)/4),$ER$8:$ES$12,2,FALSE()),0),"")</f>
        <v/>
      </c>
      <c r="DU47" s="41"/>
      <c r="DV47" s="42" t="str">
        <f ca="1">IFERROR(AVERAGE(OFFSET('Data - For Rank'!$P$2,CC47,0,COUNTIF(CC$6:CC$115,CC47)))+IFERROR(VLOOKUP((COUNT(CA$6:CA$115)/4),$ER$8:$ES$12,2,FALSE()),0),"")</f>
        <v/>
      </c>
      <c r="DW47" s="41"/>
      <c r="DX47" s="42" t="str">
        <f ca="1">IFERROR(AVERAGE(OFFSET('Data - For Rank'!$Q$2,CH47,0,COUNTIF(CH$6:CH$115,CH47)))+IFERROR(VLOOKUP((COUNT(CF$6:CF$115)/4),$ER$8:$ES$12,2,FALSE()),0),"")</f>
        <v/>
      </c>
      <c r="DY47" s="41"/>
      <c r="DZ47" s="42" t="str">
        <f ca="1">IFERROR(AVERAGE(OFFSET('Data - For Rank'!$R$2,CM47,0,COUNTIF(CM$6:CM$115,CM47)))+IFERROR(VLOOKUP((COUNT(CK$6:CK$115)/4),$ER$8:$ES$12,2,FALSE()),0),"")</f>
        <v/>
      </c>
      <c r="EA47" s="41"/>
      <c r="EB47" s="42" t="str">
        <f ca="1">IFERROR(AVERAGE(OFFSET('Data - For Rank'!$S$2,CR47,0,COUNTIF(CR$6:CR$115,CR47)))+IFERROR(VLOOKUP((COUNT(CP$6:CP$115)/4),$ER$8:$ES$12,2,FALSE()),0),"")</f>
        <v/>
      </c>
      <c r="EC47" s="43">
        <f>CS47+CU47+CW47+CY47+DA47+DC47+DE47+DG47+DI47+DK47+DM47+DO47+DQ47+DS47+DU47+DW47+DY47+EA47</f>
        <v>-25</v>
      </c>
      <c r="ED47" s="44">
        <f t="shared" ca="1" si="1"/>
        <v>7.333333333333333</v>
      </c>
      <c r="ET47" s="87"/>
    </row>
    <row r="48" spans="2:151" x14ac:dyDescent="0.2">
      <c r="B48" s="21">
        <f ca="1">_xlfn.RANK.EQ(C48,$C$6:$C$63,)</f>
        <v>15</v>
      </c>
      <c r="C48" s="56">
        <f ca="1">EC48</f>
        <v>34</v>
      </c>
      <c r="D48" s="56" t="s">
        <v>122</v>
      </c>
      <c r="E48" s="45" t="s">
        <v>53</v>
      </c>
      <c r="F48" s="30">
        <f ca="1">COUNT(CT48,CV48,CX48,CZ48,DB48,DD48,DF48,DH48,DJ48,DL48,DN48,DP48,DR48,DT48,DV48,DX48,DZ48,EB48)</f>
        <v>3</v>
      </c>
      <c r="G48" s="93">
        <f ca="1">IF(CT48=0,"",CT48)</f>
        <v>9</v>
      </c>
      <c r="H48" s="93"/>
      <c r="I48" s="93"/>
      <c r="K48" s="93"/>
      <c r="L48" s="93" t="str">
        <f ca="1">IF(CV48=0,"",CV48)</f>
        <v/>
      </c>
      <c r="M48" s="93"/>
      <c r="N48" s="93"/>
      <c r="P48" s="93"/>
      <c r="Q48" s="93">
        <f ca="1">IF(CX48=0,"",CX48)</f>
        <v>11</v>
      </c>
      <c r="R48" s="93"/>
      <c r="S48" s="93"/>
      <c r="U48" s="93"/>
      <c r="V48" s="93" t="str">
        <f ca="1">IF(CZ48=0,"",CZ48)</f>
        <v/>
      </c>
      <c r="W48" s="93"/>
      <c r="X48" s="93"/>
      <c r="Z48" s="93"/>
      <c r="AA48" s="93">
        <f ca="1">IF(DB48=0,"",DB48)</f>
        <v>14</v>
      </c>
      <c r="AB48" s="93"/>
      <c r="AC48" s="93"/>
      <c r="AE48" s="93"/>
      <c r="AF48" s="93" t="str">
        <f ca="1">IF(DD48=0,"",DD48)</f>
        <v/>
      </c>
      <c r="AG48" s="93"/>
      <c r="AH48" s="93"/>
      <c r="AJ48" s="93"/>
      <c r="AK48" s="93" t="str">
        <f ca="1">IF(DF48=0,"",DF48)</f>
        <v/>
      </c>
      <c r="AL48" s="93"/>
      <c r="AM48" s="93"/>
      <c r="AO48" s="93"/>
      <c r="AP48" s="93" t="str">
        <f ca="1">IF(DH48=0,"",DH48)</f>
        <v/>
      </c>
      <c r="AQ48" s="93"/>
      <c r="AR48" s="93"/>
      <c r="AT48" s="93"/>
      <c r="AU48" s="93" t="str">
        <f ca="1">IF(DJ48=0,"",DJ48)</f>
        <v/>
      </c>
      <c r="AV48" s="93"/>
      <c r="AW48" s="93"/>
      <c r="AY48" s="93"/>
      <c r="AZ48" s="93" t="str">
        <f ca="1">IF(DL48=0,"",DL48)</f>
        <v/>
      </c>
      <c r="BA48" s="93"/>
      <c r="BB48" s="93"/>
      <c r="BD48" s="93"/>
      <c r="BE48" s="93" t="str">
        <f ca="1">IF(DN48=0,"",DN48)</f>
        <v/>
      </c>
      <c r="BF48" s="93"/>
      <c r="BG48" s="93"/>
      <c r="BI48" s="93"/>
      <c r="BJ48" s="93" t="str">
        <f ca="1">IF(DP48=0,"",DP48)</f>
        <v/>
      </c>
      <c r="BK48" s="93"/>
      <c r="BL48" s="93"/>
      <c r="BN48" s="93"/>
      <c r="BO48" s="93" t="str">
        <f ca="1">IF(DR48=0,"",DR48)</f>
        <v/>
      </c>
      <c r="BP48" s="93"/>
      <c r="BQ48" s="93"/>
      <c r="BS48" s="93"/>
      <c r="BT48" s="93" t="str">
        <f ca="1">IF(DT48=0,"",DT48)</f>
        <v/>
      </c>
      <c r="BU48" s="93"/>
      <c r="BV48" s="93"/>
      <c r="BX48" s="93"/>
      <c r="BY48" s="93" t="str">
        <f ca="1">IF(DV48=0,"",DV48)</f>
        <v/>
      </c>
      <c r="BZ48" s="93"/>
      <c r="CA48" s="93"/>
      <c r="CC48" s="93"/>
      <c r="CD48" s="93" t="str">
        <f ca="1">IF(DX48=0,"",DX48)</f>
        <v/>
      </c>
      <c r="CE48" s="93"/>
      <c r="CF48" s="93"/>
      <c r="CH48" s="93"/>
      <c r="CI48" s="93" t="str">
        <f ca="1">IF(DZ48=0,"",DZ48)</f>
        <v/>
      </c>
      <c r="CJ48" s="93"/>
      <c r="CK48" s="93"/>
      <c r="CM48" s="93"/>
      <c r="CN48" s="93" t="str">
        <f ca="1">IF(EB48=0,"",EB48)</f>
        <v/>
      </c>
      <c r="CO48" s="93"/>
      <c r="CP48" s="93"/>
      <c r="CR48" s="93"/>
      <c r="CS48" s="31">
        <v>97</v>
      </c>
      <c r="CT48" s="32">
        <f ca="1">IFERROR(CT49+CT50,"")</f>
        <v>9</v>
      </c>
      <c r="CU48" s="31"/>
      <c r="CV48" s="32" t="str">
        <f ca="1">IFERROR(CV49+CV50,"")</f>
        <v/>
      </c>
      <c r="CW48" s="31">
        <v>125</v>
      </c>
      <c r="CX48" s="32">
        <f ca="1">IFERROR(CX49+CX50,"")</f>
        <v>11</v>
      </c>
      <c r="CY48" s="31"/>
      <c r="CZ48" s="32" t="str">
        <f ca="1">IFERROR(CZ49+CZ50,"")</f>
        <v/>
      </c>
      <c r="DA48" s="31">
        <v>107</v>
      </c>
      <c r="DB48" s="32">
        <f ca="1">IFERROR(DB49+DB50,"")</f>
        <v>14</v>
      </c>
      <c r="DC48" s="31"/>
      <c r="DD48" s="32" t="str">
        <f ca="1">IFERROR(DD49+DD50,"")</f>
        <v/>
      </c>
      <c r="DE48" s="31"/>
      <c r="DF48" s="32" t="str">
        <f ca="1">IFERROR(DF49+DF50,"")</f>
        <v/>
      </c>
      <c r="DG48" s="31"/>
      <c r="DH48" s="32" t="str">
        <f ca="1">IFERROR(DH49+DH50,"")</f>
        <v/>
      </c>
      <c r="DI48" s="31"/>
      <c r="DJ48" s="32" t="str">
        <f ca="1">IFERROR(DJ49+DJ50,"")</f>
        <v/>
      </c>
      <c r="DK48" s="31"/>
      <c r="DL48" s="32" t="str">
        <f ca="1">IFERROR(DL49+DL50,"")</f>
        <v/>
      </c>
      <c r="DM48" s="31"/>
      <c r="DN48" s="32" t="str">
        <f ca="1">IFERROR(DN49+DN50,"")</f>
        <v/>
      </c>
      <c r="DO48" s="31"/>
      <c r="DP48" s="32" t="str">
        <f ca="1">IFERROR(DP49+DP50,"")</f>
        <v/>
      </c>
      <c r="DQ48" s="31"/>
      <c r="DR48" s="32" t="str">
        <f ca="1">IFERROR(DR49+DR50,"")</f>
        <v/>
      </c>
      <c r="DS48" s="31"/>
      <c r="DT48" s="32" t="str">
        <f ca="1">IFERROR(DT49+DT50,"")</f>
        <v/>
      </c>
      <c r="DU48" s="31"/>
      <c r="DV48" s="32" t="str">
        <f ca="1">IFERROR(DV49+DV50,"")</f>
        <v/>
      </c>
      <c r="DW48" s="31"/>
      <c r="DX48" s="32" t="str">
        <f ca="1">IFERROR(DX49+DX50,"")</f>
        <v/>
      </c>
      <c r="DY48" s="31"/>
      <c r="DZ48" s="32" t="str">
        <f ca="1">IFERROR(DZ49+DZ50,"")</f>
        <v/>
      </c>
      <c r="EA48" s="31"/>
      <c r="EB48" s="32" t="str">
        <f ca="1">IFERROR(EB49+EB50,"")</f>
        <v/>
      </c>
      <c r="EC48" s="26">
        <f ca="1">IFERROR(LARGE($G48:$CN48,1),0)+IFERROR(LARGE($G48:$CN48,2),0)+IFERROR(LARGE($G48:$CN48,3),0)+IFERROR(LARGE($G48:$CN48,4),0)+IFERROR(LARGE($G48:$CN48,5),0)+IFERROR(LARGE($G48:$CN48,6),0)+IFERROR(LARGE($G48:$CN48,7),0)+IFERROR(LARGE($G48:$CN48,8),0)+IFERROR(LARGE($G48:$CN48,9),0)+IFERROR(LARGE($G48:$CN48,10),0)</f>
        <v>34</v>
      </c>
      <c r="ED48" s="33">
        <f t="shared" ca="1" si="1"/>
        <v>11.333333333333334</v>
      </c>
      <c r="ET48" s="87"/>
    </row>
    <row r="49" spans="2:150" s="15" customFormat="1" outlineLevel="1" x14ac:dyDescent="0.2">
      <c r="B49" s="34">
        <f ca="1">B48+0.116</f>
        <v>15.116</v>
      </c>
      <c r="D49" s="87" t="s">
        <v>123</v>
      </c>
      <c r="E49" s="35" t="s">
        <v>38</v>
      </c>
      <c r="F49" s="35"/>
      <c r="G49" s="35"/>
      <c r="H49" s="35">
        <f>IF(CS49=0,"",CS49)</f>
        <v>26</v>
      </c>
      <c r="I49" s="35"/>
      <c r="J49" s="93">
        <f>IFERROR(RANK(H49,H$6:H$115,0),"")</f>
        <v>16</v>
      </c>
      <c r="K49" s="35"/>
      <c r="L49" s="35"/>
      <c r="M49" s="35" t="str">
        <f>IF(CU49=0,"",CU49)</f>
        <v/>
      </c>
      <c r="N49" s="35"/>
      <c r="O49" s="93" t="str">
        <f>IFERROR(RANK(M49,M$6:M$115,0),"")</f>
        <v/>
      </c>
      <c r="P49" s="35"/>
      <c r="Q49" s="35"/>
      <c r="R49" s="35">
        <f>IF(CW49=0,"",CW49)</f>
        <v>8</v>
      </c>
      <c r="S49" s="35"/>
      <c r="T49" s="93">
        <f>IFERROR(RANK(R49,R$6:R$115,0),"")</f>
        <v>12</v>
      </c>
      <c r="U49" s="35"/>
      <c r="V49" s="35"/>
      <c r="W49" s="35" t="str">
        <f>IF(CY49=0,"",CY49)</f>
        <v/>
      </c>
      <c r="X49" s="35"/>
      <c r="Y49" s="93" t="str">
        <f>IFERROR(RANK(W49,W$6:W$115,0),"")</f>
        <v/>
      </c>
      <c r="Z49" s="35"/>
      <c r="AA49" s="35"/>
      <c r="AB49" s="35">
        <f>IF(DA49=0,"",DA49)</f>
        <v>19</v>
      </c>
      <c r="AC49" s="35"/>
      <c r="AD49" s="93">
        <f>IFERROR(RANK(AB49,AB$6:AB$115,0),"")</f>
        <v>15</v>
      </c>
      <c r="AE49" s="35"/>
      <c r="AF49" s="35"/>
      <c r="AG49" s="35" t="str">
        <f>IF(DC49=0,"",DC49)</f>
        <v/>
      </c>
      <c r="AH49" s="35"/>
      <c r="AI49" s="93" t="str">
        <f>IFERROR(RANK(AG49,AG$6:AG$115,0),"")</f>
        <v/>
      </c>
      <c r="AJ49" s="35"/>
      <c r="AK49" s="35"/>
      <c r="AL49" s="35" t="str">
        <f>IF(DE49=0,"",DE49)</f>
        <v/>
      </c>
      <c r="AM49" s="35"/>
      <c r="AN49" s="93" t="str">
        <f>IFERROR(RANK(AL49,AL$6:AL$115,0),"")</f>
        <v/>
      </c>
      <c r="AO49" s="35"/>
      <c r="AP49" s="35"/>
      <c r="AQ49" s="35" t="str">
        <f>IF(DG49=0,"",DG49)</f>
        <v/>
      </c>
      <c r="AR49" s="35"/>
      <c r="AS49" s="93" t="str">
        <f>IFERROR(RANK(AQ49,AQ$6:AQ$115,0),"")</f>
        <v/>
      </c>
      <c r="AT49" s="35"/>
      <c r="AU49" s="35"/>
      <c r="AV49" s="35" t="str">
        <f>IF(DI49=0,"",DI49)</f>
        <v/>
      </c>
      <c r="AW49" s="35"/>
      <c r="AX49" s="93" t="str">
        <f>IFERROR(RANK(AV49,AV$6:AV$115,0),"")</f>
        <v/>
      </c>
      <c r="AY49" s="35"/>
      <c r="AZ49" s="35"/>
      <c r="BA49" s="35" t="str">
        <f>IF(DK49=0,"",DK49)</f>
        <v/>
      </c>
      <c r="BB49" s="35"/>
      <c r="BC49" s="93" t="str">
        <f>IFERROR(RANK(BA49,BA$6:BA$115,0),"")</f>
        <v/>
      </c>
      <c r="BD49" s="35"/>
      <c r="BE49" s="35"/>
      <c r="BF49" s="35" t="str">
        <f>IF(DM49=0,"",DM49)</f>
        <v/>
      </c>
      <c r="BG49" s="35"/>
      <c r="BH49" s="93" t="str">
        <f>IFERROR(RANK(BF49,BF$6:BF$115,0),"")</f>
        <v/>
      </c>
      <c r="BI49" s="35"/>
      <c r="BJ49" s="35"/>
      <c r="BK49" s="35" t="str">
        <f>IF(DO49=0,"",DO49)</f>
        <v/>
      </c>
      <c r="BL49" s="35"/>
      <c r="BM49" s="93" t="str">
        <f>IFERROR(RANK(BK49,BK$6:BK$115,0),"")</f>
        <v/>
      </c>
      <c r="BN49" s="35"/>
      <c r="BO49" s="35"/>
      <c r="BP49" s="35" t="str">
        <f>IF(DQ49=0,"",DQ49)</f>
        <v/>
      </c>
      <c r="BQ49" s="35"/>
      <c r="BR49" s="93" t="str">
        <f>IFERROR(RANK(BP49,BP$6:BP$115,0),"")</f>
        <v/>
      </c>
      <c r="BS49" s="35"/>
      <c r="BT49" s="35"/>
      <c r="BU49" s="35" t="str">
        <f>IF(DS49=0,"",DS49)</f>
        <v/>
      </c>
      <c r="BV49" s="35"/>
      <c r="BW49" s="93" t="str">
        <f>IFERROR(RANK(BU49,BU$6:BU$115,0),"")</f>
        <v/>
      </c>
      <c r="BX49" s="35"/>
      <c r="BY49" s="35"/>
      <c r="BZ49" s="35" t="str">
        <f>IF(DU49=0,"",DU49)</f>
        <v/>
      </c>
      <c r="CA49" s="35"/>
      <c r="CB49" s="93" t="str">
        <f>IFERROR(RANK(BZ49,BZ$6:BZ$115,0),"")</f>
        <v/>
      </c>
      <c r="CC49" s="35"/>
      <c r="CD49" s="35"/>
      <c r="CE49" s="35" t="str">
        <f>IF(DW49=0,"",DW49)</f>
        <v/>
      </c>
      <c r="CF49" s="35"/>
      <c r="CG49" s="93" t="str">
        <f>IFERROR(RANK(CE49,CE$6:CE$115,0),"")</f>
        <v/>
      </c>
      <c r="CH49" s="35"/>
      <c r="CI49" s="35"/>
      <c r="CJ49" s="35" t="str">
        <f>IF(DY49=0,"",DY49)</f>
        <v/>
      </c>
      <c r="CK49" s="35"/>
      <c r="CL49" s="93" t="str">
        <f>IFERROR(RANK(CJ49,CJ$6:CJ$115,0),"")</f>
        <v/>
      </c>
      <c r="CM49" s="35"/>
      <c r="CN49" s="35"/>
      <c r="CO49" s="35" t="str">
        <f>IF(EA49=0,"",EA49)</f>
        <v/>
      </c>
      <c r="CP49" s="35"/>
      <c r="CQ49" s="93" t="str">
        <f>IFERROR(RANK(CO49,CO$6:CO$115,0),"")</f>
        <v/>
      </c>
      <c r="CR49" s="35"/>
      <c r="CS49" s="31">
        <v>26</v>
      </c>
      <c r="CT49" s="36">
        <f ca="1">IFERROR(AVERAGE(OFFSET('Data - For Rank'!B$2,J49,0,COUNTIF($J$7:J$115,J49)))+IFERROR(VLOOKUP((COUNT($H$6:$H$115)/4),$ER$8:$ES$12,2,FALSE()),0),"")</f>
        <v>3</v>
      </c>
      <c r="CU49" s="31"/>
      <c r="CV49" s="36" t="str">
        <f ca="1">IFERROR(AVERAGE(OFFSET('Data - For Rank'!$C$2,O49,0,COUNTIF(O$7:O$115,O49)))+IFERROR(VLOOKUP((COUNT(M$6:M$115)/4),$ER$8:$ES$12,2,FALSE()),0),"")</f>
        <v/>
      </c>
      <c r="CW49" s="50">
        <v>8</v>
      </c>
      <c r="CX49" s="36">
        <f ca="1">IFERROR(AVERAGE(OFFSET('Data - For Rank'!D$2,T49,0,COUNTIF(T$7:T$115,T49)))+IFERROR(VLOOKUP((COUNT(R$6:R$115)/4),$ER$8:$ES$12,2,FALSE()),0),"")</f>
        <v>5</v>
      </c>
      <c r="CY49" s="31"/>
      <c r="CZ49" s="36" t="str">
        <f ca="1">IFERROR(AVERAGE(OFFSET('Data - For Rank'!E$2,Y49,0,COUNTIF(Y$7:Y$115,Y49)))+IFERROR(VLOOKUP((COUNT(W$6:W$115)/4),$ER$8:$ES$12,2,FALSE()),0),"")</f>
        <v/>
      </c>
      <c r="DA49" s="31">
        <v>19</v>
      </c>
      <c r="DB49" s="36">
        <f ca="1">IFERROR(AVERAGE(OFFSET('Data - For Rank'!F$2,AD49,0,COUNTIF(AD$7:AD$115,AD49)))+IFERROR(VLOOKUP((COUNT(AB$6:AB$115)/4),$ER$8:$ES$12,2,FALSE()),0),"")</f>
        <v>4</v>
      </c>
      <c r="DC49" s="31"/>
      <c r="DD49" s="36" t="str">
        <f ca="1">IFERROR(AVERAGE(OFFSET('Data - For Rank'!G$2,AI49,0,COUNTIF(AI$7:AI$115,AI49)))+IFERROR(VLOOKUP((COUNT(AG$6:AG$115)/4),$ER$8:$ES$12,2,FALSE()),0),"")</f>
        <v/>
      </c>
      <c r="DE49" s="31"/>
      <c r="DF49" s="36" t="str">
        <f ca="1">IFERROR(AVERAGE(OFFSET('Data - For Rank'!$H$2,AN49,0,COUNTIF(AN$7:AN$115,AN49)))+IFERROR(VLOOKUP((COUNT(AL$6:AL$115)/4),$ER$8:$ES$12,2,FALSE()),0),"")</f>
        <v/>
      </c>
      <c r="DG49" s="31"/>
      <c r="DH49" s="36" t="str">
        <f ca="1">IFERROR(AVERAGE(OFFSET('Data - For Rank'!$I$2,AS49,0,COUNTIF(AS$7:AS$115,AS49)))+IFERROR(VLOOKUP((COUNT(AQ$6:AQ$115)/4),$ER$8:$ES$12,2,FALSE()),0),"")</f>
        <v/>
      </c>
      <c r="DI49" s="31"/>
      <c r="DJ49" s="36" t="str">
        <f ca="1">IFERROR(AVERAGE(OFFSET('Data - For Rank'!$J$2,AX49,0,COUNTIF(AX$7:AX$115,AX49)))+IFERROR(VLOOKUP((COUNT(AV$6:AV$115)/4),$ER$8:$ES$12,2,FALSE()),0),"")</f>
        <v/>
      </c>
      <c r="DK49" s="31"/>
      <c r="DL49" s="36" t="str">
        <f ca="1">IFERROR(AVERAGE(OFFSET('Data - For Rank'!$K$2,BC49,0,COUNTIF(BC$7:BC$115,BC49)))+IFERROR(VLOOKUP((COUNT(BA$6:BA$115)/4),$ER$8:$ES$12,2,FALSE()),0),"")</f>
        <v/>
      </c>
      <c r="DM49" s="31"/>
      <c r="DN49" s="36" t="str">
        <f ca="1">IFERROR(AVERAGE(OFFSET('Data - For Rank'!$L$2,BH49,0,COUNTIF(BH$7:BH$115,BH49)))+IFERROR(VLOOKUP((COUNT(BF$6:BF$115)/4),$ER$8:$ES$12,2,FALSE()),0),"")</f>
        <v/>
      </c>
      <c r="DO49" s="31"/>
      <c r="DP49" s="36" t="str">
        <f ca="1">IFERROR(AVERAGE(OFFSET('Data - For Rank'!$M$2,BM49,0,COUNTIF(BM$7:BM$115,BM49)))+IFERROR(VLOOKUP((COUNT(BK$6:BK$115)/4),$ER$8:$ES$12,2,FALSE()),0),"")</f>
        <v/>
      </c>
      <c r="DQ49" s="31"/>
      <c r="DR49" s="36" t="str">
        <f ca="1">IFERROR(AVERAGE(OFFSET('Data - For Rank'!$N$2,BR49,0,COUNTIF(BR$7:BR$115,BR49)))+IFERROR(VLOOKUP((COUNT(BP$6:BP$115)/4),$ER$8:$ES$12,2,FALSE()),0),"")</f>
        <v/>
      </c>
      <c r="DS49" s="31"/>
      <c r="DT49" s="36" t="str">
        <f ca="1">IFERROR(AVERAGE(OFFSET('Data - For Rank'!$O$2,BW49,0,COUNTIF(BW$7:BW$115,BW49)))+IFERROR(VLOOKUP((COUNT(BU$6:BU$115)/4),$ER$8:$ES$12,2,FALSE()),0),"")</f>
        <v/>
      </c>
      <c r="DU49" s="31"/>
      <c r="DV49" s="36" t="str">
        <f ca="1">IFERROR(AVERAGE(OFFSET('Data - For Rank'!$P$2,CB49,0,COUNTIF(CB$7:CB$115,CB49)))+IFERROR(VLOOKUP((COUNT(BZ$6:BZ$115)/4),$ER$8:$ES$12,2,FALSE()),0),"")</f>
        <v/>
      </c>
      <c r="DW49" s="31"/>
      <c r="DX49" s="36" t="str">
        <f ca="1">IFERROR(AVERAGE(OFFSET('Data - For Rank'!$Q$2,CG49,0,COUNTIF(CG$7:CG$115,CG49)))+IFERROR(VLOOKUP((COUNT(CE$6:CE$115)/4),$ER$8:$ES$12,2,FALSE()),0),"")</f>
        <v/>
      </c>
      <c r="DY49" s="31"/>
      <c r="DZ49" s="36" t="str">
        <f ca="1">IFERROR(AVERAGE(OFFSET('Data - For Rank'!$R$2,CL49,0,COUNTIF(CL$7:CL$115,CL49)))+IFERROR(VLOOKUP((COUNT(CJ$6:CJ$115)/4),$ER$8:$ES$12,2,FALSE()),0),"")</f>
        <v/>
      </c>
      <c r="EA49" s="31"/>
      <c r="EB49" s="36" t="str">
        <f ca="1">IFERROR(AVERAGE(OFFSET('Data - For Rank'!$S$2,CQ49,0,COUNTIF(CQ$7:CQ$115,CQ49)))+IFERROR(VLOOKUP((COUNT(CO$6:CO$115)/4),$ER$8:$ES$12,2,FALSE()),0),"")</f>
        <v/>
      </c>
      <c r="EC49" s="37">
        <f>AVERAGE(CS49,CU49,CW49,CY49,DA49,DC49,DE49,DG49,DI49,DK49,DM49,DO49,DQ49,DS49,DU49,DW49,DY49,EA49)</f>
        <v>17.666666666666668</v>
      </c>
      <c r="ED49" s="33">
        <f ca="1">AVERAGE(CT49,CV49,CX49,CZ49,DB49,DD49,DF49,DH49,EF46,DL49,DN49,DP49,DR49,DT49,DV49,DX49,DZ49,EB49)</f>
        <v>4</v>
      </c>
      <c r="ET49" s="87"/>
    </row>
    <row r="50" spans="2:150" s="15" customFormat="1" outlineLevel="1" x14ac:dyDescent="0.2">
      <c r="B50" s="38">
        <f ca="1">B48+0.0216</f>
        <v>15.021599999999999</v>
      </c>
      <c r="D50" s="87" t="s">
        <v>124</v>
      </c>
      <c r="E50" s="49" t="s">
        <v>39</v>
      </c>
      <c r="F50" s="40">
        <f ca="1">IF(COUNT(CT48:EB48)&gt;10,SMALL(G48:CN48,COUNT(G48:CN48)-10),MIN(CT48:EB48))</f>
        <v>9</v>
      </c>
      <c r="G50" s="40"/>
      <c r="H50" s="40"/>
      <c r="I50" s="96">
        <f>IF(CS50=0,"",CS50)</f>
        <v>-11</v>
      </c>
      <c r="J50" s="96"/>
      <c r="K50" s="97">
        <f>IFERROR(_xlfn.RANK.EQ(I50,I$6:I$115,0),"")</f>
        <v>13</v>
      </c>
      <c r="L50" s="40"/>
      <c r="M50" s="40"/>
      <c r="N50" s="96" t="str">
        <f>IF(CU50=0,"",CU50)</f>
        <v/>
      </c>
      <c r="O50" s="96"/>
      <c r="P50" s="97" t="str">
        <f>IFERROR(_xlfn.RANK.EQ(N50,N$6:N$115,0),"")</f>
        <v/>
      </c>
      <c r="Q50" s="40"/>
      <c r="R50" s="40"/>
      <c r="S50" s="96">
        <f>IF(CW50=0,"",CW50)</f>
        <v>-15</v>
      </c>
      <c r="T50" s="96"/>
      <c r="U50" s="97">
        <f>IFERROR(_xlfn.RANK.EQ(S50,S$6:S$115,0),"")</f>
        <v>11</v>
      </c>
      <c r="V50" s="40"/>
      <c r="W50" s="40"/>
      <c r="X50" s="96" t="str">
        <f>IF(CY50=0,"",CY50)</f>
        <v/>
      </c>
      <c r="Y50" s="96"/>
      <c r="Z50" s="97" t="str">
        <f>IFERROR(_xlfn.RANK.EQ(X50,X$6:X$115,0),"")</f>
        <v/>
      </c>
      <c r="AA50" s="40"/>
      <c r="AB50" s="40"/>
      <c r="AC50" s="96">
        <f>IF(DA50=0,"",DA50)</f>
        <v>6</v>
      </c>
      <c r="AD50" s="96"/>
      <c r="AE50" s="97">
        <f>IFERROR(_xlfn.RANK.EQ(AC50,AC$6:AC$115,0),"")</f>
        <v>9</v>
      </c>
      <c r="AF50" s="40"/>
      <c r="AG50" s="40"/>
      <c r="AH50" s="96" t="str">
        <f>IF(DC50=0,"",DC50)</f>
        <v/>
      </c>
      <c r="AI50" s="96"/>
      <c r="AJ50" s="97" t="str">
        <f>IFERROR(_xlfn.RANK.EQ(AH50,AH$6:AH$115,0),"")</f>
        <v/>
      </c>
      <c r="AK50" s="40"/>
      <c r="AL50" s="40"/>
      <c r="AM50" s="96" t="str">
        <f>IF(DE50=0,"",DE50)</f>
        <v/>
      </c>
      <c r="AN50" s="96"/>
      <c r="AO50" s="97" t="str">
        <f>IFERROR(_xlfn.RANK.EQ(AM50,AM$6:AM$115,0),"")</f>
        <v/>
      </c>
      <c r="AP50" s="40"/>
      <c r="AQ50" s="40"/>
      <c r="AR50" s="96" t="str">
        <f>IF(DG50=0,"",DG50)</f>
        <v/>
      </c>
      <c r="AS50" s="96"/>
      <c r="AT50" s="97" t="str">
        <f>IFERROR(_xlfn.RANK.EQ(AR50,AR$6:AR$115,0),"")</f>
        <v/>
      </c>
      <c r="AU50" s="40"/>
      <c r="AV50" s="40"/>
      <c r="AW50" s="96" t="str">
        <f>IF(DI50=0,"",DI50)</f>
        <v/>
      </c>
      <c r="AX50" s="96"/>
      <c r="AY50" s="97" t="str">
        <f>IFERROR(_xlfn.RANK.EQ(AW50,AW$6:AW$115,0),"")</f>
        <v/>
      </c>
      <c r="AZ50" s="40"/>
      <c r="BA50" s="40"/>
      <c r="BB50" s="96" t="str">
        <f>IF(DK50=0,"",DK50)</f>
        <v/>
      </c>
      <c r="BC50" s="96"/>
      <c r="BD50" s="97" t="str">
        <f>IFERROR(_xlfn.RANK.EQ(BB50,BB$6:BB$115,0),"")</f>
        <v/>
      </c>
      <c r="BE50" s="40"/>
      <c r="BF50" s="40"/>
      <c r="BG50" s="96" t="str">
        <f>IF(DM50=0,"",DM50)</f>
        <v/>
      </c>
      <c r="BH50" s="96"/>
      <c r="BI50" s="97" t="str">
        <f>IFERROR(_xlfn.RANK.EQ(BG50,BG$6:BG$115,0),"")</f>
        <v/>
      </c>
      <c r="BJ50" s="40"/>
      <c r="BK50" s="40"/>
      <c r="BL50" s="96" t="str">
        <f>IF(DO50=0,"",DO50)</f>
        <v/>
      </c>
      <c r="BM50" s="96"/>
      <c r="BN50" s="97" t="str">
        <f>IFERROR(_xlfn.RANK.EQ(BL50,BL$6:BL$115,0),"")</f>
        <v/>
      </c>
      <c r="BO50" s="40"/>
      <c r="BP50" s="40"/>
      <c r="BQ50" s="96" t="str">
        <f>IF(DQ50=0,"",DQ50)</f>
        <v/>
      </c>
      <c r="BR50" s="96"/>
      <c r="BS50" s="97" t="str">
        <f>IFERROR(_xlfn.RANK.EQ(BQ50,BQ$6:BQ$115,0),"")</f>
        <v/>
      </c>
      <c r="BT50" s="40"/>
      <c r="BU50" s="40"/>
      <c r="BV50" s="96" t="str">
        <f>IF(DS50=0,"",DS50)</f>
        <v/>
      </c>
      <c r="BW50" s="96"/>
      <c r="BX50" s="97" t="str">
        <f>IFERROR(_xlfn.RANK.EQ(BV50,BV$6:BV$115,0),"")</f>
        <v/>
      </c>
      <c r="BY50" s="40"/>
      <c r="BZ50" s="40"/>
      <c r="CA50" s="96" t="str">
        <f>IF(DU50=0,"",DU50)</f>
        <v/>
      </c>
      <c r="CB50" s="96"/>
      <c r="CC50" s="97" t="str">
        <f>IFERROR(_xlfn.RANK.EQ(CA50,CA$6:CA$115,0),"")</f>
        <v/>
      </c>
      <c r="CD50" s="40"/>
      <c r="CE50" s="40"/>
      <c r="CF50" s="96" t="str">
        <f>IF(DW50=0,"",DW50)</f>
        <v/>
      </c>
      <c r="CG50" s="96"/>
      <c r="CH50" s="97" t="str">
        <f>IFERROR(_xlfn.RANK.EQ(CF50,CF$6:CF$115,0),"")</f>
        <v/>
      </c>
      <c r="CI50" s="40"/>
      <c r="CJ50" s="40"/>
      <c r="CK50" s="96" t="str">
        <f>IF(DY50=0,"",DY50)</f>
        <v/>
      </c>
      <c r="CL50" s="96"/>
      <c r="CM50" s="97" t="str">
        <f>IFERROR(_xlfn.RANK.EQ(CK50,CK$6:CK$115,0),"")</f>
        <v/>
      </c>
      <c r="CN50" s="40"/>
      <c r="CO50" s="40"/>
      <c r="CP50" s="96" t="str">
        <f>IF(EA50=0,"",EA50)</f>
        <v/>
      </c>
      <c r="CQ50" s="96"/>
      <c r="CR50" s="97" t="str">
        <f>IFERROR(_xlfn.RANK.EQ(CP50,CP$6:CP$115,0),"")</f>
        <v/>
      </c>
      <c r="CS50" s="41">
        <v>-11</v>
      </c>
      <c r="CT50" s="42">
        <f ca="1">IFERROR(AVERAGE(OFFSET('Data - For Rank'!B$2,K50,0,COUNTIF(K$6:K$115,K50)))+IFERROR(VLOOKUP((COUNT($I$6:$I$115)/4),$ER$8:$ES$12,2,FALSE()),0),"")</f>
        <v>6</v>
      </c>
      <c r="CU50" s="41"/>
      <c r="CV50" s="42" t="str">
        <f ca="1">IFERROR(AVERAGE(OFFSET('Data - For Rank'!$C$2,P50,0,COUNTIF(P$6:P$115,P50)))+IFERROR(VLOOKUP((COUNT(N$6:N$115)/4),$ER$8:$ES$12,2,FALSE()),0),"")</f>
        <v/>
      </c>
      <c r="CW50" s="41">
        <v>-15</v>
      </c>
      <c r="CX50" s="42">
        <f ca="1">IFERROR(AVERAGE(OFFSET('Data - For Rank'!D$2,U50,0,COUNTIF(U$6:$U157,U50)))+IFERROR(VLOOKUP((COUNT(S$6:S$115)/4),$ER$8:$ES$12,2,FALSE()),0),"")</f>
        <v>6</v>
      </c>
      <c r="CY50" s="41"/>
      <c r="CZ50" s="42" t="str">
        <f ca="1">IFERROR(AVERAGE(OFFSET('Data - For Rank'!E$2,Z50,0,COUNTIF(Z$6:Z$115,Z50)))+IFERROR(VLOOKUP((COUNT(W$6:W$115)/4),$ER$8:$ES$12,2,FALSE()),0),"")</f>
        <v/>
      </c>
      <c r="DA50" s="41">
        <v>6</v>
      </c>
      <c r="DB50" s="42">
        <f ca="1">IFERROR(AVERAGE(OFFSET('Data - For Rank'!F$2,AE50,0,COUNTIF(AE$6:AE$115,AE50)))+IFERROR(VLOOKUP((COUNT(AC$6:AC$115)/4),$ER$8:$ES$12,2,FALSE()),0),"")</f>
        <v>10</v>
      </c>
      <c r="DC50" s="41"/>
      <c r="DD50" s="42" t="str">
        <f ca="1">IFERROR(AVERAGE(OFFSET('Data - For Rank'!G$2,AJ50,0,COUNTIF(AJ$6:AJ$115,AJ50)))+IFERROR(VLOOKUP((COUNT(AH$6:AH$115)/4),$ER$8:$ES$12,2,FALSE()),0),"")</f>
        <v/>
      </c>
      <c r="DE50" s="41"/>
      <c r="DF50" s="42" t="str">
        <f ca="1">IFERROR(AVERAGE(OFFSET('Data - For Rank'!$H$2,AO50,0,COUNTIF(AO$6:AO$115,AO50)))+IFERROR(VLOOKUP((COUNT(AM$6:AM$115)/4),$ER$8:$ES$12,2,FALSE()),0),"")</f>
        <v/>
      </c>
      <c r="DG50" s="41"/>
      <c r="DH50" s="42" t="str">
        <f ca="1">IFERROR(AVERAGE(OFFSET('Data - For Rank'!$I$2,AT50,0,COUNTIF(AT$6:AT$115,AT50)))+IFERROR(VLOOKUP((COUNT(AR$6:AR$115)/4),$ER$8:$ES$12,2,FALSE()),0),"")</f>
        <v/>
      </c>
      <c r="DI50" s="41"/>
      <c r="DJ50" s="42" t="str">
        <f ca="1">IFERROR(AVERAGE(OFFSET('Data - For Rank'!$J$2,AY50,0,COUNTIF(AY$6:AY$115,AY50)))+IFERROR(VLOOKUP((COUNT(AW$6:AW$115)/4),$ER$8:$ES$12,2,FALSE()),0),"")</f>
        <v/>
      </c>
      <c r="DK50" s="41"/>
      <c r="DL50" s="42" t="str">
        <f ca="1">IFERROR(AVERAGE(OFFSET('Data - For Rank'!$K$2,BD50,0,COUNTIF(BD$6:BD$115,BD50)))+IFERROR(VLOOKUP((COUNT(BB$6:BB$115)/4),$ER$8:$ES$12,2,FALSE()),0),"")</f>
        <v/>
      </c>
      <c r="DM50" s="41"/>
      <c r="DN50" s="42" t="str">
        <f ca="1">IFERROR(AVERAGE(OFFSET('Data - For Rank'!$L$2,BI50,0,COUNTIF(BI$6:BI$115,BI50)))+IFERROR(VLOOKUP((COUNT(BG$6:BG$115)/4),$ER$8:$ES$12,2,FALSE()),0),"")</f>
        <v/>
      </c>
      <c r="DO50" s="41"/>
      <c r="DP50" s="42" t="str">
        <f ca="1">IFERROR(AVERAGE(OFFSET('Data - For Rank'!$M$2,BN50,0,COUNTIF(BN$6:BN$115,BN50)))+IFERROR(VLOOKUP((COUNT(BL$6:BL$115)/4),$ER$8:$ES$12,2,FALSE()),0),"")</f>
        <v/>
      </c>
      <c r="DQ50" s="41"/>
      <c r="DR50" s="42" t="str">
        <f ca="1">IFERROR(AVERAGE(OFFSET('Data - For Rank'!$N$2,BS50,0,COUNTIF(BS$6:BS$115,BS50)))+IFERROR(VLOOKUP((COUNT(BQ$6:BQ$115)/4),$ER$8:$ES$12,2,FALSE()),0),"")</f>
        <v/>
      </c>
      <c r="DS50" s="41"/>
      <c r="DT50" s="42" t="str">
        <f ca="1">IFERROR(AVERAGE(OFFSET('Data - For Rank'!$O$2,BX50,0,COUNTIF(BX$6:BX$115,BX50)))+IFERROR(VLOOKUP((COUNT(BV$6:BV$115)/4),$ER$8:$ES$12,2,FALSE()),0),"")</f>
        <v/>
      </c>
      <c r="DU50" s="41"/>
      <c r="DV50" s="42" t="str">
        <f ca="1">IFERROR(AVERAGE(OFFSET('Data - For Rank'!$P$2,CC50,0,COUNTIF(CC$6:CC$115,CC50)))+IFERROR(VLOOKUP((COUNT(CA$6:CA$115)/4),$ER$8:$ES$12,2,FALSE()),0),"")</f>
        <v/>
      </c>
      <c r="DW50" s="41"/>
      <c r="DX50" s="42" t="str">
        <f ca="1">IFERROR(AVERAGE(OFFSET('Data - For Rank'!$Q$2,CH50,0,COUNTIF(CH$6:CH$115,CH50)))+IFERROR(VLOOKUP((COUNT(CF$6:CF$115)/4),$ER$8:$ES$12,2,FALSE()),0),"")</f>
        <v/>
      </c>
      <c r="DY50" s="41"/>
      <c r="DZ50" s="42" t="str">
        <f ca="1">IFERROR(AVERAGE(OFFSET('Data - For Rank'!$R$2,CM50,0,COUNTIF(CM$6:CM$115,CM50)))+IFERROR(VLOOKUP((COUNT(CK$6:CK$115)/4),$ER$8:$ES$12,2,FALSE()),0),"")</f>
        <v/>
      </c>
      <c r="EA50" s="41"/>
      <c r="EB50" s="42" t="str">
        <f ca="1">IFERROR(AVERAGE(OFFSET('Data - For Rank'!$S$2,CR50,0,COUNTIF(CR$6:CR$115,CR50)))+IFERROR(VLOOKUP((COUNT(CP$6:CP$115)/4),$ER$8:$ES$12,2,FALSE()),0),"")</f>
        <v/>
      </c>
      <c r="EC50" s="43">
        <f>CS50+CU50+CW50+CY50+DA50+DC50+DE50+DG50+DI50+DK50+DM50+DO50+DQ50+DS50+DU50+DW50+DY50+EA50</f>
        <v>-20</v>
      </c>
      <c r="ED50" s="44">
        <f ca="1">AVERAGE(CT50,CV50,CX50,CZ50,DB50,DD50,DF50,DH50,DJ50,DL50,DN50,DP50,DR50,DT50,DV50,DX50,DZ50,EB50)</f>
        <v>7.333333333333333</v>
      </c>
      <c r="ET50" s="87"/>
    </row>
    <row r="51" spans="2:150" x14ac:dyDescent="0.2">
      <c r="B51" s="21">
        <f ca="1">_xlfn.RANK.EQ(C51,$C$6:$C$63,)</f>
        <v>16</v>
      </c>
      <c r="C51" s="56">
        <f ca="1">EC51</f>
        <v>33.5</v>
      </c>
      <c r="D51" s="56" t="s">
        <v>125</v>
      </c>
      <c r="E51" s="29" t="s">
        <v>54</v>
      </c>
      <c r="F51" s="30">
        <f ca="1">COUNT(CT51,CV51,CX51,CZ51,DB51,DD51,DF51,DH51,DJ51,DL51,DN51,DP51,DR51,DT51,DV51,DX51,DZ51,EB51)</f>
        <v>2</v>
      </c>
      <c r="G51" s="93">
        <f ca="1">IF(CT51=0,"",CT51)</f>
        <v>15.5</v>
      </c>
      <c r="H51" s="93"/>
      <c r="I51" s="93"/>
      <c r="K51" s="93"/>
      <c r="L51" s="93" t="str">
        <f ca="1">IF(CV51=0,"",CV51)</f>
        <v/>
      </c>
      <c r="M51" s="93"/>
      <c r="N51" s="93"/>
      <c r="P51" s="93"/>
      <c r="Q51" s="93">
        <f ca="1">IF(CX51=0,"",CX51)</f>
        <v>18</v>
      </c>
      <c r="R51" s="93"/>
      <c r="S51" s="93"/>
      <c r="U51" s="93"/>
      <c r="V51" s="93" t="str">
        <f ca="1">IF(CZ51=0,"",CZ51)</f>
        <v/>
      </c>
      <c r="W51" s="93"/>
      <c r="X51" s="93"/>
      <c r="Z51" s="93"/>
      <c r="AA51" s="93" t="str">
        <f ca="1">IF(DB51=0,"",DB51)</f>
        <v/>
      </c>
      <c r="AB51" s="93"/>
      <c r="AC51" s="93"/>
      <c r="AE51" s="93"/>
      <c r="AF51" s="93" t="str">
        <f ca="1">IF(DD51=0,"",DD51)</f>
        <v/>
      </c>
      <c r="AG51" s="93"/>
      <c r="AH51" s="93"/>
      <c r="AJ51" s="93"/>
      <c r="AK51" s="93" t="str">
        <f ca="1">IF(DF51=0,"",DF51)</f>
        <v/>
      </c>
      <c r="AL51" s="93"/>
      <c r="AM51" s="93"/>
      <c r="AO51" s="93"/>
      <c r="AP51" s="93" t="str">
        <f ca="1">IF(DH51=0,"",DH51)</f>
        <v/>
      </c>
      <c r="AQ51" s="93"/>
      <c r="AR51" s="93"/>
      <c r="AT51" s="93"/>
      <c r="AU51" s="93" t="str">
        <f ca="1">IF(DJ51=0,"",DJ51)</f>
        <v/>
      </c>
      <c r="AV51" s="93"/>
      <c r="AW51" s="93"/>
      <c r="AY51" s="93"/>
      <c r="AZ51" s="93" t="str">
        <f ca="1">IF(DL51=0,"",DL51)</f>
        <v/>
      </c>
      <c r="BA51" s="93"/>
      <c r="BB51" s="93"/>
      <c r="BD51" s="93"/>
      <c r="BE51" s="93" t="str">
        <f ca="1">IF(DN51=0,"",DN51)</f>
        <v/>
      </c>
      <c r="BF51" s="93"/>
      <c r="BG51" s="93"/>
      <c r="BI51" s="93"/>
      <c r="BJ51" s="93" t="str">
        <f ca="1">IF(DP51=0,"",DP51)</f>
        <v/>
      </c>
      <c r="BK51" s="93"/>
      <c r="BL51" s="93"/>
      <c r="BN51" s="93"/>
      <c r="BO51" s="93" t="str">
        <f ca="1">IF(DR51=0,"",DR51)</f>
        <v/>
      </c>
      <c r="BP51" s="93"/>
      <c r="BQ51" s="93"/>
      <c r="BS51" s="93"/>
      <c r="BT51" s="93" t="str">
        <f ca="1">IF(DT51=0,"",DT51)</f>
        <v/>
      </c>
      <c r="BU51" s="93"/>
      <c r="BV51" s="93"/>
      <c r="BX51" s="93"/>
      <c r="BY51" s="93" t="str">
        <f ca="1">IF(DV51=0,"",DV51)</f>
        <v/>
      </c>
      <c r="BZ51" s="93"/>
      <c r="CA51" s="93"/>
      <c r="CC51" s="93"/>
      <c r="CD51" s="93" t="str">
        <f ca="1">IF(DX51=0,"",DX51)</f>
        <v/>
      </c>
      <c r="CE51" s="93"/>
      <c r="CF51" s="93"/>
      <c r="CH51" s="93"/>
      <c r="CI51" s="93" t="str">
        <f ca="1">IF(DZ51=0,"",DZ51)</f>
        <v/>
      </c>
      <c r="CJ51" s="93"/>
      <c r="CK51" s="93"/>
      <c r="CM51" s="93"/>
      <c r="CN51" s="93" t="str">
        <f ca="1">IF(EB51=0,"",EB51)</f>
        <v/>
      </c>
      <c r="CO51" s="93"/>
      <c r="CP51" s="93"/>
      <c r="CR51" s="93"/>
      <c r="CS51" s="31">
        <v>99</v>
      </c>
      <c r="CT51" s="32">
        <f ca="1">IFERROR(CT52+CT53,"")</f>
        <v>15.5</v>
      </c>
      <c r="CU51" s="31"/>
      <c r="CV51" s="32" t="str">
        <f ca="1">IFERROR(CV52+CV53,"")</f>
        <v/>
      </c>
      <c r="CW51" s="31">
        <v>103</v>
      </c>
      <c r="CX51" s="32">
        <f ca="1">IFERROR(CX52+CX53,"")</f>
        <v>18</v>
      </c>
      <c r="CY51" s="31"/>
      <c r="CZ51" s="32" t="str">
        <f ca="1">IFERROR(CZ52+CZ53,"")</f>
        <v/>
      </c>
      <c r="DA51" s="31"/>
      <c r="DB51" s="32" t="str">
        <f ca="1">IFERROR(DB52+DB53,"")</f>
        <v/>
      </c>
      <c r="DC51" s="31"/>
      <c r="DD51" s="32" t="str">
        <f ca="1">IFERROR(DD52+DD53,"")</f>
        <v/>
      </c>
      <c r="DE51" s="31"/>
      <c r="DF51" s="32" t="str">
        <f ca="1">IFERROR(DF52+DF53,"")</f>
        <v/>
      </c>
      <c r="DG51" s="31"/>
      <c r="DH51" s="32" t="str">
        <f ca="1">IFERROR(DH52+DH53,"")</f>
        <v/>
      </c>
      <c r="DI51" s="31"/>
      <c r="DJ51" s="32" t="str">
        <f ca="1">IFERROR(DJ52+DJ53,"")</f>
        <v/>
      </c>
      <c r="DK51" s="31"/>
      <c r="DL51" s="32" t="str">
        <f ca="1">IFERROR(DL52+DL53,"")</f>
        <v/>
      </c>
      <c r="DM51" s="31"/>
      <c r="DN51" s="32" t="str">
        <f ca="1">IFERROR(DN52+DN53,"")</f>
        <v/>
      </c>
      <c r="DO51" s="31"/>
      <c r="DP51" s="32" t="str">
        <f ca="1">IFERROR(DP52+DP53,"")</f>
        <v/>
      </c>
      <c r="DQ51" s="31"/>
      <c r="DR51" s="32" t="str">
        <f ca="1">IFERROR(DR52+DR53,"")</f>
        <v/>
      </c>
      <c r="DS51" s="31"/>
      <c r="DT51" s="32" t="str">
        <f ca="1">IFERROR(DT52+DT53,"")</f>
        <v/>
      </c>
      <c r="DU51" s="31"/>
      <c r="DV51" s="32" t="str">
        <f ca="1">IFERROR(DV52+DV53,"")</f>
        <v/>
      </c>
      <c r="DW51" s="31"/>
      <c r="DX51" s="32" t="str">
        <f ca="1">IFERROR(DX52+DX53,"")</f>
        <v/>
      </c>
      <c r="DY51" s="31"/>
      <c r="DZ51" s="32" t="str">
        <f ca="1">IFERROR(DZ52+DZ53,"")</f>
        <v/>
      </c>
      <c r="EA51" s="31"/>
      <c r="EB51" s="32" t="str">
        <f ca="1">IFERROR(EB52+EB53,"")</f>
        <v/>
      </c>
      <c r="EC51" s="26">
        <f ca="1">IFERROR(LARGE($G51:$CN51,1),0)+IFERROR(LARGE($G51:$CN51,2),0)+IFERROR(LARGE($G51:$CN51,3),0)+IFERROR(LARGE($G51:$CN51,4),0)+IFERROR(LARGE($G51:$CN51,5),0)+IFERROR(LARGE($G51:$CN51,6),0)+IFERROR(LARGE($G51:$CN51,7),0)+IFERROR(LARGE($G51:$CN51,8),0)+IFERROR(LARGE($G51:$CN51,9),0)+IFERROR(LARGE($G51:$CN51,10),0)</f>
        <v>33.5</v>
      </c>
      <c r="ED51" s="33">
        <f ca="1">AVERAGE(CT51,CV51,CX51,CZ51,DB51,DD51,DF51,DH51,DJ51,DL51,DN51,DP51,DR51,DT51,DV51,DX51,DZ51,EB51)</f>
        <v>16.75</v>
      </c>
      <c r="ET51" s="87"/>
    </row>
    <row r="52" spans="2:150" s="15" customFormat="1" outlineLevel="1" x14ac:dyDescent="0.2">
      <c r="B52" s="34">
        <f ca="1">B51+0.117</f>
        <v>16.117000000000001</v>
      </c>
      <c r="D52" s="87" t="s">
        <v>126</v>
      </c>
      <c r="E52" s="35" t="s">
        <v>38</v>
      </c>
      <c r="F52" s="35"/>
      <c r="G52" s="35"/>
      <c r="H52" s="35">
        <f>IF(CS52=0,"",CS52)</f>
        <v>28</v>
      </c>
      <c r="I52" s="35"/>
      <c r="J52" s="93">
        <f>IFERROR(RANK(H52,H$6:H$115,0),"")</f>
        <v>14</v>
      </c>
      <c r="K52" s="35"/>
      <c r="L52" s="35"/>
      <c r="M52" s="35" t="str">
        <f>IF(CU52=0,"",CU52)</f>
        <v/>
      </c>
      <c r="N52" s="35"/>
      <c r="O52" s="93" t="str">
        <f>IFERROR(RANK(M52,M$6:M$115,0),"")</f>
        <v/>
      </c>
      <c r="P52" s="35"/>
      <c r="Q52" s="35"/>
      <c r="R52" s="35">
        <f>IF(CW52=0,"",CW52)</f>
        <v>26</v>
      </c>
      <c r="S52" s="35"/>
      <c r="T52" s="93">
        <f>IFERROR(RANK(R52,R$6:R$115,0),"")</f>
        <v>9</v>
      </c>
      <c r="U52" s="35"/>
      <c r="V52" s="35"/>
      <c r="W52" s="35" t="str">
        <f>IF(CY52=0,"",CY52)</f>
        <v/>
      </c>
      <c r="X52" s="35"/>
      <c r="Y52" s="93" t="str">
        <f>IFERROR(RANK(W52,W$6:W$115,0),"")</f>
        <v/>
      </c>
      <c r="Z52" s="35"/>
      <c r="AA52" s="35"/>
      <c r="AB52" s="35" t="str">
        <f>IF(DA52=0,"",DA52)</f>
        <v/>
      </c>
      <c r="AC52" s="35"/>
      <c r="AD52" s="93" t="str">
        <f>IFERROR(RANK(AB52,AB$6:AB$115,0),"")</f>
        <v/>
      </c>
      <c r="AE52" s="35"/>
      <c r="AF52" s="35"/>
      <c r="AG52" s="35" t="str">
        <f>IF(DC52=0,"",DC52)</f>
        <v/>
      </c>
      <c r="AH52" s="35"/>
      <c r="AI52" s="93" t="str">
        <f>IFERROR(RANK(AG52,AG$6:AG$115,0),"")</f>
        <v/>
      </c>
      <c r="AJ52" s="35"/>
      <c r="AK52" s="35"/>
      <c r="AL52" s="35" t="str">
        <f>IF(DE52=0,"",DE52)</f>
        <v/>
      </c>
      <c r="AM52" s="35"/>
      <c r="AN52" s="93" t="str">
        <f>IFERROR(RANK(AL52,AL$6:AL$115,0),"")</f>
        <v/>
      </c>
      <c r="AO52" s="35"/>
      <c r="AP52" s="35"/>
      <c r="AQ52" s="35" t="str">
        <f>IF(DG52=0,"",DG52)</f>
        <v/>
      </c>
      <c r="AR52" s="35"/>
      <c r="AS52" s="93" t="str">
        <f>IFERROR(RANK(AQ52,AQ$6:AQ$115,0),"")</f>
        <v/>
      </c>
      <c r="AT52" s="35"/>
      <c r="AU52" s="35"/>
      <c r="AV52" s="35" t="str">
        <f>IF(DI52=0,"",DI52)</f>
        <v/>
      </c>
      <c r="AW52" s="35"/>
      <c r="AX52" s="93" t="str">
        <f>IFERROR(RANK(AV52,AV$6:AV$115,0),"")</f>
        <v/>
      </c>
      <c r="AY52" s="35"/>
      <c r="AZ52" s="35"/>
      <c r="BA52" s="35" t="str">
        <f>IF(DK52=0,"",DK52)</f>
        <v/>
      </c>
      <c r="BB52" s="35"/>
      <c r="BC52" s="93" t="str">
        <f>IFERROR(RANK(BA52,BA$6:BA$115,0),"")</f>
        <v/>
      </c>
      <c r="BD52" s="35"/>
      <c r="BE52" s="35"/>
      <c r="BF52" s="35" t="str">
        <f>IF(DM52=0,"",DM52)</f>
        <v/>
      </c>
      <c r="BG52" s="35"/>
      <c r="BH52" s="93" t="str">
        <f>IFERROR(RANK(BF52,BF$6:BF$115,0),"")</f>
        <v/>
      </c>
      <c r="BI52" s="35"/>
      <c r="BJ52" s="35"/>
      <c r="BK52" s="35" t="str">
        <f>IF(DO52=0,"",DO52)</f>
        <v/>
      </c>
      <c r="BL52" s="35"/>
      <c r="BM52" s="93" t="str">
        <f>IFERROR(RANK(BK52,BK$6:BK$115,0),"")</f>
        <v/>
      </c>
      <c r="BN52" s="35"/>
      <c r="BO52" s="35"/>
      <c r="BP52" s="35" t="str">
        <f>IF(DQ52=0,"",DQ52)</f>
        <v/>
      </c>
      <c r="BQ52" s="35"/>
      <c r="BR52" s="93" t="str">
        <f>IFERROR(RANK(BP52,BP$6:BP$115,0),"")</f>
        <v/>
      </c>
      <c r="BS52" s="35"/>
      <c r="BT52" s="35"/>
      <c r="BU52" s="35" t="str">
        <f>IF(DS52=0,"",DS52)</f>
        <v/>
      </c>
      <c r="BV52" s="35"/>
      <c r="BW52" s="93" t="str">
        <f>IFERROR(RANK(BU52,BU$6:BU$115,0),"")</f>
        <v/>
      </c>
      <c r="BX52" s="35"/>
      <c r="BY52" s="35"/>
      <c r="BZ52" s="35" t="str">
        <f>IF(DU52=0,"",DU52)</f>
        <v/>
      </c>
      <c r="CA52" s="35"/>
      <c r="CB52" s="93" t="str">
        <f>IFERROR(RANK(BZ52,BZ$6:BZ$115,0),"")</f>
        <v/>
      </c>
      <c r="CC52" s="35"/>
      <c r="CD52" s="35"/>
      <c r="CE52" s="35" t="str">
        <f>IF(DW52=0,"",DW52)</f>
        <v/>
      </c>
      <c r="CF52" s="35"/>
      <c r="CG52" s="93" t="str">
        <f>IFERROR(RANK(CE52,CE$6:CE$115,0),"")</f>
        <v/>
      </c>
      <c r="CH52" s="35"/>
      <c r="CI52" s="35"/>
      <c r="CJ52" s="35" t="str">
        <f>IF(DY52=0,"",DY52)</f>
        <v/>
      </c>
      <c r="CK52" s="35"/>
      <c r="CL52" s="93" t="str">
        <f>IFERROR(RANK(CJ52,CJ$6:CJ$115,0),"")</f>
        <v/>
      </c>
      <c r="CM52" s="35"/>
      <c r="CN52" s="35"/>
      <c r="CO52" s="35" t="str">
        <f>IF(EA52=0,"",EA52)</f>
        <v/>
      </c>
      <c r="CP52" s="35"/>
      <c r="CQ52" s="93" t="str">
        <f>IFERROR(RANK(CO52,CO$6:CO$115,0),"")</f>
        <v/>
      </c>
      <c r="CR52" s="35"/>
      <c r="CS52" s="31">
        <v>28</v>
      </c>
      <c r="CT52" s="36">
        <f ca="1">IFERROR(AVERAGE(OFFSET('Data - For Rank'!B$2,J52,0,COUNTIF($J$7:J$115,J52)))+IFERROR(VLOOKUP((COUNT($H$6:$H$115)/4),$ER$8:$ES$12,2,FALSE()),0),"")</f>
        <v>4.5</v>
      </c>
      <c r="CU52" s="31"/>
      <c r="CV52" s="36" t="str">
        <f ca="1">IFERROR(AVERAGE(OFFSET('Data - For Rank'!$C$2,O52,0,COUNTIF(O$7:O$115,O52)))+IFERROR(VLOOKUP((COUNT(M$6:M$115)/4),$ER$8:$ES$12,2,FALSE()),0),"")</f>
        <v/>
      </c>
      <c r="CW52" s="31">
        <v>26</v>
      </c>
      <c r="CX52" s="36">
        <f ca="1">IFERROR(AVERAGE(OFFSET('Data - For Rank'!D$2,T52,0,COUNTIF(T$7:T$115,T52)))+IFERROR(VLOOKUP((COUNT(R$6:R$115)/4),$ER$8:$ES$12,2,FALSE()),0),"")</f>
        <v>8</v>
      </c>
      <c r="CY52" s="31"/>
      <c r="CZ52" s="36" t="str">
        <f ca="1">IFERROR(AVERAGE(OFFSET('Data - For Rank'!E$2,Y52,0,COUNTIF(Y$7:Y$115,Y52)))+IFERROR(VLOOKUP((COUNT(W$6:W$115)/4),$ER$8:$ES$12,2,FALSE()),0),"")</f>
        <v/>
      </c>
      <c r="DA52" s="31"/>
      <c r="DB52" s="36" t="str">
        <f ca="1">IFERROR(AVERAGE(OFFSET('Data - For Rank'!F$2,AD52,0,COUNTIF(AD$7:AD$115,AD52)))+IFERROR(VLOOKUP((COUNT(AB$6:AB$115)/4),$ER$8:$ES$12,2,FALSE()),0),"")</f>
        <v/>
      </c>
      <c r="DC52" s="31"/>
      <c r="DD52" s="36" t="str">
        <f ca="1">IFERROR(AVERAGE(OFFSET('Data - For Rank'!G$2,AI52,0,COUNTIF(AI$7:AI$115,AI52)))+IFERROR(VLOOKUP((COUNT(AG$6:AG$115)/4),$ER$8:$ES$12,2,FALSE()),0),"")</f>
        <v/>
      </c>
      <c r="DE52" s="31"/>
      <c r="DF52" s="36" t="str">
        <f ca="1">IFERROR(AVERAGE(OFFSET('Data - For Rank'!$H$2,AN52,0,COUNTIF(AN$7:AN$115,AN52)))+IFERROR(VLOOKUP((COUNT(AL$6:AL$115)/4),$ER$8:$ES$12,2,FALSE()),0),"")</f>
        <v/>
      </c>
      <c r="DG52" s="31"/>
      <c r="DH52" s="36" t="str">
        <f ca="1">IFERROR(AVERAGE(OFFSET('Data - For Rank'!$I$2,AS52,0,COUNTIF(AS$7:AS$115,AS52)))+IFERROR(VLOOKUP((COUNT(AQ$6:AQ$115)/4),$ER$8:$ES$12,2,FALSE()),0),"")</f>
        <v/>
      </c>
      <c r="DI52" s="31"/>
      <c r="DJ52" s="36" t="str">
        <f ca="1">IFERROR(AVERAGE(OFFSET('Data - For Rank'!$J$2,AX52,0,COUNTIF(AX$7:AX$115,AX52)))+IFERROR(VLOOKUP((COUNT(AV$6:AV$115)/4),$ER$8:$ES$12,2,FALSE()),0),"")</f>
        <v/>
      </c>
      <c r="DK52" s="31"/>
      <c r="DL52" s="36" t="str">
        <f ca="1">IFERROR(AVERAGE(OFFSET('Data - For Rank'!$K$2,BC52,0,COUNTIF(BC$7:BC$115,BC52)))+IFERROR(VLOOKUP((COUNT(BA$6:BA$115)/4),$ER$8:$ES$12,2,FALSE()),0),"")</f>
        <v/>
      </c>
      <c r="DM52" s="31"/>
      <c r="DN52" s="36" t="str">
        <f ca="1">IFERROR(AVERAGE(OFFSET('Data - For Rank'!$L$2,BH52,0,COUNTIF(BH$7:BH$115,BH52)))+IFERROR(VLOOKUP((COUNT(BF$6:BF$115)/4),$ER$8:$ES$12,2,FALSE()),0),"")</f>
        <v/>
      </c>
      <c r="DO52" s="31"/>
      <c r="DP52" s="36" t="str">
        <f ca="1">IFERROR(AVERAGE(OFFSET('Data - For Rank'!$M$2,BM52,0,COUNTIF(BM$7:BM$115,BM52)))+IFERROR(VLOOKUP((COUNT(BK$6:BK$115)/4),$ER$8:$ES$12,2,FALSE()),0),"")</f>
        <v/>
      </c>
      <c r="DQ52" s="31"/>
      <c r="DR52" s="36" t="str">
        <f ca="1">IFERROR(AVERAGE(OFFSET('Data - For Rank'!$N$2,BR52,0,COUNTIF(BR$7:BR$115,BR52)))+IFERROR(VLOOKUP((COUNT(BP$6:BP$115)/4),$ER$8:$ES$12,2,FALSE()),0),"")</f>
        <v/>
      </c>
      <c r="DS52" s="31"/>
      <c r="DT52" s="36" t="str">
        <f ca="1">IFERROR(AVERAGE(OFFSET('Data - For Rank'!$O$2,BW52,0,COUNTIF(BW$7:BW$115,BW52)))+IFERROR(VLOOKUP((COUNT(BU$6:BU$115)/4),$ER$8:$ES$12,2,FALSE()),0),"")</f>
        <v/>
      </c>
      <c r="DU52" s="31"/>
      <c r="DV52" s="36" t="str">
        <f ca="1">IFERROR(AVERAGE(OFFSET('Data - For Rank'!$P$2,CB52,0,COUNTIF(CB$7:CB$115,CB52)))+IFERROR(VLOOKUP((COUNT(BZ$6:BZ$115)/4),$ER$8:$ES$12,2,FALSE()),0),"")</f>
        <v/>
      </c>
      <c r="DW52" s="31"/>
      <c r="DX52" s="36" t="str">
        <f ca="1">IFERROR(AVERAGE(OFFSET('Data - For Rank'!$Q$2,CG52,0,COUNTIF(CG$7:CG$115,CG52)))+IFERROR(VLOOKUP((COUNT(CE$6:CE$115)/4),$ER$8:$ES$12,2,FALSE()),0),"")</f>
        <v/>
      </c>
      <c r="DY52" s="31"/>
      <c r="DZ52" s="36" t="str">
        <f ca="1">IFERROR(AVERAGE(OFFSET('Data - For Rank'!$R$2,CL52,0,COUNTIF(CL$7:CL$115,CL52)))+IFERROR(VLOOKUP((COUNT(CJ$6:CJ$115)/4),$ER$8:$ES$12,2,FALSE()),0),"")</f>
        <v/>
      </c>
      <c r="EA52" s="31"/>
      <c r="EB52" s="36" t="str">
        <f ca="1">IFERROR(AVERAGE(OFFSET('Data - For Rank'!$S$2,CQ52,0,COUNTIF(CQ$7:CQ$115,CQ52)))+IFERROR(VLOOKUP((COUNT(CO$6:CO$115)/4),$ER$8:$ES$12,2,FALSE()),0),"")</f>
        <v/>
      </c>
      <c r="EC52" s="37">
        <f>AVERAGE(CS52,CU52,CW52,CY52,DA52,DC52,DE52,DG52,DI52,DK52,DM52,DO52,DQ52,DS52,DU52,DW52,DY52,EA52)</f>
        <v>27</v>
      </c>
      <c r="ED52" s="33">
        <f ca="1">AVERAGE(CT52,CV52,CX52,CZ52,DB52,DD52,DF52,DH52,DJ52,DL52,DN52,DP52,DR52,DT52,DV52,DX52,DZ52,EB52)</f>
        <v>6.25</v>
      </c>
      <c r="ET52" s="87"/>
    </row>
    <row r="53" spans="2:150" s="15" customFormat="1" outlineLevel="1" x14ac:dyDescent="0.2">
      <c r="B53" s="38">
        <f ca="1">B51+0.0217</f>
        <v>16.021699999999999</v>
      </c>
      <c r="D53" s="87" t="s">
        <v>127</v>
      </c>
      <c r="E53" s="39" t="s">
        <v>39</v>
      </c>
      <c r="F53" s="40">
        <f ca="1">IF(COUNT(CT51:EB51)&gt;10,SMALL(G51:CN51,COUNT(G51:CN51)-10),MIN(CT51:EB51))</f>
        <v>15.5</v>
      </c>
      <c r="G53" s="40"/>
      <c r="H53" s="40"/>
      <c r="I53" s="96">
        <f>IF(CS53=0,"",CS53)</f>
        <v>-5</v>
      </c>
      <c r="J53" s="96"/>
      <c r="K53" s="97">
        <f>IFERROR(_xlfn.RANK.EQ(I53,I$6:I$115,0),"")</f>
        <v>8</v>
      </c>
      <c r="L53" s="40"/>
      <c r="M53" s="40"/>
      <c r="N53" s="96" t="str">
        <f>IF(CU53=0,"",CU53)</f>
        <v/>
      </c>
      <c r="O53" s="96"/>
      <c r="P53" s="97" t="str">
        <f>IFERROR(_xlfn.RANK.EQ(N53,N$6:N$115,0),"")</f>
        <v/>
      </c>
      <c r="Q53" s="40"/>
      <c r="R53" s="40"/>
      <c r="S53" s="96">
        <f>IF(CW53=0,"",CW53)</f>
        <v>-2</v>
      </c>
      <c r="T53" s="96"/>
      <c r="U53" s="97">
        <f>IFERROR(_xlfn.RANK.EQ(S53,S$6:S$115,0),"")</f>
        <v>7</v>
      </c>
      <c r="V53" s="40"/>
      <c r="W53" s="40"/>
      <c r="X53" s="96" t="str">
        <f>IF(CY53=0,"",CY53)</f>
        <v/>
      </c>
      <c r="Y53" s="96"/>
      <c r="Z53" s="97" t="str">
        <f>IFERROR(_xlfn.RANK.EQ(X53,X$6:X$115,0),"")</f>
        <v/>
      </c>
      <c r="AA53" s="40"/>
      <c r="AB53" s="40"/>
      <c r="AC53" s="96" t="str">
        <f>IF(DA53=0,"",DA53)</f>
        <v/>
      </c>
      <c r="AD53" s="96"/>
      <c r="AE53" s="97" t="str">
        <f>IFERROR(_xlfn.RANK.EQ(AC53,AC$6:AC$115,0),"")</f>
        <v/>
      </c>
      <c r="AF53" s="40"/>
      <c r="AG53" s="40"/>
      <c r="AH53" s="96" t="str">
        <f>IF(DC53=0,"",DC53)</f>
        <v/>
      </c>
      <c r="AI53" s="96"/>
      <c r="AJ53" s="97" t="str">
        <f>IFERROR(_xlfn.RANK.EQ(AH53,AH$6:AH$115,0),"")</f>
        <v/>
      </c>
      <c r="AK53" s="40"/>
      <c r="AL53" s="40"/>
      <c r="AM53" s="96" t="str">
        <f>IF(DE53=0,"",DE53)</f>
        <v/>
      </c>
      <c r="AN53" s="96"/>
      <c r="AO53" s="97" t="str">
        <f>IFERROR(_xlfn.RANK.EQ(AM53,AM$6:AM$115,0),"")</f>
        <v/>
      </c>
      <c r="AP53" s="40"/>
      <c r="AQ53" s="40"/>
      <c r="AR53" s="96" t="str">
        <f>IF(DG53=0,"",DG53)</f>
        <v/>
      </c>
      <c r="AS53" s="96"/>
      <c r="AT53" s="97" t="str">
        <f>IFERROR(_xlfn.RANK.EQ(AR53,AR$6:AR$115,0),"")</f>
        <v/>
      </c>
      <c r="AU53" s="40"/>
      <c r="AV53" s="40"/>
      <c r="AW53" s="96" t="str">
        <f>IF(DI53=0,"",DI53)</f>
        <v/>
      </c>
      <c r="AX53" s="96"/>
      <c r="AY53" s="97" t="str">
        <f>IFERROR(_xlfn.RANK.EQ(AW53,AW$6:AW$115,0),"")</f>
        <v/>
      </c>
      <c r="AZ53" s="40"/>
      <c r="BA53" s="40"/>
      <c r="BB53" s="96" t="str">
        <f>IF(DK53=0,"",DK53)</f>
        <v/>
      </c>
      <c r="BC53" s="96"/>
      <c r="BD53" s="97" t="str">
        <f>IFERROR(_xlfn.RANK.EQ(BB53,BB$6:BB$115,0),"")</f>
        <v/>
      </c>
      <c r="BE53" s="40"/>
      <c r="BF53" s="40"/>
      <c r="BG53" s="96" t="str">
        <f>IF(DM53=0,"",DM53)</f>
        <v/>
      </c>
      <c r="BH53" s="96"/>
      <c r="BI53" s="97" t="str">
        <f>IFERROR(_xlfn.RANK.EQ(BG53,BG$6:BG$115,0),"")</f>
        <v/>
      </c>
      <c r="BJ53" s="40"/>
      <c r="BK53" s="40"/>
      <c r="BL53" s="96" t="str">
        <f>IF(DO53=0,"",DO53)</f>
        <v/>
      </c>
      <c r="BM53" s="96"/>
      <c r="BN53" s="97" t="str">
        <f>IFERROR(_xlfn.RANK.EQ(BL53,BL$6:BL$115,0),"")</f>
        <v/>
      </c>
      <c r="BO53" s="40"/>
      <c r="BP53" s="40"/>
      <c r="BQ53" s="96" t="str">
        <f>IF(DQ53=0,"",DQ53)</f>
        <v/>
      </c>
      <c r="BR53" s="96"/>
      <c r="BS53" s="97" t="str">
        <f>IFERROR(_xlfn.RANK.EQ(BQ53,BQ$6:BQ$115,0),"")</f>
        <v/>
      </c>
      <c r="BT53" s="40"/>
      <c r="BU53" s="40"/>
      <c r="BV53" s="96" t="str">
        <f>IF(DS53=0,"",DS53)</f>
        <v/>
      </c>
      <c r="BW53" s="96"/>
      <c r="BX53" s="97" t="str">
        <f>IFERROR(_xlfn.RANK.EQ(BV53,BV$6:BV$115,0),"")</f>
        <v/>
      </c>
      <c r="BY53" s="40"/>
      <c r="BZ53" s="40"/>
      <c r="CA53" s="96" t="str">
        <f>IF(DU53=0,"",DU53)</f>
        <v/>
      </c>
      <c r="CB53" s="96"/>
      <c r="CC53" s="97" t="str">
        <f>IFERROR(_xlfn.RANK.EQ(CA53,CA$6:CA$115,0),"")</f>
        <v/>
      </c>
      <c r="CD53" s="40"/>
      <c r="CE53" s="40"/>
      <c r="CF53" s="96" t="str">
        <f>IF(DW53=0,"",DW53)</f>
        <v/>
      </c>
      <c r="CG53" s="96"/>
      <c r="CH53" s="97" t="str">
        <f>IFERROR(_xlfn.RANK.EQ(CF53,CF$6:CF$115,0),"")</f>
        <v/>
      </c>
      <c r="CI53" s="40"/>
      <c r="CJ53" s="40"/>
      <c r="CK53" s="96" t="str">
        <f>IF(DY53=0,"",DY53)</f>
        <v/>
      </c>
      <c r="CL53" s="96"/>
      <c r="CM53" s="97" t="str">
        <f>IFERROR(_xlfn.RANK.EQ(CK53,CK$6:CK$115,0),"")</f>
        <v/>
      </c>
      <c r="CN53" s="40"/>
      <c r="CO53" s="40"/>
      <c r="CP53" s="96" t="str">
        <f>IF(EA53=0,"",EA53)</f>
        <v/>
      </c>
      <c r="CQ53" s="96"/>
      <c r="CR53" s="97" t="str">
        <f>IFERROR(_xlfn.RANK.EQ(CP53,CP$6:CP$115,0),"")</f>
        <v/>
      </c>
      <c r="CS53" s="41">
        <v>-5</v>
      </c>
      <c r="CT53" s="42">
        <f ca="1">IFERROR(AVERAGE(OFFSET('Data - For Rank'!B$2,K53,0,COUNTIF(K$6:K$115,K53)))+IFERROR(VLOOKUP((COUNT($I$6:$I$115)/4),$ER$8:$ES$12,2,FALSE()),0),"")</f>
        <v>11</v>
      </c>
      <c r="CU53" s="41"/>
      <c r="CV53" s="42" t="str">
        <f ca="1">IFERROR(AVERAGE(OFFSET('Data - For Rank'!$C$2,P53,0,COUNTIF(P$6:P$115,P53)))+IFERROR(VLOOKUP((COUNT(N$6:N$115)/4),$ER$8:$ES$12,2,FALSE()),0),"")</f>
        <v/>
      </c>
      <c r="CW53" s="41">
        <v>-2</v>
      </c>
      <c r="CX53" s="42">
        <f ca="1">IFERROR(AVERAGE(OFFSET('Data - For Rank'!D$2,U53,0,COUNTIF(U$6:$U160,U53)))+IFERROR(VLOOKUP((COUNT(S$6:S$115)/4),$ER$8:$ES$12,2,FALSE()),0),"")</f>
        <v>10</v>
      </c>
      <c r="CY53" s="41"/>
      <c r="CZ53" s="42" t="str">
        <f ca="1">IFERROR(AVERAGE(OFFSET('Data - For Rank'!E$2,Z53,0,COUNTIF(Z$6:Z$115,Z53)))+IFERROR(VLOOKUP((COUNT(W$6:W$115)/4),$ER$8:$ES$12,2,FALSE()),0),"")</f>
        <v/>
      </c>
      <c r="DA53" s="41"/>
      <c r="DB53" s="42" t="str">
        <f ca="1">IFERROR(AVERAGE(OFFSET('Data - For Rank'!F$2,AE53,0,COUNTIF(AE$6:AE$115,AE53)))+IFERROR(VLOOKUP((COUNT(AC$6:AC$115)/4),$ER$8:$ES$12,2,FALSE()),0),"")</f>
        <v/>
      </c>
      <c r="DC53" s="41"/>
      <c r="DD53" s="42" t="str">
        <f ca="1">IFERROR(AVERAGE(OFFSET('Data - For Rank'!G$2,AJ53,0,COUNTIF(AJ$6:AJ$115,AJ53)))+IFERROR(VLOOKUP((COUNT(AH$6:AH$115)/4),$ER$8:$ES$12,2,FALSE()),0),"")</f>
        <v/>
      </c>
      <c r="DE53" s="41"/>
      <c r="DF53" s="42" t="str">
        <f ca="1">IFERROR(AVERAGE(OFFSET('Data - For Rank'!$H$2,AO53,0,COUNTIF(AO$6:AO$115,AO53)))+IFERROR(VLOOKUP((COUNT(AM$6:AM$115)/4),$ER$8:$ES$12,2,FALSE()),0),"")</f>
        <v/>
      </c>
      <c r="DG53" s="41"/>
      <c r="DH53" s="42" t="str">
        <f ca="1">IFERROR(AVERAGE(OFFSET('Data - For Rank'!$I$2,AT53,0,COUNTIF(AT$6:AT$115,AT53)))+IFERROR(VLOOKUP((COUNT(AR$6:AR$115)/4),$ER$8:$ES$12,2,FALSE()),0),"")</f>
        <v/>
      </c>
      <c r="DI53" s="41"/>
      <c r="DJ53" s="42" t="str">
        <f ca="1">IFERROR(AVERAGE(OFFSET('Data - For Rank'!$J$2,AY53,0,COUNTIF(AY$6:AY$115,AY53)))+IFERROR(VLOOKUP((COUNT(AW$6:AW$115)/4),$ER$8:$ES$12,2,FALSE()),0),"")</f>
        <v/>
      </c>
      <c r="DK53" s="41"/>
      <c r="DL53" s="42" t="str">
        <f ca="1">IFERROR(AVERAGE(OFFSET('Data - For Rank'!$K$2,BD53,0,COUNTIF(BD$6:BD$115,BD53)))+IFERROR(VLOOKUP((COUNT(BB$6:BB$115)/4),$ER$8:$ES$12,2,FALSE()),0),"")</f>
        <v/>
      </c>
      <c r="DM53" s="41"/>
      <c r="DN53" s="42" t="str">
        <f ca="1">IFERROR(AVERAGE(OFFSET('Data - For Rank'!$L$2,BI53,0,COUNTIF(BI$6:BI$115,BI53)))+IFERROR(VLOOKUP((COUNT(BG$6:BG$115)/4),$ER$8:$ES$12,2,FALSE()),0),"")</f>
        <v/>
      </c>
      <c r="DO53" s="41"/>
      <c r="DP53" s="42" t="str">
        <f ca="1">IFERROR(AVERAGE(OFFSET('Data - For Rank'!$M$2,BN53,0,COUNTIF(BN$6:BN$115,BN53)))+IFERROR(VLOOKUP((COUNT(BL$6:BL$115)/4),$ER$8:$ES$12,2,FALSE()),0),"")</f>
        <v/>
      </c>
      <c r="DQ53" s="41"/>
      <c r="DR53" s="42" t="str">
        <f ca="1">IFERROR(AVERAGE(OFFSET('Data - For Rank'!$N$2,BS53,0,COUNTIF(BS$6:BS$115,BS53)))+IFERROR(VLOOKUP((COUNT(BQ$6:BQ$115)/4),$ER$8:$ES$12,2,FALSE()),0),"")</f>
        <v/>
      </c>
      <c r="DS53" s="41"/>
      <c r="DT53" s="42" t="str">
        <f ca="1">IFERROR(AVERAGE(OFFSET('Data - For Rank'!$O$2,BX53,0,COUNTIF(BX$6:BX$115,BX53)))+IFERROR(VLOOKUP((COUNT(BV$6:BV$115)/4),$ER$8:$ES$12,2,FALSE()),0),"")</f>
        <v/>
      </c>
      <c r="DU53" s="41"/>
      <c r="DV53" s="42" t="str">
        <f ca="1">IFERROR(AVERAGE(OFFSET('Data - For Rank'!$P$2,CC53,0,COUNTIF(CC$6:CC$115,CC53)))+IFERROR(VLOOKUP((COUNT(CA$6:CA$115)/4),$ER$8:$ES$12,2,FALSE()),0),"")</f>
        <v/>
      </c>
      <c r="DW53" s="41"/>
      <c r="DX53" s="42" t="str">
        <f ca="1">IFERROR(AVERAGE(OFFSET('Data - For Rank'!$Q$2,CH53,0,COUNTIF(CH$6:CH$115,CH53)))+IFERROR(VLOOKUP((COUNT(CF$6:CF$115)/4),$ER$8:$ES$12,2,FALSE()),0),"")</f>
        <v/>
      </c>
      <c r="DY53" s="41"/>
      <c r="DZ53" s="42" t="str">
        <f ca="1">IFERROR(AVERAGE(OFFSET('Data - For Rank'!$R$2,CM53,0,COUNTIF(CM$6:CM$115,CM53)))+IFERROR(VLOOKUP((COUNT(CK$6:CK$115)/4),$ER$8:$ES$12,2,FALSE()),0),"")</f>
        <v/>
      </c>
      <c r="EA53" s="41"/>
      <c r="EB53" s="42" t="str">
        <f ca="1">IFERROR(AVERAGE(OFFSET('Data - For Rank'!$S$2,CR53,0,COUNTIF(CR$6:CR$115,CR53)))+IFERROR(VLOOKUP((COUNT(CP$6:CP$115)/4),$ER$8:$ES$12,2,FALSE()),0),"")</f>
        <v/>
      </c>
      <c r="EC53" s="43">
        <f>CS53+CU53+CW53+CY53+DA53+DC53+DE53+DG53+DI53+DK53+DM53+DO53+DQ53+DS53+DU53+DW53+DY53+EA53</f>
        <v>-7</v>
      </c>
      <c r="ED53" s="44">
        <f ca="1">AVERAGE(CT53,CV53,CX53,CZ53,DB53,DD53,DF53,DH53,DJ53,DL53,DN53,DP53,DR53,DT53,DV53,DX53,DZ53,EB53)</f>
        <v>10.5</v>
      </c>
      <c r="ET53" s="87"/>
    </row>
    <row r="54" spans="2:150" x14ac:dyDescent="0.2">
      <c r="B54" s="21">
        <f ca="1">_xlfn.RANK.EQ(C54,$C$6:$C$63,)</f>
        <v>17</v>
      </c>
      <c r="C54" s="56">
        <f ca="1">EC54</f>
        <v>27</v>
      </c>
      <c r="D54" s="56" t="s">
        <v>128</v>
      </c>
      <c r="E54" s="29" t="s">
        <v>55</v>
      </c>
      <c r="F54" s="30">
        <f ca="1">COUNT(CT54,CV54,CX54,CZ54,DB54,DD54,DF54,DH54,DJ54,DL54,DN54,DP54,DR54,DT54,DV54,DX54,DZ54,EB54)</f>
        <v>2</v>
      </c>
      <c r="G54" s="93" t="str">
        <f ca="1">IF(CT54=0,"",CT54)</f>
        <v/>
      </c>
      <c r="H54" s="93"/>
      <c r="I54" s="93"/>
      <c r="K54" s="93"/>
      <c r="L54" s="93" t="str">
        <f ca="1">IF(CV54=0,"",CV54)</f>
        <v/>
      </c>
      <c r="M54" s="93"/>
      <c r="N54" s="93"/>
      <c r="P54" s="93"/>
      <c r="Q54" s="93">
        <f ca="1">IF(CX54=0,"",CX54)</f>
        <v>18</v>
      </c>
      <c r="R54" s="93"/>
      <c r="S54" s="93"/>
      <c r="U54" s="93"/>
      <c r="V54" s="93" t="str">
        <f ca="1">IF(CZ54=0,"",CZ54)</f>
        <v/>
      </c>
      <c r="W54" s="93"/>
      <c r="X54" s="93"/>
      <c r="Z54" s="93"/>
      <c r="AA54" s="93">
        <f ca="1">IF(DB54=0,"",DB54)</f>
        <v>9</v>
      </c>
      <c r="AB54" s="93"/>
      <c r="AC54" s="93"/>
      <c r="AE54" s="93"/>
      <c r="AF54" s="93" t="str">
        <f ca="1">IF(DD54=0,"",DD54)</f>
        <v/>
      </c>
      <c r="AG54" s="93"/>
      <c r="AH54" s="93"/>
      <c r="AJ54" s="93"/>
      <c r="AK54" s="93" t="str">
        <f ca="1">IF(DF54=0,"",DF54)</f>
        <v/>
      </c>
      <c r="AL54" s="93"/>
      <c r="AM54" s="93"/>
      <c r="AO54" s="93"/>
      <c r="AP54" s="93" t="str">
        <f ca="1">IF(DH54=0,"",DH54)</f>
        <v/>
      </c>
      <c r="AQ54" s="93"/>
      <c r="AR54" s="93"/>
      <c r="AT54" s="93"/>
      <c r="AU54" s="93" t="str">
        <f ca="1">IF(DJ54=0,"",DJ54)</f>
        <v/>
      </c>
      <c r="AV54" s="93"/>
      <c r="AW54" s="93"/>
      <c r="AY54" s="93"/>
      <c r="AZ54" s="93" t="str">
        <f ca="1">IF(DL54=0,"",DL54)</f>
        <v/>
      </c>
      <c r="BA54" s="93"/>
      <c r="BB54" s="93"/>
      <c r="BD54" s="93"/>
      <c r="BE54" s="93" t="str">
        <f ca="1">IF(DN54=0,"",DN54)</f>
        <v/>
      </c>
      <c r="BF54" s="93"/>
      <c r="BG54" s="93"/>
      <c r="BI54" s="93"/>
      <c r="BJ54" s="93" t="str">
        <f ca="1">IF(DP54=0,"",DP54)</f>
        <v/>
      </c>
      <c r="BK54" s="93"/>
      <c r="BL54" s="93"/>
      <c r="BN54" s="93"/>
      <c r="BO54" s="93" t="str">
        <f ca="1">IF(DR54=0,"",DR54)</f>
        <v/>
      </c>
      <c r="BP54" s="93"/>
      <c r="BQ54" s="93"/>
      <c r="BS54" s="93"/>
      <c r="BT54" s="93" t="str">
        <f ca="1">IF(DT54=0,"",DT54)</f>
        <v/>
      </c>
      <c r="BU54" s="93"/>
      <c r="BV54" s="93"/>
      <c r="BX54" s="93"/>
      <c r="BY54" s="93" t="str">
        <f ca="1">IF(DV54=0,"",DV54)</f>
        <v/>
      </c>
      <c r="BZ54" s="93"/>
      <c r="CA54" s="93"/>
      <c r="CC54" s="93"/>
      <c r="CD54" s="93" t="str">
        <f ca="1">IF(DX54=0,"",DX54)</f>
        <v/>
      </c>
      <c r="CE54" s="93"/>
      <c r="CF54" s="93"/>
      <c r="CH54" s="93"/>
      <c r="CI54" s="93" t="str">
        <f ca="1">IF(DZ54=0,"",DZ54)</f>
        <v/>
      </c>
      <c r="CJ54" s="93"/>
      <c r="CK54" s="93"/>
      <c r="CM54" s="93"/>
      <c r="CN54" s="93" t="str">
        <f ca="1">IF(EB54=0,"",EB54)</f>
        <v/>
      </c>
      <c r="CO54" s="93"/>
      <c r="CP54" s="93"/>
      <c r="CR54" s="93"/>
      <c r="CS54" s="31"/>
      <c r="CT54" s="32" t="str">
        <f ca="1">IFERROR(CT55+CT56,"")</f>
        <v/>
      </c>
      <c r="CU54" s="31"/>
      <c r="CV54" s="32" t="str">
        <f ca="1">IFERROR(CV55+CV56,"")</f>
        <v/>
      </c>
      <c r="CW54" s="31">
        <v>101</v>
      </c>
      <c r="CX54" s="32">
        <f ca="1">IFERROR(CX55+CX56,"")</f>
        <v>18</v>
      </c>
      <c r="CY54" s="31"/>
      <c r="CZ54" s="32" t="str">
        <f ca="1">IFERROR(CZ55+CZ56,"")</f>
        <v/>
      </c>
      <c r="DA54" s="31">
        <v>107</v>
      </c>
      <c r="DB54" s="32">
        <f ca="1">IFERROR(DB55+DB56,"")</f>
        <v>9</v>
      </c>
      <c r="DC54" s="31"/>
      <c r="DD54" s="32" t="str">
        <f ca="1">IFERROR(DD55+DD56,"")</f>
        <v/>
      </c>
      <c r="DE54" s="31"/>
      <c r="DF54" s="32" t="str">
        <f ca="1">IFERROR(DF55+DF56,"")</f>
        <v/>
      </c>
      <c r="DG54" s="31"/>
      <c r="DH54" s="32" t="str">
        <f ca="1">IFERROR(DH55+DH56,"")</f>
        <v/>
      </c>
      <c r="DI54" s="31"/>
      <c r="DJ54" s="32" t="str">
        <f ca="1">IFERROR(DJ55+DJ56,"")</f>
        <v/>
      </c>
      <c r="DK54" s="31"/>
      <c r="DL54" s="32" t="str">
        <f ca="1">IFERROR(DL55+DL56,"")</f>
        <v/>
      </c>
      <c r="DM54" s="31"/>
      <c r="DN54" s="32" t="str">
        <f ca="1">IFERROR(DN55+DN56,"")</f>
        <v/>
      </c>
      <c r="DO54" s="31"/>
      <c r="DP54" s="32" t="str">
        <f ca="1">IFERROR(DP55+DP56,"")</f>
        <v/>
      </c>
      <c r="DQ54" s="31"/>
      <c r="DR54" s="32" t="str">
        <f ca="1">IFERROR(DR55+DR56,"")</f>
        <v/>
      </c>
      <c r="DS54" s="31"/>
      <c r="DT54" s="32" t="str">
        <f ca="1">IFERROR(DT55+DT56,"")</f>
        <v/>
      </c>
      <c r="DU54" s="31"/>
      <c r="DV54" s="32" t="str">
        <f ca="1">IFERROR(DV55+DV56,"")</f>
        <v/>
      </c>
      <c r="DW54" s="31"/>
      <c r="DX54" s="32" t="str">
        <f ca="1">IFERROR(DX55+DX56,"")</f>
        <v/>
      </c>
      <c r="DY54" s="31"/>
      <c r="DZ54" s="32" t="str">
        <f ca="1">IFERROR(DZ55+DZ56,"")</f>
        <v/>
      </c>
      <c r="EA54" s="31"/>
      <c r="EB54" s="32" t="str">
        <f ca="1">IFERROR(EB55+EB56,"")</f>
        <v/>
      </c>
      <c r="EC54" s="26">
        <f ca="1">IFERROR(LARGE($G54:$CN54,1),0)+IFERROR(LARGE($G54:$CN54,2),0)+IFERROR(LARGE($G54:$CN54,3),0)+IFERROR(LARGE($G54:$CN54,4),0)+IFERROR(LARGE($G54:$CN54,5),0)+IFERROR(LARGE($G54:$CN54,6),0)+IFERROR(LARGE($G54:$CN54,7),0)+IFERROR(LARGE($G54:$CN54,8),0)+IFERROR(LARGE($G54:$CN54,9),0)+IFERROR(LARGE($G54:$CN54,10),0)</f>
        <v>27</v>
      </c>
      <c r="ED54" s="33">
        <f t="shared" ref="ED54:ED62" ca="1" si="2">IFERROR(AVERAGE(CT54,CV54,CX54,CZ54,DB54,DD54,DF54,DH54,DJ54,DL54,DN54,DP54,DR54,DT54,DV54,DX54,DZ54,EB54),0)</f>
        <v>13.5</v>
      </c>
      <c r="ET54" s="87"/>
    </row>
    <row r="55" spans="2:150" s="15" customFormat="1" outlineLevel="1" x14ac:dyDescent="0.2">
      <c r="B55" s="34">
        <f ca="1">B54+0.118</f>
        <v>17.117999999999999</v>
      </c>
      <c r="D55" s="87" t="s">
        <v>129</v>
      </c>
      <c r="E55" s="35" t="s">
        <v>38</v>
      </c>
      <c r="F55" s="35"/>
      <c r="G55" s="35"/>
      <c r="H55" s="35" t="str">
        <f>IF(CS55=0,"",CS55)</f>
        <v/>
      </c>
      <c r="I55" s="35"/>
      <c r="J55" s="93" t="str">
        <f>IFERROR(RANK(H55,H$6:H$115,0),"")</f>
        <v/>
      </c>
      <c r="K55" s="35"/>
      <c r="L55" s="35"/>
      <c r="M55" s="35" t="str">
        <f>IF(CU55=0,"",CU55)</f>
        <v/>
      </c>
      <c r="N55" s="35"/>
      <c r="O55" s="93" t="str">
        <f>IFERROR(RANK(M55,M$6:M$115,0),"")</f>
        <v/>
      </c>
      <c r="P55" s="35"/>
      <c r="Q55" s="35"/>
      <c r="R55" s="35">
        <f>IF(CW55=0,"",CW55)</f>
        <v>25</v>
      </c>
      <c r="S55" s="35"/>
      <c r="T55" s="93">
        <f>IFERROR(RANK(R55,R$6:R$115,0),"")</f>
        <v>10</v>
      </c>
      <c r="U55" s="35"/>
      <c r="V55" s="35"/>
      <c r="W55" s="35" t="str">
        <f>IF(CY55=0,"",CY55)</f>
        <v/>
      </c>
      <c r="X55" s="35"/>
      <c r="Y55" s="93" t="str">
        <f>IFERROR(RANK(W55,W$6:W$115,0),"")</f>
        <v/>
      </c>
      <c r="Z55" s="35"/>
      <c r="AA55" s="35"/>
      <c r="AB55" s="35">
        <f>IF(DA55=0,"",DA55)</f>
        <v>17</v>
      </c>
      <c r="AC55" s="35"/>
      <c r="AD55" s="93">
        <f>IFERROR(RANK(AB55,AB$6:AB$115,0),"")</f>
        <v>16</v>
      </c>
      <c r="AE55" s="35"/>
      <c r="AF55" s="35"/>
      <c r="AG55" s="35" t="str">
        <f>IF(DC55=0,"",DC55)</f>
        <v/>
      </c>
      <c r="AH55" s="35"/>
      <c r="AI55" s="93" t="str">
        <f>IFERROR(RANK(AG55,AG$6:AG$115,0),"")</f>
        <v/>
      </c>
      <c r="AJ55" s="35"/>
      <c r="AK55" s="35"/>
      <c r="AL55" s="35" t="str">
        <f>IF(DE55=0,"",DE55)</f>
        <v/>
      </c>
      <c r="AM55" s="35"/>
      <c r="AN55" s="93" t="str">
        <f>IFERROR(RANK(AL55,AL$6:AL$115,0),"")</f>
        <v/>
      </c>
      <c r="AO55" s="35"/>
      <c r="AP55" s="35"/>
      <c r="AQ55" s="35" t="str">
        <f>IF(DG55=0,"",DG55)</f>
        <v/>
      </c>
      <c r="AR55" s="35"/>
      <c r="AS55" s="93" t="str">
        <f>IFERROR(RANK(AQ55,AQ$6:AQ$115,0),"")</f>
        <v/>
      </c>
      <c r="AT55" s="35"/>
      <c r="AU55" s="35"/>
      <c r="AV55" s="35" t="str">
        <f>IF(DI55=0,"",DI55)</f>
        <v/>
      </c>
      <c r="AW55" s="35"/>
      <c r="AX55" s="93" t="str">
        <f>IFERROR(RANK(AV55,AV$6:AV$115,0),"")</f>
        <v/>
      </c>
      <c r="AY55" s="35"/>
      <c r="AZ55" s="35"/>
      <c r="BA55" s="35" t="str">
        <f>IF(DK55=0,"",DK55)</f>
        <v/>
      </c>
      <c r="BB55" s="35"/>
      <c r="BC55" s="93" t="str">
        <f>IFERROR(RANK(BA55,BA$6:BA$115,0),"")</f>
        <v/>
      </c>
      <c r="BD55" s="35"/>
      <c r="BE55" s="35"/>
      <c r="BF55" s="35" t="str">
        <f>IF(DM55=0,"",DM55)</f>
        <v/>
      </c>
      <c r="BG55" s="35"/>
      <c r="BH55" s="93" t="str">
        <f>IFERROR(RANK(BF55,BF$6:BF$115,0),"")</f>
        <v/>
      </c>
      <c r="BI55" s="35"/>
      <c r="BJ55" s="35"/>
      <c r="BK55" s="35" t="str">
        <f>IF(DO55=0,"",DO55)</f>
        <v/>
      </c>
      <c r="BL55" s="35"/>
      <c r="BM55" s="93" t="str">
        <f>IFERROR(RANK(BK55,BK$6:BK$115,0),"")</f>
        <v/>
      </c>
      <c r="BN55" s="35"/>
      <c r="BO55" s="35"/>
      <c r="BP55" s="35" t="str">
        <f>IF(DQ55=0,"",DQ55)</f>
        <v/>
      </c>
      <c r="BQ55" s="35"/>
      <c r="BR55" s="93" t="str">
        <f>IFERROR(RANK(BP55,BP$6:BP$115,0),"")</f>
        <v/>
      </c>
      <c r="BS55" s="35"/>
      <c r="BT55" s="35"/>
      <c r="BU55" s="35" t="str">
        <f>IF(DS55=0,"",DS55)</f>
        <v/>
      </c>
      <c r="BV55" s="35"/>
      <c r="BW55" s="93" t="str">
        <f>IFERROR(RANK(BU55,BU$6:BU$115,0),"")</f>
        <v/>
      </c>
      <c r="BX55" s="35"/>
      <c r="BY55" s="35"/>
      <c r="BZ55" s="35" t="str">
        <f>IF(DU55=0,"",DU55)</f>
        <v/>
      </c>
      <c r="CA55" s="35"/>
      <c r="CB55" s="93" t="str">
        <f>IFERROR(RANK(BZ55,BZ$6:BZ$115,0),"")</f>
        <v/>
      </c>
      <c r="CC55" s="35"/>
      <c r="CD55" s="35"/>
      <c r="CE55" s="35" t="str">
        <f>IF(DW55=0,"",DW55)</f>
        <v/>
      </c>
      <c r="CF55" s="35"/>
      <c r="CG55" s="93" t="str">
        <f>IFERROR(RANK(CE55,CE$6:CE$115,0),"")</f>
        <v/>
      </c>
      <c r="CH55" s="35"/>
      <c r="CI55" s="35"/>
      <c r="CJ55" s="35" t="str">
        <f>IF(DY55=0,"",DY55)</f>
        <v/>
      </c>
      <c r="CK55" s="35"/>
      <c r="CL55" s="93" t="str">
        <f>IFERROR(RANK(CJ55,CJ$6:CJ$115,0),"")</f>
        <v/>
      </c>
      <c r="CM55" s="35"/>
      <c r="CN55" s="35"/>
      <c r="CO55" s="35" t="str">
        <f>IF(EA55=0,"",EA55)</f>
        <v/>
      </c>
      <c r="CP55" s="35"/>
      <c r="CQ55" s="93" t="str">
        <f>IFERROR(RANK(CO55,CO$6:CO$115,0),"")</f>
        <v/>
      </c>
      <c r="CR55" s="35"/>
      <c r="CS55" s="31"/>
      <c r="CT55" s="36" t="str">
        <f ca="1">IFERROR(AVERAGE(OFFSET('Data - For Rank'!B$2,J55,0,COUNTIF($J$7:J$115,J55)))+IFERROR(VLOOKUP((COUNT($H$6:$H$115)/4),$ER$8:$ES$12,2,FALSE()),0),"")</f>
        <v/>
      </c>
      <c r="CU55" s="31"/>
      <c r="CV55" s="36" t="str">
        <f ca="1">IFERROR(AVERAGE(OFFSET('Data - For Rank'!$C$2,O55,0,COUNTIF(O$7:O$115,O55)))+IFERROR(VLOOKUP((COUNT(M$6:M$115)/4),$ER$8:$ES$12,2,FALSE()),0),"")</f>
        <v/>
      </c>
      <c r="CW55" s="31">
        <v>25</v>
      </c>
      <c r="CX55" s="36">
        <f ca="1">IFERROR(AVERAGE(OFFSET('Data - For Rank'!D$2,T55,0,COUNTIF(T$7:T$115,T55)))+IFERROR(VLOOKUP((COUNT(R$6:R$115)/4),$ER$8:$ES$12,2,FALSE()),0),"")</f>
        <v>7</v>
      </c>
      <c r="CY55" s="31"/>
      <c r="CZ55" s="36" t="str">
        <f ca="1">IFERROR(AVERAGE(OFFSET('Data - For Rank'!E$2,Y55,0,COUNTIF(Y$7:Y$115,Y55)))+IFERROR(VLOOKUP((COUNT(W$6:W$115)/4),$ER$8:$ES$12,2,FALSE()),0),"")</f>
        <v/>
      </c>
      <c r="DA55" s="31">
        <v>17</v>
      </c>
      <c r="DB55" s="36">
        <f ca="1">IFERROR(AVERAGE(OFFSET('Data - For Rank'!F$2,AD55,0,COUNTIF(AD$7:AD$115,AD55)))+IFERROR(VLOOKUP((COUNT(AB$6:AB$115)/4),$ER$8:$ES$12,2,FALSE()),0),"")</f>
        <v>3</v>
      </c>
      <c r="DC55" s="31"/>
      <c r="DD55" s="36" t="str">
        <f ca="1">IFERROR(AVERAGE(OFFSET('Data - For Rank'!G$2,AI55,0,COUNTIF(AI$7:AI$115,AI55)))+IFERROR(VLOOKUP((COUNT(AG$6:AG$115)/4),$ER$8:$ES$12,2,FALSE()),0),"")</f>
        <v/>
      </c>
      <c r="DE55" s="31"/>
      <c r="DF55" s="36" t="str">
        <f ca="1">IFERROR(AVERAGE(OFFSET('Data - For Rank'!$H$2,AN55,0,COUNTIF(AN$7:AN$115,AN55)))+IFERROR(VLOOKUP((COUNT(AL$6:AL$115)/4),$ER$8:$ES$12,2,FALSE()),0),"")</f>
        <v/>
      </c>
      <c r="DG55" s="31"/>
      <c r="DH55" s="36" t="str">
        <f ca="1">IFERROR(AVERAGE(OFFSET('Data - For Rank'!$I$2,AS55,0,COUNTIF(AS$7:AS$115,AS55)))+IFERROR(VLOOKUP((COUNT(AQ$6:AQ$115)/4),$ER$8:$ES$12,2,FALSE()),0),"")</f>
        <v/>
      </c>
      <c r="DI55" s="31"/>
      <c r="DJ55" s="36" t="str">
        <f ca="1">IFERROR(AVERAGE(OFFSET('Data - For Rank'!$J$2,AX55,0,COUNTIF(AX$7:AX$115,AX55)))+IFERROR(VLOOKUP((COUNT(AV$6:AV$115)/4),$ER$8:$ES$12,2,FALSE()),0),"")</f>
        <v/>
      </c>
      <c r="DK55" s="31"/>
      <c r="DL55" s="36" t="str">
        <f ca="1">IFERROR(AVERAGE(OFFSET('Data - For Rank'!$K$2,BC55,0,COUNTIF(BC$7:BC$115,BC55)))+IFERROR(VLOOKUP((COUNT(BA$6:BA$115)/4),$ER$8:$ES$12,2,FALSE()),0),"")</f>
        <v/>
      </c>
      <c r="DM55" s="31"/>
      <c r="DN55" s="36" t="str">
        <f ca="1">IFERROR(AVERAGE(OFFSET('Data - For Rank'!$L$2,BH55,0,COUNTIF(BH$7:BH$115,BH55)))+IFERROR(VLOOKUP((COUNT(BF$6:BF$115)/4),$ER$8:$ES$12,2,FALSE()),0),"")</f>
        <v/>
      </c>
      <c r="DO55" s="31"/>
      <c r="DP55" s="36" t="str">
        <f ca="1">IFERROR(AVERAGE(OFFSET('Data - For Rank'!$M$2,BM55,0,COUNTIF(BM$7:BM$115,BM55)))+IFERROR(VLOOKUP((COUNT(BK$6:BK$115)/4),$ER$8:$ES$12,2,FALSE()),0),"")</f>
        <v/>
      </c>
      <c r="DQ55" s="31"/>
      <c r="DR55" s="36" t="str">
        <f ca="1">IFERROR(AVERAGE(OFFSET('Data - For Rank'!$N$2,BR55,0,COUNTIF(BR$7:BR$115,BR55)))+IFERROR(VLOOKUP((COUNT(BP$6:BP$115)/4),$ER$8:$ES$12,2,FALSE()),0),"")</f>
        <v/>
      </c>
      <c r="DS55" s="31"/>
      <c r="DT55" s="36" t="str">
        <f ca="1">IFERROR(AVERAGE(OFFSET('Data - For Rank'!$O$2,BW55,0,COUNTIF(BW$7:BW$115,BW55)))+IFERROR(VLOOKUP((COUNT(BU$6:BU$115)/4),$ER$8:$ES$12,2,FALSE()),0),"")</f>
        <v/>
      </c>
      <c r="DU55" s="31"/>
      <c r="DV55" s="36" t="str">
        <f ca="1">IFERROR(AVERAGE(OFFSET('Data - For Rank'!$P$2,CB55,0,COUNTIF(CB$7:CB$115,CB55)))+IFERROR(VLOOKUP((COUNT(BZ$6:BZ$115)/4),$ER$8:$ES$12,2,FALSE()),0),"")</f>
        <v/>
      </c>
      <c r="DW55" s="31"/>
      <c r="DX55" s="36" t="str">
        <f ca="1">IFERROR(AVERAGE(OFFSET('Data - For Rank'!$Q$2,CG55,0,COUNTIF(CG$7:CG$115,CG55)))+IFERROR(VLOOKUP((COUNT(CE$6:CE$115)/4),$ER$8:$ES$12,2,FALSE()),0),"")</f>
        <v/>
      </c>
      <c r="DY55" s="31"/>
      <c r="DZ55" s="36" t="str">
        <f ca="1">IFERROR(AVERAGE(OFFSET('Data - For Rank'!$R$2,CL55,0,COUNTIF(CL$7:CL$115,CL55)))+IFERROR(VLOOKUP((COUNT(CJ$6:CJ$115)/4),$ER$8:$ES$12,2,FALSE()),0),"")</f>
        <v/>
      </c>
      <c r="EA55" s="31"/>
      <c r="EB55" s="36" t="str">
        <f ca="1">IFERROR(AVERAGE(OFFSET('Data - For Rank'!$S$2,CQ55,0,COUNTIF(CQ$7:CQ$115,CQ55)))+IFERROR(VLOOKUP((COUNT(CO$6:CO$115)/4),$ER$8:$ES$12,2,FALSE()),0),"")</f>
        <v/>
      </c>
      <c r="EC55" s="37">
        <f>IFERROR(AVERAGE(CS55,CU55,CW55,CY55,DA55,DC55,DE55,DG55,DI55,DK55,DM55,DO55,DQ55,DS55,DU55,DW55,DY55,EA55),0)</f>
        <v>21</v>
      </c>
      <c r="ED55" s="33">
        <f t="shared" ca="1" si="2"/>
        <v>5</v>
      </c>
      <c r="ET55" s="87"/>
    </row>
    <row r="56" spans="2:150" s="15" customFormat="1" outlineLevel="1" x14ac:dyDescent="0.2">
      <c r="B56" s="38">
        <f ca="1">B54+0.0218</f>
        <v>17.021799999999999</v>
      </c>
      <c r="D56" s="87" t="s">
        <v>130</v>
      </c>
      <c r="E56" s="39" t="s">
        <v>39</v>
      </c>
      <c r="F56" s="40">
        <f ca="1">IFERROR(IF(COUNT(CT54:EB54)&gt;10,SMALL(G54:CN54,COUNT(G54:CN54)-10),MIN(CT54:EB54)),0)</f>
        <v>9</v>
      </c>
      <c r="G56" s="40"/>
      <c r="H56" s="40"/>
      <c r="I56" s="96" t="str">
        <f>IF(CS56=0,"",CS56)</f>
        <v/>
      </c>
      <c r="J56" s="96"/>
      <c r="K56" s="97" t="str">
        <f>IFERROR(_xlfn.RANK.EQ(I56,I$6:I$115,0),"")</f>
        <v/>
      </c>
      <c r="L56" s="40"/>
      <c r="M56" s="40"/>
      <c r="N56" s="96" t="str">
        <f>IF(CU56=0,"",CU56)</f>
        <v/>
      </c>
      <c r="O56" s="96"/>
      <c r="P56" s="97" t="str">
        <f>IFERROR(_xlfn.RANK.EQ(N56,N$6:N$115,0),"")</f>
        <v/>
      </c>
      <c r="Q56" s="40"/>
      <c r="R56" s="40"/>
      <c r="S56" s="96">
        <f>IF(CW56=0,"",CW56)</f>
        <v>3</v>
      </c>
      <c r="T56" s="96"/>
      <c r="U56" s="97">
        <f>IFERROR(_xlfn.RANK.EQ(S56,S$6:S$115,0),"")</f>
        <v>6</v>
      </c>
      <c r="V56" s="40"/>
      <c r="W56" s="40"/>
      <c r="X56" s="96" t="str">
        <f>IF(CY56=0,"",CY56)</f>
        <v/>
      </c>
      <c r="Y56" s="96"/>
      <c r="Z56" s="97" t="str">
        <f>IFERROR(_xlfn.RANK.EQ(X56,X$6:X$115,0),"")</f>
        <v/>
      </c>
      <c r="AA56" s="40"/>
      <c r="AB56" s="40"/>
      <c r="AC56" s="96">
        <f>IF(DA56=0,"",DA56)</f>
        <v>-16</v>
      </c>
      <c r="AD56" s="96"/>
      <c r="AE56" s="97">
        <f>IFERROR(_xlfn.RANK.EQ(AC56,AC$6:AC$115,0),"")</f>
        <v>13</v>
      </c>
      <c r="AF56" s="40"/>
      <c r="AG56" s="40"/>
      <c r="AH56" s="96" t="str">
        <f>IF(DC56=0,"",DC56)</f>
        <v/>
      </c>
      <c r="AI56" s="96"/>
      <c r="AJ56" s="97" t="str">
        <f>IFERROR(_xlfn.RANK.EQ(AH56,AH$6:AH$115,0),"")</f>
        <v/>
      </c>
      <c r="AK56" s="40"/>
      <c r="AL56" s="40"/>
      <c r="AM56" s="96" t="str">
        <f>IF(DE56=0,"",DE56)</f>
        <v/>
      </c>
      <c r="AN56" s="96"/>
      <c r="AO56" s="97" t="str">
        <f>IFERROR(_xlfn.RANK.EQ(AM56,AM$6:AM$115,0),"")</f>
        <v/>
      </c>
      <c r="AP56" s="40"/>
      <c r="AQ56" s="40"/>
      <c r="AR56" s="96" t="str">
        <f>IF(DG56=0,"",DG56)</f>
        <v/>
      </c>
      <c r="AS56" s="96"/>
      <c r="AT56" s="97" t="str">
        <f>IFERROR(_xlfn.RANK.EQ(AR56,AR$6:AR$115,0),"")</f>
        <v/>
      </c>
      <c r="AU56" s="40"/>
      <c r="AV56" s="40"/>
      <c r="AW56" s="96" t="str">
        <f>IF(DI56=0,"",DI56)</f>
        <v/>
      </c>
      <c r="AX56" s="96"/>
      <c r="AY56" s="97" t="str">
        <f>IFERROR(_xlfn.RANK.EQ(AW56,AW$6:AW$115,0),"")</f>
        <v/>
      </c>
      <c r="AZ56" s="40"/>
      <c r="BA56" s="40"/>
      <c r="BB56" s="96" t="str">
        <f>IF(DK56=0,"",DK56)</f>
        <v/>
      </c>
      <c r="BC56" s="96"/>
      <c r="BD56" s="97" t="str">
        <f>IFERROR(_xlfn.RANK.EQ(BB56,BB$6:BB$115,0),"")</f>
        <v/>
      </c>
      <c r="BE56" s="40"/>
      <c r="BF56" s="40"/>
      <c r="BG56" s="96" t="str">
        <f>IF(DM56=0,"",DM56)</f>
        <v/>
      </c>
      <c r="BH56" s="96"/>
      <c r="BI56" s="97" t="str">
        <f>IFERROR(_xlfn.RANK.EQ(BG56,BG$6:BG$115,0),"")</f>
        <v/>
      </c>
      <c r="BJ56" s="40"/>
      <c r="BK56" s="40"/>
      <c r="BL56" s="96" t="str">
        <f>IF(DO56=0,"",DO56)</f>
        <v/>
      </c>
      <c r="BM56" s="96"/>
      <c r="BN56" s="97" t="str">
        <f>IFERROR(_xlfn.RANK.EQ(BL56,BL$6:BL$115,0),"")</f>
        <v/>
      </c>
      <c r="BO56" s="40"/>
      <c r="BP56" s="40"/>
      <c r="BQ56" s="96" t="str">
        <f>IF(DQ56=0,"",DQ56)</f>
        <v/>
      </c>
      <c r="BR56" s="96"/>
      <c r="BS56" s="97" t="str">
        <f>IFERROR(_xlfn.RANK.EQ(BQ56,BQ$6:BQ$115,0),"")</f>
        <v/>
      </c>
      <c r="BT56" s="40"/>
      <c r="BU56" s="40"/>
      <c r="BV56" s="96" t="str">
        <f>IF(DS56=0,"",DS56)</f>
        <v/>
      </c>
      <c r="BW56" s="96"/>
      <c r="BX56" s="97" t="str">
        <f>IFERROR(_xlfn.RANK.EQ(BV56,BV$6:BV$115,0),"")</f>
        <v/>
      </c>
      <c r="BY56" s="40"/>
      <c r="BZ56" s="40"/>
      <c r="CA56" s="96" t="str">
        <f>IF(DU56=0,"",DU56)</f>
        <v/>
      </c>
      <c r="CB56" s="96"/>
      <c r="CC56" s="97" t="str">
        <f>IFERROR(_xlfn.RANK.EQ(CA56,CA$6:CA$115,0),"")</f>
        <v/>
      </c>
      <c r="CD56" s="40"/>
      <c r="CE56" s="40"/>
      <c r="CF56" s="96" t="str">
        <f>IF(DW56=0,"",DW56)</f>
        <v/>
      </c>
      <c r="CG56" s="96"/>
      <c r="CH56" s="97" t="str">
        <f>IFERROR(_xlfn.RANK.EQ(CF56,CF$6:CF$115,0),"")</f>
        <v/>
      </c>
      <c r="CI56" s="40"/>
      <c r="CJ56" s="40"/>
      <c r="CK56" s="96" t="str">
        <f>IF(DY56=0,"",DY56)</f>
        <v/>
      </c>
      <c r="CL56" s="96"/>
      <c r="CM56" s="97" t="str">
        <f>IFERROR(_xlfn.RANK.EQ(CK56,CK$6:CK$115,0),"")</f>
        <v/>
      </c>
      <c r="CN56" s="40"/>
      <c r="CO56" s="40"/>
      <c r="CP56" s="96" t="str">
        <f>IF(EA56=0,"",EA56)</f>
        <v/>
      </c>
      <c r="CQ56" s="96"/>
      <c r="CR56" s="97" t="str">
        <f>IFERROR(_xlfn.RANK.EQ(CP56,CP$6:CP$115,0),"")</f>
        <v/>
      </c>
      <c r="CS56" s="41"/>
      <c r="CT56" s="42" t="str">
        <f ca="1">IFERROR(AVERAGE(OFFSET('Data - For Rank'!B$2,K56,0,COUNTIF(K$6:K$115,K56)))+IFERROR(VLOOKUP((COUNT($I$6:$I$115)/4),$ER$8:$ES$12,2,FALSE()),0),"")</f>
        <v/>
      </c>
      <c r="CU56" s="41"/>
      <c r="CV56" s="42" t="str">
        <f ca="1">IFERROR(AVERAGE(OFFSET('Data - For Rank'!$C$2,P56,0,COUNTIF(P$6:P$115,P56)))+IFERROR(VLOOKUP((COUNT(N$6:N$115)/4),$ER$8:$ES$12,2,FALSE()),0),"")</f>
        <v/>
      </c>
      <c r="CW56" s="41">
        <v>3</v>
      </c>
      <c r="CX56" s="42">
        <f ca="1">IFERROR(AVERAGE(OFFSET('Data - For Rank'!D$2,U56,0,COUNTIF(U$6:$U163,U56)))+IFERROR(VLOOKUP((COUNT(S$6:S$115)/4),$ER$8:$ES$12,2,FALSE()),0),"")</f>
        <v>11</v>
      </c>
      <c r="CY56" s="41"/>
      <c r="CZ56" s="42" t="str">
        <f ca="1">IFERROR(AVERAGE(OFFSET('Data - For Rank'!E$2,Z56,0,COUNTIF(Z$6:Z$115,Z56)))+IFERROR(VLOOKUP((COUNT(W$6:W$115)/4),$ER$8:$ES$12,2,FALSE()),0),"")</f>
        <v/>
      </c>
      <c r="DA56" s="41">
        <v>-16</v>
      </c>
      <c r="DB56" s="42">
        <f ca="1">IFERROR(AVERAGE(OFFSET('Data - For Rank'!F$2,AE56,0,COUNTIF(AE$6:AE$115,AE56)))+IFERROR(VLOOKUP((COUNT(AC$6:AC$115)/4),$ER$8:$ES$12,2,FALSE()),0),"")</f>
        <v>6</v>
      </c>
      <c r="DC56" s="41"/>
      <c r="DD56" s="42" t="str">
        <f ca="1">IFERROR(AVERAGE(OFFSET('Data - For Rank'!G$2,AJ56,0,COUNTIF(AJ$6:AJ$115,AJ56)))+IFERROR(VLOOKUP((COUNT(AH$6:AH$115)/4),$ER$8:$ES$12,2,FALSE()),0),"")</f>
        <v/>
      </c>
      <c r="DE56" s="41"/>
      <c r="DF56" s="42" t="str">
        <f ca="1">IFERROR(AVERAGE(OFFSET('Data - For Rank'!$H$2,AO56,0,COUNTIF(AO$6:AO$115,AO56)))+IFERROR(VLOOKUP((COUNT(AM$6:AM$115)/4),$ER$8:$ES$12,2,FALSE()),0),"")</f>
        <v/>
      </c>
      <c r="DG56" s="41"/>
      <c r="DH56" s="42" t="str">
        <f ca="1">IFERROR(AVERAGE(OFFSET('Data - For Rank'!$I$2,AT56,0,COUNTIF(AT$6:AT$115,AT56)))+IFERROR(VLOOKUP((COUNT(AR$6:AR$115)/4),$ER$8:$ES$12,2,FALSE()),0),"")</f>
        <v/>
      </c>
      <c r="DI56" s="41"/>
      <c r="DJ56" s="42" t="str">
        <f ca="1">IFERROR(AVERAGE(OFFSET('Data - For Rank'!$J$2,AY56,0,COUNTIF(AY$6:AY$115,AY56)))+IFERROR(VLOOKUP((COUNT(AW$6:AW$115)/4),$ER$8:$ES$12,2,FALSE()),0),"")</f>
        <v/>
      </c>
      <c r="DK56" s="41"/>
      <c r="DL56" s="42" t="str">
        <f ca="1">IFERROR(AVERAGE(OFFSET('Data - For Rank'!$K$2,BD56,0,COUNTIF(BD$6:BD$115,BD56)))+IFERROR(VLOOKUP((COUNT(BB$6:BB$115)/4),$ER$8:$ES$12,2,FALSE()),0),"")</f>
        <v/>
      </c>
      <c r="DM56" s="41"/>
      <c r="DN56" s="42" t="str">
        <f ca="1">IFERROR(AVERAGE(OFFSET('Data - For Rank'!$L$2,BI56,0,COUNTIF(BI$6:BI$115,BI56)))+IFERROR(VLOOKUP((COUNT(BG$6:BG$115)/4),$ER$8:$ES$12,2,FALSE()),0),"")</f>
        <v/>
      </c>
      <c r="DO56" s="41"/>
      <c r="DP56" s="42" t="str">
        <f ca="1">IFERROR(AVERAGE(OFFSET('Data - For Rank'!$M$2,BN56,0,COUNTIF(BN$6:BN$115,BN56)))+IFERROR(VLOOKUP((COUNT(BL$6:BL$115)/4),$ER$8:$ES$12,2,FALSE()),0),"")</f>
        <v/>
      </c>
      <c r="DQ56" s="41"/>
      <c r="DR56" s="42" t="str">
        <f ca="1">IFERROR(AVERAGE(OFFSET('Data - For Rank'!$N$2,BS56,0,COUNTIF(BS$6:BS$115,BS56)))+IFERROR(VLOOKUP((COUNT(BQ$6:BQ$115)/4),$ER$8:$ES$12,2,FALSE()),0),"")</f>
        <v/>
      </c>
      <c r="DS56" s="41"/>
      <c r="DT56" s="42" t="str">
        <f ca="1">IFERROR(AVERAGE(OFFSET('Data - For Rank'!$O$2,BX56,0,COUNTIF(BX$6:BX$115,BX56)))+IFERROR(VLOOKUP((COUNT(BV$6:BV$115)/4),$ER$8:$ES$12,2,FALSE()),0),"")</f>
        <v/>
      </c>
      <c r="DU56" s="41"/>
      <c r="DV56" s="42" t="str">
        <f ca="1">IFERROR(AVERAGE(OFFSET('Data - For Rank'!$P$2,CC56,0,COUNTIF(CC$6:CC$115,CC56)))+IFERROR(VLOOKUP((COUNT(CA$6:CA$115)/4),$ER$8:$ES$12,2,FALSE()),0),"")</f>
        <v/>
      </c>
      <c r="DW56" s="41"/>
      <c r="DX56" s="42" t="str">
        <f ca="1">IFERROR(AVERAGE(OFFSET('Data - For Rank'!$Q$2,CH56,0,COUNTIF(CH$6:CH$115,CH56)))+IFERROR(VLOOKUP((COUNT(CF$6:CF$115)/4),$ER$8:$ES$12,2,FALSE()),0),"")</f>
        <v/>
      </c>
      <c r="DY56" s="41"/>
      <c r="DZ56" s="42" t="str">
        <f ca="1">IFERROR(AVERAGE(OFFSET('Data - For Rank'!$R$2,CM56,0,COUNTIF(CM$6:CM$115,CM56)))+IFERROR(VLOOKUP((COUNT(CK$6:CK$115)/4),$ER$8:$ES$12,2,FALSE()),0),"")</f>
        <v/>
      </c>
      <c r="EA56" s="41"/>
      <c r="EB56" s="42" t="str">
        <f ca="1">IFERROR(AVERAGE(OFFSET('Data - For Rank'!$S$2,CR56,0,COUNTIF(CR$6:CR$115,CR56)))+IFERROR(VLOOKUP((COUNT(CP$6:CP$115)/4),$ER$8:$ES$12,2,FALSE()),0),"")</f>
        <v/>
      </c>
      <c r="EC56" s="43">
        <f>CS56+CU56+CW56+CY56+DA56+DC56+DE56+DG56+DI56+DK56+DM56+DO56+DQ56+DS56+DU56+DW56+DY56+EA56</f>
        <v>-13</v>
      </c>
      <c r="ED56" s="44">
        <f t="shared" ca="1" si="2"/>
        <v>8.5</v>
      </c>
      <c r="ET56" s="87"/>
    </row>
    <row r="57" spans="2:150" x14ac:dyDescent="0.2">
      <c r="B57" s="21">
        <f ca="1">_xlfn.RANK.EQ(C57,$C$6:$C$63,)</f>
        <v>18</v>
      </c>
      <c r="C57" s="56">
        <f ca="1">EC57</f>
        <v>17</v>
      </c>
      <c r="D57" s="56" t="s">
        <v>131</v>
      </c>
      <c r="E57" s="29" t="s">
        <v>56</v>
      </c>
      <c r="F57" s="30">
        <f ca="1">COUNT(CT57,CV57,CX57,CZ57,DB57,DD57,DF57,DH57,DJ57,DL57,DN57,DP57,DR57,DT57,DV57,DX57,DZ57,EB57)</f>
        <v>1</v>
      </c>
      <c r="G57" s="93" t="str">
        <f ca="1">IF(CT57=0,"",CT57)</f>
        <v/>
      </c>
      <c r="H57" s="93"/>
      <c r="I57" s="93"/>
      <c r="K57" s="93"/>
      <c r="L57" s="93" t="str">
        <f ca="1">IF(CV57=0,"",CV57)</f>
        <v/>
      </c>
      <c r="M57" s="93"/>
      <c r="N57" s="93"/>
      <c r="P57" s="93"/>
      <c r="Q57" s="93" t="str">
        <f ca="1">IF(CX57=0,"",CX57)</f>
        <v/>
      </c>
      <c r="R57" s="93"/>
      <c r="S57" s="93"/>
      <c r="U57" s="93"/>
      <c r="V57" s="93">
        <f ca="1">IF(CZ57=0,"",CZ57)</f>
        <v>17</v>
      </c>
      <c r="W57" s="93"/>
      <c r="X57" s="93"/>
      <c r="Z57" s="93"/>
      <c r="AA57" s="93" t="str">
        <f ca="1">IF(DB57=0,"",DB57)</f>
        <v/>
      </c>
      <c r="AB57" s="93"/>
      <c r="AC57" s="93"/>
      <c r="AE57" s="93"/>
      <c r="AF57" s="93" t="str">
        <f ca="1">IF(DD57=0,"",DD57)</f>
        <v/>
      </c>
      <c r="AG57" s="93"/>
      <c r="AH57" s="93"/>
      <c r="AJ57" s="93"/>
      <c r="AK57" s="93" t="str">
        <f ca="1">IF(DF57=0,"",DF57)</f>
        <v/>
      </c>
      <c r="AL57" s="93"/>
      <c r="AM57" s="93"/>
      <c r="AO57" s="93"/>
      <c r="AP57" s="93" t="str">
        <f ca="1">IF(DH57=0,"",DH57)</f>
        <v/>
      </c>
      <c r="AQ57" s="93"/>
      <c r="AR57" s="93"/>
      <c r="AT57" s="93"/>
      <c r="AU57" s="93" t="str">
        <f ca="1">IF(DJ57=0,"",DJ57)</f>
        <v/>
      </c>
      <c r="AV57" s="93"/>
      <c r="AW57" s="93"/>
      <c r="AY57" s="93"/>
      <c r="AZ57" s="93" t="str">
        <f ca="1">IF(DL57=0,"",DL57)</f>
        <v/>
      </c>
      <c r="BA57" s="93"/>
      <c r="BB57" s="93"/>
      <c r="BD57" s="93"/>
      <c r="BE57" s="93" t="str">
        <f ca="1">IF(DN57=0,"",DN57)</f>
        <v/>
      </c>
      <c r="BF57" s="93"/>
      <c r="BG57" s="93"/>
      <c r="BI57" s="93"/>
      <c r="BJ57" s="93" t="str">
        <f ca="1">IF(DP57=0,"",DP57)</f>
        <v/>
      </c>
      <c r="BK57" s="93"/>
      <c r="BL57" s="93"/>
      <c r="BN57" s="93"/>
      <c r="BO57" s="93" t="str">
        <f ca="1">IF(DR57=0,"",DR57)</f>
        <v/>
      </c>
      <c r="BP57" s="93"/>
      <c r="BQ57" s="93"/>
      <c r="BS57" s="93"/>
      <c r="BT57" s="93" t="str">
        <f ca="1">IF(DT57=0,"",DT57)</f>
        <v/>
      </c>
      <c r="BU57" s="93"/>
      <c r="BV57" s="93"/>
      <c r="BX57" s="93"/>
      <c r="BY57" s="93" t="str">
        <f ca="1">IF(DV57=0,"",DV57)</f>
        <v/>
      </c>
      <c r="BZ57" s="93"/>
      <c r="CA57" s="93"/>
      <c r="CC57" s="93"/>
      <c r="CD57" s="93" t="str">
        <f ca="1">IF(DX57=0,"",DX57)</f>
        <v/>
      </c>
      <c r="CE57" s="93"/>
      <c r="CF57" s="93"/>
      <c r="CH57" s="93"/>
      <c r="CI57" s="93" t="str">
        <f ca="1">IF(DZ57=0,"",DZ57)</f>
        <v/>
      </c>
      <c r="CJ57" s="93"/>
      <c r="CK57" s="93"/>
      <c r="CM57" s="93"/>
      <c r="CN57" s="93" t="str">
        <f ca="1">IF(EB57=0,"",EB57)</f>
        <v/>
      </c>
      <c r="CO57" s="93"/>
      <c r="CP57" s="93"/>
      <c r="CR57" s="93"/>
      <c r="CS57" s="31"/>
      <c r="CT57" s="32" t="str">
        <f ca="1">IFERROR(CT58+CT59,"")</f>
        <v/>
      </c>
      <c r="CU57" s="31"/>
      <c r="CV57" s="32" t="str">
        <f ca="1">IFERROR(CV58+CV59,"")</f>
        <v/>
      </c>
      <c r="CW57" s="31"/>
      <c r="CX57" s="32" t="str">
        <f ca="1">IFERROR(CX58+CX59,"")</f>
        <v/>
      </c>
      <c r="CY57" s="31">
        <v>91</v>
      </c>
      <c r="CZ57" s="32">
        <f ca="1">IFERROR(CZ58+CZ59,"")</f>
        <v>17</v>
      </c>
      <c r="DA57" s="31"/>
      <c r="DB57" s="32" t="str">
        <f ca="1">IFERROR(DB58+DB59,"")</f>
        <v/>
      </c>
      <c r="DC57" s="31"/>
      <c r="DD57" s="32" t="str">
        <f ca="1">IFERROR(DD58+DD59,"")</f>
        <v/>
      </c>
      <c r="DE57" s="31"/>
      <c r="DF57" s="32" t="str">
        <f ca="1">IFERROR(DF58+DF59,"")</f>
        <v/>
      </c>
      <c r="DG57" s="31"/>
      <c r="DH57" s="32" t="str">
        <f ca="1">IFERROR(DH58+DH59,"")</f>
        <v/>
      </c>
      <c r="DI57" s="31"/>
      <c r="DJ57" s="32" t="str">
        <f ca="1">IFERROR(DJ58+DJ59,"")</f>
        <v/>
      </c>
      <c r="DK57" s="31"/>
      <c r="DL57" s="32" t="str">
        <f ca="1">IFERROR(DL58+DL59,"")</f>
        <v/>
      </c>
      <c r="DM57" s="31"/>
      <c r="DN57" s="32" t="str">
        <f ca="1">IFERROR(DN58+DN59,"")</f>
        <v/>
      </c>
      <c r="DO57" s="31"/>
      <c r="DP57" s="32" t="str">
        <f ca="1">IFERROR(DP58+DP59,"")</f>
        <v/>
      </c>
      <c r="DQ57" s="31"/>
      <c r="DR57" s="32" t="str">
        <f ca="1">IFERROR(DR58+DR59,"")</f>
        <v/>
      </c>
      <c r="DS57" s="31"/>
      <c r="DT57" s="32" t="str">
        <f ca="1">IFERROR(DT58+DT59,"")</f>
        <v/>
      </c>
      <c r="DU57" s="31"/>
      <c r="DV57" s="32" t="str">
        <f ca="1">IFERROR(DV58+DV59,"")</f>
        <v/>
      </c>
      <c r="DW57" s="31"/>
      <c r="DX57" s="32" t="str">
        <f ca="1">IFERROR(DX58+DX59,"")</f>
        <v/>
      </c>
      <c r="DY57" s="31"/>
      <c r="DZ57" s="32" t="str">
        <f ca="1">IFERROR(DZ58+DZ59,"")</f>
        <v/>
      </c>
      <c r="EA57" s="31"/>
      <c r="EB57" s="32" t="str">
        <f ca="1">IFERROR(EB58+EB59,"")</f>
        <v/>
      </c>
      <c r="EC57" s="26">
        <f ca="1">IFERROR(LARGE($G57:$CN57,1),0)+IFERROR(LARGE($G57:$CN57,2),0)+IFERROR(LARGE($G57:$CN57,3),0)+IFERROR(LARGE($G57:$CN57,4),0)+IFERROR(LARGE($G57:$CN57,5),0)+IFERROR(LARGE($G57:$CN57,6),0)+IFERROR(LARGE($G57:$CN57,7),0)+IFERROR(LARGE($G57:$CN57,8),0)+IFERROR(LARGE($G57:$CN57,9),0)+IFERROR(LARGE($G57:$CN57,10),0)</f>
        <v>17</v>
      </c>
      <c r="ED57" s="33">
        <f t="shared" ca="1" si="2"/>
        <v>17</v>
      </c>
      <c r="ET57" s="87"/>
    </row>
    <row r="58" spans="2:150" s="15" customFormat="1" outlineLevel="1" x14ac:dyDescent="0.2">
      <c r="B58" s="34">
        <f ca="1">B57+0.19</f>
        <v>18.190000000000001</v>
      </c>
      <c r="D58" s="87" t="s">
        <v>132</v>
      </c>
      <c r="E58" s="35" t="s">
        <v>38</v>
      </c>
      <c r="F58" s="35"/>
      <c r="G58" s="35"/>
      <c r="H58" s="35" t="str">
        <f>IF(CS58=0,"",CS58)</f>
        <v/>
      </c>
      <c r="I58" s="35"/>
      <c r="J58" s="93" t="str">
        <f>IFERROR(RANK(H58,H$6:H$115,0),"")</f>
        <v/>
      </c>
      <c r="K58" s="35"/>
      <c r="L58" s="35"/>
      <c r="M58" s="35" t="str">
        <f>IF(CU58=0,"",CU58)</f>
        <v/>
      </c>
      <c r="N58" s="35"/>
      <c r="O58" s="93" t="str">
        <f>IFERROR(RANK(M58,M$6:M$115,0),"")</f>
        <v/>
      </c>
      <c r="P58" s="35"/>
      <c r="Q58" s="35"/>
      <c r="R58" s="35" t="str">
        <f>IF(CW58=0,"",CW58)</f>
        <v/>
      </c>
      <c r="S58" s="35"/>
      <c r="T58" s="93" t="str">
        <f>IFERROR(RANK(R58,R$6:R$115,0),"")</f>
        <v/>
      </c>
      <c r="U58" s="35"/>
      <c r="V58" s="35"/>
      <c r="W58" s="35">
        <f>IF(CY58=0,"",CY58)</f>
        <v>29</v>
      </c>
      <c r="X58" s="35"/>
      <c r="Y58" s="93">
        <f>IFERROR(RANK(W58,W$6:W$115,0),"")</f>
        <v>5</v>
      </c>
      <c r="Z58" s="35"/>
      <c r="AA58" s="35"/>
      <c r="AB58" s="35" t="str">
        <f>IF(DA58=0,"",DA58)</f>
        <v/>
      </c>
      <c r="AC58" s="35"/>
      <c r="AD58" s="93" t="str">
        <f>IFERROR(RANK(AB58,AB$6:AB$115,0),"")</f>
        <v/>
      </c>
      <c r="AE58" s="35"/>
      <c r="AF58" s="35"/>
      <c r="AG58" s="35" t="str">
        <f>IF(DC58=0,"",DC58)</f>
        <v/>
      </c>
      <c r="AH58" s="35"/>
      <c r="AI58" s="93" t="str">
        <f>IFERROR(RANK(AG58,AG$6:AG$115,0),"")</f>
        <v/>
      </c>
      <c r="AJ58" s="35"/>
      <c r="AK58" s="35"/>
      <c r="AL58" s="35" t="str">
        <f>IF(DE58=0,"",DE58)</f>
        <v/>
      </c>
      <c r="AM58" s="35"/>
      <c r="AN58" s="93" t="str">
        <f>IFERROR(RANK(AL58,AL$6:AL$115,0),"")</f>
        <v/>
      </c>
      <c r="AO58" s="35"/>
      <c r="AP58" s="35"/>
      <c r="AQ58" s="35" t="str">
        <f>IF(DG58=0,"",DG58)</f>
        <v/>
      </c>
      <c r="AR58" s="35"/>
      <c r="AS58" s="93" t="str">
        <f>IFERROR(RANK(AQ58,AQ$6:AQ$115,0),"")</f>
        <v/>
      </c>
      <c r="AT58" s="35"/>
      <c r="AU58" s="35"/>
      <c r="AV58" s="35" t="str">
        <f>IF(DI58=0,"",DI58)</f>
        <v/>
      </c>
      <c r="AW58" s="35"/>
      <c r="AX58" s="93" t="str">
        <f>IFERROR(RANK(AV58,AV$6:AV$115,0),"")</f>
        <v/>
      </c>
      <c r="AY58" s="35"/>
      <c r="AZ58" s="35"/>
      <c r="BA58" s="35" t="str">
        <f>IF(DK58=0,"",DK58)</f>
        <v/>
      </c>
      <c r="BB58" s="35"/>
      <c r="BC58" s="93" t="str">
        <f>IFERROR(RANK(BA58,BA$6:BA$115,0),"")</f>
        <v/>
      </c>
      <c r="BD58" s="35"/>
      <c r="BE58" s="35"/>
      <c r="BF58" s="35" t="str">
        <f>IF(DM58=0,"",DM58)</f>
        <v/>
      </c>
      <c r="BG58" s="35"/>
      <c r="BH58" s="93" t="str">
        <f>IFERROR(RANK(BF58,BF$6:BF$115,0),"")</f>
        <v/>
      </c>
      <c r="BI58" s="35"/>
      <c r="BJ58" s="35"/>
      <c r="BK58" s="35" t="str">
        <f>IF(DO58=0,"",DO58)</f>
        <v/>
      </c>
      <c r="BL58" s="35"/>
      <c r="BM58" s="93" t="str">
        <f>IFERROR(RANK(BK58,BK$6:BK$115,0),"")</f>
        <v/>
      </c>
      <c r="BN58" s="35"/>
      <c r="BO58" s="35"/>
      <c r="BP58" s="35" t="str">
        <f>IF(DQ58=0,"",DQ58)</f>
        <v/>
      </c>
      <c r="BQ58" s="35"/>
      <c r="BR58" s="93" t="str">
        <f>IFERROR(RANK(BP58,BP$6:BP$115,0),"")</f>
        <v/>
      </c>
      <c r="BS58" s="35"/>
      <c r="BT58" s="35"/>
      <c r="BU58" s="35" t="str">
        <f>IF(DS58=0,"",DS58)</f>
        <v/>
      </c>
      <c r="BV58" s="35"/>
      <c r="BW58" s="93" t="str">
        <f>IFERROR(RANK(BU58,BU$6:BU$115,0),"")</f>
        <v/>
      </c>
      <c r="BX58" s="35"/>
      <c r="BY58" s="35"/>
      <c r="BZ58" s="35" t="str">
        <f>IF(DU58=0,"",DU58)</f>
        <v/>
      </c>
      <c r="CA58" s="35"/>
      <c r="CB58" s="93" t="str">
        <f>IFERROR(RANK(BZ58,BZ$6:BZ$115,0),"")</f>
        <v/>
      </c>
      <c r="CC58" s="35"/>
      <c r="CD58" s="35"/>
      <c r="CE58" s="35" t="str">
        <f>IF(DW58=0,"",DW58)</f>
        <v/>
      </c>
      <c r="CF58" s="35"/>
      <c r="CG58" s="93" t="str">
        <f>IFERROR(RANK(CE58,CE$6:CE$115,0),"")</f>
        <v/>
      </c>
      <c r="CH58" s="35"/>
      <c r="CI58" s="35"/>
      <c r="CJ58" s="35" t="str">
        <f>IF(DY58=0,"",DY58)</f>
        <v/>
      </c>
      <c r="CK58" s="35"/>
      <c r="CL58" s="93" t="str">
        <f>IFERROR(RANK(CJ58,CJ$6:CJ$115,0),"")</f>
        <v/>
      </c>
      <c r="CM58" s="35"/>
      <c r="CN58" s="35"/>
      <c r="CO58" s="35" t="str">
        <f>IF(EA58=0,"",EA58)</f>
        <v/>
      </c>
      <c r="CP58" s="35"/>
      <c r="CQ58" s="93" t="str">
        <f>IFERROR(RANK(CO58,CO$6:CO$115,0),"")</f>
        <v/>
      </c>
      <c r="CR58" s="35"/>
      <c r="CS58" s="31"/>
      <c r="CT58" s="36" t="str">
        <f ca="1">IFERROR(AVERAGE(OFFSET('Data - For Rank'!B$2,J58,0,COUNTIF($J$7:J$115,J58)))+IFERROR(VLOOKUP((COUNT($H$6:$H$115)/4),$ER$8:$ES$12,2,FALSE()),0),"")</f>
        <v/>
      </c>
      <c r="CU58" s="31"/>
      <c r="CV58" s="36" t="str">
        <f ca="1">IFERROR(AVERAGE(OFFSET('Data - For Rank'!$C$2,O58,0,COUNTIF(O$7:O$115,O58)))+IFERROR(VLOOKUP((COUNT(M$6:M$115)/4),$ER$8:$ES$12,2,FALSE()),0),"")</f>
        <v/>
      </c>
      <c r="CW58" s="31"/>
      <c r="CX58" s="36" t="str">
        <f ca="1">IFERROR(AVERAGE(OFFSET('Data - For Rank'!D$2,T58,0,COUNTIF(T$7:T$115,T58)))+IFERROR(VLOOKUP((COUNT(R$6:R$115)/4),$ER$8:$ES$12,2,FALSE()),0),"")</f>
        <v/>
      </c>
      <c r="CY58" s="31">
        <v>29</v>
      </c>
      <c r="CZ58" s="36">
        <f ca="1">IFERROR(AVERAGE(OFFSET('Data - For Rank'!E$2,Y58,0,COUNTIF(Y$7:Y$115,Y58)))+IFERROR(VLOOKUP((COUNT(W$6:W$115)/4),$ER$8:$ES$12,2,FALSE()),0),"")</f>
        <v>10</v>
      </c>
      <c r="DA58" s="31"/>
      <c r="DB58" s="36" t="str">
        <f ca="1">IFERROR(AVERAGE(OFFSET('Data - For Rank'!F$2,AD58,0,COUNTIF(AD$7:AD$115,AD58)))+IFERROR(VLOOKUP((COUNT(AB$6:AB$115)/4),$ER$8:$ES$12,2,FALSE()),0),"")</f>
        <v/>
      </c>
      <c r="DC58" s="31"/>
      <c r="DD58" s="36" t="str">
        <f ca="1">IFERROR(AVERAGE(OFFSET('Data - For Rank'!G$2,AI58,0,COUNTIF(AI$7:AI$115,AI58)))+IFERROR(VLOOKUP((COUNT(AG$6:AG$115)/4),$ER$8:$ES$12,2,FALSE()),0),"")</f>
        <v/>
      </c>
      <c r="DE58" s="31"/>
      <c r="DF58" s="36" t="str">
        <f ca="1">IFERROR(AVERAGE(OFFSET('Data - For Rank'!$H$2,AN58,0,COUNTIF(AN$7:AN$115,AN58)))+IFERROR(VLOOKUP((COUNT(AL$6:AL$115)/4),$ER$8:$ES$12,2,FALSE()),0),"")</f>
        <v/>
      </c>
      <c r="DG58" s="31"/>
      <c r="DH58" s="36" t="str">
        <f ca="1">IFERROR(AVERAGE(OFFSET('Data - For Rank'!$I$2,AS58,0,COUNTIF(AS$7:AS$115,AS58)))+IFERROR(VLOOKUP((COUNT(AQ$6:AQ$115)/4),$ER$8:$ES$12,2,FALSE()),0),"")</f>
        <v/>
      </c>
      <c r="DI58" s="31"/>
      <c r="DJ58" s="36" t="str">
        <f ca="1">IFERROR(AVERAGE(OFFSET('Data - For Rank'!$J$2,AX58,0,COUNTIF(AX$7:AX$115,AX58)))+IFERROR(VLOOKUP((COUNT(AV$6:AV$115)/4),$ER$8:$ES$12,2,FALSE()),0),"")</f>
        <v/>
      </c>
      <c r="DK58" s="31"/>
      <c r="DL58" s="36" t="str">
        <f ca="1">IFERROR(AVERAGE(OFFSET('Data - For Rank'!$K$2,BC58,0,COUNTIF(BC$7:BC$115,BC58)))+IFERROR(VLOOKUP((COUNT(BA$6:BA$115)/4),$ER$8:$ES$12,2,FALSE()),0),"")</f>
        <v/>
      </c>
      <c r="DM58" s="31"/>
      <c r="DN58" s="36" t="str">
        <f ca="1">IFERROR(AVERAGE(OFFSET('Data - For Rank'!$L$2,BH58,0,COUNTIF(BH$7:BH$115,BH58)))+IFERROR(VLOOKUP((COUNT(BF$6:BF$115)/4),$ER$8:$ES$12,2,FALSE()),0),"")</f>
        <v/>
      </c>
      <c r="DO58" s="31"/>
      <c r="DP58" s="36" t="str">
        <f ca="1">IFERROR(AVERAGE(OFFSET('Data - For Rank'!$M$2,BM58,0,COUNTIF(BM$7:BM$115,BM58)))+IFERROR(VLOOKUP((COUNT(BK$6:BK$115)/4),$ER$8:$ES$12,2,FALSE()),0),"")</f>
        <v/>
      </c>
      <c r="DQ58" s="31"/>
      <c r="DR58" s="36" t="str">
        <f ca="1">IFERROR(AVERAGE(OFFSET('Data - For Rank'!$N$2,BR58,0,COUNTIF(BR$7:BR$115,BR58)))+IFERROR(VLOOKUP((COUNT(BP$6:BP$115)/4),$ER$8:$ES$12,2,FALSE()),0),"")</f>
        <v/>
      </c>
      <c r="DS58" s="31"/>
      <c r="DT58" s="36" t="str">
        <f ca="1">IFERROR(AVERAGE(OFFSET('Data - For Rank'!$O$2,BW58,0,COUNTIF(BW$7:BW$115,BW58)))+IFERROR(VLOOKUP((COUNT(BU$6:BU$115)/4),$ER$8:$ES$12,2,FALSE()),0),"")</f>
        <v/>
      </c>
      <c r="DU58" s="31"/>
      <c r="DV58" s="36" t="str">
        <f ca="1">IFERROR(AVERAGE(OFFSET('Data - For Rank'!$P$2,CB58,0,COUNTIF(CB$7:CB$115,CB58)))+IFERROR(VLOOKUP((COUNT(BZ$6:BZ$115)/4),$ER$8:$ES$12,2,FALSE()),0),"")</f>
        <v/>
      </c>
      <c r="DW58" s="31"/>
      <c r="DX58" s="36" t="str">
        <f ca="1">IFERROR(AVERAGE(OFFSET('Data - For Rank'!$Q$2,CG58,0,COUNTIF(CG$7:CG$115,CG58)))+IFERROR(VLOOKUP((COUNT(CE$6:CE$115)/4),$ER$8:$ES$12,2,FALSE()),0),"")</f>
        <v/>
      </c>
      <c r="DY58" s="31"/>
      <c r="DZ58" s="36" t="str">
        <f ca="1">IFERROR(AVERAGE(OFFSET('Data - For Rank'!$R$2,CL58,0,COUNTIF(CL$7:CL$115,CL58)))+IFERROR(VLOOKUP((COUNT(CJ$6:CJ$115)/4),$ER$8:$ES$12,2,FALSE()),0),"")</f>
        <v/>
      </c>
      <c r="EA58" s="31"/>
      <c r="EB58" s="36" t="str">
        <f ca="1">IFERROR(AVERAGE(OFFSET('Data - For Rank'!$S$2,CQ58,0,COUNTIF(CQ$7:CQ$115,CQ58)))+IFERROR(VLOOKUP((COUNT(CO$6:CO$115)/4),$ER$8:$ES$12,2,FALSE()),0),"")</f>
        <v/>
      </c>
      <c r="EC58" s="37">
        <f>IFERROR(AVERAGE(CS58,CU58,CW58,CY58,DA58,DC58,DE58,DG58,DI58,DK58,DM58,DO58,DQ58,DS58,DU58,DW58,DY58,EA58),0)</f>
        <v>29</v>
      </c>
      <c r="ED58" s="33">
        <f t="shared" ca="1" si="2"/>
        <v>10</v>
      </c>
      <c r="EI58" s="15" t="str">
        <f>IF(CS58=0,"",CS58)</f>
        <v/>
      </c>
    </row>
    <row r="59" spans="2:150" s="15" customFormat="1" outlineLevel="1" x14ac:dyDescent="0.2">
      <c r="B59" s="38">
        <f ca="1">B57+0.0219</f>
        <v>18.021899999999999</v>
      </c>
      <c r="D59" s="87" t="s">
        <v>133</v>
      </c>
      <c r="E59" s="39" t="s">
        <v>39</v>
      </c>
      <c r="F59" s="40">
        <f ca="1">IFERROR(IF(COUNT(CT57:EB57)&gt;10,SMALL(G57:CN57,COUNT(G57:CN57)-10),MIN(CT57:EB57)),0)</f>
        <v>17</v>
      </c>
      <c r="G59" s="40"/>
      <c r="H59" s="40"/>
      <c r="I59" s="96" t="str">
        <f>IF(CS59=0,"",CS59)</f>
        <v/>
      </c>
      <c r="J59" s="96"/>
      <c r="K59" s="97" t="str">
        <f>IFERROR(_xlfn.RANK.EQ(I59,I$6:I$115,0),"")</f>
        <v/>
      </c>
      <c r="L59" s="40"/>
      <c r="M59" s="40"/>
      <c r="N59" s="96" t="str">
        <f>IF(CU59=0,"",CU59)</f>
        <v/>
      </c>
      <c r="O59" s="96"/>
      <c r="P59" s="97" t="str">
        <f>IFERROR(_xlfn.RANK.EQ(N59,N$6:N$115,0),"")</f>
        <v/>
      </c>
      <c r="Q59" s="40"/>
      <c r="R59" s="40"/>
      <c r="S59" s="96" t="str">
        <f>IF(CW59=0,"",CW59)</f>
        <v/>
      </c>
      <c r="T59" s="96"/>
      <c r="U59" s="97" t="str">
        <f>IFERROR(_xlfn.RANK.EQ(S59,S$6:S$115,0),"")</f>
        <v/>
      </c>
      <c r="V59" s="40"/>
      <c r="W59" s="40"/>
      <c r="X59" s="96">
        <f>IF(CY59=0,"",CY59)</f>
        <v>-41</v>
      </c>
      <c r="Y59" s="96"/>
      <c r="Z59" s="97">
        <f>IFERROR(_xlfn.RANK.EQ(X59,X$6:X$115,0),"")</f>
        <v>8</v>
      </c>
      <c r="AA59" s="40"/>
      <c r="AB59" s="40"/>
      <c r="AC59" s="96" t="str">
        <f>IF(DA59=0,"",DA59)</f>
        <v/>
      </c>
      <c r="AD59" s="96"/>
      <c r="AE59" s="97" t="str">
        <f>IFERROR(_xlfn.RANK.EQ(AC59,AC$6:AC$115,0),"")</f>
        <v/>
      </c>
      <c r="AF59" s="40"/>
      <c r="AG59" s="40"/>
      <c r="AH59" s="96" t="str">
        <f>IF(DC59=0,"",DC59)</f>
        <v/>
      </c>
      <c r="AI59" s="96"/>
      <c r="AJ59" s="97" t="str">
        <f>IFERROR(_xlfn.RANK.EQ(AH59,AH$6:AH$115,0),"")</f>
        <v/>
      </c>
      <c r="AK59" s="40"/>
      <c r="AL59" s="40"/>
      <c r="AM59" s="96" t="str">
        <f>IF(DE59=0,"",DE59)</f>
        <v/>
      </c>
      <c r="AN59" s="96"/>
      <c r="AO59" s="97" t="str">
        <f>IFERROR(_xlfn.RANK.EQ(AM59,AM$6:AM$115,0),"")</f>
        <v/>
      </c>
      <c r="AP59" s="40"/>
      <c r="AQ59" s="40"/>
      <c r="AR59" s="96" t="str">
        <f>IF(DG59=0,"",DG59)</f>
        <v/>
      </c>
      <c r="AS59" s="96"/>
      <c r="AT59" s="97" t="str">
        <f>IFERROR(_xlfn.RANK.EQ(AR59,AR$6:AR$115,0),"")</f>
        <v/>
      </c>
      <c r="AU59" s="40"/>
      <c r="AV59" s="40"/>
      <c r="AW59" s="96" t="str">
        <f>IF(DI59=0,"",DI59)</f>
        <v/>
      </c>
      <c r="AX59" s="96"/>
      <c r="AY59" s="97" t="str">
        <f>IFERROR(_xlfn.RANK.EQ(AW59,AW$6:AW$115,0),"")</f>
        <v/>
      </c>
      <c r="AZ59" s="40"/>
      <c r="BA59" s="40"/>
      <c r="BB59" s="96" t="str">
        <f>IF(DK59=0,"",DK59)</f>
        <v/>
      </c>
      <c r="BC59" s="96"/>
      <c r="BD59" s="97" t="str">
        <f>IFERROR(_xlfn.RANK.EQ(BB59,BB$6:BB$115,0),"")</f>
        <v/>
      </c>
      <c r="BE59" s="40"/>
      <c r="BF59" s="40"/>
      <c r="BG59" s="96" t="str">
        <f>IF(DM59=0,"",DM59)</f>
        <v/>
      </c>
      <c r="BH59" s="96"/>
      <c r="BI59" s="97" t="str">
        <f>IFERROR(_xlfn.RANK.EQ(BG59,BG$6:BG$115,0),"")</f>
        <v/>
      </c>
      <c r="BJ59" s="40"/>
      <c r="BK59" s="40"/>
      <c r="BL59" s="96" t="str">
        <f>IF(DO59=0,"",DO59)</f>
        <v/>
      </c>
      <c r="BM59" s="96"/>
      <c r="BN59" s="97" t="str">
        <f>IFERROR(_xlfn.RANK.EQ(BL59,BL$6:BL$115,0),"")</f>
        <v/>
      </c>
      <c r="BO59" s="40"/>
      <c r="BP59" s="40"/>
      <c r="BQ59" s="96" t="str">
        <f>IF(DQ59=0,"",DQ59)</f>
        <v/>
      </c>
      <c r="BR59" s="96"/>
      <c r="BS59" s="97" t="str">
        <f>IFERROR(_xlfn.RANK.EQ(BQ59,BQ$6:BQ$115,0),"")</f>
        <v/>
      </c>
      <c r="BT59" s="40"/>
      <c r="BU59" s="40"/>
      <c r="BV59" s="96" t="str">
        <f>IF(DS59=0,"",DS59)</f>
        <v/>
      </c>
      <c r="BW59" s="96"/>
      <c r="BX59" s="97" t="str">
        <f>IFERROR(_xlfn.RANK.EQ(BV59,BV$6:BV$115,0),"")</f>
        <v/>
      </c>
      <c r="BY59" s="40"/>
      <c r="BZ59" s="40"/>
      <c r="CA59" s="96" t="str">
        <f>IF(DU59=0,"",DU59)</f>
        <v/>
      </c>
      <c r="CB59" s="96"/>
      <c r="CC59" s="97" t="str">
        <f>IFERROR(_xlfn.RANK.EQ(CA59,CA$6:CA$115,0),"")</f>
        <v/>
      </c>
      <c r="CD59" s="40"/>
      <c r="CE59" s="40"/>
      <c r="CF59" s="96" t="str">
        <f>IF(DW59=0,"",DW59)</f>
        <v/>
      </c>
      <c r="CG59" s="96"/>
      <c r="CH59" s="97" t="str">
        <f>IFERROR(_xlfn.RANK.EQ(CF59,CF$6:CF$115,0),"")</f>
        <v/>
      </c>
      <c r="CI59" s="40"/>
      <c r="CJ59" s="40"/>
      <c r="CK59" s="96" t="str">
        <f>IF(DY59=0,"",DY59)</f>
        <v/>
      </c>
      <c r="CL59" s="96"/>
      <c r="CM59" s="97" t="str">
        <f>IFERROR(_xlfn.RANK.EQ(CK59,CK$6:CK$115,0),"")</f>
        <v/>
      </c>
      <c r="CN59" s="40"/>
      <c r="CO59" s="40"/>
      <c r="CP59" s="96" t="str">
        <f>IF(EA59=0,"",EA59)</f>
        <v/>
      </c>
      <c r="CQ59" s="96"/>
      <c r="CR59" s="97" t="str">
        <f>IFERROR(_xlfn.RANK.EQ(CP59,CP$6:CP$115,0),"")</f>
        <v/>
      </c>
      <c r="CS59" s="41"/>
      <c r="CT59" s="42" t="str">
        <f ca="1">IFERROR(AVERAGE(OFFSET('Data - For Rank'!B$2,K59,0,COUNTIF(K$6:K$115,K59)))+IFERROR(VLOOKUP((COUNT($I$6:$I$115)/4),$ER$8:$ES$12,2,FALSE()),0),"")</f>
        <v/>
      </c>
      <c r="CU59" s="41"/>
      <c r="CV59" s="42" t="str">
        <f ca="1">IFERROR(AVERAGE(OFFSET('Data - For Rank'!$C$2,P59,0,COUNTIF(P$6:P$115,P59)))+IFERROR(VLOOKUP((COUNT(N$6:N$115)/4),$ER$8:$ES$12,2,FALSE()),0),"")</f>
        <v/>
      </c>
      <c r="CW59" s="41"/>
      <c r="CX59" s="42" t="str">
        <f ca="1">IFERROR(AVERAGE(OFFSET('Data - For Rank'!D$2,U59,0,COUNTIF(U$6:$U166,U59)))+IFERROR(VLOOKUP((COUNT(S$6:S$115)/4),$ER$8:$ES$12,2,FALSE()),0),"")</f>
        <v/>
      </c>
      <c r="CY59" s="41">
        <v>-41</v>
      </c>
      <c r="CZ59" s="42">
        <f ca="1">IFERROR(AVERAGE(OFFSET('Data - For Rank'!E$2,Z59,0,COUNTIF(Z$6:Z$115,Z59)))+IFERROR(VLOOKUP((COUNT(W$6:W$115)/4),$ER$8:$ES$12,2,FALSE()),0),"")</f>
        <v>7</v>
      </c>
      <c r="DA59" s="41"/>
      <c r="DB59" s="42" t="str">
        <f ca="1">IFERROR(AVERAGE(OFFSET('Data - For Rank'!F$2,AE59,0,COUNTIF(AE$6:AE$115,AE59)))+IFERROR(VLOOKUP((COUNT(AC$6:AC$115)/4),$ER$8:$ES$12,2,FALSE()),0),"")</f>
        <v/>
      </c>
      <c r="DC59" s="41"/>
      <c r="DD59" s="42" t="str">
        <f ca="1">IFERROR(AVERAGE(OFFSET('Data - For Rank'!G$2,AJ59,0,COUNTIF(AJ$6:AJ$115,AJ59)))+IFERROR(VLOOKUP((COUNT(AH$6:AH$115)/4),$ER$8:$ES$12,2,FALSE()),0),"")</f>
        <v/>
      </c>
      <c r="DE59" s="41"/>
      <c r="DF59" s="42" t="str">
        <f ca="1">IFERROR(AVERAGE(OFFSET('Data - For Rank'!$H$2,AO59,0,COUNTIF(AO$6:AO$115,AO59)))+IFERROR(VLOOKUP((COUNT(AM$6:AM$115)/4),$ER$8:$ES$12,2,FALSE()),0),"")</f>
        <v/>
      </c>
      <c r="DG59" s="41"/>
      <c r="DH59" s="42" t="str">
        <f ca="1">IFERROR(AVERAGE(OFFSET('Data - For Rank'!$I$2,AT59,0,COUNTIF(AT$6:AT$115,AT59)))+IFERROR(VLOOKUP((COUNT(AR$6:AR$115)/4),$ER$8:$ES$12,2,FALSE()),0),"")</f>
        <v/>
      </c>
      <c r="DI59" s="41"/>
      <c r="DJ59" s="42" t="str">
        <f ca="1">IFERROR(AVERAGE(OFFSET('Data - For Rank'!$J$2,AY59,0,COUNTIF(AY$6:AY$115,AY59)))+IFERROR(VLOOKUP((COUNT(AW$6:AW$115)/4),$ER$8:$ES$12,2,FALSE()),0),"")</f>
        <v/>
      </c>
      <c r="DK59" s="41"/>
      <c r="DL59" s="42" t="str">
        <f ca="1">IFERROR(AVERAGE(OFFSET('Data - For Rank'!$K$2,BD59,0,COUNTIF(BD$6:BD$115,BD59)))+IFERROR(VLOOKUP((COUNT(BB$6:BB$115)/4),$ER$8:$ES$12,2,FALSE()),0),"")</f>
        <v/>
      </c>
      <c r="DM59" s="41"/>
      <c r="DN59" s="42" t="str">
        <f ca="1">IFERROR(AVERAGE(OFFSET('Data - For Rank'!$L$2,BI59,0,COUNTIF(BI$6:BI$115,BI59)))+IFERROR(VLOOKUP((COUNT(BG$6:BG$115)/4),$ER$8:$ES$12,2,FALSE()),0),"")</f>
        <v/>
      </c>
      <c r="DO59" s="41"/>
      <c r="DP59" s="42" t="str">
        <f ca="1">IFERROR(AVERAGE(OFFSET('Data - For Rank'!$M$2,BN59,0,COUNTIF(BN$6:BN$115,BN59)))+IFERROR(VLOOKUP((COUNT(BL$6:BL$115)/4),$ER$8:$ES$12,2,FALSE()),0),"")</f>
        <v/>
      </c>
      <c r="DQ59" s="41"/>
      <c r="DR59" s="42" t="str">
        <f ca="1">IFERROR(AVERAGE(OFFSET('Data - For Rank'!$N$2,BS59,0,COUNTIF(BS$6:BS$115,BS59)))+IFERROR(VLOOKUP((COUNT(BQ$6:BQ$115)/4),$ER$8:$ES$12,2,FALSE()),0),"")</f>
        <v/>
      </c>
      <c r="DS59" s="41"/>
      <c r="DT59" s="42" t="str">
        <f ca="1">IFERROR(AVERAGE(OFFSET('Data - For Rank'!$O$2,BX59,0,COUNTIF(BX$6:BX$115,BX59)))+IFERROR(VLOOKUP((COUNT(BV$6:BV$115)/4),$ER$8:$ES$12,2,FALSE()),0),"")</f>
        <v/>
      </c>
      <c r="DU59" s="41"/>
      <c r="DV59" s="42" t="str">
        <f ca="1">IFERROR(AVERAGE(OFFSET('Data - For Rank'!$P$2,CC59,0,COUNTIF(CC$6:CC$115,CC59)))+IFERROR(VLOOKUP((COUNT(CA$6:CA$115)/4),$ER$8:$ES$12,2,FALSE()),0),"")</f>
        <v/>
      </c>
      <c r="DW59" s="41"/>
      <c r="DX59" s="42" t="str">
        <f ca="1">IFERROR(AVERAGE(OFFSET('Data - For Rank'!$Q$2,CH59,0,COUNTIF(CH$6:CH$115,CH59)))+IFERROR(VLOOKUP((COUNT(CF$6:CF$115)/4),$ER$8:$ES$12,2,FALSE()),0),"")</f>
        <v/>
      </c>
      <c r="DY59" s="41"/>
      <c r="DZ59" s="42" t="str">
        <f ca="1">IFERROR(AVERAGE(OFFSET('Data - For Rank'!$R$2,CM59,0,COUNTIF(CM$6:CM$115,CM59)))+IFERROR(VLOOKUP((COUNT(CK$6:CK$115)/4),$ER$8:$ES$12,2,FALSE()),0),"")</f>
        <v/>
      </c>
      <c r="EA59" s="41"/>
      <c r="EB59" s="42" t="str">
        <f ca="1">IFERROR(AVERAGE(OFFSET('Data - For Rank'!$S$2,CR59,0,COUNTIF(CR$6:CR$115,CR59)))+IFERROR(VLOOKUP((COUNT(CP$6:CP$115)/4),$ER$8:$ES$12,2,FALSE()),0),"")</f>
        <v/>
      </c>
      <c r="EC59" s="43">
        <f>CS59+CU59+CW59+CY59+DA59+DC59+DE59+DG59+DI59+DK59+DM59+DO59+DQ59+DS59+DU59+DW59+DY59+EA59</f>
        <v>-41</v>
      </c>
      <c r="ED59" s="44">
        <f t="shared" ca="1" si="2"/>
        <v>7</v>
      </c>
    </row>
    <row r="60" spans="2:150" x14ac:dyDescent="0.2">
      <c r="B60" s="21">
        <f ca="1">_xlfn.RANK.EQ(C60,$C$6:$C$63,)</f>
        <v>19</v>
      </c>
      <c r="C60" s="56">
        <f ca="1">EC60</f>
        <v>0</v>
      </c>
      <c r="D60" s="56" t="s">
        <v>57</v>
      </c>
      <c r="E60" s="29" t="s">
        <v>57</v>
      </c>
      <c r="F60" s="30">
        <f ca="1">COUNT(CT60,CV60,CX60,CZ60,DB60,DD60,DF60,DH60,DJ60,DL60,DN60,DP60,DR60,DT60,DV60,DX60,DZ60,EB60)</f>
        <v>0</v>
      </c>
      <c r="G60" s="93" t="str">
        <f ca="1">IF(CT60=0,"",CT60)</f>
        <v/>
      </c>
      <c r="H60" s="93"/>
      <c r="I60" s="93"/>
      <c r="K60" s="93"/>
      <c r="L60" s="93" t="str">
        <f ca="1">IF(CV60=0,"",CV60)</f>
        <v/>
      </c>
      <c r="M60" s="93"/>
      <c r="N60" s="93"/>
      <c r="P60" s="93"/>
      <c r="Q60" s="93" t="str">
        <f ca="1">IF(CX60=0,"",CX60)</f>
        <v/>
      </c>
      <c r="R60" s="93"/>
      <c r="S60" s="93"/>
      <c r="U60" s="93"/>
      <c r="V60" s="93" t="str">
        <f ca="1">IF(CZ60=0,"",CZ60)</f>
        <v/>
      </c>
      <c r="W60" s="93"/>
      <c r="X60" s="93"/>
      <c r="Z60" s="93"/>
      <c r="AA60" s="93" t="str">
        <f ca="1">IF(DB60=0,"",DB60)</f>
        <v/>
      </c>
      <c r="AB60" s="93"/>
      <c r="AC60" s="93"/>
      <c r="AE60" s="93"/>
      <c r="AF60" s="93" t="str">
        <f ca="1">IF(DD60=0,"",DD60)</f>
        <v/>
      </c>
      <c r="AG60" s="93"/>
      <c r="AH60" s="93"/>
      <c r="AJ60" s="93"/>
      <c r="AK60" s="93" t="str">
        <f ca="1">IF(DF60=0,"",DF60)</f>
        <v/>
      </c>
      <c r="AL60" s="93"/>
      <c r="AM60" s="93"/>
      <c r="AO60" s="93"/>
      <c r="AP60" s="93" t="str">
        <f ca="1">IF(DH60=0,"",DH60)</f>
        <v/>
      </c>
      <c r="AQ60" s="93"/>
      <c r="AR60" s="93"/>
      <c r="AT60" s="93"/>
      <c r="AU60" s="93" t="str">
        <f ca="1">IF(DJ60=0,"",DJ60)</f>
        <v/>
      </c>
      <c r="AV60" s="93"/>
      <c r="AW60" s="93"/>
      <c r="AY60" s="93"/>
      <c r="AZ60" s="93" t="str">
        <f ca="1">IF(DL60=0,"",DL60)</f>
        <v/>
      </c>
      <c r="BA60" s="93"/>
      <c r="BB60" s="93"/>
      <c r="BD60" s="93"/>
      <c r="BE60" s="93" t="str">
        <f ca="1">IF(DN60=0,"",DN60)</f>
        <v/>
      </c>
      <c r="BF60" s="93"/>
      <c r="BG60" s="93"/>
      <c r="BI60" s="93"/>
      <c r="BJ60" s="93" t="str">
        <f ca="1">IF(DP60=0,"",DP60)</f>
        <v/>
      </c>
      <c r="BK60" s="93"/>
      <c r="BL60" s="93"/>
      <c r="BN60" s="93"/>
      <c r="BO60" s="93" t="str">
        <f ca="1">IF(DR60=0,"",DR60)</f>
        <v/>
      </c>
      <c r="BP60" s="93"/>
      <c r="BQ60" s="93"/>
      <c r="BS60" s="93"/>
      <c r="BT60" s="93" t="str">
        <f ca="1">IF(DT60=0,"",DT60)</f>
        <v/>
      </c>
      <c r="BU60" s="93"/>
      <c r="BV60" s="93"/>
      <c r="BX60" s="93"/>
      <c r="BY60" s="93" t="str">
        <f ca="1">IF(DV60=0,"",DV60)</f>
        <v/>
      </c>
      <c r="BZ60" s="93"/>
      <c r="CA60" s="93"/>
      <c r="CC60" s="93"/>
      <c r="CD60" s="93" t="str">
        <f ca="1">IF(DX60=0,"",DX60)</f>
        <v/>
      </c>
      <c r="CE60" s="93"/>
      <c r="CF60" s="93"/>
      <c r="CH60" s="93"/>
      <c r="CI60" s="93" t="str">
        <f ca="1">IF(DZ60=0,"",DZ60)</f>
        <v/>
      </c>
      <c r="CJ60" s="93"/>
      <c r="CK60" s="93"/>
      <c r="CM60" s="93"/>
      <c r="CN60" s="93" t="str">
        <f ca="1">IF(EB60=0,"",EB60)</f>
        <v/>
      </c>
      <c r="CO60" s="93"/>
      <c r="CP60" s="93"/>
      <c r="CR60" s="93"/>
      <c r="CS60" s="31"/>
      <c r="CT60" s="32" t="str">
        <f ca="1">IFERROR(CT61+CT62,"")</f>
        <v/>
      </c>
      <c r="CU60" s="31"/>
      <c r="CV60" s="32" t="str">
        <f ca="1">IFERROR(CV61+CV62,"")</f>
        <v/>
      </c>
      <c r="CW60" s="31"/>
      <c r="CX60" s="32" t="str">
        <f ca="1">IFERROR(CX61+CX62,"")</f>
        <v/>
      </c>
      <c r="CY60" s="31"/>
      <c r="CZ60" s="32" t="str">
        <f ca="1">IFERROR(CZ61+CZ62,"")</f>
        <v/>
      </c>
      <c r="DA60" s="31"/>
      <c r="DB60" s="32" t="str">
        <f ca="1">IFERROR(DB61+DB62,"")</f>
        <v/>
      </c>
      <c r="DC60" s="31"/>
      <c r="DD60" s="32" t="str">
        <f ca="1">IFERROR(DD61+DD62,"")</f>
        <v/>
      </c>
      <c r="DE60" s="31"/>
      <c r="DF60" s="32" t="str">
        <f ca="1">IFERROR(DF61+DF62,"")</f>
        <v/>
      </c>
      <c r="DG60" s="31"/>
      <c r="DH60" s="32" t="str">
        <f ca="1">IFERROR(DH61+DH62,"")</f>
        <v/>
      </c>
      <c r="DI60" s="31"/>
      <c r="DJ60" s="32" t="str">
        <f ca="1">IFERROR(DJ61+DJ62,"")</f>
        <v/>
      </c>
      <c r="DK60" s="31"/>
      <c r="DL60" s="32" t="str">
        <f ca="1">IFERROR(DL61+DL62,"")</f>
        <v/>
      </c>
      <c r="DM60" s="31"/>
      <c r="DN60" s="32" t="str">
        <f ca="1">IFERROR(DN61+DN62,"")</f>
        <v/>
      </c>
      <c r="DO60" s="31"/>
      <c r="DP60" s="32" t="str">
        <f ca="1">IFERROR(DP61+DP62,"")</f>
        <v/>
      </c>
      <c r="DQ60" s="31"/>
      <c r="DR60" s="32" t="str">
        <f ca="1">IFERROR(DR61+DR62,"")</f>
        <v/>
      </c>
      <c r="DS60" s="31"/>
      <c r="DT60" s="32" t="str">
        <f ca="1">IFERROR(DT61+DT62,"")</f>
        <v/>
      </c>
      <c r="DU60" s="31"/>
      <c r="DV60" s="32" t="str">
        <f ca="1">IFERROR(DV61+DV62,"")</f>
        <v/>
      </c>
      <c r="DW60" s="31"/>
      <c r="DX60" s="32" t="str">
        <f ca="1">IFERROR(DX61+DX62,"")</f>
        <v/>
      </c>
      <c r="DY60" s="31"/>
      <c r="DZ60" s="32" t="str">
        <f ca="1">IFERROR(DZ61+DZ62,"")</f>
        <v/>
      </c>
      <c r="EA60" s="31"/>
      <c r="EB60" s="32" t="str">
        <f ca="1">IFERROR(EB61+EB62,"")</f>
        <v/>
      </c>
      <c r="EC60" s="26">
        <f ca="1">IFERROR(LARGE($G60:$CN60,1),0)+IFERROR(LARGE($G60:$CN60,2),0)+IFERROR(LARGE($G60:$CN60,3),0)+IFERROR(LARGE($G60:$CN60,4),0)+IFERROR(LARGE($G60:$CN60,5),0)+IFERROR(LARGE($G60:$CN60,6),0)+IFERROR(LARGE($G60:$CN60,7),0)+IFERROR(LARGE($G60:$CN60,8),0)+IFERROR(LARGE($G60:$CN60,9),0)+IFERROR(LARGE($G60:$CN60,10),0)</f>
        <v>0</v>
      </c>
      <c r="ED60" s="33">
        <f t="shared" ca="1" si="2"/>
        <v>0</v>
      </c>
    </row>
    <row r="61" spans="2:150" s="15" customFormat="1" outlineLevel="1" x14ac:dyDescent="0.2">
      <c r="B61" s="34">
        <f ca="1">B60+0.121</f>
        <v>19.120999999999999</v>
      </c>
      <c r="D61" s="87" t="s">
        <v>134</v>
      </c>
      <c r="E61" s="35" t="s">
        <v>38</v>
      </c>
      <c r="F61" s="35"/>
      <c r="G61" s="35"/>
      <c r="H61" s="35" t="str">
        <f>IF(CS61=0,"",CS61)</f>
        <v/>
      </c>
      <c r="I61" s="35"/>
      <c r="J61" s="93" t="str">
        <f>IFERROR(RANK(H61,H$6:H$115,0),"")</f>
        <v/>
      </c>
      <c r="K61" s="35"/>
      <c r="L61" s="35"/>
      <c r="M61" s="35" t="str">
        <f>IF(CU61=0,"",CU61)</f>
        <v/>
      </c>
      <c r="N61" s="35"/>
      <c r="O61" s="93" t="str">
        <f>IFERROR(RANK(M61,M$6:M$115,0),"")</f>
        <v/>
      </c>
      <c r="P61" s="35"/>
      <c r="Q61" s="35"/>
      <c r="R61" s="35" t="str">
        <f>IF(CW61=0,"",CW61)</f>
        <v/>
      </c>
      <c r="S61" s="35"/>
      <c r="T61" s="93" t="str">
        <f>IFERROR(RANK(R61,R$6:R$115,0),"")</f>
        <v/>
      </c>
      <c r="U61" s="35"/>
      <c r="V61" s="35"/>
      <c r="W61" s="35" t="str">
        <f>IF(CY61=0,"",CY61)</f>
        <v/>
      </c>
      <c r="X61" s="35"/>
      <c r="Y61" s="93" t="str">
        <f>IFERROR(RANK(W61,W$6:W$115,0),"")</f>
        <v/>
      </c>
      <c r="Z61" s="35"/>
      <c r="AA61" s="35"/>
      <c r="AB61" s="35" t="str">
        <f>IF(DA61=0,"",DA61)</f>
        <v/>
      </c>
      <c r="AC61" s="35"/>
      <c r="AD61" s="93" t="str">
        <f>IFERROR(RANK(AB61,AB$6:AB$115,0),"")</f>
        <v/>
      </c>
      <c r="AE61" s="35"/>
      <c r="AF61" s="35"/>
      <c r="AG61" s="35" t="str">
        <f>IF(DC61=0,"",DC61)</f>
        <v/>
      </c>
      <c r="AH61" s="35"/>
      <c r="AI61" s="93" t="str">
        <f>IFERROR(RANK(AG61,AG$6:AG$115,0),"")</f>
        <v/>
      </c>
      <c r="AJ61" s="35"/>
      <c r="AK61" s="35"/>
      <c r="AL61" s="35" t="str">
        <f>IF(DE61=0,"",DE61)</f>
        <v/>
      </c>
      <c r="AM61" s="35"/>
      <c r="AN61" s="93" t="str">
        <f>IFERROR(RANK(AL61,AL$6:AL$115,0),"")</f>
        <v/>
      </c>
      <c r="AO61" s="35"/>
      <c r="AP61" s="35"/>
      <c r="AQ61" s="35" t="str">
        <f>IF(DG61=0,"",DG61)</f>
        <v/>
      </c>
      <c r="AR61" s="35"/>
      <c r="AS61" s="93" t="str">
        <f>IFERROR(RANK(AQ61,AQ$6:AQ$115,0),"")</f>
        <v/>
      </c>
      <c r="AT61" s="35"/>
      <c r="AU61" s="35"/>
      <c r="AV61" s="35" t="str">
        <f>IF(DI61=0,"",DI61)</f>
        <v/>
      </c>
      <c r="AW61" s="35"/>
      <c r="AX61" s="93" t="str">
        <f>IFERROR(RANK(AV61,AV$6:AV$115,0),"")</f>
        <v/>
      </c>
      <c r="AY61" s="35"/>
      <c r="AZ61" s="35"/>
      <c r="BA61" s="35" t="str">
        <f>IF(DK61=0,"",DK61)</f>
        <v/>
      </c>
      <c r="BB61" s="35"/>
      <c r="BC61" s="93" t="str">
        <f>IFERROR(RANK(BA61,BA$6:BA$115,0),"")</f>
        <v/>
      </c>
      <c r="BD61" s="35"/>
      <c r="BE61" s="35"/>
      <c r="BF61" s="35" t="str">
        <f>IF(DM61=0,"",DM61)</f>
        <v/>
      </c>
      <c r="BG61" s="35"/>
      <c r="BH61" s="93" t="str">
        <f>IFERROR(RANK(BF61,BF$6:BF$115,0),"")</f>
        <v/>
      </c>
      <c r="BI61" s="35"/>
      <c r="BJ61" s="35"/>
      <c r="BK61" s="35" t="str">
        <f>IF(DO61=0,"",DO61)</f>
        <v/>
      </c>
      <c r="BL61" s="35"/>
      <c r="BM61" s="93" t="str">
        <f>IFERROR(RANK(BK61,BK$6:BK$115,0),"")</f>
        <v/>
      </c>
      <c r="BN61" s="35"/>
      <c r="BO61" s="35"/>
      <c r="BP61" s="35" t="str">
        <f>IF(DQ61=0,"",DQ61)</f>
        <v/>
      </c>
      <c r="BQ61" s="35"/>
      <c r="BR61" s="93" t="str">
        <f>IFERROR(RANK(BP61,BP$6:BP$115,0),"")</f>
        <v/>
      </c>
      <c r="BS61" s="35"/>
      <c r="BT61" s="35"/>
      <c r="BU61" s="35" t="str">
        <f>IF(DS61=0,"",DS61)</f>
        <v/>
      </c>
      <c r="BV61" s="35"/>
      <c r="BW61" s="93" t="str">
        <f>IFERROR(RANK(BU61,BU$6:BU$115,0),"")</f>
        <v/>
      </c>
      <c r="BX61" s="35"/>
      <c r="BY61" s="35"/>
      <c r="BZ61" s="35" t="str">
        <f>IF(DU61=0,"",DU61)</f>
        <v/>
      </c>
      <c r="CA61" s="35"/>
      <c r="CB61" s="93" t="str">
        <f>IFERROR(RANK(BZ61,BZ$6:BZ$115,0),"")</f>
        <v/>
      </c>
      <c r="CC61" s="35"/>
      <c r="CD61" s="35"/>
      <c r="CE61" s="35" t="str">
        <f>IF(DW61=0,"",DW61)</f>
        <v/>
      </c>
      <c r="CF61" s="35"/>
      <c r="CG61" s="93" t="str">
        <f>IFERROR(RANK(CE61,CE$6:CE$115,0),"")</f>
        <v/>
      </c>
      <c r="CH61" s="35"/>
      <c r="CI61" s="35"/>
      <c r="CJ61" s="35" t="str">
        <f>IF(DY61=0,"",DY61)</f>
        <v/>
      </c>
      <c r="CK61" s="35"/>
      <c r="CL61" s="93" t="str">
        <f>IFERROR(RANK(CJ61,CJ$6:CJ$115,0),"")</f>
        <v/>
      </c>
      <c r="CM61" s="35"/>
      <c r="CN61" s="35"/>
      <c r="CO61" s="35" t="str">
        <f>IF(EA61=0,"",EA61)</f>
        <v/>
      </c>
      <c r="CP61" s="35"/>
      <c r="CQ61" s="93" t="str">
        <f>IFERROR(RANK(CO61,CO$6:CO$115,0),"")</f>
        <v/>
      </c>
      <c r="CR61" s="35"/>
      <c r="CS61" s="31"/>
      <c r="CT61" s="36" t="str">
        <f ca="1">IFERROR(AVERAGE(OFFSET('Data - For Rank'!B$2,J61,0,COUNTIF($J$7:J$115,J61)))+IFERROR(VLOOKUP((COUNT($H$6:$H$115)/4),$ER$8:$ES$12,2,FALSE()),0),"")</f>
        <v/>
      </c>
      <c r="CU61" s="31"/>
      <c r="CV61" s="36" t="str">
        <f ca="1">IFERROR(AVERAGE(OFFSET('Data - For Rank'!$C$2,O61,0,COUNTIF(O$7:O$115,O61)))+IFERROR(VLOOKUP((COUNT(M$6:M$115)/4),$ER$8:$ES$12,2,FALSE()),0),"")</f>
        <v/>
      </c>
      <c r="CW61" s="31"/>
      <c r="CX61" s="36" t="str">
        <f ca="1">IFERROR(AVERAGE(OFFSET('Data - For Rank'!D$2,T61,0,COUNTIF(T$7:T$115,T61)))+IFERROR(VLOOKUP((COUNT(R$6:R$115)/4),$ER$8:$ES$12,2,FALSE()),0),"")</f>
        <v/>
      </c>
      <c r="CY61" s="31"/>
      <c r="CZ61" s="36" t="str">
        <f ca="1">IFERROR(AVERAGE(OFFSET('Data - For Rank'!E$2,Y61,0,COUNTIF(Y$7:Y$115,Y61)))+IFERROR(VLOOKUP((COUNT(W$6:W$115)/4),$ER$8:$ES$12,2,FALSE()),0),"")</f>
        <v/>
      </c>
      <c r="DA61" s="31"/>
      <c r="DB61" s="36" t="str">
        <f ca="1">IFERROR(AVERAGE(OFFSET('Data - For Rank'!F$2,AD61,0,COUNTIF(AD$7:AD$115,AD61)))+IFERROR(VLOOKUP((COUNT(AB$6:AB$115)/4),$ER$8:$ES$12,2,FALSE()),0),"")</f>
        <v/>
      </c>
      <c r="DC61" s="31"/>
      <c r="DD61" s="36" t="str">
        <f ca="1">IFERROR(AVERAGE(OFFSET('Data - For Rank'!G$2,AI61,0,COUNTIF(AI$7:AI$115,AI61)))+IFERROR(VLOOKUP((COUNT(AG$6:AG$115)/4),$ER$8:$ES$12,2,FALSE()),0),"")</f>
        <v/>
      </c>
      <c r="DE61" s="31"/>
      <c r="DF61" s="36" t="str">
        <f ca="1">IFERROR(AVERAGE(OFFSET('Data - For Rank'!$H$2,AN61,0,COUNTIF(AN$7:AN$115,AN61)))+IFERROR(VLOOKUP((COUNT(AL$6:AL$115)/4),$ER$8:$ES$12,2,FALSE()),0),"")</f>
        <v/>
      </c>
      <c r="DG61" s="31"/>
      <c r="DH61" s="36" t="str">
        <f ca="1">IFERROR(AVERAGE(OFFSET('Data - For Rank'!$I$2,AS61,0,COUNTIF(AS$7:AS$115,AS61)))+IFERROR(VLOOKUP((COUNT(AQ$6:AQ$115)/4),$ER$8:$ES$12,2,FALSE()),0),"")</f>
        <v/>
      </c>
      <c r="DI61" s="31"/>
      <c r="DJ61" s="36" t="str">
        <f ca="1">IFERROR(AVERAGE(OFFSET('Data - For Rank'!$J$2,AX61,0,COUNTIF(AX$7:AX$115,AX61)))+IFERROR(VLOOKUP((COUNT(AV$6:AV$115)/4),$ER$8:$ES$12,2,FALSE()),0),"")</f>
        <v/>
      </c>
      <c r="DK61" s="31"/>
      <c r="DL61" s="36" t="str">
        <f ca="1">IFERROR(AVERAGE(OFFSET('Data - For Rank'!$K$2,BC61,0,COUNTIF(BC$7:BC$115,BC61)))+IFERROR(VLOOKUP((COUNT(BA$6:BA$115)/4),$ER$8:$ES$12,2,FALSE()),0),"")</f>
        <v/>
      </c>
      <c r="DM61" s="31"/>
      <c r="DN61" s="36" t="str">
        <f ca="1">IFERROR(AVERAGE(OFFSET('Data - For Rank'!$L$2,BH61,0,COUNTIF(BH$7:BH$115,BH61)))+IFERROR(VLOOKUP((COUNT(BF$6:BF$115)/4),$ER$8:$ES$12,2,FALSE()),0),"")</f>
        <v/>
      </c>
      <c r="DO61" s="31"/>
      <c r="DP61" s="36" t="str">
        <f ca="1">IFERROR(AVERAGE(OFFSET('Data - For Rank'!$M$2,BM61,0,COUNTIF(BM$7:BM$115,BM61)))+IFERROR(VLOOKUP((COUNT(BK$6:BK$115)/4),$ER$8:$ES$12,2,FALSE()),0),"")</f>
        <v/>
      </c>
      <c r="DQ61" s="31"/>
      <c r="DR61" s="36" t="str">
        <f ca="1">IFERROR(AVERAGE(OFFSET('Data - For Rank'!$N$2,BR61,0,COUNTIF(BR$7:BR$115,BR61)))+IFERROR(VLOOKUP((COUNT(BP$6:BP$115)/4),$ER$8:$ES$12,2,FALSE()),0),"")</f>
        <v/>
      </c>
      <c r="DS61" s="31"/>
      <c r="DT61" s="36" t="str">
        <f ca="1">IFERROR(AVERAGE(OFFSET('Data - For Rank'!$O$2,BW61,0,COUNTIF(BW$7:BW$115,BW61)))+IFERROR(VLOOKUP((COUNT(BU$6:BU$115)/4),$ER$8:$ES$12,2,FALSE()),0),"")</f>
        <v/>
      </c>
      <c r="DU61" s="31"/>
      <c r="DV61" s="36" t="str">
        <f ca="1">IFERROR(AVERAGE(OFFSET('Data - For Rank'!$P$2,CB61,0,COUNTIF(CB$7:CB$115,CB61)))+IFERROR(VLOOKUP((COUNT(BZ$6:BZ$115)/4),$ER$8:$ES$12,2,FALSE()),0),"")</f>
        <v/>
      </c>
      <c r="DW61" s="31"/>
      <c r="DX61" s="36" t="str">
        <f ca="1">IFERROR(AVERAGE(OFFSET('Data - For Rank'!$Q$2,CG61,0,COUNTIF(CG$7:CG$115,CG61)))+IFERROR(VLOOKUP((COUNT(CE$6:CE$115)/4),$ER$8:$ES$12,2,FALSE()),0),"")</f>
        <v/>
      </c>
      <c r="DY61" s="31"/>
      <c r="DZ61" s="36" t="str">
        <f ca="1">IFERROR(AVERAGE(OFFSET('Data - For Rank'!$R$2,CL61,0,COUNTIF(CL$7:CL$115,CL61)))+IFERROR(VLOOKUP((COUNT(CJ$6:CJ$115)/4),$ER$8:$ES$12,2,FALSE()),0),"")</f>
        <v/>
      </c>
      <c r="EA61" s="31"/>
      <c r="EB61" s="36" t="str">
        <f ca="1">IFERROR(AVERAGE(OFFSET('Data - For Rank'!$S$2,CQ61,0,COUNTIF(CQ$7:CQ$115,CQ61)))+IFERROR(VLOOKUP((COUNT(CO$6:CO$115)/4),$ER$8:$ES$12,2,FALSE()),0),"")</f>
        <v/>
      </c>
      <c r="EC61" s="37">
        <f>IFERROR(AVERAGE(CS61,CU61,CW61,CY61,DA61,DC61,DE61,DG61,DI61,DK61,DM61,DO61,DQ61,DS61,DU61,DW61,DY61,EA61),0)</f>
        <v>0</v>
      </c>
      <c r="ED61" s="33">
        <f t="shared" ca="1" si="2"/>
        <v>0</v>
      </c>
      <c r="EI61" s="15" t="str">
        <f>IF(CS61=0,"",CS61)</f>
        <v/>
      </c>
    </row>
    <row r="62" spans="2:150" s="15" customFormat="1" outlineLevel="1" x14ac:dyDescent="0.2">
      <c r="B62" s="38">
        <f ca="1">B60+0.0221</f>
        <v>19.022099999999998</v>
      </c>
      <c r="D62" s="87" t="s">
        <v>135</v>
      </c>
      <c r="E62" s="39" t="s">
        <v>39</v>
      </c>
      <c r="F62" s="40">
        <f ca="1">IFERROR(IF(COUNT(CT60:EB60)&gt;10,SMALL(G60:CN60,COUNT(G60:CN60)-10),MIN(CT60:EB60)),0)</f>
        <v>0</v>
      </c>
      <c r="G62" s="40"/>
      <c r="H62" s="40"/>
      <c r="I62" s="96" t="str">
        <f>IF(CS62=0,"",CS62)</f>
        <v/>
      </c>
      <c r="J62" s="96"/>
      <c r="K62" s="97" t="str">
        <f>IFERROR(_xlfn.RANK.EQ(I62,I$6:I$115,0),"")</f>
        <v/>
      </c>
      <c r="L62" s="40"/>
      <c r="M62" s="40"/>
      <c r="N62" s="96" t="str">
        <f>IF(CU62=0,"",CU62)</f>
        <v/>
      </c>
      <c r="O62" s="96"/>
      <c r="P62" s="97" t="str">
        <f>IFERROR(_xlfn.RANK.EQ(N62,N$6:N$115,0),"")</f>
        <v/>
      </c>
      <c r="Q62" s="40"/>
      <c r="R62" s="40"/>
      <c r="S62" s="96" t="str">
        <f>IF(CW62=0,"",CW62)</f>
        <v/>
      </c>
      <c r="T62" s="96"/>
      <c r="U62" s="97" t="str">
        <f>IFERROR(_xlfn.RANK.EQ(S62,S$6:S$115,0),"")</f>
        <v/>
      </c>
      <c r="V62" s="40"/>
      <c r="W62" s="40"/>
      <c r="X62" s="96" t="str">
        <f>IF(CY62=0,"",CY62)</f>
        <v/>
      </c>
      <c r="Y62" s="96"/>
      <c r="Z62" s="97" t="str">
        <f>IFERROR(_xlfn.RANK.EQ(X62,X$6:X$115,0),"")</f>
        <v/>
      </c>
      <c r="AA62" s="40"/>
      <c r="AB62" s="40"/>
      <c r="AC62" s="96" t="str">
        <f>IF(DA62=0,"",DA62)</f>
        <v/>
      </c>
      <c r="AD62" s="96"/>
      <c r="AE62" s="97" t="str">
        <f>IFERROR(_xlfn.RANK.EQ(AC62,AC$6:AC$115,0),"")</f>
        <v/>
      </c>
      <c r="AF62" s="40"/>
      <c r="AG62" s="40"/>
      <c r="AH62" s="96" t="str">
        <f>IF(DC62=0,"",DC62)</f>
        <v/>
      </c>
      <c r="AI62" s="96"/>
      <c r="AJ62" s="97" t="str">
        <f>IFERROR(_xlfn.RANK.EQ(AH62,AH$6:AH$115,0),"")</f>
        <v/>
      </c>
      <c r="AK62" s="40"/>
      <c r="AL62" s="40"/>
      <c r="AM62" s="96" t="str">
        <f>IF(DE62=0,"",DE62)</f>
        <v/>
      </c>
      <c r="AN62" s="96"/>
      <c r="AO62" s="97" t="str">
        <f>IFERROR(_xlfn.RANK.EQ(AM62,AM$6:AM$115,0),"")</f>
        <v/>
      </c>
      <c r="AP62" s="40"/>
      <c r="AQ62" s="40"/>
      <c r="AR62" s="96" t="str">
        <f>IF(DG62=0,"",DG62)</f>
        <v/>
      </c>
      <c r="AS62" s="96"/>
      <c r="AT62" s="97" t="str">
        <f>IFERROR(_xlfn.RANK.EQ(AR62,AR$6:AR$115,0),"")</f>
        <v/>
      </c>
      <c r="AU62" s="40"/>
      <c r="AV62" s="40"/>
      <c r="AW62" s="96" t="str">
        <f>IF(DI62=0,"",DI62)</f>
        <v/>
      </c>
      <c r="AX62" s="96"/>
      <c r="AY62" s="97" t="str">
        <f>IFERROR(_xlfn.RANK.EQ(AW62,AW$6:AW$115,0),"")</f>
        <v/>
      </c>
      <c r="AZ62" s="40"/>
      <c r="BA62" s="40"/>
      <c r="BB62" s="96" t="str">
        <f>IF(DK62=0,"",DK62)</f>
        <v/>
      </c>
      <c r="BC62" s="96"/>
      <c r="BD62" s="97" t="str">
        <f>IFERROR(_xlfn.RANK.EQ(BB62,BB$6:BB$115,0),"")</f>
        <v/>
      </c>
      <c r="BE62" s="40"/>
      <c r="BF62" s="40"/>
      <c r="BG62" s="96" t="str">
        <f>IF(DM62=0,"",DM62)</f>
        <v/>
      </c>
      <c r="BH62" s="96"/>
      <c r="BI62" s="97" t="str">
        <f>IFERROR(_xlfn.RANK.EQ(BG62,BG$6:BG$115,0),"")</f>
        <v/>
      </c>
      <c r="BJ62" s="40"/>
      <c r="BK62" s="40"/>
      <c r="BL62" s="96" t="str">
        <f>IF(DO62=0,"",DO62)</f>
        <v/>
      </c>
      <c r="BM62" s="96"/>
      <c r="BN62" s="97" t="str">
        <f>IFERROR(_xlfn.RANK.EQ(BL62,BL$6:BL$115,0),"")</f>
        <v/>
      </c>
      <c r="BO62" s="40"/>
      <c r="BP62" s="40"/>
      <c r="BQ62" s="96" t="str">
        <f>IF(DQ62=0,"",DQ62)</f>
        <v/>
      </c>
      <c r="BR62" s="96"/>
      <c r="BS62" s="97" t="str">
        <f>IFERROR(_xlfn.RANK.EQ(BQ62,BQ$6:BQ$115,0),"")</f>
        <v/>
      </c>
      <c r="BT62" s="40"/>
      <c r="BU62" s="40"/>
      <c r="BV62" s="96" t="str">
        <f>IF(DS62=0,"",DS62)</f>
        <v/>
      </c>
      <c r="BW62" s="96"/>
      <c r="BX62" s="97" t="str">
        <f>IFERROR(_xlfn.RANK.EQ(BV62,BV$6:BV$115,0),"")</f>
        <v/>
      </c>
      <c r="BY62" s="40"/>
      <c r="BZ62" s="40"/>
      <c r="CA62" s="96" t="str">
        <f>IF(DU62=0,"",DU62)</f>
        <v/>
      </c>
      <c r="CB62" s="96"/>
      <c r="CC62" s="97" t="str">
        <f>IFERROR(_xlfn.RANK.EQ(CA62,CA$6:CA$115,0),"")</f>
        <v/>
      </c>
      <c r="CD62" s="40"/>
      <c r="CE62" s="40"/>
      <c r="CF62" s="96" t="str">
        <f>IF(DW62=0,"",DW62)</f>
        <v/>
      </c>
      <c r="CG62" s="96"/>
      <c r="CH62" s="97" t="str">
        <f>IFERROR(_xlfn.RANK.EQ(CF62,CF$6:CF$115,0),"")</f>
        <v/>
      </c>
      <c r="CI62" s="40"/>
      <c r="CJ62" s="40"/>
      <c r="CK62" s="96" t="str">
        <f>IF(DY62=0,"",DY62)</f>
        <v/>
      </c>
      <c r="CL62" s="96"/>
      <c r="CM62" s="97" t="str">
        <f>IFERROR(_xlfn.RANK.EQ(CK62,CK$6:CK$115,0),"")</f>
        <v/>
      </c>
      <c r="CN62" s="40"/>
      <c r="CO62" s="40"/>
      <c r="CP62" s="96" t="str">
        <f>IF(EA62=0,"",EA62)</f>
        <v/>
      </c>
      <c r="CQ62" s="96"/>
      <c r="CR62" s="97" t="str">
        <f>IFERROR(_xlfn.RANK.EQ(CP62,CP$6:CP$115,0),"")</f>
        <v/>
      </c>
      <c r="CS62" s="41"/>
      <c r="CT62" s="42" t="str">
        <f ca="1">IFERROR(AVERAGE(OFFSET('Data - For Rank'!B$2,K62,0,COUNTIF(K$6:K$115,K62)))+IFERROR(VLOOKUP((COUNT($I$6:$I$115)/4),$ER$8:$ES$12,2,FALSE()),0),"")</f>
        <v/>
      </c>
      <c r="CU62" s="41"/>
      <c r="CV62" s="42" t="str">
        <f ca="1">IFERROR(AVERAGE(OFFSET('Data - For Rank'!$C$2,P62,0,COUNTIF(P$6:P$115,P62)))+IFERROR(VLOOKUP((COUNT(N$6:N$115)/4),$ER$8:$ES$12,2,FALSE()),0),"")</f>
        <v/>
      </c>
      <c r="CW62" s="41"/>
      <c r="CX62" s="42" t="str">
        <f ca="1">IFERROR(AVERAGE(OFFSET('Data - For Rank'!D$2,U62,0,COUNTIF(U$6:$U169,U62)))+IFERROR(VLOOKUP((COUNT(S$6:S$115)/4),$ER$8:$ES$12,2,FALSE()),0),"")</f>
        <v/>
      </c>
      <c r="CY62" s="41"/>
      <c r="CZ62" s="42" t="str">
        <f ca="1">IFERROR(AVERAGE(OFFSET('Data - For Rank'!E$2,Z62,0,COUNTIF(Z$6:Z$115,Z62)))+IFERROR(VLOOKUP((COUNT(W$6:W$115)/4),$ER$8:$ES$12,2,FALSE()),0),"")</f>
        <v/>
      </c>
      <c r="DA62" s="41"/>
      <c r="DB62" s="42" t="str">
        <f ca="1">IFERROR(AVERAGE(OFFSET('Data - For Rank'!F$2,AE62,0,COUNTIF(AE$6:AE$115,AE62)))+IFERROR(VLOOKUP((COUNT(AC$6:AC$115)/4),$ER$8:$ES$12,2,FALSE()),0),"")</f>
        <v/>
      </c>
      <c r="DC62" s="41"/>
      <c r="DD62" s="42" t="str">
        <f ca="1">IFERROR(AVERAGE(OFFSET('Data - For Rank'!G$2,AJ62,0,COUNTIF(AJ$6:AJ$115,AJ62)))+IFERROR(VLOOKUP((COUNT(AH$6:AH$115)/4),$ER$8:$ES$12,2,FALSE()),0),"")</f>
        <v/>
      </c>
      <c r="DE62" s="41"/>
      <c r="DF62" s="42" t="str">
        <f ca="1">IFERROR(AVERAGE(OFFSET('Data - For Rank'!$H$2,AO62,0,COUNTIF(AO$6:AO$115,AO62)))+IFERROR(VLOOKUP((COUNT(AM$6:AM$115)/4),$ER$8:$ES$12,2,FALSE()),0),"")</f>
        <v/>
      </c>
      <c r="DG62" s="41"/>
      <c r="DH62" s="42" t="str">
        <f ca="1">IFERROR(AVERAGE(OFFSET('Data - For Rank'!$I$2,AT62,0,COUNTIF(AT$6:AT$115,AT62)))+IFERROR(VLOOKUP((COUNT(AR$6:AR$115)/4),$ER$8:$ES$12,2,FALSE()),0),"")</f>
        <v/>
      </c>
      <c r="DI62" s="41"/>
      <c r="DJ62" s="42" t="str">
        <f ca="1">IFERROR(AVERAGE(OFFSET('Data - For Rank'!$J$2,AY62,0,COUNTIF(AY$6:AY$115,AY62)))+IFERROR(VLOOKUP((COUNT(AW$6:AW$115)/4),$ER$8:$ES$12,2,FALSE()),0),"")</f>
        <v/>
      </c>
      <c r="DK62" s="41"/>
      <c r="DL62" s="42" t="str">
        <f ca="1">IFERROR(AVERAGE(OFFSET('Data - For Rank'!$K$2,BD62,0,COUNTIF(BD$6:BD$115,BD62)))+IFERROR(VLOOKUP((COUNT(BB$6:BB$115)/4),$ER$8:$ES$12,2,FALSE()),0),"")</f>
        <v/>
      </c>
      <c r="DM62" s="41"/>
      <c r="DN62" s="42" t="str">
        <f ca="1">IFERROR(AVERAGE(OFFSET('Data - For Rank'!$L$2,BI62,0,COUNTIF(BI$6:BI$115,BI62)))+IFERROR(VLOOKUP((COUNT(BG$6:BG$115)/4),$ER$8:$ES$12,2,FALSE()),0),"")</f>
        <v/>
      </c>
      <c r="DO62" s="41"/>
      <c r="DP62" s="42" t="str">
        <f ca="1">IFERROR(AVERAGE(OFFSET('Data - For Rank'!$M$2,BN62,0,COUNTIF(BN$6:BN$115,BN62)))+IFERROR(VLOOKUP((COUNT(BL$6:BL$115)/4),$ER$8:$ES$12,2,FALSE()),0),"")</f>
        <v/>
      </c>
      <c r="DQ62" s="41"/>
      <c r="DR62" s="42" t="str">
        <f ca="1">IFERROR(AVERAGE(OFFSET('Data - For Rank'!$N$2,BS62,0,COUNTIF(BS$6:BS$115,BS62)))+IFERROR(VLOOKUP((COUNT(BQ$6:BQ$115)/4),$ER$8:$ES$12,2,FALSE()),0),"")</f>
        <v/>
      </c>
      <c r="DS62" s="41"/>
      <c r="DT62" s="42" t="str">
        <f ca="1">IFERROR(AVERAGE(OFFSET('Data - For Rank'!$O$2,BX62,0,COUNTIF(BX$6:BX$115,BX62)))+IFERROR(VLOOKUP((COUNT(BV$6:BV$115)/4),$ER$8:$ES$12,2,FALSE()),0),"")</f>
        <v/>
      </c>
      <c r="DU62" s="41"/>
      <c r="DV62" s="42" t="str">
        <f ca="1">IFERROR(AVERAGE(OFFSET('Data - For Rank'!$P$2,CC62,0,COUNTIF(CC$6:CC$115,CC62)))+IFERROR(VLOOKUP((COUNT(CA$6:CA$115)/4),$ER$8:$ES$12,2,FALSE()),0),"")</f>
        <v/>
      </c>
      <c r="DW62" s="41"/>
      <c r="DX62" s="42" t="str">
        <f ca="1">IFERROR(AVERAGE(OFFSET('Data - For Rank'!$Q$2,CH62,0,COUNTIF(CH$6:CH$115,CH62)))+IFERROR(VLOOKUP((COUNT(CF$6:CF$115)/4),$ER$8:$ES$12,2,FALSE()),0),"")</f>
        <v/>
      </c>
      <c r="DY62" s="41"/>
      <c r="DZ62" s="42" t="str">
        <f ca="1">IFERROR(AVERAGE(OFFSET('Data - For Rank'!$R$2,CM62,0,COUNTIF(CM$6:CM$115,CM62)))+IFERROR(VLOOKUP((COUNT(CK$6:CK$115)/4),$ER$8:$ES$12,2,FALSE()),0),"")</f>
        <v/>
      </c>
      <c r="EA62" s="41"/>
      <c r="EB62" s="42" t="str">
        <f ca="1">IFERROR(AVERAGE(OFFSET('Data - For Rank'!$S$2,CR62,0,COUNTIF(CR$6:CR$115,CR62)))+IFERROR(VLOOKUP((COUNT(CP$6:CP$115)/4),$ER$8:$ES$12,2,FALSE()),0),"")</f>
        <v/>
      </c>
      <c r="EC62" s="43">
        <f>CS62+CU62+CW62+CY62+DA62+DC62+DE62+DG62+DI62+DK62+DM62+DO62+DQ62+DS62+DU62+DW62+DY62+EA62</f>
        <v>0</v>
      </c>
      <c r="ED62" s="44">
        <f t="shared" ca="1" si="2"/>
        <v>0</v>
      </c>
    </row>
    <row r="63" spans="2:150" x14ac:dyDescent="0.2"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EC63" s="16"/>
    </row>
    <row r="64" spans="2:150" x14ac:dyDescent="0.2">
      <c r="E64" s="23" t="s">
        <v>136</v>
      </c>
    </row>
    <row r="65" spans="2:134" x14ac:dyDescent="0.2">
      <c r="E65" s="102" t="s">
        <v>66</v>
      </c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3"/>
      <c r="BN65" s="103"/>
      <c r="BO65" s="103"/>
      <c r="BP65" s="103"/>
      <c r="BQ65" s="103"/>
      <c r="BR65" s="103"/>
      <c r="BS65" s="103"/>
      <c r="BT65" s="103"/>
      <c r="BU65" s="103"/>
      <c r="BV65" s="103"/>
      <c r="BW65" s="103"/>
      <c r="BX65" s="103"/>
      <c r="BY65" s="103"/>
      <c r="BZ65" s="103"/>
      <c r="CA65" s="103"/>
      <c r="CB65" s="103"/>
      <c r="CC65" s="103"/>
      <c r="CD65" s="103"/>
      <c r="CE65" s="103"/>
      <c r="CF65" s="103"/>
      <c r="CG65" s="103"/>
      <c r="CH65" s="103"/>
      <c r="CI65" s="103"/>
      <c r="CJ65" s="103"/>
      <c r="CK65" s="103"/>
      <c r="CL65" s="103"/>
      <c r="CM65" s="103"/>
      <c r="CN65" s="103"/>
      <c r="CO65" s="103"/>
      <c r="CP65" s="103"/>
      <c r="CQ65" s="103"/>
      <c r="CR65" s="103"/>
      <c r="CS65" s="104">
        <f>CS62+CS59+CS56+CS53+CS50+CS47+CS44+CS41+CS38+CS35+CS32+CS29+CS26+CS23+CS20+CS17+CS14+CS11+CS8+CS76+CS79+CS82+CS85+CS88+CS91+CS94+CS97+CS100+CS103+CS106+CS109+CS112+CS115</f>
        <v>0</v>
      </c>
      <c r="CT65" s="103"/>
      <c r="CU65" s="104">
        <f>CU62+CU59+CU56+CU53+CU50+CU47+CU44+CU41+CU38+CU35+CU32+CU29+CU26+CU23+CU20+CU17+CU14+CU11+CU8+CU76+CU79+CU82+CU85+CU88+CU91+CU94+CU97+CU100+CU103+CU106+CU109+CU112+CU115</f>
        <v>0</v>
      </c>
      <c r="CV65" s="103"/>
      <c r="CW65" s="104">
        <f>CW62+CW59+CW56+CW53+CW50+CW47+CW44+CW41+CW38+CW35+CW32+CW29+CW26+CW23+CW20+CW17+CW14+CW11+CW8+CW76+CW79+CW82+CW85+CW88+CW91+CW94+CW97+CW100+CW103+CW106+CW109+CW112+CW115</f>
        <v>0</v>
      </c>
      <c r="CX65" s="103"/>
      <c r="CY65" s="104">
        <f>CY62+CY59+CY56+CY53+CY50+CY47+CY44+CY41+CY38+CY35+CY32+CY29+CY26+CY23+CY20+CY17+CY14+CY11+CY8+CY76+CY79+CY82+CY85+CY88+CY91+CY94+CY97+CY100+CY103+CY106+CY109+CY112+CY115</f>
        <v>0</v>
      </c>
      <c r="CZ65" s="103"/>
      <c r="DA65" s="104">
        <f>DA62+DA59+DA56+DA53+DA50+DA47+DA44+DA41+DA38+DA35+DA32+DA29+DA26+DA23+DA20+DA17+DA14+DA11+DA8+DA76+DA79+DA82+DA85+DA88+DA91+DA94+DA97+DA100+DA103+DA106+DA109+DA112+DA115</f>
        <v>0</v>
      </c>
      <c r="DB65" s="103"/>
      <c r="DC65" s="104">
        <f>DC62+DC59+DC56+DC53+DC50+DC47+DC44+DC41+DC38+DC35+DC32+DC29+DC26+DC23+DC20+DC17+DC14+DC11+DC8+DC76+DC79+DC82+DC85+DC88+DC91+DC94+DC97+DC100+DC103+DC106+DC109+DC112+DC115</f>
        <v>0</v>
      </c>
      <c r="DD65" s="103"/>
      <c r="DE65" s="104">
        <f>DE62+DE59+DE56+DE53+DE50+DE47+DE44+DE41+DE38+DE35+DE32+DE29+DE26+DE23+DE20+DE17+DE14+DE11+DE8+DE76+DE79+DE82+DE85+DE88+DE91+DE94+DE97+DE100+DE103+DE106+DE109+DE112+DE115</f>
        <v>0</v>
      </c>
      <c r="DF65" s="103"/>
      <c r="DG65" s="104">
        <f>DG62+DG59+DG56+DG53+DG50+DG47+DG44+DG41+DG38+DG35+DG32+DG29+DG26+DG23+DG20+DG17+DG14+DG11+DG8+DG76+DG79+DG82+DG85+DG88+DG91+DG94+DG97+DG100+DG103+DG106+DG109+DG112+DG115</f>
        <v>0</v>
      </c>
      <c r="DH65" s="103"/>
      <c r="DI65" s="104">
        <f>DI62+DI59+DI56+DI53+DI50+DI47+DI44+DI41+DI38+DI35+DI32+DI29+DI26+DI23+DI20+DI17+DI14+DI11+DI8+DI76+DI79+DI82+DI85+DI88+DI91+DI94+DI97+DI100+DI103+DI106+DI109+DI112+DI115</f>
        <v>0</v>
      </c>
      <c r="DJ65" s="103"/>
      <c r="DK65" s="104">
        <f>DK62+DK59+DK56+DK53+DK50+DK47+DK44+DK41+DK38+DK35+DK32+DK29+DK26+DK23+DK20+DK17+DK14+DK11+DK8+DK76+DK79+DK82+DK85+DK88+DK91+DK94+DK97+DK100+DK103+DK106+DK109+DK112+DK115</f>
        <v>0</v>
      </c>
      <c r="DL65" s="103"/>
      <c r="DM65" s="104">
        <f>DM62+DM59+DM56+DM53+DM50+DM47+DM44+DM41+DM38+DM35+DM32+DM29+DM26+DM23+DM20+DM17+DM14+DM11+DM8+DM76+DM79+DM82+DM85+DM88+DM91+DM94+DM97+DM100+DM103+DM106+DM109+DM112+DM115</f>
        <v>0</v>
      </c>
      <c r="DN65" s="103"/>
      <c r="DO65" s="104">
        <f>DO62+DO59+DO56+DO53+DO50+DO47+DO44+DO41+DO38+DO35+DO32+DO29+DO26+DO23+DO20+DO17+DO14+DO11+DO8+DO76+DO79+DO82+DO85+DO88+DO91+DO94+DO97+DO100+DO103+DO106+DO109+DO112+DO115</f>
        <v>0</v>
      </c>
      <c r="DP65" s="103"/>
      <c r="DQ65" s="104">
        <f>DQ62+DQ59+DQ56+DQ53+DQ50+DQ47+DQ44+DQ41+DQ38+DQ35+DQ32+DQ29+DQ26+DQ23+DQ20+DQ17+DQ14+DQ11+DQ8+DQ76+DQ79+DQ82+DQ85+DQ88+DQ91+DQ94+DQ97+DQ100+DQ103+DQ106+DQ109+DQ112+DQ115</f>
        <v>0</v>
      </c>
      <c r="DR65" s="103"/>
      <c r="DS65" s="104">
        <f>DS62+DS59+DS56+DS53+DS50+DS47+DS44+DS41+DS38+DS35+DS32+DS29+DS26+DS23+DS20+DS17+DS14+DS11+DS8+DS76+DS79+DS82+DS85+DS88+DS91+DS94+DS97+DS100+DS103+DS106+DS109+DS112+DS115</f>
        <v>0</v>
      </c>
      <c r="DT65" s="103"/>
      <c r="DU65" s="104">
        <f>DU62+DU59+DU56+DU53+DU50+DU47+DU44+DU41+DU38+DU35+DU32+DU29+DU26+DU23+DU20+DU17+DU14+DU11+DU8+DU76+DU79+DU82+DU85+DU88+DU91+DU94+DU97+DU100+DU103+DU106+DU109+DU112+DU115</f>
        <v>0</v>
      </c>
      <c r="DV65" s="103"/>
      <c r="DW65" s="104">
        <f>DW62+DW59+DW56+DW53+DW50+DW47+DW44+DW41+DW38+DW35+DW32+DW29+DW26+DW23+DW20+DW17+DW14+DW11+DW8+DW76+DW79+DW82+DW85+DW88+DW91+DW94+DW97+DW100+DW103+DW106+DW109+DW112+DW115</f>
        <v>0</v>
      </c>
      <c r="DX65" s="103"/>
      <c r="DY65" s="104">
        <f>DY62+DY59+DY56+DY53+DY50+DY47+DY44+DY41+DY38+DY35+DY32+DY29+DY26+DY23+DY20+DY17+DY14+DY11+DY8+DY76+DY79+DY82+DY85+DY88+DY91+DY94+DY97+DY100+DY103+DY106+DY109+DY112+DY115</f>
        <v>0</v>
      </c>
      <c r="DZ65" s="103"/>
      <c r="EA65" s="104">
        <f>EA62+EA59+EA56+EA53+EA50+EA47+EA44+EA41+EA38+EA35+EA32+EA29+EA26+EA23+EA20+EA17+EA14+EA11+EA8+EA76+EA79+EA82+EA85+EA88+EA91+EA94+EA97+EA100+EA103+EA106+EA109+EA112+EA115</f>
        <v>0</v>
      </c>
      <c r="EB65" s="103"/>
      <c r="EC65" s="104">
        <f>EC62+EC59+EC56+EC53+EC50+EC47+EC44+EC41+EC38+EC35+EC32+EC29+EC26+EC23+EC20+EC17+EC14+EC11+EC8+EC76+EC79+EC82+EC85+EC88+EC91+EC94+EC97+EC100+EC103+EC106+EC109+EC112+EC115</f>
        <v>0</v>
      </c>
      <c r="ED65" s="105"/>
    </row>
    <row r="67" spans="2:134" ht="9.75" customHeight="1" x14ac:dyDescent="0.2"/>
    <row r="69" spans="2:134" ht="9.75" customHeight="1" x14ac:dyDescent="0.2">
      <c r="F69" s="14" t="s">
        <v>0</v>
      </c>
    </row>
    <row r="70" spans="2:134" x14ac:dyDescent="0.2">
      <c r="E70" s="106" t="s">
        <v>137</v>
      </c>
      <c r="F70" s="14"/>
      <c r="CS70" s="107"/>
    </row>
    <row r="71" spans="2:134" x14ac:dyDescent="0.2">
      <c r="E71" s="87"/>
      <c r="F71" s="14"/>
      <c r="G71" s="87">
        <v>1</v>
      </c>
      <c r="H71" s="87"/>
      <c r="I71" s="87"/>
      <c r="J71" s="87"/>
      <c r="K71" s="87"/>
      <c r="L71" s="87">
        <v>2</v>
      </c>
      <c r="M71" s="87"/>
      <c r="N71" s="87"/>
      <c r="O71" s="87"/>
      <c r="P71" s="87"/>
      <c r="Q71" s="87">
        <v>3</v>
      </c>
      <c r="R71" s="87"/>
      <c r="S71" s="87"/>
      <c r="T71" s="87"/>
      <c r="U71" s="87"/>
      <c r="V71" s="87">
        <v>4</v>
      </c>
      <c r="W71" s="87"/>
      <c r="X71" s="87"/>
      <c r="Y71" s="87"/>
      <c r="Z71" s="87"/>
      <c r="AA71" s="87">
        <v>5</v>
      </c>
      <c r="AB71" s="87"/>
      <c r="AC71" s="87"/>
      <c r="AD71" s="87"/>
      <c r="AE71" s="87"/>
      <c r="AF71" s="87">
        <v>6</v>
      </c>
      <c r="AG71" s="87"/>
      <c r="AH71" s="87"/>
      <c r="AI71" s="87"/>
      <c r="AJ71" s="87"/>
      <c r="AK71" s="87">
        <v>7</v>
      </c>
      <c r="AL71" s="87"/>
      <c r="AM71" s="87"/>
      <c r="AN71" s="87"/>
      <c r="AO71" s="87"/>
      <c r="AP71" s="87">
        <v>8</v>
      </c>
      <c r="AQ71" s="87"/>
      <c r="AR71" s="87"/>
      <c r="AS71" s="87"/>
      <c r="AT71" s="87"/>
      <c r="AU71" s="87">
        <v>9</v>
      </c>
      <c r="AV71" s="87"/>
      <c r="AW71" s="87"/>
      <c r="AX71" s="87"/>
      <c r="AY71" s="87"/>
      <c r="AZ71" s="87">
        <v>10</v>
      </c>
      <c r="BA71" s="87"/>
      <c r="BB71" s="87"/>
      <c r="BC71" s="87"/>
      <c r="BD71" s="87"/>
      <c r="BE71" s="87">
        <v>11</v>
      </c>
      <c r="BF71" s="87"/>
      <c r="BG71" s="87"/>
      <c r="BH71" s="87"/>
      <c r="BI71" s="87"/>
      <c r="BJ71" s="87">
        <v>12</v>
      </c>
      <c r="BK71" s="87"/>
      <c r="BL71" s="87"/>
      <c r="BM71" s="87"/>
      <c r="BN71" s="87"/>
      <c r="BO71" s="87">
        <v>13</v>
      </c>
      <c r="BP71" s="87"/>
      <c r="BQ71" s="87"/>
      <c r="BR71" s="87"/>
      <c r="BS71" s="87"/>
      <c r="BT71" s="87">
        <v>14</v>
      </c>
      <c r="BU71" s="87"/>
      <c r="BV71" s="87"/>
      <c r="BW71" s="87"/>
      <c r="BX71" s="87"/>
      <c r="BY71" s="87">
        <v>15</v>
      </c>
      <c r="BZ71" s="87"/>
      <c r="CA71" s="87"/>
      <c r="CB71" s="87"/>
      <c r="CC71" s="87"/>
      <c r="CD71" s="87">
        <v>16</v>
      </c>
      <c r="CE71" s="87"/>
      <c r="CF71" s="87"/>
      <c r="CG71" s="87"/>
      <c r="CH71" s="87"/>
      <c r="CI71" s="87">
        <v>17</v>
      </c>
      <c r="CJ71" s="87"/>
      <c r="CK71" s="87"/>
      <c r="CL71" s="87"/>
      <c r="CM71" s="87"/>
      <c r="CN71" s="87">
        <v>18</v>
      </c>
      <c r="CO71" s="87"/>
      <c r="CP71" s="87"/>
      <c r="CQ71" s="87"/>
      <c r="CR71" s="87"/>
      <c r="CS71" s="55"/>
    </row>
    <row r="72" spans="2:134" ht="39" x14ac:dyDescent="0.2">
      <c r="E72" s="101" t="s">
        <v>138</v>
      </c>
      <c r="F72" s="14"/>
      <c r="G72" s="92">
        <v>44680</v>
      </c>
      <c r="H72" s="18"/>
      <c r="I72" s="18"/>
      <c r="J72" s="18"/>
      <c r="K72" s="18"/>
      <c r="L72" s="92">
        <v>44687</v>
      </c>
      <c r="M72" s="18"/>
      <c r="N72" s="18"/>
      <c r="O72" s="18"/>
      <c r="P72" s="18"/>
      <c r="Q72" s="92">
        <v>44694</v>
      </c>
      <c r="R72" s="18"/>
      <c r="S72" s="18"/>
      <c r="T72" s="18"/>
      <c r="U72" s="18"/>
      <c r="V72" s="92">
        <v>44701</v>
      </c>
      <c r="W72" s="18"/>
      <c r="X72" s="18"/>
      <c r="Y72" s="18"/>
      <c r="Z72" s="18"/>
      <c r="AA72" s="92">
        <v>44708</v>
      </c>
      <c r="AB72" s="18"/>
      <c r="AC72" s="18"/>
      <c r="AD72" s="18"/>
      <c r="AE72" s="18"/>
      <c r="AF72" s="92">
        <v>44715</v>
      </c>
      <c r="AG72" s="18"/>
      <c r="AH72" s="18"/>
      <c r="AI72" s="18"/>
      <c r="AJ72" s="18"/>
      <c r="AK72" s="92">
        <v>44729</v>
      </c>
      <c r="AL72" s="18"/>
      <c r="AM72" s="18"/>
      <c r="AN72" s="18"/>
      <c r="AO72" s="18"/>
      <c r="AP72" s="92">
        <v>44736</v>
      </c>
      <c r="AQ72" s="18"/>
      <c r="AR72" s="18"/>
      <c r="AS72" s="18"/>
      <c r="AT72" s="18"/>
      <c r="AU72" s="92">
        <v>44743</v>
      </c>
      <c r="AV72" s="18"/>
      <c r="AW72" s="18"/>
      <c r="AX72" s="18"/>
      <c r="AY72" s="18"/>
      <c r="AZ72" s="92">
        <v>44750</v>
      </c>
      <c r="BA72" s="18"/>
      <c r="BB72" s="18"/>
      <c r="BC72" s="18"/>
      <c r="BD72" s="18"/>
      <c r="BE72" s="92">
        <v>44757</v>
      </c>
      <c r="BF72" s="18"/>
      <c r="BG72" s="18"/>
      <c r="BH72" s="18"/>
      <c r="BI72" s="18"/>
      <c r="BJ72" s="92">
        <v>44764</v>
      </c>
      <c r="BK72" s="18"/>
      <c r="BL72" s="18"/>
      <c r="BM72" s="18"/>
      <c r="BN72" s="18"/>
      <c r="BO72" s="92">
        <v>44771</v>
      </c>
      <c r="BP72" s="18"/>
      <c r="BQ72" s="18"/>
      <c r="BR72" s="18"/>
      <c r="BS72" s="18"/>
      <c r="BT72" s="92">
        <v>44778</v>
      </c>
      <c r="BU72" s="18"/>
      <c r="BV72" s="18"/>
      <c r="BW72" s="18"/>
      <c r="BX72" s="18"/>
      <c r="BY72" s="92">
        <v>44785</v>
      </c>
      <c r="BZ72" s="18"/>
      <c r="CA72" s="18"/>
      <c r="CB72" s="18"/>
      <c r="CC72" s="18"/>
      <c r="CD72" s="92">
        <v>44792</v>
      </c>
      <c r="CE72" s="18"/>
      <c r="CF72" s="18"/>
      <c r="CG72" s="18"/>
      <c r="CH72" s="18"/>
      <c r="CI72" s="92">
        <v>44799</v>
      </c>
      <c r="CJ72" s="18"/>
      <c r="CK72" s="18"/>
      <c r="CL72" s="18"/>
      <c r="CM72" s="18"/>
      <c r="CN72" s="92">
        <v>44806</v>
      </c>
      <c r="CO72" s="18"/>
      <c r="CP72" s="18"/>
      <c r="CQ72" s="18"/>
      <c r="CR72" s="18"/>
      <c r="CS72" s="13">
        <v>1</v>
      </c>
      <c r="CT72" s="13"/>
      <c r="CU72" s="211">
        <f>CS72+1</f>
        <v>2</v>
      </c>
      <c r="CV72" s="211"/>
      <c r="CW72" s="13">
        <f>CU72+1</f>
        <v>3</v>
      </c>
      <c r="CX72" s="13"/>
      <c r="CY72" s="13">
        <f>CW72+1</f>
        <v>4</v>
      </c>
      <c r="CZ72" s="13"/>
      <c r="DA72" s="13">
        <f>CY72+1</f>
        <v>5</v>
      </c>
      <c r="DB72" s="13"/>
      <c r="DC72" s="13">
        <f>DA72+1</f>
        <v>6</v>
      </c>
      <c r="DD72" s="13"/>
      <c r="DE72" s="13">
        <f>DC72+1</f>
        <v>7</v>
      </c>
      <c r="DF72" s="13"/>
      <c r="DG72" s="13">
        <f>DE72+1</f>
        <v>8</v>
      </c>
      <c r="DH72" s="13"/>
      <c r="DI72" s="13">
        <f>DG72+1</f>
        <v>9</v>
      </c>
      <c r="DJ72" s="13"/>
      <c r="DK72" s="13">
        <f>DI72+1</f>
        <v>10</v>
      </c>
      <c r="DL72" s="13"/>
      <c r="DM72" s="13">
        <f>DK72+1</f>
        <v>11</v>
      </c>
      <c r="DN72" s="13"/>
      <c r="DO72" s="13">
        <f>DM72+1</f>
        <v>12</v>
      </c>
      <c r="DP72" s="13"/>
      <c r="DQ72" s="13">
        <f>DO72+1</f>
        <v>13</v>
      </c>
      <c r="DR72" s="13"/>
      <c r="DS72" s="13">
        <f>DQ72+1</f>
        <v>14</v>
      </c>
      <c r="DT72" s="13"/>
      <c r="DU72" s="13">
        <f>DS72+1</f>
        <v>15</v>
      </c>
      <c r="DV72" s="13"/>
      <c r="DW72" s="13">
        <f>DU72+1</f>
        <v>16</v>
      </c>
      <c r="DX72" s="13"/>
      <c r="DY72" s="13">
        <f>DW72+1</f>
        <v>17</v>
      </c>
      <c r="DZ72" s="13"/>
      <c r="EA72" s="13">
        <f>DY72+1</f>
        <v>18</v>
      </c>
      <c r="EB72" s="13"/>
      <c r="EC72" s="22" t="s">
        <v>20</v>
      </c>
      <c r="ED72" s="23" t="s">
        <v>21</v>
      </c>
    </row>
    <row r="73" spans="2:134" ht="22.5" customHeight="1" x14ac:dyDescent="0.2">
      <c r="E73" s="108" t="s">
        <v>139</v>
      </c>
      <c r="G73" s="27" t="s">
        <v>64</v>
      </c>
      <c r="H73" s="27" t="s">
        <v>65</v>
      </c>
      <c r="I73" s="27" t="s">
        <v>66</v>
      </c>
      <c r="J73" s="27" t="s">
        <v>67</v>
      </c>
      <c r="K73" s="27" t="s">
        <v>68</v>
      </c>
      <c r="L73" s="27" t="s">
        <v>64</v>
      </c>
      <c r="M73" s="27" t="s">
        <v>65</v>
      </c>
      <c r="N73" s="27" t="s">
        <v>66</v>
      </c>
      <c r="O73" s="27" t="s">
        <v>67</v>
      </c>
      <c r="P73" s="27" t="s">
        <v>68</v>
      </c>
      <c r="Q73" s="27" t="s">
        <v>64</v>
      </c>
      <c r="R73" s="27" t="s">
        <v>65</v>
      </c>
      <c r="S73" s="27" t="s">
        <v>66</v>
      </c>
      <c r="T73" s="27" t="s">
        <v>67</v>
      </c>
      <c r="U73" s="27" t="s">
        <v>68</v>
      </c>
      <c r="V73" s="27" t="s">
        <v>64</v>
      </c>
      <c r="W73" s="27" t="s">
        <v>65</v>
      </c>
      <c r="X73" s="27" t="s">
        <v>66</v>
      </c>
      <c r="Y73" s="27" t="s">
        <v>67</v>
      </c>
      <c r="Z73" s="27" t="s">
        <v>68</v>
      </c>
      <c r="AA73" s="27" t="s">
        <v>64</v>
      </c>
      <c r="AB73" s="27" t="s">
        <v>65</v>
      </c>
      <c r="AC73" s="27" t="s">
        <v>66</v>
      </c>
      <c r="AD73" s="27" t="s">
        <v>67</v>
      </c>
      <c r="AE73" s="27" t="s">
        <v>68</v>
      </c>
      <c r="AF73" s="27" t="s">
        <v>64</v>
      </c>
      <c r="AG73" s="27" t="s">
        <v>65</v>
      </c>
      <c r="AH73" s="27" t="s">
        <v>66</v>
      </c>
      <c r="AI73" s="27" t="s">
        <v>67</v>
      </c>
      <c r="AJ73" s="27" t="s">
        <v>68</v>
      </c>
      <c r="AK73" s="27" t="s">
        <v>64</v>
      </c>
      <c r="AL73" s="27" t="s">
        <v>65</v>
      </c>
      <c r="AM73" s="27" t="s">
        <v>66</v>
      </c>
      <c r="AN73" s="27" t="s">
        <v>67</v>
      </c>
      <c r="AO73" s="27" t="s">
        <v>68</v>
      </c>
      <c r="AP73" s="27" t="s">
        <v>64</v>
      </c>
      <c r="AQ73" s="27" t="s">
        <v>65</v>
      </c>
      <c r="AR73" s="27" t="s">
        <v>66</v>
      </c>
      <c r="AS73" s="27" t="s">
        <v>67</v>
      </c>
      <c r="AT73" s="27" t="s">
        <v>68</v>
      </c>
      <c r="AU73" s="27" t="s">
        <v>64</v>
      </c>
      <c r="AV73" s="27" t="s">
        <v>65</v>
      </c>
      <c r="AW73" s="27" t="s">
        <v>66</v>
      </c>
      <c r="AX73" s="27" t="s">
        <v>67</v>
      </c>
      <c r="AY73" s="27" t="s">
        <v>68</v>
      </c>
      <c r="AZ73" s="27" t="s">
        <v>64</v>
      </c>
      <c r="BA73" s="27" t="s">
        <v>65</v>
      </c>
      <c r="BB73" s="27" t="s">
        <v>66</v>
      </c>
      <c r="BC73" s="27" t="s">
        <v>67</v>
      </c>
      <c r="BD73" s="27" t="s">
        <v>68</v>
      </c>
      <c r="BE73" s="27" t="s">
        <v>64</v>
      </c>
      <c r="BF73" s="27" t="s">
        <v>65</v>
      </c>
      <c r="BG73" s="27" t="s">
        <v>66</v>
      </c>
      <c r="BH73" s="27" t="s">
        <v>67</v>
      </c>
      <c r="BI73" s="27" t="s">
        <v>68</v>
      </c>
      <c r="BJ73" s="27" t="s">
        <v>64</v>
      </c>
      <c r="BK73" s="27" t="s">
        <v>65</v>
      </c>
      <c r="BL73" s="27" t="s">
        <v>66</v>
      </c>
      <c r="BM73" s="27" t="s">
        <v>67</v>
      </c>
      <c r="BN73" s="27" t="s">
        <v>68</v>
      </c>
      <c r="BO73" s="27" t="s">
        <v>64</v>
      </c>
      <c r="BP73" s="27" t="s">
        <v>65</v>
      </c>
      <c r="BQ73" s="27" t="s">
        <v>66</v>
      </c>
      <c r="BR73" s="27" t="s">
        <v>67</v>
      </c>
      <c r="BS73" s="27" t="s">
        <v>68</v>
      </c>
      <c r="BT73" s="27" t="s">
        <v>64</v>
      </c>
      <c r="BU73" s="27" t="s">
        <v>65</v>
      </c>
      <c r="BV73" s="27" t="s">
        <v>66</v>
      </c>
      <c r="BW73" s="27" t="s">
        <v>67</v>
      </c>
      <c r="BX73" s="27" t="s">
        <v>68</v>
      </c>
      <c r="BY73" s="27" t="s">
        <v>64</v>
      </c>
      <c r="BZ73" s="27" t="s">
        <v>65</v>
      </c>
      <c r="CA73" s="27" t="s">
        <v>66</v>
      </c>
      <c r="CB73" s="27" t="s">
        <v>67</v>
      </c>
      <c r="CC73" s="27" t="s">
        <v>68</v>
      </c>
      <c r="CD73" s="27" t="s">
        <v>64</v>
      </c>
      <c r="CE73" s="27" t="s">
        <v>65</v>
      </c>
      <c r="CF73" s="27" t="s">
        <v>66</v>
      </c>
      <c r="CG73" s="27" t="s">
        <v>67</v>
      </c>
      <c r="CH73" s="27" t="s">
        <v>68</v>
      </c>
      <c r="CI73" s="27" t="s">
        <v>64</v>
      </c>
      <c r="CJ73" s="27" t="s">
        <v>65</v>
      </c>
      <c r="CK73" s="27" t="s">
        <v>66</v>
      </c>
      <c r="CL73" s="27" t="s">
        <v>67</v>
      </c>
      <c r="CM73" s="27" t="s">
        <v>68</v>
      </c>
      <c r="CN73" s="27" t="s">
        <v>64</v>
      </c>
      <c r="CO73" s="27" t="s">
        <v>65</v>
      </c>
      <c r="CP73" s="27" t="s">
        <v>66</v>
      </c>
      <c r="CQ73" s="27" t="s">
        <v>67</v>
      </c>
      <c r="CR73" s="27" t="s">
        <v>68</v>
      </c>
      <c r="CS73" s="10" t="s">
        <v>33</v>
      </c>
      <c r="CT73" s="10"/>
      <c r="CU73" s="23" t="s">
        <v>34</v>
      </c>
      <c r="CV73" s="23"/>
      <c r="CW73" s="10" t="s">
        <v>35</v>
      </c>
      <c r="CX73" s="10"/>
      <c r="CY73" s="25" t="s">
        <v>36</v>
      </c>
      <c r="CZ73" s="25"/>
      <c r="DA73" s="25" t="s">
        <v>33</v>
      </c>
      <c r="DB73" s="25"/>
      <c r="DC73" s="25" t="s">
        <v>35</v>
      </c>
      <c r="DD73" s="25"/>
      <c r="DE73" s="25" t="s">
        <v>36</v>
      </c>
      <c r="DF73" s="25"/>
      <c r="DG73" s="25" t="s">
        <v>33</v>
      </c>
      <c r="DH73" s="25"/>
      <c r="DI73" s="25" t="s">
        <v>35</v>
      </c>
      <c r="DJ73" s="25"/>
      <c r="DK73" s="25" t="s">
        <v>36</v>
      </c>
      <c r="DL73" s="25"/>
      <c r="DM73" s="25" t="s">
        <v>33</v>
      </c>
      <c r="DN73" s="25"/>
      <c r="DO73" s="25" t="s">
        <v>35</v>
      </c>
      <c r="DP73" s="25"/>
      <c r="DQ73" s="25" t="s">
        <v>36</v>
      </c>
      <c r="DR73" s="25"/>
      <c r="DS73" s="25" t="s">
        <v>33</v>
      </c>
      <c r="DT73" s="25"/>
      <c r="DU73" s="25" t="s">
        <v>35</v>
      </c>
      <c r="DV73" s="25"/>
      <c r="DW73" s="25" t="s">
        <v>36</v>
      </c>
      <c r="DX73" s="25"/>
      <c r="DY73" s="25" t="s">
        <v>33</v>
      </c>
      <c r="DZ73" s="25"/>
      <c r="EA73" s="25" t="s">
        <v>35</v>
      </c>
      <c r="EB73" s="25"/>
      <c r="ED73" s="15"/>
    </row>
    <row r="74" spans="2:134" x14ac:dyDescent="0.2">
      <c r="B74" s="109">
        <f ca="1">_xlfn.RANK.EQ(C74,$C$72:$C$115,)</f>
        <v>1</v>
      </c>
      <c r="C74" s="110">
        <f ca="1">EC74</f>
        <v>28.5</v>
      </c>
      <c r="D74" s="110" t="s">
        <v>140</v>
      </c>
      <c r="E74" s="111" t="s">
        <v>141</v>
      </c>
      <c r="F74" s="112">
        <f ca="1">COUNT(CT74,CV74,CX74,CZ74,DB74,DD74,DF74,DH74,DJ74,DL74,DN74,DP74,DR74,DT74,DV74,DX74,DZ74,EB74)</f>
        <v>1</v>
      </c>
      <c r="G74" s="93" t="str">
        <f ca="1">IF(CT74=0,"",CT74)</f>
        <v/>
      </c>
      <c r="H74" s="93"/>
      <c r="I74" s="93"/>
      <c r="K74" s="93"/>
      <c r="L74" s="93" t="str">
        <f ca="1">IF(CV74=0,"",CV74)</f>
        <v/>
      </c>
      <c r="M74" s="93"/>
      <c r="N74" s="93"/>
      <c r="P74" s="93"/>
      <c r="Q74" s="93" t="str">
        <f ca="1">IF(CX74=0,"",CX74)</f>
        <v/>
      </c>
      <c r="R74" s="93"/>
      <c r="S74" s="93"/>
      <c r="U74" s="93"/>
      <c r="V74" s="93" t="str">
        <f ca="1">IF(CZ74=0,"",CZ74)</f>
        <v/>
      </c>
      <c r="W74" s="93"/>
      <c r="X74" s="93"/>
      <c r="Z74" s="93"/>
      <c r="AA74" s="93">
        <f ca="1">IF(DB74=0,"",DB74)</f>
        <v>28.5</v>
      </c>
      <c r="AB74" s="93"/>
      <c r="AC74" s="93"/>
      <c r="AE74" s="93"/>
      <c r="AF74" s="93" t="str">
        <f ca="1">IF(DD74=0,"",DD74)</f>
        <v/>
      </c>
      <c r="AG74" s="93"/>
      <c r="AH74" s="93"/>
      <c r="AJ74" s="93"/>
      <c r="AK74" s="93" t="str">
        <f ca="1">IF(DF74=0,"",DF74)</f>
        <v/>
      </c>
      <c r="AL74" s="93"/>
      <c r="AM74" s="93"/>
      <c r="AO74" s="93"/>
      <c r="AP74" s="93" t="str">
        <f ca="1">IF(DH74=0,"",DH74)</f>
        <v/>
      </c>
      <c r="AQ74" s="93"/>
      <c r="AR74" s="93"/>
      <c r="AT74" s="93"/>
      <c r="AU74" s="93" t="str">
        <f ca="1">IF(DJ74=0,"",DJ74)</f>
        <v/>
      </c>
      <c r="AV74" s="93"/>
      <c r="AW74" s="93"/>
      <c r="AY74" s="93"/>
      <c r="AZ74" s="93" t="str">
        <f ca="1">IF(DL74=0,"",DL74)</f>
        <v/>
      </c>
      <c r="BA74" s="93"/>
      <c r="BB74" s="93"/>
      <c r="BD74" s="93"/>
      <c r="BE74" s="93" t="str">
        <f ca="1">IF(DN74=0,"",DN74)</f>
        <v/>
      </c>
      <c r="BF74" s="93"/>
      <c r="BG74" s="93"/>
      <c r="BI74" s="93"/>
      <c r="BJ74" s="93" t="str">
        <f ca="1">IF(DP74=0,"",DP74)</f>
        <v/>
      </c>
      <c r="BK74" s="93"/>
      <c r="BL74" s="93"/>
      <c r="BN74" s="93"/>
      <c r="BO74" s="93" t="str">
        <f ca="1">IF(DR74=0,"",DR74)</f>
        <v/>
      </c>
      <c r="BP74" s="93"/>
      <c r="BQ74" s="93"/>
      <c r="BS74" s="93"/>
      <c r="BT74" s="93" t="str">
        <f ca="1">IF(DT74=0,"",DT74)</f>
        <v/>
      </c>
      <c r="BU74" s="93"/>
      <c r="BV74" s="93"/>
      <c r="BX74" s="93"/>
      <c r="BY74" s="93" t="str">
        <f ca="1">IF(DV74=0,"",DV74)</f>
        <v/>
      </c>
      <c r="BZ74" s="93"/>
      <c r="CA74" s="93"/>
      <c r="CC74" s="93"/>
      <c r="CD74" s="93" t="str">
        <f ca="1">IF(DX74=0,"",DX74)</f>
        <v/>
      </c>
      <c r="CE74" s="93"/>
      <c r="CF74" s="93"/>
      <c r="CH74" s="93"/>
      <c r="CI74" s="93" t="str">
        <f ca="1">IF(DZ74=0,"",DZ74)</f>
        <v/>
      </c>
      <c r="CJ74" s="93"/>
      <c r="CK74" s="93"/>
      <c r="CM74" s="93"/>
      <c r="CN74" s="93" t="str">
        <f ca="1">IF(EB74=0,"",EB74)</f>
        <v/>
      </c>
      <c r="CO74" s="93"/>
      <c r="CP74" s="93"/>
      <c r="CR74" s="93"/>
      <c r="CS74" s="31"/>
      <c r="CT74" s="32" t="str">
        <f ca="1">IFERROR(CT75+CT76,"")</f>
        <v/>
      </c>
      <c r="CU74" s="31"/>
      <c r="CV74" s="32" t="str">
        <f ca="1">IFERROR(CV75+CV76,"")</f>
        <v/>
      </c>
      <c r="CW74" s="31"/>
      <c r="CX74" s="32" t="str">
        <f ca="1">IFERROR(CX75+CX76,"")</f>
        <v/>
      </c>
      <c r="CY74" s="31"/>
      <c r="CZ74" s="32" t="str">
        <f ca="1">IFERROR(CZ75+CZ76,"")</f>
        <v/>
      </c>
      <c r="DA74" s="31">
        <v>91</v>
      </c>
      <c r="DB74" s="32">
        <f ca="1">IFERROR(DB75+DB76,"")</f>
        <v>28.5</v>
      </c>
      <c r="DC74" s="31"/>
      <c r="DD74" s="32" t="str">
        <f ca="1">IFERROR(DD75+DD76,"")</f>
        <v/>
      </c>
      <c r="DE74" s="31"/>
      <c r="DF74" s="32" t="str">
        <f ca="1">IFERROR(DF75+DF76,"")</f>
        <v/>
      </c>
      <c r="DG74" s="31"/>
      <c r="DH74" s="32" t="str">
        <f ca="1">IFERROR(DH75+DH76,"")</f>
        <v/>
      </c>
      <c r="DI74" s="31"/>
      <c r="DJ74" s="32" t="str">
        <f ca="1">IFERROR(DJ75+DJ76,"")</f>
        <v/>
      </c>
      <c r="DK74" s="31"/>
      <c r="DL74" s="32" t="str">
        <f ca="1">IFERROR(DL75+DL76,"")</f>
        <v/>
      </c>
      <c r="DM74" s="31"/>
      <c r="DN74" s="32" t="str">
        <f ca="1">IFERROR(DN75+DN76,"")</f>
        <v/>
      </c>
      <c r="DO74" s="31"/>
      <c r="DP74" s="32" t="str">
        <f ca="1">IFERROR(DP75+DP76,"")</f>
        <v/>
      </c>
      <c r="DQ74" s="31"/>
      <c r="DR74" s="32" t="str">
        <f ca="1">IFERROR(DR75+DR76,"")</f>
        <v/>
      </c>
      <c r="DS74" s="31"/>
      <c r="DT74" s="32" t="str">
        <f ca="1">IFERROR(DT75+DT76,"")</f>
        <v/>
      </c>
      <c r="DU74" s="31"/>
      <c r="DV74" s="32" t="str">
        <f ca="1">IFERROR(DV75+DV76,"")</f>
        <v/>
      </c>
      <c r="DW74" s="31"/>
      <c r="DX74" s="32" t="str">
        <f ca="1">IFERROR(DX75+DX76,"")</f>
        <v/>
      </c>
      <c r="DY74" s="31"/>
      <c r="DZ74" s="32" t="str">
        <f ca="1">IFERROR(DZ75+DZ76,"")</f>
        <v/>
      </c>
      <c r="EA74" s="31"/>
      <c r="EB74" s="32" t="str">
        <f ca="1">IFERROR(EB75+EB76,"")</f>
        <v/>
      </c>
      <c r="EC74" s="26">
        <f ca="1">IFERROR(LARGE($G74:$CN74,1),0)+IFERROR(LARGE($G74:$CN74,2),0)+IFERROR(LARGE($G74:$CN74,3),0)+IFERROR(LARGE($G74:$CN74,4),0)+IFERROR(LARGE($G74:$CN74,5),0)+IFERROR(LARGE($G74:$CN74,6),0)+IFERROR(LARGE($G74:$CN74,7),0)+IFERROR(LARGE($G74:$CN74,8),0)+IFERROR(LARGE($G74:$CN74,9),0)+IFERROR(LARGE($G74:$CN74,10),0)</f>
        <v>28.5</v>
      </c>
      <c r="ED74" s="33">
        <f t="shared" ref="ED74:ED115" ca="1" si="3">IFERROR(AVERAGE(CT74,CV74,CX74,CZ74,DB74,DD74,DF74,DH74,DJ74,DL74,DN74,DP74,DR74,DT74,DV74,DX74,DZ74,EB74),0)</f>
        <v>28.5</v>
      </c>
    </row>
    <row r="75" spans="2:134" outlineLevel="1" x14ac:dyDescent="0.2">
      <c r="B75" s="113">
        <f>B73+0.021</f>
        <v>2.1000000000000001E-2</v>
      </c>
      <c r="C75" s="109"/>
      <c r="D75" s="109" t="s">
        <v>142</v>
      </c>
      <c r="E75" s="114" t="s">
        <v>38</v>
      </c>
      <c r="F75" s="115"/>
      <c r="G75" s="35"/>
      <c r="H75" s="35" t="str">
        <f>IF(CS75=0,"",CS75)</f>
        <v/>
      </c>
      <c r="I75" s="35"/>
      <c r="J75" s="93" t="str">
        <f>IFERROR(RANK(H75,H$6:H$115,0),"")</f>
        <v/>
      </c>
      <c r="K75" s="35"/>
      <c r="L75" s="35"/>
      <c r="M75" s="35" t="str">
        <f>IF(CU75=0,"",CU75)</f>
        <v/>
      </c>
      <c r="N75" s="35"/>
      <c r="O75" s="93" t="str">
        <f>IFERROR(RANK(M75,M$6:M$115,0),"")</f>
        <v/>
      </c>
      <c r="P75" s="35"/>
      <c r="Q75" s="35"/>
      <c r="R75" s="35" t="str">
        <f>IF(CW75=0,"",CW75)</f>
        <v/>
      </c>
      <c r="S75" s="35"/>
      <c r="T75" s="93" t="str">
        <f>IFERROR(RANK(R75,R$6:R$115,0),"")</f>
        <v/>
      </c>
      <c r="U75" s="35"/>
      <c r="V75" s="35"/>
      <c r="W75" s="35" t="str">
        <f>IF(CY75=0,"",CY75)</f>
        <v/>
      </c>
      <c r="X75" s="35"/>
      <c r="Y75" s="93" t="str">
        <f>IFERROR(RANK(W75,W$6:W$115,0),"")</f>
        <v/>
      </c>
      <c r="Z75" s="35"/>
      <c r="AA75" s="35"/>
      <c r="AB75" s="35">
        <f>IF(DA75=0,"",DA75)</f>
        <v>34</v>
      </c>
      <c r="AC75" s="35"/>
      <c r="AD75" s="93">
        <f>IFERROR(RANK(AB75,AB$6:AB$115,0),"")</f>
        <v>2</v>
      </c>
      <c r="AE75" s="35"/>
      <c r="AF75" s="35"/>
      <c r="AG75" s="35" t="str">
        <f>IF(DC75=0,"",DC75)</f>
        <v/>
      </c>
      <c r="AH75" s="35"/>
      <c r="AI75" s="93" t="str">
        <f>IFERROR(RANK(AG75,AG$6:AG$115,0),"")</f>
        <v/>
      </c>
      <c r="AJ75" s="35"/>
      <c r="AK75" s="35"/>
      <c r="AL75" s="35" t="str">
        <f>IF(DE75=0,"",DE75)</f>
        <v/>
      </c>
      <c r="AM75" s="35"/>
      <c r="AN75" s="93" t="str">
        <f>IFERROR(RANK(AL75,AL$6:AL$115,0),"")</f>
        <v/>
      </c>
      <c r="AO75" s="35"/>
      <c r="AP75" s="35"/>
      <c r="AQ75" s="35" t="str">
        <f>IF(DG75=0,"",DG75)</f>
        <v/>
      </c>
      <c r="AR75" s="35"/>
      <c r="AS75" s="93" t="str">
        <f>IFERROR(RANK(AQ75,AQ$6:AQ$115,0),"")</f>
        <v/>
      </c>
      <c r="AT75" s="35"/>
      <c r="AU75" s="35"/>
      <c r="AV75" s="35" t="str">
        <f>IF(DI75=0,"",DI75)</f>
        <v/>
      </c>
      <c r="AW75" s="35"/>
      <c r="AX75" s="93" t="str">
        <f>IFERROR(RANK(AV75,AV$6:AV$115,0),"")</f>
        <v/>
      </c>
      <c r="AY75" s="35"/>
      <c r="AZ75" s="35"/>
      <c r="BA75" s="35" t="str">
        <f>IF(DK75=0,"",DK75)</f>
        <v/>
      </c>
      <c r="BB75" s="35"/>
      <c r="BC75" s="93" t="str">
        <f>IFERROR(RANK(BA75,BA$6:BA$115,0),"")</f>
        <v/>
      </c>
      <c r="BD75" s="35"/>
      <c r="BE75" s="35"/>
      <c r="BF75" s="35" t="str">
        <f>IF(DM75=0,"",DM75)</f>
        <v/>
      </c>
      <c r="BG75" s="35"/>
      <c r="BH75" s="93" t="str">
        <f>IFERROR(RANK(BF75,BF$6:BF$115,0),"")</f>
        <v/>
      </c>
      <c r="BI75" s="35"/>
      <c r="BJ75" s="35"/>
      <c r="BK75" s="35" t="str">
        <f>IF(DO75=0,"",DO75)</f>
        <v/>
      </c>
      <c r="BL75" s="35"/>
      <c r="BM75" s="93" t="str">
        <f>IFERROR(RANK(BK75,BK$6:BK$115,0),"")</f>
        <v/>
      </c>
      <c r="BN75" s="35"/>
      <c r="BO75" s="35"/>
      <c r="BP75" s="35" t="str">
        <f>IF(DQ75=0,"",DQ75)</f>
        <v/>
      </c>
      <c r="BQ75" s="35"/>
      <c r="BR75" s="93" t="str">
        <f>IFERROR(RANK(BP75,BP$6:BP$115,0),"")</f>
        <v/>
      </c>
      <c r="BS75" s="35"/>
      <c r="BT75" s="35"/>
      <c r="BU75" s="35" t="str">
        <f>IF(DS75=0,"",DS75)</f>
        <v/>
      </c>
      <c r="BV75" s="35"/>
      <c r="BW75" s="93" t="str">
        <f>IFERROR(RANK(BU75,BU$6:BU$115,0),"")</f>
        <v/>
      </c>
      <c r="BX75" s="35"/>
      <c r="BY75" s="35"/>
      <c r="BZ75" s="35" t="str">
        <f>IF(DU75=0,"",DU75)</f>
        <v/>
      </c>
      <c r="CA75" s="35"/>
      <c r="CB75" s="93" t="str">
        <f>IFERROR(RANK(BZ75,BZ$6:BZ$115,0),"")</f>
        <v/>
      </c>
      <c r="CC75" s="35"/>
      <c r="CD75" s="35"/>
      <c r="CE75" s="35" t="str">
        <f>IF(DW75=0,"",DW75)</f>
        <v/>
      </c>
      <c r="CF75" s="35"/>
      <c r="CG75" s="93" t="str">
        <f>IFERROR(RANK(CE75,CE$6:CE$115,0),"")</f>
        <v/>
      </c>
      <c r="CH75" s="35"/>
      <c r="CI75" s="35"/>
      <c r="CJ75" s="35" t="str">
        <f>IF(DY75=0,"",DY75)</f>
        <v/>
      </c>
      <c r="CK75" s="35"/>
      <c r="CL75" s="93" t="str">
        <f>IFERROR(RANK(CJ75,CJ$6:CJ$115,0),"")</f>
        <v/>
      </c>
      <c r="CM75" s="35"/>
      <c r="CN75" s="35"/>
      <c r="CO75" s="35" t="str">
        <f>IF(EA75=0,"",EA75)</f>
        <v/>
      </c>
      <c r="CP75" s="35"/>
      <c r="CQ75" s="93" t="str">
        <f>IFERROR(RANK(CO75,CO$6:CO$115,0),"")</f>
        <v/>
      </c>
      <c r="CR75" s="35"/>
      <c r="CS75" s="31"/>
      <c r="CT75" s="36" t="str">
        <f ca="1">IFERROR(AVERAGE(OFFSET('Data - For Rank'!B$2,J75,0,COUNTIF($J$7:J$115,J75)))+IFERROR(VLOOKUP((COUNT($H$6:$H$115)/4),$ER$8:$ES$12,2,FALSE()),0),"")</f>
        <v/>
      </c>
      <c r="CU75" s="31"/>
      <c r="CV75" s="36" t="str">
        <f ca="1">IFERROR(AVERAGE(OFFSET('Data - For Rank'!$C$2,O75,0,COUNTIF(O$7:O$115,O75)))+IFERROR(VLOOKUP((COUNT(M$6:M$115)/4),$ER$8:$ES$12,2,FALSE()),0),"")</f>
        <v/>
      </c>
      <c r="CW75" s="31"/>
      <c r="CX75" s="36" t="str">
        <f ca="1">IFERROR(AVERAGE(OFFSET('Data - For Rank'!D$2,T75,0,COUNTIF(T$7:T$115,T75)))+IFERROR(VLOOKUP((COUNT(R$6:R$115)/4),$ER$8:$ES$12,2,FALSE()),0),"")</f>
        <v/>
      </c>
      <c r="CY75" s="31"/>
      <c r="CZ75" s="36" t="str">
        <f ca="1">IFERROR(AVERAGE(OFFSET('Data - For Rank'!E$2,Y75,0,COUNTIF(Y$7:Y$115,Y75)))+IFERROR(VLOOKUP((COUNT(W$6:W$115)/4),$ER$8:$ES$12,2,FALSE()),0),"")</f>
        <v/>
      </c>
      <c r="DA75" s="31">
        <v>34</v>
      </c>
      <c r="DB75" s="36">
        <f ca="1">IFERROR(AVERAGE(OFFSET('Data - For Rank'!F$2,AD75,0,COUNTIF(AD$7:AD$115,AD75)))+IFERROR(VLOOKUP((COUNT(AB$6:AB$115)/4),$ER$8:$ES$12,2,FALSE()),0),"")</f>
        <v>16.5</v>
      </c>
      <c r="DC75" s="31"/>
      <c r="DD75" s="36" t="str">
        <f ca="1">IFERROR(AVERAGE(OFFSET('Data - For Rank'!G$2,AI75,0,COUNTIF(AI$7:AI$115,AI75)))+IFERROR(VLOOKUP((COUNT(AG$6:AG$115)/4),$ER$8:$ES$12,2,FALSE()),0),"")</f>
        <v/>
      </c>
      <c r="DE75" s="31"/>
      <c r="DF75" s="36" t="str">
        <f ca="1">IFERROR(AVERAGE(OFFSET('Data - For Rank'!$H$2,AN75,0,COUNTIF(AN$7:AN$115,AN75)))+IFERROR(VLOOKUP((COUNT(AL$6:AL$115)/4),$ER$8:$ES$12,2,FALSE()),0),"")</f>
        <v/>
      </c>
      <c r="DG75" s="31"/>
      <c r="DH75" s="36" t="str">
        <f ca="1">IFERROR(AVERAGE(OFFSET('Data - For Rank'!$I$2,AS75,0,COUNTIF(AS$7:AS$115,AS75)))+IFERROR(VLOOKUP((COUNT(AQ$6:AQ$115)/40),$ER$8:$ES$12,2,FALSE()),0),"")</f>
        <v/>
      </c>
      <c r="DI75" s="31"/>
      <c r="DJ75" s="36" t="str">
        <f ca="1">IFERROR(AVERAGE(OFFSET('Data - For Rank'!$J$2,AX75,0,COUNTIF(AX$7:AX$115,AX75)))+IFERROR(VLOOKUP((COUNT(AV$6:AV$115)/4),$ER$8:$ES$12,2,FALSE()),0),"")</f>
        <v/>
      </c>
      <c r="DK75" s="31"/>
      <c r="DL75" s="36" t="str">
        <f ca="1">IFERROR(AVERAGE(OFFSET('Data - For Rank'!$K$2,BC75,0,COUNTIF(BC$7:BC$115,BC75)))+IFERROR(VLOOKUP((COUNT(BA$6:BA$115)/4),$ER$8:$ES$12,2,FALSE()),0),"")</f>
        <v/>
      </c>
      <c r="DM75" s="31"/>
      <c r="DN75" s="36" t="str">
        <f ca="1">IFERROR(AVERAGE(OFFSET('Data - For Rank'!$L$2,BH75,0,COUNTIF(BH$7:BH$115,BH75)))+IFERROR(VLOOKUP((COUNT(BF$6:BF$115)/4),$ER$8:$ES$12,2,FALSE()),0),"")</f>
        <v/>
      </c>
      <c r="DO75" s="31"/>
      <c r="DP75" s="36" t="str">
        <f ca="1">IFERROR(AVERAGE(OFFSET('Data - For Rank'!$M$2,BM75,0,COUNTIF(BM$7:BM$115,BM75)))+IFERROR(VLOOKUP((COUNT(BK$6:BK$115)/4),$ER$8:$ES$12,2,FALSE()),0),"")</f>
        <v/>
      </c>
      <c r="DQ75" s="31"/>
      <c r="DR75" s="36" t="str">
        <f ca="1">IFERROR(AVERAGE(OFFSET('Data - For Rank'!$N$2,BR75,0,COUNTIF(BR$7:BR$115,BR75)))+IFERROR(VLOOKUP((COUNT(BP$6:BP$115)/4),$ER$8:$ES$12,2,FALSE()),0),"")</f>
        <v/>
      </c>
      <c r="DS75" s="31"/>
      <c r="DT75" s="36" t="str">
        <f ca="1">IFERROR(AVERAGE(OFFSET('Data - For Rank'!$O$2,BW75,0,COUNTIF(BW$7:BW$115,BW75)))+IFERROR(VLOOKUP((COUNT(BU$6:BU$115)/4),$ER$8:$ES$12,2,FALSE()),0),"")</f>
        <v/>
      </c>
      <c r="DU75" s="31"/>
      <c r="DV75" s="36" t="str">
        <f ca="1">IFERROR(AVERAGE(OFFSET('Data - For Rank'!$P$2,CB75,0,COUNTIF(CB$7:CB$115,CB75)))+IFERROR(VLOOKUP((COUNT(BZ$6:BZ$115)/4),$ER$8:$ES$12,2,FALSE()),0),"")</f>
        <v/>
      </c>
      <c r="DW75" s="31"/>
      <c r="DX75" s="36" t="str">
        <f ca="1">IFERROR(AVERAGE(OFFSET('Data - For Rank'!$Q$2,CG75,0,COUNTIF(CG$7:CG$115,CG75)))+IFERROR(VLOOKUP((COUNT(CE$6:CE$115)/4),$ER$8:$ES$12,2,FALSE()),0),"")</f>
        <v/>
      </c>
      <c r="DY75" s="31"/>
      <c r="DZ75" s="36" t="str">
        <f ca="1">IFERROR(AVERAGE(OFFSET('Data - For Rank'!$R$2,CL75,0,COUNTIF(CL$7:CL$115,CL75)))+IFERROR(VLOOKUP((COUNT(CJ$6:CJ$115)/4),$ER$8:$ES$12,2,FALSE()),0),"")</f>
        <v/>
      </c>
      <c r="EA75" s="31"/>
      <c r="EB75" s="36" t="str">
        <f ca="1">IFERROR(AVERAGE(OFFSET('Data - For Rank'!$S$2,CQ75,0,COUNTIF(CQ$7:CQ$115,CQ75)))+IFERROR(VLOOKUP((COUNT(CO$6:CO$115)/4),$ER$8:$ES$12,2,FALSE()),0),"")</f>
        <v/>
      </c>
      <c r="EC75" s="37">
        <f>CS75+CU75+CW75+CY75+DA75+DC75+DE75+DG75+DI75+DK75+DM75+DO75+DQ75+DS75+DU75+DW75+DY75+EA75</f>
        <v>34</v>
      </c>
      <c r="ED75" s="33">
        <f t="shared" ca="1" si="3"/>
        <v>16.5</v>
      </c>
    </row>
    <row r="76" spans="2:134" outlineLevel="1" x14ac:dyDescent="0.2">
      <c r="B76" s="116">
        <f>B75+0.11</f>
        <v>0.13100000000000001</v>
      </c>
      <c r="C76" s="109"/>
      <c r="D76" s="109" t="s">
        <v>143</v>
      </c>
      <c r="E76" s="117" t="s">
        <v>39</v>
      </c>
      <c r="F76" s="118"/>
      <c r="G76" s="40"/>
      <c r="H76" s="40"/>
      <c r="I76" s="96" t="str">
        <f>IF(CS76=0,"",CS76)</f>
        <v/>
      </c>
      <c r="J76" s="96"/>
      <c r="K76" s="97" t="str">
        <f>IFERROR(_xlfn.RANK.EQ(I76,I$6:I$115,0),"")</f>
        <v/>
      </c>
      <c r="L76" s="40"/>
      <c r="M76" s="40"/>
      <c r="N76" s="96" t="str">
        <f>IF(CU76=0,"",CU76)</f>
        <v/>
      </c>
      <c r="O76" s="96"/>
      <c r="P76" s="97" t="str">
        <f>IFERROR(_xlfn.RANK.EQ(N76,N$6:N$115,0),"")</f>
        <v/>
      </c>
      <c r="Q76" s="40"/>
      <c r="R76" s="40"/>
      <c r="S76" s="96" t="str">
        <f>IF(CW76=0,"",CW76)</f>
        <v/>
      </c>
      <c r="T76" s="96"/>
      <c r="U76" s="97" t="str">
        <f>IFERROR(_xlfn.RANK.EQ(S76,S$6:S$115,0),"")</f>
        <v/>
      </c>
      <c r="V76" s="40"/>
      <c r="W76" s="40"/>
      <c r="X76" s="96" t="str">
        <f>IF(CY76=0,"",CY76)</f>
        <v/>
      </c>
      <c r="Y76" s="96"/>
      <c r="Z76" s="97" t="str">
        <f>IFERROR(_xlfn.RANK.EQ(X76,X$6:X$115,0),"")</f>
        <v/>
      </c>
      <c r="AA76" s="40"/>
      <c r="AB76" s="40"/>
      <c r="AC76" s="96">
        <f>IF(DA76=0,"",DA76)</f>
        <v>8</v>
      </c>
      <c r="AD76" s="96"/>
      <c r="AE76" s="97">
        <f>IFERROR(_xlfn.RANK.EQ(AC76,AC$6:AC$115,0),"")</f>
        <v>6</v>
      </c>
      <c r="AF76" s="40"/>
      <c r="AG76" s="40"/>
      <c r="AH76" s="96" t="str">
        <f>IF(DC76=0,"",DC76)</f>
        <v/>
      </c>
      <c r="AI76" s="96"/>
      <c r="AJ76" s="97" t="str">
        <f>IFERROR(_xlfn.RANK.EQ(AH76,AH$6:AH$115,0),"")</f>
        <v/>
      </c>
      <c r="AK76" s="40"/>
      <c r="AL76" s="40"/>
      <c r="AM76" s="96" t="str">
        <f>IF(DE76=0,"",DE76)</f>
        <v/>
      </c>
      <c r="AN76" s="96"/>
      <c r="AO76" s="97" t="str">
        <f>IFERROR(_xlfn.RANK.EQ(AM76,AM$6:AM$115,0),"")</f>
        <v/>
      </c>
      <c r="AP76" s="40"/>
      <c r="AQ76" s="40"/>
      <c r="AR76" s="96" t="str">
        <f>IF(DG76=0,"",DG76)</f>
        <v/>
      </c>
      <c r="AS76" s="96"/>
      <c r="AT76" s="97" t="str">
        <f>IFERROR(_xlfn.RANK.EQ(AR76,AR$6:AR$115,0),"")</f>
        <v/>
      </c>
      <c r="AU76" s="40"/>
      <c r="AV76" s="40"/>
      <c r="AW76" s="96" t="str">
        <f>IF(DI76=0,"",DI76)</f>
        <v/>
      </c>
      <c r="AX76" s="96"/>
      <c r="AY76" s="97" t="str">
        <f>IFERROR(_xlfn.RANK.EQ(AW76,AW$6:AW$115,0),"")</f>
        <v/>
      </c>
      <c r="AZ76" s="40"/>
      <c r="BA76" s="40"/>
      <c r="BB76" s="96" t="str">
        <f>IF(DK76=0,"",DK76)</f>
        <v/>
      </c>
      <c r="BC76" s="96"/>
      <c r="BD76" s="97" t="str">
        <f>IFERROR(_xlfn.RANK.EQ(BB76,BB$6:BB$115,0),"")</f>
        <v/>
      </c>
      <c r="BE76" s="40"/>
      <c r="BF76" s="40"/>
      <c r="BG76" s="96" t="str">
        <f>IF(DM76=0,"",DM76)</f>
        <v/>
      </c>
      <c r="BH76" s="96"/>
      <c r="BI76" s="97" t="str">
        <f>IFERROR(_xlfn.RANK.EQ(BG76,BG$6:BG$115,0),"")</f>
        <v/>
      </c>
      <c r="BJ76" s="40"/>
      <c r="BK76" s="40"/>
      <c r="BL76" s="96" t="str">
        <f>IF(DO76=0,"",DO76)</f>
        <v/>
      </c>
      <c r="BM76" s="96"/>
      <c r="BN76" s="97" t="str">
        <f>IFERROR(_xlfn.RANK.EQ(BL76,BL$6:BL$115,0),"")</f>
        <v/>
      </c>
      <c r="BO76" s="40"/>
      <c r="BP76" s="40"/>
      <c r="BQ76" s="96" t="str">
        <f>IF(DQ76=0,"",DQ76)</f>
        <v/>
      </c>
      <c r="BR76" s="96"/>
      <c r="BS76" s="97" t="str">
        <f>IFERROR(_xlfn.RANK.EQ(BQ76,BQ$6:BQ$115,0),"")</f>
        <v/>
      </c>
      <c r="BT76" s="40"/>
      <c r="BU76" s="40"/>
      <c r="BV76" s="96" t="str">
        <f>IF(DS76=0,"",DS76)</f>
        <v/>
      </c>
      <c r="BW76" s="96"/>
      <c r="BX76" s="97" t="str">
        <f>IFERROR(_xlfn.RANK.EQ(BV76,BV$6:BV$115,0),"")</f>
        <v/>
      </c>
      <c r="BY76" s="40"/>
      <c r="BZ76" s="40"/>
      <c r="CA76" s="96" t="str">
        <f>IF(DU76=0,"",DU76)</f>
        <v/>
      </c>
      <c r="CB76" s="96"/>
      <c r="CC76" s="97" t="str">
        <f>IFERROR(_xlfn.RANK.EQ(CA76,CA$6:CA$115,0),"")</f>
        <v/>
      </c>
      <c r="CD76" s="40"/>
      <c r="CE76" s="40"/>
      <c r="CF76" s="96" t="str">
        <f>IF(DW76=0,"",DW76)</f>
        <v/>
      </c>
      <c r="CG76" s="96"/>
      <c r="CH76" s="97" t="str">
        <f>IFERROR(_xlfn.RANK.EQ(CF76,CF$6:CF$115,0),"")</f>
        <v/>
      </c>
      <c r="CI76" s="40"/>
      <c r="CJ76" s="40"/>
      <c r="CK76" s="96" t="str">
        <f>IF(DY76=0,"",DY76)</f>
        <v/>
      </c>
      <c r="CL76" s="96"/>
      <c r="CM76" s="97" t="str">
        <f>IFERROR(_xlfn.RANK.EQ(CK76,CK$6:CK$115,0),"")</f>
        <v/>
      </c>
      <c r="CN76" s="40"/>
      <c r="CO76" s="40"/>
      <c r="CP76" s="96" t="str">
        <f>IF(EA76=0,"",EA76)</f>
        <v/>
      </c>
      <c r="CQ76" s="96"/>
      <c r="CR76" s="97" t="str">
        <f>IFERROR(_xlfn.RANK.EQ(CP76,CP$6:CP$115,0),"")</f>
        <v/>
      </c>
      <c r="CS76" s="41"/>
      <c r="CT76" s="42" t="str">
        <f ca="1">IFERROR(AVERAGE(OFFSET('Data - For Rank'!B$2,K76,0,COUNTIF(K$6:K$115,K76)))+IFERROR(VLOOKUP((COUNT($I$6:$I$115)/4),$ER$8:$ES$12,2,FALSE()),0),"")</f>
        <v/>
      </c>
      <c r="CU76" s="41"/>
      <c r="CV76" s="42" t="str">
        <f ca="1">IFERROR(AVERAGE(OFFSET('Data - For Rank'!$C$2,P76,0,COUNTIF(P$6:P$115,P76)))+IFERROR(VLOOKUP((COUNT(N$6:N$115)/4),$ER$8:$ES$12,2,FALSE()),0),"")</f>
        <v/>
      </c>
      <c r="CW76" s="41"/>
      <c r="CX76" s="42" t="str">
        <f ca="1">IFERROR(AVERAGE(OFFSET('Data - For Rank'!D$2,U76,0,COUNTIF(U$6:$U183,U76)))+IFERROR(VLOOKUP((COUNT(S$6:S$115)/4),$ER$8:$ES$12,2,FALSE()),0),"")</f>
        <v/>
      </c>
      <c r="CY76" s="41"/>
      <c r="CZ76" s="42" t="str">
        <f ca="1">IFERROR(AVERAGE(OFFSET('Data - For Rank'!E$2,Z76,0,COUNTIF(Z$6:Z$115,Z76)))+IFERROR(VLOOKUP((COUNT(W$6:W$115)/4),$ER$8:$ES$12,2,FALSE()),0),"")</f>
        <v/>
      </c>
      <c r="DA76" s="41">
        <v>8</v>
      </c>
      <c r="DB76" s="42">
        <f ca="1">IFERROR(AVERAGE(OFFSET('Data - For Rank'!F$2,AE76,0,COUNTIF(AE$6:AE$115,AE76)))+IFERROR(VLOOKUP((COUNT(AC$6:AC$115)/4),$ER$8:$ES$12,2,FALSE()),0),"")</f>
        <v>12</v>
      </c>
      <c r="DC76" s="41"/>
      <c r="DD76" s="42" t="str">
        <f ca="1">IFERROR(AVERAGE(OFFSET('Data - For Rank'!G$2,AJ76,0,COUNTIF(AJ$6:AJ$115,AJ76)))+IFERROR(VLOOKUP((COUNT(AH$6:AH$115)/4),$ER$8:$ES$12,2,FALSE()),0),"")</f>
        <v/>
      </c>
      <c r="DE76" s="41"/>
      <c r="DF76" s="42" t="str">
        <f ca="1">IFERROR(AVERAGE(OFFSET('Data - For Rank'!$H$2,AO76,0,COUNTIF(AO$6:AO$115,AO76)))+IFERROR(VLOOKUP((COUNT(AM$6:AM$115)/4),$ER$8:$ES$12,2,FALSE()),0),"")</f>
        <v/>
      </c>
      <c r="DG76" s="41"/>
      <c r="DH76" s="42" t="str">
        <f ca="1">IFERROR(AVERAGE(OFFSET('Data - For Rank'!$I$2,AT76,0,COUNTIF(AT$6:AT$115,AT76)))+IFERROR(VLOOKUP((COUNT(AR$6:AR$115)/4),$ER$8:$ES$12,2,FALSE()),0),"")</f>
        <v/>
      </c>
      <c r="DI76" s="41"/>
      <c r="DJ76" s="42" t="str">
        <f ca="1">IFERROR(AVERAGE(OFFSET('Data - For Rank'!$J$2,AY76,0,COUNTIF(AY$6:AY$115,AY76)))+IFERROR(VLOOKUP((COUNT(AW$6:AW$115)/4),$ER$8:$ES$12,2,FALSE()),0),"")</f>
        <v/>
      </c>
      <c r="DK76" s="41"/>
      <c r="DL76" s="42" t="str">
        <f ca="1">IFERROR(AVERAGE(OFFSET('Data - For Rank'!$K$2,BD76,0,COUNTIF(BD$6:BD$115,BD76)))+IFERROR(VLOOKUP((COUNT(BB$6:BB$115)/4),$ER$8:$ES$12,2,FALSE()),0),"")</f>
        <v/>
      </c>
      <c r="DM76" s="41"/>
      <c r="DN76" s="42" t="str">
        <f ca="1">IFERROR(AVERAGE(OFFSET('Data - For Rank'!$L$2,BI76,0,COUNTIF(BI$6:BI$115,BI76)))+IFERROR(VLOOKUP((COUNT(BG$6:BG$115)/4),$ER$8:$ES$12,2,FALSE()),0),"")</f>
        <v/>
      </c>
      <c r="DO76" s="41"/>
      <c r="DP76" s="42" t="str">
        <f ca="1">IFERROR(AVERAGE(OFFSET('Data - For Rank'!$M$2,BN76,0,COUNTIF(BN$6:BN$115,BN76)))+IFERROR(VLOOKUP((COUNT(BL$6:BL$115)/4),$ER$8:$ES$12,2,FALSE()),0),"")</f>
        <v/>
      </c>
      <c r="DQ76" s="41"/>
      <c r="DR76" s="42" t="str">
        <f ca="1">IFERROR(AVERAGE(OFFSET('Data - For Rank'!$N$2,BS76,0,COUNTIF(BS$6:BS$115,BS76)))+IFERROR(VLOOKUP((COUNT(BQ$6:BQ$115)/4),$ER$8:$ES$12,2,FALSE()),0),"")</f>
        <v/>
      </c>
      <c r="DS76" s="41"/>
      <c r="DT76" s="42" t="str">
        <f ca="1">IFERROR(AVERAGE(OFFSET('Data - For Rank'!$O$2,BX76,0,COUNTIF(BX$6:BX$115,BX76)))+IFERROR(VLOOKUP((COUNT(BV$6:BV$115)/4),$ER$8:$ES$12,2,FALSE()),0),"")</f>
        <v/>
      </c>
      <c r="DU76" s="41"/>
      <c r="DV76" s="42" t="str">
        <f ca="1">IFERROR(AVERAGE(OFFSET('Data - For Rank'!$P$2,CC76,0,COUNTIF(CC$6:CC$115,CC76)))+IFERROR(VLOOKUP((COUNT(CA$6:CA$115)/4),$ER$8:$ES$12,2,FALSE()),0),"")</f>
        <v/>
      </c>
      <c r="DW76" s="41"/>
      <c r="DX76" s="42" t="str">
        <f ca="1">IFERROR(AVERAGE(OFFSET('Data - For Rank'!$Q$2,CH76,0,COUNTIF(CH$6:CH$115,CH76)))+IFERROR(VLOOKUP((COUNT(CF$6:CF$115)/4),$ER$8:$ES$12,2,FALSE()),0),"")</f>
        <v/>
      </c>
      <c r="DY76" s="41"/>
      <c r="DZ76" s="42" t="str">
        <f ca="1">IFERROR(AVERAGE(OFFSET('Data - For Rank'!$R$2,CM76,0,COUNTIF(CM$6:CM$115,CM76)))+IFERROR(VLOOKUP((COUNT(CK$6:CK$115)/4),$ER$8:$ES$12,2,FALSE()),0),"")</f>
        <v/>
      </c>
      <c r="EA76" s="41"/>
      <c r="EB76" s="42" t="str">
        <f ca="1">IFERROR(AVERAGE(OFFSET('Data - For Rank'!$S$2,CR76,0,COUNTIF(CR$6:CR$115,CR76)))+IFERROR(VLOOKUP((COUNT(CP$6:CP$115)/4),$ER$8:$ES$12,2,FALSE()),0),"")</f>
        <v/>
      </c>
      <c r="EC76" s="43">
        <f>IFERROR(AVERAGE(CS76,CU76,CW76,CY76,DA76,DC76,DE76,DG76,DI76,DK76,DM76,DO76,DQ76,DS76,DU76,DW76,DY76,EA76),0)</f>
        <v>8</v>
      </c>
      <c r="ED76" s="44">
        <f t="shared" ca="1" si="3"/>
        <v>12</v>
      </c>
    </row>
    <row r="77" spans="2:134" x14ac:dyDescent="0.2">
      <c r="B77" s="109">
        <f ca="1">_xlfn.RANK.EQ(C77,$C$72:$C$115,)</f>
        <v>2</v>
      </c>
      <c r="C77" s="110">
        <f ca="1">EC77</f>
        <v>0</v>
      </c>
      <c r="D77" s="110" t="s">
        <v>144</v>
      </c>
      <c r="E77" s="119" t="s">
        <v>144</v>
      </c>
      <c r="F77" s="112">
        <f ca="1">COUNT(CT77,CV77,CX77,CZ77,DB77,DD77,DF77,DH77,DJ77,DL77,DN77,DP77,DR77,DT77,DV77,DX77,DZ77,EB77)</f>
        <v>0</v>
      </c>
      <c r="G77" s="93" t="str">
        <f ca="1">IF(CT77=0,"",CT77)</f>
        <v/>
      </c>
      <c r="H77" s="93"/>
      <c r="I77" s="93"/>
      <c r="K77" s="93"/>
      <c r="L77" s="93" t="str">
        <f ca="1">IF(CV77=0,"",CV77)</f>
        <v/>
      </c>
      <c r="M77" s="93"/>
      <c r="N77" s="93"/>
      <c r="P77" s="93"/>
      <c r="Q77" s="93" t="str">
        <f ca="1">IF(CX77=0,"",CX77)</f>
        <v/>
      </c>
      <c r="R77" s="93"/>
      <c r="S77" s="93"/>
      <c r="U77" s="93"/>
      <c r="V77" s="93" t="str">
        <f ca="1">IF(CZ77=0,"",CZ77)</f>
        <v/>
      </c>
      <c r="W77" s="93"/>
      <c r="X77" s="93"/>
      <c r="Z77" s="93"/>
      <c r="AA77" s="93" t="str">
        <f ca="1">IF(DB77=0,"",DB77)</f>
        <v/>
      </c>
      <c r="AB77" s="93"/>
      <c r="AC77" s="93"/>
      <c r="AE77" s="93"/>
      <c r="AF77" s="93" t="str">
        <f ca="1">IF(DD77=0,"",DD77)</f>
        <v/>
      </c>
      <c r="AG77" s="93"/>
      <c r="AH77" s="93"/>
      <c r="AJ77" s="93"/>
      <c r="AK77" s="93" t="str">
        <f ca="1">IF(DF77=0,"",DF77)</f>
        <v/>
      </c>
      <c r="AL77" s="93"/>
      <c r="AM77" s="93"/>
      <c r="AO77" s="93"/>
      <c r="AP77" s="93" t="str">
        <f ca="1">IF(DH77=0,"",DH77)</f>
        <v/>
      </c>
      <c r="AQ77" s="93"/>
      <c r="AR77" s="93"/>
      <c r="AT77" s="93"/>
      <c r="AU77" s="93" t="str">
        <f ca="1">IF(DJ77=0,"",DJ77)</f>
        <v/>
      </c>
      <c r="AV77" s="93"/>
      <c r="AW77" s="93"/>
      <c r="AY77" s="93"/>
      <c r="AZ77" s="93" t="str">
        <f ca="1">IF(DL77=0,"",DL77)</f>
        <v/>
      </c>
      <c r="BA77" s="93"/>
      <c r="BB77" s="93"/>
      <c r="BD77" s="93"/>
      <c r="BE77" s="93" t="str">
        <f ca="1">IF(DN77=0,"",DN77)</f>
        <v/>
      </c>
      <c r="BF77" s="93"/>
      <c r="BG77" s="93"/>
      <c r="BI77" s="93"/>
      <c r="BJ77" s="93" t="str">
        <f ca="1">IF(DP77=0,"",DP77)</f>
        <v/>
      </c>
      <c r="BK77" s="93"/>
      <c r="BL77" s="93"/>
      <c r="BN77" s="93"/>
      <c r="BO77" s="93" t="str">
        <f ca="1">IF(DR77=0,"",DR77)</f>
        <v/>
      </c>
      <c r="BP77" s="93"/>
      <c r="BQ77" s="93"/>
      <c r="BS77" s="93"/>
      <c r="BT77" s="93" t="str">
        <f ca="1">IF(DT77=0,"",DT77)</f>
        <v/>
      </c>
      <c r="BU77" s="93"/>
      <c r="BV77" s="93"/>
      <c r="BX77" s="93"/>
      <c r="BY77" s="93" t="str">
        <f ca="1">IF(DV77=0,"",DV77)</f>
        <v/>
      </c>
      <c r="BZ77" s="93"/>
      <c r="CA77" s="93"/>
      <c r="CC77" s="93"/>
      <c r="CD77" s="93" t="str">
        <f ca="1">IF(DX77=0,"",DX77)</f>
        <v/>
      </c>
      <c r="CE77" s="93"/>
      <c r="CF77" s="93"/>
      <c r="CH77" s="93"/>
      <c r="CI77" s="93" t="str">
        <f ca="1">IF(DZ77=0,"",DZ77)</f>
        <v/>
      </c>
      <c r="CJ77" s="93"/>
      <c r="CK77" s="93"/>
      <c r="CM77" s="93"/>
      <c r="CN77" s="93" t="str">
        <f ca="1">IF(EB77=0,"",EB77)</f>
        <v/>
      </c>
      <c r="CO77" s="93"/>
      <c r="CP77" s="93"/>
      <c r="CR77" s="93"/>
      <c r="CS77" s="31"/>
      <c r="CT77" s="32" t="str">
        <f ca="1">IFERROR(CT78+CT79,"")</f>
        <v/>
      </c>
      <c r="CU77" s="31"/>
      <c r="CV77" s="32" t="str">
        <f ca="1">IFERROR(CV78+CV79,"")</f>
        <v/>
      </c>
      <c r="CW77" s="31"/>
      <c r="CX77" s="32" t="str">
        <f ca="1">IFERROR(CX78+CX79,"")</f>
        <v/>
      </c>
      <c r="CY77" s="31"/>
      <c r="CZ77" s="32" t="str">
        <f ca="1">IFERROR(CZ78+CZ79,"")</f>
        <v/>
      </c>
      <c r="DA77" s="31"/>
      <c r="DB77" s="32" t="str">
        <f ca="1">IFERROR(DB78+DB79,"")</f>
        <v/>
      </c>
      <c r="DC77" s="31"/>
      <c r="DD77" s="32" t="str">
        <f ca="1">IFERROR(DD78+DD79,"")</f>
        <v/>
      </c>
      <c r="DE77" s="31"/>
      <c r="DF77" s="32" t="str">
        <f ca="1">IFERROR(DF78+DF79,"")</f>
        <v/>
      </c>
      <c r="DG77" s="31"/>
      <c r="DH77" s="32" t="str">
        <f ca="1">IFERROR(DH78+DH79,"")</f>
        <v/>
      </c>
      <c r="DI77" s="31"/>
      <c r="DJ77" s="32" t="str">
        <f ca="1">IFERROR(DJ78+DJ79,"")</f>
        <v/>
      </c>
      <c r="DK77" s="31"/>
      <c r="DL77" s="32" t="str">
        <f ca="1">IFERROR(DL78+DL79,"")</f>
        <v/>
      </c>
      <c r="DM77" s="31"/>
      <c r="DN77" s="32" t="str">
        <f ca="1">IFERROR(DN78+DN79,"")</f>
        <v/>
      </c>
      <c r="DO77" s="31"/>
      <c r="DP77" s="32" t="str">
        <f ca="1">IFERROR(DP78+DP79,"")</f>
        <v/>
      </c>
      <c r="DQ77" s="31"/>
      <c r="DR77" s="32" t="str">
        <f ca="1">IFERROR(DR78+DR79,"")</f>
        <v/>
      </c>
      <c r="DS77" s="31"/>
      <c r="DT77" s="32" t="str">
        <f ca="1">IFERROR(DT78+DT79,"")</f>
        <v/>
      </c>
      <c r="DU77" s="31"/>
      <c r="DV77" s="32" t="str">
        <f ca="1">IFERROR(DV78+DV79,"")</f>
        <v/>
      </c>
      <c r="DW77" s="31"/>
      <c r="DX77" s="32" t="str">
        <f ca="1">IFERROR(DX78+DX79,"")</f>
        <v/>
      </c>
      <c r="DY77" s="31"/>
      <c r="DZ77" s="32" t="str">
        <f ca="1">IFERROR(DZ78+DZ79,"")</f>
        <v/>
      </c>
      <c r="EA77" s="31"/>
      <c r="EB77" s="32" t="str">
        <f ca="1">IFERROR(EB78+EB79,"")</f>
        <v/>
      </c>
      <c r="EC77" s="26">
        <f ca="1">IFERROR(LARGE($G77:$CN77,1),0)+IFERROR(LARGE($G77:$CN77,2),0)+IFERROR(LARGE($G77:$CN77,3),0)+IFERROR(LARGE($G77:$CN77,4),0)+IFERROR(LARGE($G77:$CN77,5),0)+IFERROR(LARGE($G77:$CN77,6),0)+IFERROR(LARGE($G77:$CN77,7),0)+IFERROR(LARGE($G77:$CN77,8),0)+IFERROR(LARGE($G77:$CN77,9),0)+IFERROR(LARGE($G77:$CN77,10),0)</f>
        <v>0</v>
      </c>
      <c r="ED77" s="33">
        <f t="shared" ca="1" si="3"/>
        <v>0</v>
      </c>
    </row>
    <row r="78" spans="2:134" outlineLevel="1" x14ac:dyDescent="0.2">
      <c r="B78" s="113">
        <f>B76+0.2215</f>
        <v>0.35250000000000004</v>
      </c>
      <c r="C78" s="109"/>
      <c r="D78" s="109" t="s">
        <v>145</v>
      </c>
      <c r="E78" s="114" t="s">
        <v>38</v>
      </c>
      <c r="F78" s="115"/>
      <c r="G78" s="35"/>
      <c r="H78" s="35" t="str">
        <f>IF(CS78=0,"",CS78)</f>
        <v/>
      </c>
      <c r="I78" s="35"/>
      <c r="J78" s="93" t="str">
        <f>IFERROR(RANK(H78,H$6:H$115,0),"")</f>
        <v/>
      </c>
      <c r="K78" s="35"/>
      <c r="L78" s="35"/>
      <c r="M78" s="35" t="str">
        <f>IF(CU78=0,"",CU78)</f>
        <v/>
      </c>
      <c r="N78" s="35"/>
      <c r="O78" s="93" t="str">
        <f>IFERROR(RANK(M78,M$6:M$115,0),"")</f>
        <v/>
      </c>
      <c r="P78" s="35"/>
      <c r="Q78" s="35"/>
      <c r="R78" s="35" t="str">
        <f>IF(CW78=0,"",CW78)</f>
        <v/>
      </c>
      <c r="S78" s="35"/>
      <c r="T78" s="93" t="str">
        <f>IFERROR(RANK(R78,R$6:R$115,0),"")</f>
        <v/>
      </c>
      <c r="U78" s="35"/>
      <c r="V78" s="35"/>
      <c r="W78" s="35" t="str">
        <f>IF(CY78=0,"",CY78)</f>
        <v/>
      </c>
      <c r="X78" s="35"/>
      <c r="Y78" s="93" t="str">
        <f>IFERROR(RANK(W78,W$6:W$115,0),"")</f>
        <v/>
      </c>
      <c r="Z78" s="35"/>
      <c r="AA78" s="35"/>
      <c r="AB78" s="35" t="str">
        <f>IF(DA78=0,"",DA78)</f>
        <v/>
      </c>
      <c r="AC78" s="35"/>
      <c r="AD78" s="93" t="str">
        <f>IFERROR(RANK(AB78,AB$6:AB$115,0),"")</f>
        <v/>
      </c>
      <c r="AE78" s="35"/>
      <c r="AF78" s="35"/>
      <c r="AG78" s="35" t="str">
        <f>IF(DC78=0,"",DC78)</f>
        <v/>
      </c>
      <c r="AH78" s="35"/>
      <c r="AI78" s="93" t="str">
        <f>IFERROR(RANK(AG78,AG$6:AG$115,0),"")</f>
        <v/>
      </c>
      <c r="AJ78" s="35"/>
      <c r="AK78" s="35"/>
      <c r="AL78" s="35" t="str">
        <f>IF(DE78=0,"",DE78)</f>
        <v/>
      </c>
      <c r="AM78" s="35"/>
      <c r="AN78" s="93" t="str">
        <f>IFERROR(RANK(AL78,AL$6:AL$115,0),"")</f>
        <v/>
      </c>
      <c r="AO78" s="35"/>
      <c r="AP78" s="35"/>
      <c r="AQ78" s="35" t="str">
        <f>IF(DG78=0,"",DG78)</f>
        <v/>
      </c>
      <c r="AR78" s="35"/>
      <c r="AS78" s="93" t="str">
        <f>IFERROR(RANK(AQ78,AQ$6:AQ$115,0),"")</f>
        <v/>
      </c>
      <c r="AT78" s="35"/>
      <c r="AU78" s="35"/>
      <c r="AV78" s="35" t="str">
        <f>IF(DI78=0,"",DI78)</f>
        <v/>
      </c>
      <c r="AW78" s="35"/>
      <c r="AX78" s="93" t="str">
        <f>IFERROR(RANK(AV78,AV$6:AV$115,0),"")</f>
        <v/>
      </c>
      <c r="AY78" s="35"/>
      <c r="AZ78" s="35"/>
      <c r="BA78" s="35" t="str">
        <f>IF(DK78=0,"",DK78)</f>
        <v/>
      </c>
      <c r="BB78" s="35"/>
      <c r="BC78" s="93" t="str">
        <f>IFERROR(RANK(BA78,BA$6:BA$115,0),"")</f>
        <v/>
      </c>
      <c r="BD78" s="35"/>
      <c r="BE78" s="35"/>
      <c r="BF78" s="35" t="str">
        <f>IF(DM78=0,"",DM78)</f>
        <v/>
      </c>
      <c r="BG78" s="35"/>
      <c r="BH78" s="93" t="str">
        <f>IFERROR(RANK(BF78,BF$6:BF$115,0),"")</f>
        <v/>
      </c>
      <c r="BI78" s="35"/>
      <c r="BJ78" s="35"/>
      <c r="BK78" s="35" t="str">
        <f>IF(DO78=0,"",DO78)</f>
        <v/>
      </c>
      <c r="BL78" s="35"/>
      <c r="BM78" s="93" t="str">
        <f>IFERROR(RANK(BK78,BK$6:BK$115,0),"")</f>
        <v/>
      </c>
      <c r="BN78" s="35"/>
      <c r="BO78" s="35"/>
      <c r="BP78" s="35" t="str">
        <f>IF(DQ78=0,"",DQ78)</f>
        <v/>
      </c>
      <c r="BQ78" s="35"/>
      <c r="BR78" s="93" t="str">
        <f>IFERROR(RANK(BP78,BP$6:BP$115,0),"")</f>
        <v/>
      </c>
      <c r="BS78" s="35"/>
      <c r="BT78" s="35"/>
      <c r="BU78" s="35" t="str">
        <f>IF(DS78=0,"",DS78)</f>
        <v/>
      </c>
      <c r="BV78" s="35"/>
      <c r="BW78" s="93" t="str">
        <f>IFERROR(RANK(BU78,BU$6:BU$115,0),"")</f>
        <v/>
      </c>
      <c r="BX78" s="35"/>
      <c r="BY78" s="35"/>
      <c r="BZ78" s="35" t="str">
        <f>IF(DU78=0,"",DU78)</f>
        <v/>
      </c>
      <c r="CA78" s="35"/>
      <c r="CB78" s="93" t="str">
        <f>IFERROR(RANK(BZ78,BZ$6:BZ$115,0),"")</f>
        <v/>
      </c>
      <c r="CC78" s="35"/>
      <c r="CD78" s="35"/>
      <c r="CE78" s="35" t="str">
        <f>IF(DW78=0,"",DW78)</f>
        <v/>
      </c>
      <c r="CF78" s="35"/>
      <c r="CG78" s="93" t="str">
        <f>IFERROR(RANK(CE78,CE$6:CE$115,0),"")</f>
        <v/>
      </c>
      <c r="CH78" s="35"/>
      <c r="CI78" s="35"/>
      <c r="CJ78" s="35" t="str">
        <f>IF(DY78=0,"",DY78)</f>
        <v/>
      </c>
      <c r="CK78" s="35"/>
      <c r="CL78" s="93" t="str">
        <f>IFERROR(RANK(CJ78,CJ$6:CJ$115,0),"")</f>
        <v/>
      </c>
      <c r="CM78" s="35"/>
      <c r="CN78" s="35"/>
      <c r="CO78" s="35" t="str">
        <f>IF(EA78=0,"",EA78)</f>
        <v/>
      </c>
      <c r="CP78" s="35"/>
      <c r="CQ78" s="93" t="str">
        <f>IFERROR(RANK(CO78,CO$6:CO$115,0),"")</f>
        <v/>
      </c>
      <c r="CR78" s="35"/>
      <c r="CS78" s="31"/>
      <c r="CT78" s="36" t="str">
        <f ca="1">IFERROR(AVERAGE(OFFSET('Data - For Rank'!B$2,J78,0,COUNTIF($J$7:J$115,J78)))+IFERROR(VLOOKUP((COUNT($H$6:$H$115)/4),$ER$8:$ES$12,2,FALSE()),0),"")</f>
        <v/>
      </c>
      <c r="CU78" s="31"/>
      <c r="CV78" s="36" t="str">
        <f ca="1">IFERROR(AVERAGE(OFFSET('Data - For Rank'!$C$2,O78,0,COUNTIF(O$7:O$115,O78)))+IFERROR(VLOOKUP((COUNT(M$6:M$115)/4),$ER$8:$ES$12,2,FALSE()),0),"")</f>
        <v/>
      </c>
      <c r="CW78" s="31"/>
      <c r="CX78" s="36" t="str">
        <f ca="1">IFERROR(AVERAGE(OFFSET('Data - For Rank'!D$2,T78,0,COUNTIF(T$7:T$115,T78)))+IFERROR(VLOOKUP((COUNT(R$6:R$115)/4),$ER$8:$ES$12,2,FALSE()),0),"")</f>
        <v/>
      </c>
      <c r="CY78" s="31"/>
      <c r="CZ78" s="36" t="str">
        <f ca="1">IFERROR(AVERAGE(OFFSET('Data - For Rank'!E$2,Y78,0,COUNTIF(Y$7:Y$115,Y78)))+IFERROR(VLOOKUP((COUNT(W$6:W$115)/4),$ER$8:$ES$12,2,FALSE()),0),"")</f>
        <v/>
      </c>
      <c r="DA78" s="31"/>
      <c r="DB78" s="36" t="str">
        <f ca="1">IFERROR(AVERAGE(OFFSET('Data - For Rank'!F$2,AD78,0,COUNTIF(AD$7:AD$115,AD78)))+IFERROR(VLOOKUP((COUNT(AB$6:AB$115)/4),$ER$8:$ES$12,2,FALSE()),0),"")</f>
        <v/>
      </c>
      <c r="DC78" s="31"/>
      <c r="DD78" s="36" t="str">
        <f ca="1">IFERROR(AVERAGE(OFFSET('Data - For Rank'!G$2,AI78,0,COUNTIF(AI$7:AI$115,AI78)))+IFERROR(VLOOKUP((COUNT(AG$6:AG$115)/4),$ER$8:$ES$12,2,FALSE()),0),"")</f>
        <v/>
      </c>
      <c r="DE78" s="31"/>
      <c r="DF78" s="36" t="str">
        <f ca="1">IFERROR(AVERAGE(OFFSET('Data - For Rank'!$H$2,AN78,0,COUNTIF(AN$7:AN$115,AN78)))+IFERROR(VLOOKUP((COUNT(AL$6:AL$115)/4),$ER$8:$ES$12,2,FALSE()),0),"")</f>
        <v/>
      </c>
      <c r="DG78" s="31"/>
      <c r="DH78" s="36" t="str">
        <f ca="1">IFERROR(AVERAGE(OFFSET('Data - For Rank'!$I$2,AS78,0,COUNTIF(AS$7:AS$115,AS78)))+IFERROR(VLOOKUP((COUNT(AQ$6:AQ$115)/4),$ER$8:$ES$12,2,FALSE()),0),"")</f>
        <v/>
      </c>
      <c r="DI78" s="31"/>
      <c r="DJ78" s="36" t="str">
        <f ca="1">IFERROR(AVERAGE(OFFSET('Data - For Rank'!$J$2,AX78,0,COUNTIF(AX$7:AX$115,AX78)))+IFERROR(VLOOKUP((COUNT(AV$6:AV$115)/4),$ER$8:$ES$12,2,FALSE()),0),"")</f>
        <v/>
      </c>
      <c r="DK78" s="31"/>
      <c r="DL78" s="36" t="str">
        <f ca="1">IFERROR(AVERAGE(OFFSET('Data - For Rank'!$K$2,BC78,0,COUNTIF(BC$7:BC$115,BC78)))+IFERROR(VLOOKUP((COUNT(BA$6:BA$115)/4),$ER$8:$ES$12,2,FALSE()),0),"")</f>
        <v/>
      </c>
      <c r="DM78" s="31"/>
      <c r="DN78" s="36" t="str">
        <f ca="1">IFERROR(AVERAGE(OFFSET('Data - For Rank'!$L$2,BH78,0,COUNTIF(BH$7:BH$115,BH78)))+IFERROR(VLOOKUP((COUNT(BF$6:BF$115)/4),$ER$8:$ES$12,2,FALSE()),0),"")</f>
        <v/>
      </c>
      <c r="DO78" s="31"/>
      <c r="DP78" s="36" t="str">
        <f ca="1">IFERROR(AVERAGE(OFFSET('Data - For Rank'!$M$2,BM78,0,COUNTIF(BM$7:BM$115,BM78)))+IFERROR(VLOOKUP((COUNT(BK$6:BK$115)/4),$ER$8:$ES$12,2,FALSE()),0),"")</f>
        <v/>
      </c>
      <c r="DQ78" s="31"/>
      <c r="DR78" s="36" t="str">
        <f ca="1">IFERROR(AVERAGE(OFFSET('Data - For Rank'!$N$2,BR78,0,COUNTIF(BR$7:BR$115,BR78)))+IFERROR(VLOOKUP((COUNT(BP$6:BP$115)/4),$ER$8:$ES$12,2,FALSE()),0),"")</f>
        <v/>
      </c>
      <c r="DS78" s="31"/>
      <c r="DT78" s="36" t="str">
        <f ca="1">IFERROR(AVERAGE(OFFSET('Data - For Rank'!$O$2,BW78,0,COUNTIF(BW$7:BW$115,BW78)))+IFERROR(VLOOKUP((COUNT(BU$6:BU$115)/4),$ER$8:$ES$12,2,FALSE()),0),"")</f>
        <v/>
      </c>
      <c r="DU78" s="31"/>
      <c r="DV78" s="36" t="str">
        <f ca="1">IFERROR(AVERAGE(OFFSET('Data - For Rank'!$P$2,CB78,0,COUNTIF(CB$7:CB$115,CB78)))+IFERROR(VLOOKUP((COUNT(BZ$6:BZ$115)/4),$ER$8:$ES$12,2,FALSE()),0),"")</f>
        <v/>
      </c>
      <c r="DW78" s="31"/>
      <c r="DX78" s="36" t="str">
        <f ca="1">IFERROR(AVERAGE(OFFSET('Data - For Rank'!$Q$2,CG78,0,COUNTIF(CG$7:CG$115,CG78)))+IFERROR(VLOOKUP((COUNT(CE$6:CE$115)/4),$ER$8:$ES$12,2,FALSE()),0),"")</f>
        <v/>
      </c>
      <c r="DY78" s="31"/>
      <c r="DZ78" s="36" t="str">
        <f ca="1">IFERROR(AVERAGE(OFFSET('Data - For Rank'!$R$2,CL78,0,COUNTIF(CL$7:CL$115,CL78)))+IFERROR(VLOOKUP((COUNT(CJ$6:CJ$115)/4),$ER$8:$ES$12,2,FALSE()),0),"")</f>
        <v/>
      </c>
      <c r="EA78" s="31"/>
      <c r="EB78" s="36" t="str">
        <f ca="1">IFERROR(AVERAGE(OFFSET('Data - For Rank'!$S$2,CQ78,0,COUNTIF(CQ$7:CQ$115,CQ78)))+IFERROR(VLOOKUP((COUNT(CO$6:CO$115)/4),$ER$8:$ES$12,2,FALSE()),0),"")</f>
        <v/>
      </c>
      <c r="EC78" s="37">
        <f>CS78+CU78+CW78+CY78+DA78+DC78+DE78+DG78+DI78+DK78+DM78+DO78+DQ78+DS78+DU78+DW78+DY78+EA78</f>
        <v>0</v>
      </c>
      <c r="ED78" s="33">
        <f t="shared" ca="1" si="3"/>
        <v>0</v>
      </c>
    </row>
    <row r="79" spans="2:134" outlineLevel="1" x14ac:dyDescent="0.2">
      <c r="B79" s="116">
        <f>B78+0.115</f>
        <v>0.46750000000000003</v>
      </c>
      <c r="C79" s="109"/>
      <c r="D79" s="109" t="s">
        <v>146</v>
      </c>
      <c r="E79" s="117" t="s">
        <v>39</v>
      </c>
      <c r="F79" s="118"/>
      <c r="G79" s="40"/>
      <c r="H79" s="40"/>
      <c r="I79" s="96" t="str">
        <f>IF(CS79=0,"",CS79)</f>
        <v/>
      </c>
      <c r="J79" s="96"/>
      <c r="K79" s="97" t="str">
        <f>IFERROR(_xlfn.RANK.EQ(I79,I$6:I$115,0),"")</f>
        <v/>
      </c>
      <c r="L79" s="40"/>
      <c r="M79" s="40"/>
      <c r="N79" s="96" t="str">
        <f>IF(CU79=0,"",CU79)</f>
        <v/>
      </c>
      <c r="O79" s="96"/>
      <c r="P79" s="97" t="str">
        <f>IFERROR(_xlfn.RANK.EQ(N79,N$6:N$115,0),"")</f>
        <v/>
      </c>
      <c r="Q79" s="40"/>
      <c r="R79" s="40"/>
      <c r="S79" s="96" t="str">
        <f>IF(CW79=0,"",CW79)</f>
        <v/>
      </c>
      <c r="T79" s="96"/>
      <c r="U79" s="97" t="str">
        <f>IFERROR(_xlfn.RANK.EQ(S79,S$6:S$115,0),"")</f>
        <v/>
      </c>
      <c r="V79" s="40"/>
      <c r="W79" s="40"/>
      <c r="X79" s="96" t="str">
        <f>IF(CY79=0,"",CY79)</f>
        <v/>
      </c>
      <c r="Y79" s="96"/>
      <c r="Z79" s="97" t="str">
        <f>IFERROR(_xlfn.RANK.EQ(X79,X$6:X$115,0),"")</f>
        <v/>
      </c>
      <c r="AA79" s="40"/>
      <c r="AB79" s="40"/>
      <c r="AC79" s="96" t="str">
        <f>IF(DA79=0,"",DA79)</f>
        <v/>
      </c>
      <c r="AD79" s="96"/>
      <c r="AE79" s="97" t="str">
        <f>IFERROR(_xlfn.RANK.EQ(AC79,AC$6:AC$115,0),"")</f>
        <v/>
      </c>
      <c r="AF79" s="40"/>
      <c r="AG79" s="40"/>
      <c r="AH79" s="96" t="str">
        <f>IF(DC79=0,"",DC79)</f>
        <v/>
      </c>
      <c r="AI79" s="96"/>
      <c r="AJ79" s="97" t="str">
        <f>IFERROR(_xlfn.RANK.EQ(AH79,AH$6:AH$115,0),"")</f>
        <v/>
      </c>
      <c r="AK79" s="40"/>
      <c r="AL79" s="40"/>
      <c r="AM79" s="96" t="str">
        <f>IF(DE79=0,"",DE79)</f>
        <v/>
      </c>
      <c r="AN79" s="96"/>
      <c r="AO79" s="97" t="str">
        <f>IFERROR(_xlfn.RANK.EQ(AM79,AM$6:AM$115,0),"")</f>
        <v/>
      </c>
      <c r="AP79" s="40"/>
      <c r="AQ79" s="40"/>
      <c r="AR79" s="96" t="str">
        <f>IF(DG79=0,"",DG79)</f>
        <v/>
      </c>
      <c r="AS79" s="96"/>
      <c r="AT79" s="97" t="str">
        <f>IFERROR(_xlfn.RANK.EQ(AR79,AR$6:AR$115,0),"")</f>
        <v/>
      </c>
      <c r="AU79" s="40"/>
      <c r="AV79" s="40"/>
      <c r="AW79" s="96" t="str">
        <f>IF(DI79=0,"",DI79)</f>
        <v/>
      </c>
      <c r="AX79" s="96"/>
      <c r="AY79" s="97" t="str">
        <f>IFERROR(_xlfn.RANK.EQ(AW79,AW$6:AW$115,0),"")</f>
        <v/>
      </c>
      <c r="AZ79" s="40"/>
      <c r="BA79" s="40"/>
      <c r="BB79" s="96" t="str">
        <f>IF(DK79=0,"",DK79)</f>
        <v/>
      </c>
      <c r="BC79" s="96"/>
      <c r="BD79" s="97" t="str">
        <f>IFERROR(_xlfn.RANK.EQ(BB79,BB$6:BB$115,0),"")</f>
        <v/>
      </c>
      <c r="BE79" s="40"/>
      <c r="BF79" s="40"/>
      <c r="BG79" s="96" t="str">
        <f>IF(DM79=0,"",DM79)</f>
        <v/>
      </c>
      <c r="BH79" s="96"/>
      <c r="BI79" s="97" t="str">
        <f>IFERROR(_xlfn.RANK.EQ(BG79,BG$6:BG$115,0),"")</f>
        <v/>
      </c>
      <c r="BJ79" s="40"/>
      <c r="BK79" s="40"/>
      <c r="BL79" s="96" t="str">
        <f>IF(DO79=0,"",DO79)</f>
        <v/>
      </c>
      <c r="BM79" s="96"/>
      <c r="BN79" s="97" t="str">
        <f>IFERROR(_xlfn.RANK.EQ(BL79,BL$6:BL$115,0),"")</f>
        <v/>
      </c>
      <c r="BO79" s="40"/>
      <c r="BP79" s="40"/>
      <c r="BQ79" s="96" t="str">
        <f>IF(DQ79=0,"",DQ79)</f>
        <v/>
      </c>
      <c r="BR79" s="96"/>
      <c r="BS79" s="97" t="str">
        <f>IFERROR(_xlfn.RANK.EQ(BQ79,BQ$6:BQ$115,0),"")</f>
        <v/>
      </c>
      <c r="BT79" s="40"/>
      <c r="BU79" s="40"/>
      <c r="BV79" s="96" t="str">
        <f>IF(DS79=0,"",DS79)</f>
        <v/>
      </c>
      <c r="BW79" s="96"/>
      <c r="BX79" s="97" t="str">
        <f>IFERROR(_xlfn.RANK.EQ(BV79,BV$6:BV$115,0),"")</f>
        <v/>
      </c>
      <c r="BY79" s="40"/>
      <c r="BZ79" s="40"/>
      <c r="CA79" s="96" t="str">
        <f>IF(DU79=0,"",DU79)</f>
        <v/>
      </c>
      <c r="CB79" s="96"/>
      <c r="CC79" s="97" t="str">
        <f>IFERROR(_xlfn.RANK.EQ(CA79,CA$6:CA$115,0),"")</f>
        <v/>
      </c>
      <c r="CD79" s="40"/>
      <c r="CE79" s="40"/>
      <c r="CF79" s="96" t="str">
        <f>IF(DW79=0,"",DW79)</f>
        <v/>
      </c>
      <c r="CG79" s="96"/>
      <c r="CH79" s="97" t="str">
        <f>IFERROR(_xlfn.RANK.EQ(CF79,CF$6:CF$115,0),"")</f>
        <v/>
      </c>
      <c r="CI79" s="40"/>
      <c r="CJ79" s="40"/>
      <c r="CK79" s="96" t="str">
        <f>IF(DY79=0,"",DY79)</f>
        <v/>
      </c>
      <c r="CL79" s="96"/>
      <c r="CM79" s="97" t="str">
        <f>IFERROR(_xlfn.RANK.EQ(CK79,CK$6:CK$115,0),"")</f>
        <v/>
      </c>
      <c r="CN79" s="40"/>
      <c r="CO79" s="40"/>
      <c r="CP79" s="96" t="str">
        <f>IF(EA79=0,"",EA79)</f>
        <v/>
      </c>
      <c r="CQ79" s="96"/>
      <c r="CR79" s="97" t="str">
        <f>IFERROR(_xlfn.RANK.EQ(CP79,CP$6:CP$115,0),"")</f>
        <v/>
      </c>
      <c r="CS79" s="41"/>
      <c r="CT79" s="42" t="str">
        <f ca="1">IFERROR(AVERAGE(OFFSET('Data - For Rank'!B$2,K79,0,COUNTIF(K$6:K$115,K79)))+IFERROR(VLOOKUP((COUNT($I$6:$I$115)/4),$ER$8:$ES$12,2,FALSE()),0),"")</f>
        <v/>
      </c>
      <c r="CU79" s="41"/>
      <c r="CV79" s="42" t="str">
        <f ca="1">IFERROR(AVERAGE(OFFSET('Data - For Rank'!$C$2,P79,0,COUNTIF(P$6:P$115,P79)))+IFERROR(VLOOKUP((COUNT(N$6:N$115)/4),$ER$8:$ES$12,2,FALSE()),0),"")</f>
        <v/>
      </c>
      <c r="CW79" s="41"/>
      <c r="CX79" s="42" t="str">
        <f ca="1">IFERROR(AVERAGE(OFFSET('Data - For Rank'!D$2,U79,0,COUNTIF(U$6:$U186,U79)))+IFERROR(VLOOKUP((COUNT(S$6:S$115)/4),$ER$8:$ES$12,2,FALSE()),0),"")</f>
        <v/>
      </c>
      <c r="CY79" s="41"/>
      <c r="CZ79" s="42" t="str">
        <f ca="1">IFERROR(AVERAGE(OFFSET('Data - For Rank'!E$2,Z79,0,COUNTIF(Z$6:Z$115,Z79)))+IFERROR(VLOOKUP((COUNT(W$6:W$115)/4),$ER$8:$ES$12,2,FALSE()),0),"")</f>
        <v/>
      </c>
      <c r="DA79" s="41"/>
      <c r="DB79" s="42" t="str">
        <f ca="1">IFERROR(AVERAGE(OFFSET('Data - For Rank'!F$2,AE79,0,COUNTIF(AE$6:AE$115,AE79)))+IFERROR(VLOOKUP((COUNT(AC$6:AC$115)/4),$ER$8:$ES$12,2,FALSE()),0),"")</f>
        <v/>
      </c>
      <c r="DC79" s="41"/>
      <c r="DD79" s="42" t="str">
        <f ca="1">IFERROR(AVERAGE(OFFSET('Data - For Rank'!G$2,AJ79,0,COUNTIF(AJ$6:AJ$115,AJ79)))+IFERROR(VLOOKUP((COUNT(AH$6:AH$115)/4),$ER$8:$ES$12,2,FALSE()),0),"")</f>
        <v/>
      </c>
      <c r="DE79" s="41"/>
      <c r="DF79" s="42" t="str">
        <f ca="1">IFERROR(AVERAGE(OFFSET('Data - For Rank'!$H$2,AO79,0,COUNTIF(AO$6:AO$115,AO79)))+IFERROR(VLOOKUP((COUNT(AM$6:AM$115)/4),$ER$8:$ES$12,2,FALSE()),0),"")</f>
        <v/>
      </c>
      <c r="DG79" s="41"/>
      <c r="DH79" s="42" t="str">
        <f ca="1">IFERROR(AVERAGE(OFFSET('Data - For Rank'!$I$2,AT79,0,COUNTIF(AT$6:AT$115,AT79)))+IFERROR(VLOOKUP((COUNT(AR$6:AR$115)/4),$ER$8:$ES$12,2,FALSE()),0),"")</f>
        <v/>
      </c>
      <c r="DI79" s="41"/>
      <c r="DJ79" s="42" t="str">
        <f ca="1">IFERROR(AVERAGE(OFFSET('Data - For Rank'!$J$2,AY79,0,COUNTIF(AY$6:AY$115,AY79)))+IFERROR(VLOOKUP((COUNT(AW$6:AW$115)/4),$ER$8:$ES$12,2,FALSE()),0),"")</f>
        <v/>
      </c>
      <c r="DK79" s="41"/>
      <c r="DL79" s="42" t="str">
        <f ca="1">IFERROR(AVERAGE(OFFSET('Data - For Rank'!$K$2,BD79,0,COUNTIF(BD$6:BD$115,BD79)))+IFERROR(VLOOKUP((COUNT(BB$6:BB$115)/4),$ER$8:$ES$12,2,FALSE()),0),"")</f>
        <v/>
      </c>
      <c r="DM79" s="41"/>
      <c r="DN79" s="42" t="str">
        <f ca="1">IFERROR(AVERAGE(OFFSET('Data - For Rank'!$L$2,BI79,0,COUNTIF(BI$6:BI$115,BI79)))+IFERROR(VLOOKUP((COUNT(BG$6:BG$115)/4),$ER$8:$ES$12,2,FALSE()),0),"")</f>
        <v/>
      </c>
      <c r="DO79" s="41"/>
      <c r="DP79" s="42" t="str">
        <f ca="1">IFERROR(AVERAGE(OFFSET('Data - For Rank'!$M$2,BN79,0,COUNTIF(BN$6:BN$115,BN79)))+IFERROR(VLOOKUP((COUNT(BL$6:BL$115)/4),$ER$8:$ES$12,2,FALSE()),0),"")</f>
        <v/>
      </c>
      <c r="DQ79" s="41"/>
      <c r="DR79" s="42" t="str">
        <f ca="1">IFERROR(AVERAGE(OFFSET('Data - For Rank'!$N$2,BS79,0,COUNTIF(BS$6:BS$115,BS79)))+IFERROR(VLOOKUP((COUNT(BQ$6:BQ$115)/4),$ER$8:$ES$12,2,FALSE()),0),"")</f>
        <v/>
      </c>
      <c r="DS79" s="41"/>
      <c r="DT79" s="42" t="str">
        <f ca="1">IFERROR(AVERAGE(OFFSET('Data - For Rank'!$O$2,BX79,0,COUNTIF(BX$6:BX$115,BX79)))+IFERROR(VLOOKUP((COUNT(BV$6:BV$115)/4),$ER$8:$ES$12,2,FALSE()),0),"")</f>
        <v/>
      </c>
      <c r="DU79" s="41"/>
      <c r="DV79" s="42" t="str">
        <f ca="1">IFERROR(AVERAGE(OFFSET('Data - For Rank'!$P$2,CC79,0,COUNTIF(CC$6:CC$115,CC79)))+IFERROR(VLOOKUP((COUNT(CA$6:CA$115)/4),$ER$8:$ES$12,2,FALSE()),0),"")</f>
        <v/>
      </c>
      <c r="DW79" s="41"/>
      <c r="DX79" s="42" t="str">
        <f ca="1">IFERROR(AVERAGE(OFFSET('Data - For Rank'!$Q$2,CH79,0,COUNTIF(CH$6:CH$115,CH79)))+IFERROR(VLOOKUP((COUNT(CF$6:CF$115)/4),$ER$8:$ES$12,2,FALSE()),0),"")</f>
        <v/>
      </c>
      <c r="DY79" s="41"/>
      <c r="DZ79" s="42" t="str">
        <f ca="1">IFERROR(AVERAGE(OFFSET('Data - For Rank'!$R$2,CM79,0,COUNTIF(CM$6:CM$115,CM79)))+IFERROR(VLOOKUP((COUNT(CK$6:CK$115)/4),$ER$8:$ES$12,2,FALSE()),0),"")</f>
        <v/>
      </c>
      <c r="EA79" s="41"/>
      <c r="EB79" s="42" t="str">
        <f ca="1">IFERROR(AVERAGE(OFFSET('Data - For Rank'!$S$2,CR79,0,COUNTIF(CR$6:CR$115,CR79)))+IFERROR(VLOOKUP((COUNT(CP$6:CP$115)/4),$ER$8:$ES$12,2,FALSE()),0),"")</f>
        <v/>
      </c>
      <c r="EC79" s="43">
        <f>IFERROR(AVERAGE(CS79,CU79,CW79,CY79,DA79,DC79,DE79,DG79,DI79,DK79,DM79,DO79,DQ79,DS79,DU79,DW79,DY79,EA79),0)</f>
        <v>0</v>
      </c>
      <c r="ED79" s="44">
        <f t="shared" ca="1" si="3"/>
        <v>0</v>
      </c>
    </row>
    <row r="80" spans="2:134" x14ac:dyDescent="0.2">
      <c r="B80" s="109">
        <f ca="1">_xlfn.RANK.EQ(C80,$C$72:$C$115,)</f>
        <v>2</v>
      </c>
      <c r="C80" s="110">
        <f ca="1">EC80</f>
        <v>0</v>
      </c>
      <c r="D80" s="110" t="s">
        <v>147</v>
      </c>
      <c r="E80" s="119" t="s">
        <v>147</v>
      </c>
      <c r="F80" s="112">
        <f ca="1">COUNT(CT80,CV80,CX80,CZ80,DB80,DD80,DF80,DH80,DJ80,DL80,DN80,DP80,DR80,DT80,DV80,DX80,DZ80,EB80)</f>
        <v>0</v>
      </c>
      <c r="G80" s="93" t="str">
        <f ca="1">IF(CT80=0,"",CT80)</f>
        <v/>
      </c>
      <c r="H80" s="93"/>
      <c r="I80" s="93"/>
      <c r="K80" s="93"/>
      <c r="L80" s="93" t="str">
        <f ca="1">IF(CV80=0,"",CV80)</f>
        <v/>
      </c>
      <c r="M80" s="93"/>
      <c r="N80" s="93"/>
      <c r="P80" s="93"/>
      <c r="Q80" s="93" t="str">
        <f ca="1">IF(CX80=0,"",CX80)</f>
        <v/>
      </c>
      <c r="R80" s="93"/>
      <c r="S80" s="93"/>
      <c r="U80" s="93"/>
      <c r="V80" s="93" t="str">
        <f ca="1">IF(CZ80=0,"",CZ80)</f>
        <v/>
      </c>
      <c r="W80" s="93"/>
      <c r="X80" s="93"/>
      <c r="Z80" s="93"/>
      <c r="AA80" s="93" t="str">
        <f ca="1">IF(DB80=0,"",DB80)</f>
        <v/>
      </c>
      <c r="AB80" s="93"/>
      <c r="AC80" s="93"/>
      <c r="AE80" s="93"/>
      <c r="AF80" s="93" t="str">
        <f ca="1">IF(DD80=0,"",DD80)</f>
        <v/>
      </c>
      <c r="AG80" s="93"/>
      <c r="AH80" s="93"/>
      <c r="AJ80" s="93"/>
      <c r="AK80" s="93" t="str">
        <f ca="1">IF(DF80=0,"",DF80)</f>
        <v/>
      </c>
      <c r="AL80" s="93"/>
      <c r="AM80" s="93"/>
      <c r="AO80" s="93"/>
      <c r="AP80" s="93" t="str">
        <f ca="1">IF(DH80=0,"",DH80)</f>
        <v/>
      </c>
      <c r="AQ80" s="93"/>
      <c r="AR80" s="93"/>
      <c r="AT80" s="93"/>
      <c r="AU80" s="93" t="str">
        <f ca="1">IF(DJ80=0,"",DJ80)</f>
        <v/>
      </c>
      <c r="AV80" s="93"/>
      <c r="AW80" s="93"/>
      <c r="AY80" s="93"/>
      <c r="AZ80" s="93" t="str">
        <f ca="1">IF(DL80=0,"",DL80)</f>
        <v/>
      </c>
      <c r="BA80" s="93"/>
      <c r="BB80" s="93"/>
      <c r="BD80" s="93"/>
      <c r="BE80" s="93" t="str">
        <f ca="1">IF(DN80=0,"",DN80)</f>
        <v/>
      </c>
      <c r="BF80" s="93"/>
      <c r="BG80" s="93"/>
      <c r="BI80" s="93"/>
      <c r="BJ80" s="93" t="str">
        <f ca="1">IF(DP80=0,"",DP80)</f>
        <v/>
      </c>
      <c r="BK80" s="93"/>
      <c r="BL80" s="93"/>
      <c r="BN80" s="93"/>
      <c r="BO80" s="93" t="str">
        <f ca="1">IF(DR80=0,"",DR80)</f>
        <v/>
      </c>
      <c r="BP80" s="93"/>
      <c r="BQ80" s="93"/>
      <c r="BS80" s="93"/>
      <c r="BT80" s="93" t="str">
        <f ca="1">IF(DT80=0,"",DT80)</f>
        <v/>
      </c>
      <c r="BU80" s="93"/>
      <c r="BV80" s="93"/>
      <c r="BX80" s="93"/>
      <c r="BY80" s="93" t="str">
        <f ca="1">IF(DV80=0,"",DV80)</f>
        <v/>
      </c>
      <c r="BZ80" s="93"/>
      <c r="CA80" s="93"/>
      <c r="CC80" s="93"/>
      <c r="CD80" s="93" t="str">
        <f ca="1">IF(DX80=0,"",DX80)</f>
        <v/>
      </c>
      <c r="CE80" s="93"/>
      <c r="CF80" s="93"/>
      <c r="CH80" s="93"/>
      <c r="CI80" s="93" t="str">
        <f ca="1">IF(DZ80=0,"",DZ80)</f>
        <v/>
      </c>
      <c r="CJ80" s="93"/>
      <c r="CK80" s="93"/>
      <c r="CM80" s="93"/>
      <c r="CN80" s="93" t="str">
        <f ca="1">IF(EB80=0,"",EB80)</f>
        <v/>
      </c>
      <c r="CO80" s="93"/>
      <c r="CP80" s="93"/>
      <c r="CR80" s="93"/>
      <c r="CS80" s="31"/>
      <c r="CT80" s="32" t="str">
        <f ca="1">IFERROR(CT81+CT82,"")</f>
        <v/>
      </c>
      <c r="CU80" s="31"/>
      <c r="CV80" s="32" t="str">
        <f ca="1">IFERROR(CV81+CV82,"")</f>
        <v/>
      </c>
      <c r="CW80" s="31"/>
      <c r="CX80" s="32" t="str">
        <f ca="1">IFERROR(CX81+CX82,"")</f>
        <v/>
      </c>
      <c r="CY80" s="31"/>
      <c r="CZ80" s="32" t="str">
        <f ca="1">IFERROR(CZ81+CZ82,"")</f>
        <v/>
      </c>
      <c r="DA80" s="31"/>
      <c r="DB80" s="32" t="str">
        <f ca="1">IFERROR(DB81+DB82,"")</f>
        <v/>
      </c>
      <c r="DC80" s="31"/>
      <c r="DD80" s="32" t="str">
        <f ca="1">IFERROR(DD81+DD82,"")</f>
        <v/>
      </c>
      <c r="DE80" s="31"/>
      <c r="DF80" s="32" t="str">
        <f ca="1">IFERROR(DF81+DF82,"")</f>
        <v/>
      </c>
      <c r="DG80" s="31"/>
      <c r="DH80" s="32" t="str">
        <f ca="1">IFERROR(DH81+DH82,"")</f>
        <v/>
      </c>
      <c r="DI80" s="31"/>
      <c r="DJ80" s="32" t="str">
        <f ca="1">IFERROR(DJ81+DJ82,"")</f>
        <v/>
      </c>
      <c r="DK80" s="31"/>
      <c r="DL80" s="32" t="str">
        <f ca="1">IFERROR(DL81+DL82,"")</f>
        <v/>
      </c>
      <c r="DM80" s="31"/>
      <c r="DN80" s="32" t="str">
        <f ca="1">IFERROR(DN81+DN82,"")</f>
        <v/>
      </c>
      <c r="DO80" s="31"/>
      <c r="DP80" s="32" t="str">
        <f ca="1">IFERROR(DP81+DP82,"")</f>
        <v/>
      </c>
      <c r="DQ80" s="31"/>
      <c r="DR80" s="32" t="str">
        <f ca="1">IFERROR(DR81+DR82,"")</f>
        <v/>
      </c>
      <c r="DS80" s="31"/>
      <c r="DT80" s="32" t="str">
        <f ca="1">IFERROR(DT81+DT82,"")</f>
        <v/>
      </c>
      <c r="DU80" s="31"/>
      <c r="DV80" s="32" t="str">
        <f ca="1">IFERROR(DV81+DV82,"")</f>
        <v/>
      </c>
      <c r="DW80" s="31"/>
      <c r="DX80" s="32" t="str">
        <f ca="1">IFERROR(DX81+DX82,"")</f>
        <v/>
      </c>
      <c r="DY80" s="31"/>
      <c r="DZ80" s="32" t="str">
        <f ca="1">IFERROR(DZ81+DZ82,"")</f>
        <v/>
      </c>
      <c r="EA80" s="31"/>
      <c r="EB80" s="32" t="str">
        <f ca="1">IFERROR(EB81+EB82,"")</f>
        <v/>
      </c>
      <c r="EC80" s="26">
        <f ca="1">IFERROR(LARGE($G80:$CN80,1),0)+IFERROR(LARGE($G80:$CN80,2),0)+IFERROR(LARGE($G80:$CN80,3),0)+IFERROR(LARGE($G80:$CN80,4),0)+IFERROR(LARGE($G80:$CN80,5),0)+IFERROR(LARGE($G80:$CN80,6),0)+IFERROR(LARGE($G80:$CN80,7),0)+IFERROR(LARGE($G80:$CN80,8),0)+IFERROR(LARGE($G80:$CN80,9),0)+IFERROR(LARGE($G80:$CN80,10),0)</f>
        <v>0</v>
      </c>
      <c r="ED80" s="33">
        <f t="shared" ca="1" si="3"/>
        <v>0</v>
      </c>
    </row>
    <row r="81" spans="2:134" outlineLevel="1" x14ac:dyDescent="0.2">
      <c r="B81" s="113">
        <f>B79+0.0214</f>
        <v>0.4889</v>
      </c>
      <c r="C81" s="109"/>
      <c r="D81" s="109" t="s">
        <v>148</v>
      </c>
      <c r="E81" s="114" t="s">
        <v>38</v>
      </c>
      <c r="F81" s="115"/>
      <c r="G81" s="35"/>
      <c r="H81" s="35" t="str">
        <f>IF(CS81=0,"",CS81)</f>
        <v/>
      </c>
      <c r="I81" s="35"/>
      <c r="J81" s="93" t="str">
        <f>IFERROR(RANK(H81,H$6:H$115,0),"")</f>
        <v/>
      </c>
      <c r="K81" s="35"/>
      <c r="L81" s="35"/>
      <c r="M81" s="35" t="str">
        <f>IF(CU81=0,"",CU81)</f>
        <v/>
      </c>
      <c r="N81" s="35"/>
      <c r="O81" s="93" t="str">
        <f>IFERROR(RANK(M81,M$6:M$115,0),"")</f>
        <v/>
      </c>
      <c r="P81" s="35"/>
      <c r="Q81" s="35"/>
      <c r="R81" s="35" t="str">
        <f>IF(CW81=0,"",CW81)</f>
        <v/>
      </c>
      <c r="S81" s="35"/>
      <c r="T81" s="93" t="str">
        <f>IFERROR(RANK(R81,R$6:R$115,0),"")</f>
        <v/>
      </c>
      <c r="U81" s="35"/>
      <c r="V81" s="35"/>
      <c r="W81" s="35" t="str">
        <f>IF(CY81=0,"",CY81)</f>
        <v/>
      </c>
      <c r="X81" s="35"/>
      <c r="Y81" s="93" t="str">
        <f>IFERROR(RANK(W81,W$6:W$115,0),"")</f>
        <v/>
      </c>
      <c r="Z81" s="35"/>
      <c r="AA81" s="35"/>
      <c r="AB81" s="35" t="str">
        <f>IF(DA81=0,"",DA81)</f>
        <v/>
      </c>
      <c r="AC81" s="35"/>
      <c r="AD81" s="93" t="str">
        <f>IFERROR(RANK(AB81,AB$6:AB$115,0),"")</f>
        <v/>
      </c>
      <c r="AE81" s="35"/>
      <c r="AF81" s="35"/>
      <c r="AG81" s="35" t="str">
        <f>IF(DC81=0,"",DC81)</f>
        <v/>
      </c>
      <c r="AH81" s="35"/>
      <c r="AI81" s="93" t="str">
        <f>IFERROR(RANK(AG81,AG$6:AG$115,0),"")</f>
        <v/>
      </c>
      <c r="AJ81" s="35"/>
      <c r="AK81" s="35"/>
      <c r="AL81" s="35" t="str">
        <f>IF(DE81=0,"",DE81)</f>
        <v/>
      </c>
      <c r="AM81" s="35"/>
      <c r="AN81" s="93" t="str">
        <f>IFERROR(RANK(AL81,AL$6:AL$115,0),"")</f>
        <v/>
      </c>
      <c r="AO81" s="35"/>
      <c r="AP81" s="35"/>
      <c r="AQ81" s="35" t="str">
        <f>IF(DG81=0,"",DG81)</f>
        <v/>
      </c>
      <c r="AR81" s="35"/>
      <c r="AS81" s="93" t="str">
        <f>IFERROR(RANK(AQ81,AQ$6:AQ$115,0),"")</f>
        <v/>
      </c>
      <c r="AT81" s="35"/>
      <c r="AU81" s="35"/>
      <c r="AV81" s="35" t="str">
        <f>IF(DI81=0,"",DI81)</f>
        <v/>
      </c>
      <c r="AW81" s="35"/>
      <c r="AX81" s="93" t="str">
        <f>IFERROR(RANK(AV81,AV$6:AV$115,0),"")</f>
        <v/>
      </c>
      <c r="AY81" s="35"/>
      <c r="AZ81" s="35"/>
      <c r="BA81" s="35" t="str">
        <f>IF(DK81=0,"",DK81)</f>
        <v/>
      </c>
      <c r="BB81" s="35"/>
      <c r="BC81" s="93" t="str">
        <f>IFERROR(RANK(BA81,BA$6:BA$115,0),"")</f>
        <v/>
      </c>
      <c r="BD81" s="35"/>
      <c r="BE81" s="35"/>
      <c r="BF81" s="35" t="str">
        <f>IF(DM81=0,"",DM81)</f>
        <v/>
      </c>
      <c r="BG81" s="35"/>
      <c r="BH81" s="93" t="str">
        <f>IFERROR(RANK(BF81,BF$6:BF$115,0),"")</f>
        <v/>
      </c>
      <c r="BI81" s="35"/>
      <c r="BJ81" s="35"/>
      <c r="BK81" s="35" t="str">
        <f>IF(DO81=0,"",DO81)</f>
        <v/>
      </c>
      <c r="BL81" s="35"/>
      <c r="BM81" s="93" t="str">
        <f>IFERROR(RANK(BK81,BK$6:BK$115,0),"")</f>
        <v/>
      </c>
      <c r="BN81" s="35"/>
      <c r="BO81" s="35"/>
      <c r="BP81" s="35" t="str">
        <f>IF(DQ81=0,"",DQ81)</f>
        <v/>
      </c>
      <c r="BQ81" s="35"/>
      <c r="BR81" s="93" t="str">
        <f>IFERROR(RANK(BP81,BP$6:BP$115,0),"")</f>
        <v/>
      </c>
      <c r="BS81" s="35"/>
      <c r="BT81" s="35"/>
      <c r="BU81" s="35" t="str">
        <f>IF(DS81=0,"",DS81)</f>
        <v/>
      </c>
      <c r="BV81" s="35"/>
      <c r="BW81" s="93" t="str">
        <f>IFERROR(RANK(BU81,BU$6:BU$115,0),"")</f>
        <v/>
      </c>
      <c r="BX81" s="35"/>
      <c r="BY81" s="35"/>
      <c r="BZ81" s="35" t="str">
        <f>IF(DU81=0,"",DU81)</f>
        <v/>
      </c>
      <c r="CA81" s="35"/>
      <c r="CB81" s="93" t="str">
        <f>IFERROR(RANK(BZ81,BZ$6:BZ$115,0),"")</f>
        <v/>
      </c>
      <c r="CC81" s="35"/>
      <c r="CD81" s="35"/>
      <c r="CE81" s="35" t="str">
        <f>IF(DW81=0,"",DW81)</f>
        <v/>
      </c>
      <c r="CF81" s="35"/>
      <c r="CG81" s="93" t="str">
        <f>IFERROR(RANK(CE81,CE$6:CE$115,0),"")</f>
        <v/>
      </c>
      <c r="CH81" s="35"/>
      <c r="CI81" s="35"/>
      <c r="CJ81" s="35" t="str">
        <f>IF(DY81=0,"",DY81)</f>
        <v/>
      </c>
      <c r="CK81" s="35"/>
      <c r="CL81" s="93" t="str">
        <f>IFERROR(RANK(CJ81,CJ$6:CJ$115,0),"")</f>
        <v/>
      </c>
      <c r="CM81" s="35"/>
      <c r="CN81" s="35"/>
      <c r="CO81" s="35" t="str">
        <f>IF(EA81=0,"",EA81)</f>
        <v/>
      </c>
      <c r="CP81" s="35"/>
      <c r="CQ81" s="93" t="str">
        <f>IFERROR(RANK(CO81,CO$6:CO$115,0),"")</f>
        <v/>
      </c>
      <c r="CR81" s="35"/>
      <c r="CS81" s="31"/>
      <c r="CT81" s="36" t="str">
        <f ca="1">IFERROR(AVERAGE(OFFSET('Data - For Rank'!B$2,J81,0,COUNTIF($J$7:J$115,J81)))+IFERROR(VLOOKUP((COUNT($H$6:$H$115)/4),$ER$8:$ES$12,2,FALSE()),0),"")</f>
        <v/>
      </c>
      <c r="CU81" s="31"/>
      <c r="CV81" s="36" t="str">
        <f ca="1">IFERROR(AVERAGE(OFFSET('Data - For Rank'!$C$2,O81,0,COUNTIF(O$7:O$115,O81)))+IFERROR(VLOOKUP((COUNT(M$6:M$115)/4),$ER$8:$ES$12,2,FALSE()),0),"")</f>
        <v/>
      </c>
      <c r="CW81" s="31"/>
      <c r="CX81" s="36" t="str">
        <f ca="1">IFERROR(AVERAGE(OFFSET('Data - For Rank'!D$2,T81,0,COUNTIF(T$7:T$115,T81)))+IFERROR(VLOOKUP((COUNT(R$6:R$115)/4),$ER$8:$ES$12,2,FALSE()),0),"")</f>
        <v/>
      </c>
      <c r="CY81" s="31"/>
      <c r="CZ81" s="36" t="str">
        <f ca="1">IFERROR(AVERAGE(OFFSET('Data - For Rank'!E$2,Y81,0,COUNTIF(Y$7:Y$115,Y81)))+IFERROR(VLOOKUP((COUNT(W$6:W$115)/4),$ER$8:$ES$12,2,FALSE()),0),"")</f>
        <v/>
      </c>
      <c r="DA81" s="31"/>
      <c r="DB81" s="36" t="str">
        <f ca="1">IFERROR(AVERAGE(OFFSET('Data - For Rank'!F$2,AD81,0,COUNTIF(AD$7:AD$115,AD81)))+IFERROR(VLOOKUP((COUNT(AB$6:AB$115)/4),$ER$8:$ES$12,2,FALSE()),0),"")</f>
        <v/>
      </c>
      <c r="DC81" s="31"/>
      <c r="DD81" s="36" t="str">
        <f ca="1">IFERROR(AVERAGE(OFFSET('Data - For Rank'!G$2,AI81,0,COUNTIF(AI$7:AI$115,AI81)))+IFERROR(VLOOKUP((COUNT(AG$6:AG$115)/4),$ER$8:$ES$12,2,FALSE()),0),"")</f>
        <v/>
      </c>
      <c r="DE81" s="31"/>
      <c r="DF81" s="36" t="str">
        <f ca="1">IFERROR(AVERAGE(OFFSET('Data - For Rank'!$H$2,AN81,0,COUNTIF(AN$7:AN$115,AN81)))+IFERROR(VLOOKUP((COUNT(AL$6:AL$115)/4),$ER$8:$ES$12,2,FALSE()),0),"")</f>
        <v/>
      </c>
      <c r="DG81" s="31"/>
      <c r="DH81" s="36" t="str">
        <f ca="1">IFERROR(AVERAGE(OFFSET('Data - For Rank'!$I$2,AS81,0,COUNTIF(AS$7:AS$115,AS81)))+IFERROR(VLOOKUP((COUNT(AQ$6:AQ$115)/4),$ER$8:$ES$12,2,FALSE()),0),"")</f>
        <v/>
      </c>
      <c r="DI81" s="31"/>
      <c r="DJ81" s="36" t="str">
        <f ca="1">IFERROR(AVERAGE(OFFSET('Data - For Rank'!$J$2,AX81,0,COUNTIF(AX$7:AX$115,AX81)))+IFERROR(VLOOKUP((COUNT(AV$6:AV$115)/4),$ER$8:$ES$12,2,FALSE()),0),"")</f>
        <v/>
      </c>
      <c r="DK81" s="31"/>
      <c r="DL81" s="36" t="str">
        <f ca="1">IFERROR(AVERAGE(OFFSET('Data - For Rank'!$K$2,BC81,0,COUNTIF(BC$7:BC$115,BC81)))+IFERROR(VLOOKUP((COUNT(BA$6:BA$115)/4),$ER$8:$ES$12,2,FALSE()),0),"")</f>
        <v/>
      </c>
      <c r="DM81" s="31"/>
      <c r="DN81" s="36" t="str">
        <f ca="1">IFERROR(AVERAGE(OFFSET('Data - For Rank'!$L$2,BH81,0,COUNTIF(BH$7:BH$115,BH81)))+IFERROR(VLOOKUP((COUNT(BF$6:BF$115)/4),$ER$8:$ES$12,2,FALSE()),0),"")</f>
        <v/>
      </c>
      <c r="DO81" s="31"/>
      <c r="DP81" s="36" t="str">
        <f ca="1">IFERROR(AVERAGE(OFFSET('Data - For Rank'!$M$2,BM81,0,COUNTIF(BM$7:BM$115,BM81)))+IFERROR(VLOOKUP((COUNT(BK$6:BK$115)/4),$ER$8:$ES$12,2,FALSE()),0),"")</f>
        <v/>
      </c>
      <c r="DQ81" s="31"/>
      <c r="DR81" s="36" t="str">
        <f ca="1">IFERROR(AVERAGE(OFFSET('Data - For Rank'!$N$2,BR81,0,COUNTIF(BR$7:BR$115,BR81)))+IFERROR(VLOOKUP((COUNT(BP$6:BP$115)/4),$ER$8:$ES$12,2,FALSE()),0),"")</f>
        <v/>
      </c>
      <c r="DS81" s="31"/>
      <c r="DT81" s="36" t="str">
        <f ca="1">IFERROR(AVERAGE(OFFSET('Data - For Rank'!$O$2,BW81,0,COUNTIF(BW$7:BW$115,BW81)))+IFERROR(VLOOKUP((COUNT(BU$6:BU$115)/4),$ER$8:$ES$12,2,FALSE()),0),"")</f>
        <v/>
      </c>
      <c r="DU81" s="31"/>
      <c r="DV81" s="36" t="str">
        <f ca="1">IFERROR(AVERAGE(OFFSET('Data - For Rank'!$P$2,CB81,0,COUNTIF(CB$7:CB$115,CB81)))+IFERROR(VLOOKUP((COUNT(BZ$6:BZ$115)/4),$ER$8:$ES$12,2,FALSE()),0),"")</f>
        <v/>
      </c>
      <c r="DW81" s="31"/>
      <c r="DX81" s="36" t="str">
        <f ca="1">IFERROR(AVERAGE(OFFSET('Data - For Rank'!$Q$2,CG81,0,COUNTIF(CG$7:CG$115,CG81)))+IFERROR(VLOOKUP((COUNT(CE$6:CE$115)/4),$ER$8:$ES$12,2,FALSE()),0),"")</f>
        <v/>
      </c>
      <c r="DY81" s="31"/>
      <c r="DZ81" s="36" t="str">
        <f ca="1">IFERROR(AVERAGE(OFFSET('Data - For Rank'!$R$2,CL81,0,COUNTIF(CL$7:CL$115,CL81)))+IFERROR(VLOOKUP((COUNT(CJ$6:CJ$115)/4),$ER$8:$ES$12,2,FALSE()),0),"")</f>
        <v/>
      </c>
      <c r="EA81" s="31"/>
      <c r="EB81" s="36" t="str">
        <f ca="1">IFERROR(AVERAGE(OFFSET('Data - For Rank'!$S$2,CQ81,0,COUNTIF(CQ$7:CQ$115,CQ81)))+IFERROR(VLOOKUP((COUNT(CO$6:CO$115)/4),$ER$8:$ES$12,2,FALSE()),0),"")</f>
        <v/>
      </c>
      <c r="EC81" s="37">
        <f>CS81+CU81+CW81+CY81+DA81+DC81+DE81+DG81+DI81+DK81+DM81+DO81+DQ81+DS81+DU81+DW81+DY81+EA81</f>
        <v>0</v>
      </c>
      <c r="ED81" s="33">
        <f t="shared" ca="1" si="3"/>
        <v>0</v>
      </c>
    </row>
    <row r="82" spans="2:134" outlineLevel="1" x14ac:dyDescent="0.2">
      <c r="B82" s="116">
        <f>B81+0.114</f>
        <v>0.60289999999999999</v>
      </c>
      <c r="C82" s="109"/>
      <c r="D82" s="109" t="s">
        <v>149</v>
      </c>
      <c r="E82" s="117" t="s">
        <v>39</v>
      </c>
      <c r="F82" s="118"/>
      <c r="G82" s="40"/>
      <c r="H82" s="40"/>
      <c r="I82" s="96" t="str">
        <f>IF(CS82=0,"",CS82)</f>
        <v/>
      </c>
      <c r="J82" s="96"/>
      <c r="K82" s="97" t="str">
        <f>IFERROR(_xlfn.RANK.EQ(I82,I$6:I$115,0),"")</f>
        <v/>
      </c>
      <c r="L82" s="40"/>
      <c r="M82" s="40"/>
      <c r="N82" s="96" t="str">
        <f>IF(CU82=0,"",CU82)</f>
        <v/>
      </c>
      <c r="O82" s="96"/>
      <c r="P82" s="97" t="str">
        <f>IFERROR(_xlfn.RANK.EQ(N82,N$6:N$115,0),"")</f>
        <v/>
      </c>
      <c r="Q82" s="40"/>
      <c r="R82" s="40"/>
      <c r="S82" s="96" t="str">
        <f>IF(CW82=0,"",CW82)</f>
        <v/>
      </c>
      <c r="T82" s="96"/>
      <c r="U82" s="97" t="str">
        <f>IFERROR(_xlfn.RANK.EQ(S82,S$6:S$115,0),"")</f>
        <v/>
      </c>
      <c r="V82" s="40"/>
      <c r="W82" s="40"/>
      <c r="X82" s="96" t="str">
        <f>IF(CY82=0,"",CY82)</f>
        <v/>
      </c>
      <c r="Y82" s="96"/>
      <c r="Z82" s="97" t="str">
        <f>IFERROR(_xlfn.RANK.EQ(X82,X$6:X$115,0),"")</f>
        <v/>
      </c>
      <c r="AA82" s="40"/>
      <c r="AB82" s="40"/>
      <c r="AC82" s="96" t="str">
        <f>IF(DA82=0,"",DA82)</f>
        <v/>
      </c>
      <c r="AD82" s="96"/>
      <c r="AE82" s="97" t="str">
        <f>IFERROR(_xlfn.RANK.EQ(AC82,AC$6:AC$115,0),"")</f>
        <v/>
      </c>
      <c r="AF82" s="40"/>
      <c r="AG82" s="40"/>
      <c r="AH82" s="96" t="str">
        <f>IF(DC82=0,"",DC82)</f>
        <v/>
      </c>
      <c r="AI82" s="96"/>
      <c r="AJ82" s="97" t="str">
        <f>IFERROR(_xlfn.RANK.EQ(AH82,AH$6:AH$115,0),"")</f>
        <v/>
      </c>
      <c r="AK82" s="40"/>
      <c r="AL82" s="40"/>
      <c r="AM82" s="96" t="str">
        <f>IF(DE82=0,"",DE82)</f>
        <v/>
      </c>
      <c r="AN82" s="96"/>
      <c r="AO82" s="97" t="str">
        <f>IFERROR(_xlfn.RANK.EQ(AM82,AM$6:AM$115,0),"")</f>
        <v/>
      </c>
      <c r="AP82" s="40"/>
      <c r="AQ82" s="40"/>
      <c r="AR82" s="96" t="str">
        <f>IF(DG82=0,"",DG82)</f>
        <v/>
      </c>
      <c r="AS82" s="96"/>
      <c r="AT82" s="97" t="str">
        <f>IFERROR(_xlfn.RANK.EQ(AR82,AR$6:AR$115,0),"")</f>
        <v/>
      </c>
      <c r="AU82" s="40"/>
      <c r="AV82" s="40"/>
      <c r="AW82" s="96" t="str">
        <f>IF(DI82=0,"",DI82)</f>
        <v/>
      </c>
      <c r="AX82" s="96"/>
      <c r="AY82" s="97" t="str">
        <f>IFERROR(_xlfn.RANK.EQ(AW82,AW$6:AW$115,0),"")</f>
        <v/>
      </c>
      <c r="AZ82" s="40"/>
      <c r="BA82" s="40"/>
      <c r="BB82" s="96" t="str">
        <f>IF(DK82=0,"",DK82)</f>
        <v/>
      </c>
      <c r="BC82" s="96"/>
      <c r="BD82" s="97" t="str">
        <f>IFERROR(_xlfn.RANK.EQ(BB82,BB$6:BB$115,0),"")</f>
        <v/>
      </c>
      <c r="BE82" s="40"/>
      <c r="BF82" s="40"/>
      <c r="BG82" s="96" t="str">
        <f>IF(DM82=0,"",DM82)</f>
        <v/>
      </c>
      <c r="BH82" s="96"/>
      <c r="BI82" s="97" t="str">
        <f>IFERROR(_xlfn.RANK.EQ(BG82,BG$6:BG$115,0),"")</f>
        <v/>
      </c>
      <c r="BJ82" s="40"/>
      <c r="BK82" s="40"/>
      <c r="BL82" s="96" t="str">
        <f>IF(DO82=0,"",DO82)</f>
        <v/>
      </c>
      <c r="BM82" s="96"/>
      <c r="BN82" s="97" t="str">
        <f>IFERROR(_xlfn.RANK.EQ(BL82,BL$6:BL$115,0),"")</f>
        <v/>
      </c>
      <c r="BO82" s="40"/>
      <c r="BP82" s="40"/>
      <c r="BQ82" s="96" t="str">
        <f>IF(DQ82=0,"",DQ82)</f>
        <v/>
      </c>
      <c r="BR82" s="96"/>
      <c r="BS82" s="97" t="str">
        <f>IFERROR(_xlfn.RANK.EQ(BQ82,BQ$6:BQ$115,0),"")</f>
        <v/>
      </c>
      <c r="BT82" s="40"/>
      <c r="BU82" s="40"/>
      <c r="BV82" s="96" t="str">
        <f>IF(DS82=0,"",DS82)</f>
        <v/>
      </c>
      <c r="BW82" s="96"/>
      <c r="BX82" s="97" t="str">
        <f>IFERROR(_xlfn.RANK.EQ(BV82,BV$6:BV$115,0),"")</f>
        <v/>
      </c>
      <c r="BY82" s="40"/>
      <c r="BZ82" s="40"/>
      <c r="CA82" s="96" t="str">
        <f>IF(DU82=0,"",DU82)</f>
        <v/>
      </c>
      <c r="CB82" s="96"/>
      <c r="CC82" s="97" t="str">
        <f>IFERROR(_xlfn.RANK.EQ(CA82,CA$6:CA$115,0),"")</f>
        <v/>
      </c>
      <c r="CD82" s="40"/>
      <c r="CE82" s="40"/>
      <c r="CF82" s="96" t="str">
        <f>IF(DW82=0,"",DW82)</f>
        <v/>
      </c>
      <c r="CG82" s="96"/>
      <c r="CH82" s="97" t="str">
        <f>IFERROR(_xlfn.RANK.EQ(CF82,CF$6:CF$115,0),"")</f>
        <v/>
      </c>
      <c r="CI82" s="40"/>
      <c r="CJ82" s="40"/>
      <c r="CK82" s="96" t="str">
        <f>IF(DY82=0,"",DY82)</f>
        <v/>
      </c>
      <c r="CL82" s="96"/>
      <c r="CM82" s="97" t="str">
        <f>IFERROR(_xlfn.RANK.EQ(CK82,CK$6:CK$115,0),"")</f>
        <v/>
      </c>
      <c r="CN82" s="40"/>
      <c r="CO82" s="40"/>
      <c r="CP82" s="96" t="str">
        <f>IF(EA82=0,"",EA82)</f>
        <v/>
      </c>
      <c r="CQ82" s="96"/>
      <c r="CR82" s="97" t="str">
        <f>IFERROR(_xlfn.RANK.EQ(CP82,CP$6:CP$115,0),"")</f>
        <v/>
      </c>
      <c r="CS82" s="41"/>
      <c r="CT82" s="42" t="str">
        <f ca="1">IFERROR(AVERAGE(OFFSET('Data - For Rank'!B$2,K82,0,COUNTIF(K$6:K$115,K82)))+IFERROR(VLOOKUP((COUNT($I$6:$I$115)/4),$ER$8:$ES$12,2,FALSE()),0),"")</f>
        <v/>
      </c>
      <c r="CU82" s="41"/>
      <c r="CV82" s="42" t="str">
        <f ca="1">IFERROR(AVERAGE(OFFSET('Data - For Rank'!$C$2,P82,0,COUNTIF(P$6:P$115,P82)))+IFERROR(VLOOKUP((COUNT(N$6:N$115)/4),$ER$8:$ES$12,2,FALSE()),0),"")</f>
        <v/>
      </c>
      <c r="CW82" s="41"/>
      <c r="CX82" s="42" t="str">
        <f ca="1">IFERROR(AVERAGE(OFFSET('Data - For Rank'!D$2,U82,0,COUNTIF(U$6:$U189,U82)))+IFERROR(VLOOKUP((COUNT(S$6:S$115)/4),$ER$8:$ES$12,2,FALSE()),0),"")</f>
        <v/>
      </c>
      <c r="CY82" s="41"/>
      <c r="CZ82" s="42" t="str">
        <f ca="1">IFERROR(AVERAGE(OFFSET('Data - For Rank'!E$2,Z82,0,COUNTIF(Z$6:Z$115,Z82)))+IFERROR(VLOOKUP((COUNT(W$6:W$115)/4),$ER$8:$ES$12,2,FALSE()),0),"")</f>
        <v/>
      </c>
      <c r="DA82" s="41"/>
      <c r="DB82" s="42" t="str">
        <f ca="1">IFERROR(AVERAGE(OFFSET('Data - For Rank'!F$2,AE82,0,COUNTIF(AE$6:AE$115,AE82)))+IFERROR(VLOOKUP((COUNT(AC$6:AC$115)/4),$ER$8:$ES$12,2,FALSE()),0),"")</f>
        <v/>
      </c>
      <c r="DC82" s="41"/>
      <c r="DD82" s="42" t="str">
        <f ca="1">IFERROR(AVERAGE(OFFSET('Data - For Rank'!G$2,AJ82,0,COUNTIF(AJ$6:AJ$115,AJ82)))+IFERROR(VLOOKUP((COUNT(AH$6:AH$115)/4),$ER$8:$ES$12,2,FALSE()),0),"")</f>
        <v/>
      </c>
      <c r="DE82" s="41"/>
      <c r="DF82" s="42" t="str">
        <f ca="1">IFERROR(AVERAGE(OFFSET('Data - For Rank'!$H$2,AO82,0,COUNTIF(AO$6:AO$115,AO82)))+IFERROR(VLOOKUP((COUNT(AM$6:AM$115)/4),$ER$8:$ES$12,2,FALSE()),0),"")</f>
        <v/>
      </c>
      <c r="DG82" s="41"/>
      <c r="DH82" s="42" t="str">
        <f ca="1">IFERROR(AVERAGE(OFFSET('Data - For Rank'!$I$2,AT82,0,COUNTIF(AT$6:AT$115,AT82)))+IFERROR(VLOOKUP((COUNT(AR$6:AR$115)/4),$ER$8:$ES$12,2,FALSE()),0),"")</f>
        <v/>
      </c>
      <c r="DI82" s="41"/>
      <c r="DJ82" s="42" t="str">
        <f ca="1">IFERROR(AVERAGE(OFFSET('Data - For Rank'!$J$2,AY82,0,COUNTIF(AY$6:AY$115,AY82)))+IFERROR(VLOOKUP((COUNT(AW$6:AW$115)/4),$ER$8:$ES$12,2,FALSE()),0),"")</f>
        <v/>
      </c>
      <c r="DK82" s="41"/>
      <c r="DL82" s="42" t="str">
        <f ca="1">IFERROR(AVERAGE(OFFSET('Data - For Rank'!$K$2,BD82,0,COUNTIF(BD$6:BD$115,BD82)))+IFERROR(VLOOKUP((COUNT(BB$6:BB$115)/4),$ER$8:$ES$12,2,FALSE()),0),"")</f>
        <v/>
      </c>
      <c r="DM82" s="41"/>
      <c r="DN82" s="42" t="str">
        <f ca="1">IFERROR(AVERAGE(OFFSET('Data - For Rank'!$L$2,BI82,0,COUNTIF(BI$6:BI$115,BI82)))+IFERROR(VLOOKUP((COUNT(BG$6:BG$115)/4),$ER$8:$ES$12,2,FALSE()),0),"")</f>
        <v/>
      </c>
      <c r="DO82" s="41"/>
      <c r="DP82" s="42" t="str">
        <f ca="1">IFERROR(AVERAGE(OFFSET('Data - For Rank'!$M$2,BN82,0,COUNTIF(BN$6:BN$115,BN82)))+IFERROR(VLOOKUP((COUNT(BL$6:BL$115)/4),$ER$8:$ES$12,2,FALSE()),0),"")</f>
        <v/>
      </c>
      <c r="DQ82" s="41"/>
      <c r="DR82" s="42" t="str">
        <f ca="1">IFERROR(AVERAGE(OFFSET('Data - For Rank'!$N$2,BS82,0,COUNTIF(BS$6:BS$115,BS82)))+IFERROR(VLOOKUP((COUNT(BQ$6:BQ$115)/4),$ER$8:$ES$12,2,FALSE()),0),"")</f>
        <v/>
      </c>
      <c r="DS82" s="41"/>
      <c r="DT82" s="42" t="str">
        <f ca="1">IFERROR(AVERAGE(OFFSET('Data - For Rank'!$O$2,BX82,0,COUNTIF(BX$6:BX$115,BX82)))+IFERROR(VLOOKUP((COUNT(BV$6:BV$115)/4),$ER$8:$ES$12,2,FALSE()),0),"")</f>
        <v/>
      </c>
      <c r="DU82" s="41"/>
      <c r="DV82" s="42" t="str">
        <f ca="1">IFERROR(AVERAGE(OFFSET('Data - For Rank'!$P$2,CC82,0,COUNTIF(CC$6:CC$115,CC82)))+IFERROR(VLOOKUP((COUNT(CA$6:CA$115)/4),$ER$8:$ES$12,2,FALSE()),0),"")</f>
        <v/>
      </c>
      <c r="DW82" s="41"/>
      <c r="DX82" s="42" t="str">
        <f ca="1">IFERROR(AVERAGE(OFFSET('Data - For Rank'!$Q$2,CH82,0,COUNTIF(CH$6:CH$115,CH82)))+IFERROR(VLOOKUP((COUNT(CF$6:CF$115)/4),$ER$8:$ES$12,2,FALSE()),0),"")</f>
        <v/>
      </c>
      <c r="DY82" s="41"/>
      <c r="DZ82" s="42" t="str">
        <f ca="1">IFERROR(AVERAGE(OFFSET('Data - For Rank'!$R$2,CM82,0,COUNTIF(CM$6:CM$115,CM82)))+IFERROR(VLOOKUP((COUNT(CK$6:CK$115)/4),$ER$8:$ES$12,2,FALSE()),0),"")</f>
        <v/>
      </c>
      <c r="EA82" s="41"/>
      <c r="EB82" s="42" t="str">
        <f ca="1">IFERROR(AVERAGE(OFFSET('Data - For Rank'!$S$2,CR82,0,COUNTIF(CR$6:CR$115,CR82)))+IFERROR(VLOOKUP((COUNT(CP$6:CP$115)/4),$ER$8:$ES$12,2,FALSE()),0),"")</f>
        <v/>
      </c>
      <c r="EC82" s="43">
        <f>IFERROR(AVERAGE(CS82,CU82,CW82,CY82,DA82,DC82,DE82,DG82,DI82,DK82,DM82,DO82,DQ82,DS82,DU82,DW82,DY82,EA82),0)</f>
        <v>0</v>
      </c>
      <c r="ED82" s="44">
        <f t="shared" ca="1" si="3"/>
        <v>0</v>
      </c>
    </row>
    <row r="83" spans="2:134" x14ac:dyDescent="0.2">
      <c r="B83" s="109">
        <f ca="1">_xlfn.RANK.EQ(C83,$C$72:$C$115,)</f>
        <v>2</v>
      </c>
      <c r="C83" s="110">
        <f ca="1">EC83</f>
        <v>0</v>
      </c>
      <c r="D83" s="110" t="s">
        <v>150</v>
      </c>
      <c r="E83" s="119" t="s">
        <v>150</v>
      </c>
      <c r="F83" s="112">
        <f ca="1">COUNT(CT83,CV83,CX83,CZ83,DB83,DD83,DF83,DH83,DJ83,DL83,DN83,DP83,DR83,DT83,DV83,DX83,DZ83,EB83)</f>
        <v>0</v>
      </c>
      <c r="G83" s="93" t="str">
        <f ca="1">IF(CT83=0,"",CT83)</f>
        <v/>
      </c>
      <c r="H83" s="93"/>
      <c r="I83" s="93"/>
      <c r="K83" s="93"/>
      <c r="L83" s="93" t="str">
        <f ca="1">IF(CV83=0,"",CV83)</f>
        <v/>
      </c>
      <c r="M83" s="93"/>
      <c r="N83" s="93"/>
      <c r="P83" s="93"/>
      <c r="Q83" s="93" t="str">
        <f ca="1">IF(CX83=0,"",CX83)</f>
        <v/>
      </c>
      <c r="R83" s="93"/>
      <c r="S83" s="93"/>
      <c r="U83" s="93"/>
      <c r="V83" s="93" t="str">
        <f ca="1">IF(CZ83=0,"",CZ83)</f>
        <v/>
      </c>
      <c r="W83" s="93"/>
      <c r="X83" s="93"/>
      <c r="Z83" s="93"/>
      <c r="AA83" s="93" t="str">
        <f ca="1">IF(DB83=0,"",DB83)</f>
        <v/>
      </c>
      <c r="AB83" s="93"/>
      <c r="AC83" s="93"/>
      <c r="AE83" s="93"/>
      <c r="AF83" s="93" t="str">
        <f ca="1">IF(DD83=0,"",DD83)</f>
        <v/>
      </c>
      <c r="AG83" s="93"/>
      <c r="AH83" s="93"/>
      <c r="AJ83" s="93"/>
      <c r="AK83" s="93" t="str">
        <f ca="1">IF(DF83=0,"",DF83)</f>
        <v/>
      </c>
      <c r="AL83" s="93"/>
      <c r="AM83" s="93"/>
      <c r="AO83" s="93"/>
      <c r="AP83" s="93" t="str">
        <f ca="1">IF(DH83=0,"",DH83)</f>
        <v/>
      </c>
      <c r="AQ83" s="93"/>
      <c r="AR83" s="93"/>
      <c r="AT83" s="93"/>
      <c r="AU83" s="93" t="str">
        <f ca="1">IF(DJ83=0,"",DJ83)</f>
        <v/>
      </c>
      <c r="AV83" s="93"/>
      <c r="AW83" s="93"/>
      <c r="AY83" s="93"/>
      <c r="AZ83" s="93" t="str">
        <f ca="1">IF(DL83=0,"",DL83)</f>
        <v/>
      </c>
      <c r="BA83" s="93"/>
      <c r="BB83" s="93"/>
      <c r="BD83" s="93"/>
      <c r="BE83" s="93" t="str">
        <f ca="1">IF(DN83=0,"",DN83)</f>
        <v/>
      </c>
      <c r="BF83" s="93"/>
      <c r="BG83" s="93"/>
      <c r="BI83" s="93"/>
      <c r="BJ83" s="93" t="str">
        <f ca="1">IF(DP83=0,"",DP83)</f>
        <v/>
      </c>
      <c r="BK83" s="93"/>
      <c r="BL83" s="93"/>
      <c r="BN83" s="93"/>
      <c r="BO83" s="93" t="str">
        <f ca="1">IF(DR83=0,"",DR83)</f>
        <v/>
      </c>
      <c r="BP83" s="93"/>
      <c r="BQ83" s="93"/>
      <c r="BS83" s="93"/>
      <c r="BT83" s="93" t="str">
        <f ca="1">IF(DT83=0,"",DT83)</f>
        <v/>
      </c>
      <c r="BU83" s="93"/>
      <c r="BV83" s="93"/>
      <c r="BX83" s="93"/>
      <c r="BY83" s="93" t="str">
        <f ca="1">IF(DV83=0,"",DV83)</f>
        <v/>
      </c>
      <c r="BZ83" s="93"/>
      <c r="CA83" s="93"/>
      <c r="CC83" s="93"/>
      <c r="CD83" s="93" t="str">
        <f ca="1">IF(DX83=0,"",DX83)</f>
        <v/>
      </c>
      <c r="CE83" s="93"/>
      <c r="CF83" s="93"/>
      <c r="CH83" s="93"/>
      <c r="CI83" s="93" t="str">
        <f ca="1">IF(DZ83=0,"",DZ83)</f>
        <v/>
      </c>
      <c r="CJ83" s="93"/>
      <c r="CK83" s="93"/>
      <c r="CM83" s="93"/>
      <c r="CN83" s="93" t="str">
        <f ca="1">IF(EB83=0,"",EB83)</f>
        <v/>
      </c>
      <c r="CO83" s="93"/>
      <c r="CP83" s="93"/>
      <c r="CR83" s="93"/>
      <c r="CS83" s="31"/>
      <c r="CT83" s="32" t="str">
        <f ca="1">IFERROR(CT84+CT85,"")</f>
        <v/>
      </c>
      <c r="CU83" s="31"/>
      <c r="CV83" s="32" t="str">
        <f ca="1">IFERROR(CV84+CV85,"")</f>
        <v/>
      </c>
      <c r="CW83" s="31"/>
      <c r="CX83" s="32" t="str">
        <f ca="1">IFERROR(CX84+CX85,"")</f>
        <v/>
      </c>
      <c r="CY83" s="31"/>
      <c r="CZ83" s="32" t="str">
        <f ca="1">IFERROR(CZ84+CZ85,"")</f>
        <v/>
      </c>
      <c r="DA83" s="31"/>
      <c r="DB83" s="32" t="str">
        <f ca="1">IFERROR(DB84+DB85,"")</f>
        <v/>
      </c>
      <c r="DC83" s="31"/>
      <c r="DD83" s="32" t="str">
        <f ca="1">IFERROR(DD84+DD85,"")</f>
        <v/>
      </c>
      <c r="DE83" s="31"/>
      <c r="DF83" s="32" t="str">
        <f ca="1">IFERROR(DF84+DF85,"")</f>
        <v/>
      </c>
      <c r="DG83" s="31"/>
      <c r="DH83" s="32" t="str">
        <f ca="1">IFERROR(DH84+DH85,"")</f>
        <v/>
      </c>
      <c r="DI83" s="31"/>
      <c r="DJ83" s="32" t="str">
        <f ca="1">IFERROR(DJ84+DJ85,"")</f>
        <v/>
      </c>
      <c r="DK83" s="31"/>
      <c r="DL83" s="32" t="str">
        <f ca="1">IFERROR(DL84+DL85,"")</f>
        <v/>
      </c>
      <c r="DM83" s="31"/>
      <c r="DN83" s="32" t="str">
        <f ca="1">IFERROR(DN84+DN85,"")</f>
        <v/>
      </c>
      <c r="DO83" s="31"/>
      <c r="DP83" s="32" t="str">
        <f ca="1">IFERROR(DP84+DP85,"")</f>
        <v/>
      </c>
      <c r="DQ83" s="31"/>
      <c r="DR83" s="32" t="str">
        <f ca="1">IFERROR(DR84+DR85,"")</f>
        <v/>
      </c>
      <c r="DS83" s="31"/>
      <c r="DT83" s="32" t="str">
        <f ca="1">IFERROR(DT84+DT85,"")</f>
        <v/>
      </c>
      <c r="DU83" s="31"/>
      <c r="DV83" s="32" t="str">
        <f ca="1">IFERROR(DV84+DV85,"")</f>
        <v/>
      </c>
      <c r="DW83" s="31"/>
      <c r="DX83" s="32" t="str">
        <f ca="1">IFERROR(DX84+DX85,"")</f>
        <v/>
      </c>
      <c r="DY83" s="31"/>
      <c r="DZ83" s="32" t="str">
        <f ca="1">IFERROR(DZ84+DZ85,"")</f>
        <v/>
      </c>
      <c r="EA83" s="31"/>
      <c r="EB83" s="32" t="str">
        <f ca="1">IFERROR(EB84+EB85,"")</f>
        <v/>
      </c>
      <c r="EC83" s="26">
        <f ca="1">IFERROR(LARGE($G83:$CN83,1),0)+IFERROR(LARGE($G83:$CN83,2),0)+IFERROR(LARGE($G83:$CN83,3),0)+IFERROR(LARGE($G83:$CN83,4),0)+IFERROR(LARGE($G83:$CN83,5),0)+IFERROR(LARGE($G83:$CN83,6),0)+IFERROR(LARGE($G83:$CN83,7),0)+IFERROR(LARGE($G83:$CN83,8),0)+IFERROR(LARGE($G83:$CN83,9),0)+IFERROR(LARGE($G83:$CN83,10),0)</f>
        <v>0</v>
      </c>
      <c r="ED83" s="33">
        <f t="shared" ca="1" si="3"/>
        <v>0</v>
      </c>
    </row>
    <row r="84" spans="2:134" outlineLevel="1" x14ac:dyDescent="0.2">
      <c r="B84" s="113">
        <f>B82+0.0213</f>
        <v>0.62419999999999998</v>
      </c>
      <c r="C84" s="109"/>
      <c r="D84" s="109" t="s">
        <v>151</v>
      </c>
      <c r="E84" s="114" t="s">
        <v>38</v>
      </c>
      <c r="F84" s="115"/>
      <c r="G84" s="35"/>
      <c r="H84" s="35" t="str">
        <f>IF(CS84=0,"",CS84)</f>
        <v/>
      </c>
      <c r="I84" s="35"/>
      <c r="J84" s="93" t="str">
        <f>IFERROR(RANK(H84,H$6:H$115,0),"")</f>
        <v/>
      </c>
      <c r="K84" s="35"/>
      <c r="L84" s="35"/>
      <c r="M84" s="35" t="str">
        <f>IF(CU84=0,"",CU84)</f>
        <v/>
      </c>
      <c r="N84" s="35"/>
      <c r="O84" s="93" t="str">
        <f>IFERROR(RANK(M84,M$6:M$115,0),"")</f>
        <v/>
      </c>
      <c r="P84" s="35"/>
      <c r="Q84" s="35"/>
      <c r="R84" s="35" t="str">
        <f>IF(CW84=0,"",CW84)</f>
        <v/>
      </c>
      <c r="S84" s="35"/>
      <c r="T84" s="93" t="str">
        <f>IFERROR(RANK(R84,R$6:R$115,0),"")</f>
        <v/>
      </c>
      <c r="U84" s="35"/>
      <c r="V84" s="35"/>
      <c r="W84" s="35" t="str">
        <f>IF(CY84=0,"",CY84)</f>
        <v/>
      </c>
      <c r="X84" s="35"/>
      <c r="Y84" s="93" t="str">
        <f>IFERROR(RANK(W84,W$6:W$115,0),"")</f>
        <v/>
      </c>
      <c r="Z84" s="35"/>
      <c r="AA84" s="35"/>
      <c r="AB84" s="35" t="str">
        <f>IF(DA84=0,"",DA84)</f>
        <v/>
      </c>
      <c r="AC84" s="35"/>
      <c r="AD84" s="93" t="str">
        <f>IFERROR(RANK(AB84,AB$6:AB$115,0),"")</f>
        <v/>
      </c>
      <c r="AE84" s="35"/>
      <c r="AF84" s="35"/>
      <c r="AG84" s="35" t="str">
        <f>IF(DC84=0,"",DC84)</f>
        <v/>
      </c>
      <c r="AH84" s="35"/>
      <c r="AI84" s="93" t="str">
        <f>IFERROR(RANK(AG84,AG$6:AG$115,0),"")</f>
        <v/>
      </c>
      <c r="AJ84" s="35"/>
      <c r="AK84" s="35"/>
      <c r="AL84" s="35" t="str">
        <f>IF(DE84=0,"",DE84)</f>
        <v/>
      </c>
      <c r="AM84" s="35"/>
      <c r="AN84" s="93" t="str">
        <f>IFERROR(RANK(AL84,AL$6:AL$115,0),"")</f>
        <v/>
      </c>
      <c r="AO84" s="35"/>
      <c r="AP84" s="35"/>
      <c r="AQ84" s="35" t="str">
        <f>IF(DG84=0,"",DG84)</f>
        <v/>
      </c>
      <c r="AR84" s="35"/>
      <c r="AS84" s="93" t="str">
        <f>IFERROR(RANK(AQ84,AQ$6:AQ$115,0),"")</f>
        <v/>
      </c>
      <c r="AT84" s="35"/>
      <c r="AU84" s="35"/>
      <c r="AV84" s="35" t="str">
        <f>IF(DI84=0,"",DI84)</f>
        <v/>
      </c>
      <c r="AW84" s="35"/>
      <c r="AX84" s="93" t="str">
        <f>IFERROR(RANK(AV84,AV$6:AV$115,0),"")</f>
        <v/>
      </c>
      <c r="AY84" s="35"/>
      <c r="AZ84" s="35"/>
      <c r="BA84" s="35" t="str">
        <f>IF(DK84=0,"",DK84)</f>
        <v/>
      </c>
      <c r="BB84" s="35"/>
      <c r="BC84" s="93" t="str">
        <f>IFERROR(RANK(BA84,BA$6:BA$115,0),"")</f>
        <v/>
      </c>
      <c r="BD84" s="35"/>
      <c r="BE84" s="35"/>
      <c r="BF84" s="35" t="str">
        <f>IF(DM84=0,"",DM84)</f>
        <v/>
      </c>
      <c r="BG84" s="35"/>
      <c r="BH84" s="93" t="str">
        <f>IFERROR(RANK(BF84,BF$6:BF$115,0),"")</f>
        <v/>
      </c>
      <c r="BI84" s="35"/>
      <c r="BJ84" s="35"/>
      <c r="BK84" s="35" t="str">
        <f>IF(DO84=0,"",DO84)</f>
        <v/>
      </c>
      <c r="BL84" s="35"/>
      <c r="BM84" s="93" t="str">
        <f>IFERROR(RANK(BK84,BK$6:BK$115,0),"")</f>
        <v/>
      </c>
      <c r="BN84" s="35"/>
      <c r="BO84" s="35"/>
      <c r="BP84" s="35" t="str">
        <f>IF(DQ84=0,"",DQ84)</f>
        <v/>
      </c>
      <c r="BQ84" s="35"/>
      <c r="BR84" s="93" t="str">
        <f>IFERROR(RANK(BP84,BP$6:BP$115,0),"")</f>
        <v/>
      </c>
      <c r="BS84" s="35"/>
      <c r="BT84" s="35"/>
      <c r="BU84" s="35" t="str">
        <f>IF(DS84=0,"",DS84)</f>
        <v/>
      </c>
      <c r="BV84" s="35"/>
      <c r="BW84" s="93" t="str">
        <f>IFERROR(RANK(BU84,BU$6:BU$115,0),"")</f>
        <v/>
      </c>
      <c r="BX84" s="35"/>
      <c r="BY84" s="35"/>
      <c r="BZ84" s="35" t="str">
        <f>IF(DU84=0,"",DU84)</f>
        <v/>
      </c>
      <c r="CA84" s="35"/>
      <c r="CB84" s="93" t="str">
        <f>IFERROR(RANK(BZ84,BZ$6:BZ$115,0),"")</f>
        <v/>
      </c>
      <c r="CC84" s="35"/>
      <c r="CD84" s="35"/>
      <c r="CE84" s="35" t="str">
        <f>IF(DW84=0,"",DW84)</f>
        <v/>
      </c>
      <c r="CF84" s="35"/>
      <c r="CG84" s="93" t="str">
        <f>IFERROR(RANK(CE84,CE$6:CE$115,0),"")</f>
        <v/>
      </c>
      <c r="CH84" s="35"/>
      <c r="CI84" s="35"/>
      <c r="CJ84" s="35" t="str">
        <f>IF(DY84=0,"",DY84)</f>
        <v/>
      </c>
      <c r="CK84" s="35"/>
      <c r="CL84" s="93" t="str">
        <f>IFERROR(RANK(CJ84,CJ$6:CJ$115,0),"")</f>
        <v/>
      </c>
      <c r="CM84" s="35"/>
      <c r="CN84" s="35"/>
      <c r="CO84" s="35" t="str">
        <f>IF(EA84=0,"",EA84)</f>
        <v/>
      </c>
      <c r="CP84" s="35"/>
      <c r="CQ84" s="93" t="str">
        <f>IFERROR(RANK(CO84,CO$6:CO$115,0),"")</f>
        <v/>
      </c>
      <c r="CR84" s="35"/>
      <c r="CS84" s="31"/>
      <c r="CT84" s="36" t="str">
        <f ca="1">IFERROR(AVERAGE(OFFSET('Data - For Rank'!B$2,J84,0,COUNTIF($J$7:J$115,J84)))+IFERROR(VLOOKUP((COUNT($H$6:$H$115)/4),$ER$8:$ES$12,2,FALSE()),0),"")</f>
        <v/>
      </c>
      <c r="CU84" s="31"/>
      <c r="CV84" s="36" t="str">
        <f ca="1">IFERROR(AVERAGE(OFFSET('Data - For Rank'!$C$2,O84,0,COUNTIF(O$7:O$115,O84)))+IFERROR(VLOOKUP((COUNT(M$6:M$115)/4),$ER$8:$ES$12,2,FALSE()),0),"")</f>
        <v/>
      </c>
      <c r="CW84" s="31"/>
      <c r="CX84" s="36" t="str">
        <f ca="1">IFERROR(AVERAGE(OFFSET('Data - For Rank'!D$2,T84,0,COUNTIF(T$7:T$115,T84)))+IFERROR(VLOOKUP((COUNT(R$6:R$115)/4),$ER$8:$ES$12,2,FALSE()),0),"")</f>
        <v/>
      </c>
      <c r="CY84" s="31"/>
      <c r="CZ84" s="36" t="str">
        <f ca="1">IFERROR(AVERAGE(OFFSET('Data - For Rank'!E$2,Y84,0,COUNTIF(Y$7:Y$115,Y84)))+IFERROR(VLOOKUP((COUNT(W$6:W$115)/4),$ER$8:$ES$12,2,FALSE()),0),"")</f>
        <v/>
      </c>
      <c r="DA84" s="31"/>
      <c r="DB84" s="36" t="str">
        <f ca="1">IFERROR(AVERAGE(OFFSET('Data - For Rank'!F$2,AD84,0,COUNTIF(AD$7:AD$115,AD84)))+IFERROR(VLOOKUP((COUNT(AB$6:AB$115)/4),$ER$8:$ES$12,2,FALSE()),0),"")</f>
        <v/>
      </c>
      <c r="DC84" s="31"/>
      <c r="DD84" s="36" t="str">
        <f ca="1">IFERROR(AVERAGE(OFFSET('Data - For Rank'!G$2,AI84,0,COUNTIF(AI$7:AI$115,AI84)))+IFERROR(VLOOKUP((COUNT(AG$6:AG$115)/4),$ER$8:$ES$12,2,FALSE()),0),"")</f>
        <v/>
      </c>
      <c r="DE84" s="31"/>
      <c r="DF84" s="36" t="str">
        <f ca="1">IFERROR(AVERAGE(OFFSET('Data - For Rank'!$H$2,AN84,0,COUNTIF(AN$7:AN$115,AN84)))+IFERROR(VLOOKUP((COUNT(AL$6:AL$115)/4),$ER$8:$ES$12,2,FALSE()),0),"")</f>
        <v/>
      </c>
      <c r="DG84" s="31"/>
      <c r="DH84" s="36" t="str">
        <f ca="1">IFERROR(AVERAGE(OFFSET('Data - For Rank'!$I$2,AS84,0,COUNTIF(AS$7:AS$115,AS84)))+IFERROR(VLOOKUP((COUNT(AQ$6:AQ$115)/4),$ER$8:$ES$12,2,FALSE()),0),"")</f>
        <v/>
      </c>
      <c r="DI84" s="31"/>
      <c r="DJ84" s="36" t="str">
        <f ca="1">IFERROR(AVERAGE(OFFSET('Data - For Rank'!$J$2,AX84,0,COUNTIF(AX$7:AX$115,AX84)))+IFERROR(VLOOKUP((COUNT(AV$6:AV$115)/4),$ER$8:$ES$12,2,FALSE()),0),"")</f>
        <v/>
      </c>
      <c r="DK84" s="31"/>
      <c r="DL84" s="36" t="str">
        <f ca="1">IFERROR(AVERAGE(OFFSET('Data - For Rank'!$K$2,BC84,0,COUNTIF(BC$7:BC$115,BC84)))+IFERROR(VLOOKUP((COUNT(BA$6:BA$115)/4),$ER$8:$ES$12,2,FALSE()),0),"")</f>
        <v/>
      </c>
      <c r="DM84" s="31"/>
      <c r="DN84" s="36" t="str">
        <f ca="1">IFERROR(AVERAGE(OFFSET('Data - For Rank'!$L$2,BH84,0,COUNTIF(BH$7:BH$115,BH84)))+IFERROR(VLOOKUP((COUNT(BF$6:BF$115)/4),$ER$8:$ES$12,2,FALSE()),0),"")</f>
        <v/>
      </c>
      <c r="DO84" s="31"/>
      <c r="DP84" s="36" t="str">
        <f ca="1">IFERROR(AVERAGE(OFFSET('Data - For Rank'!$M$2,BM84,0,COUNTIF(BM$7:BM$115,BM84)))+IFERROR(VLOOKUP((COUNT(BK$6:BK$115)/4),$ER$8:$ES$12,2,FALSE()),0),"")</f>
        <v/>
      </c>
      <c r="DQ84" s="31"/>
      <c r="DR84" s="36" t="str">
        <f ca="1">IFERROR(AVERAGE(OFFSET('Data - For Rank'!$N$2,BR84,0,COUNTIF(BR$7:BR$115,BR84)))+IFERROR(VLOOKUP((COUNT(BP$6:BP$115)/4),$ER$8:$ES$12,2,FALSE()),0),"")</f>
        <v/>
      </c>
      <c r="DS84" s="31"/>
      <c r="DT84" s="36" t="str">
        <f ca="1">IFERROR(AVERAGE(OFFSET('Data - For Rank'!$O$2,BW84,0,COUNTIF(BW$7:BW$115,BW84)))+IFERROR(VLOOKUP((COUNT(BU$6:BU$115)/4),$ER$8:$ES$12,2,FALSE()),0),"")</f>
        <v/>
      </c>
      <c r="DU84" s="31"/>
      <c r="DV84" s="36" t="str">
        <f ca="1">IFERROR(AVERAGE(OFFSET('Data - For Rank'!$P$2,CB84,0,COUNTIF(CB$7:CB$115,CB84)))+IFERROR(VLOOKUP((COUNT(BZ$6:BZ$115)/4),$ER$8:$ES$12,2,FALSE()),0),"")</f>
        <v/>
      </c>
      <c r="DW84" s="31"/>
      <c r="DX84" s="36" t="str">
        <f ca="1">IFERROR(AVERAGE(OFFSET('Data - For Rank'!$Q$2,CG84,0,COUNTIF(CG$7:CG$115,CG84)))+IFERROR(VLOOKUP((COUNT(CE$6:CE$115)/4),$ER$8:$ES$12,2,FALSE()),0),"")</f>
        <v/>
      </c>
      <c r="DY84" s="31"/>
      <c r="DZ84" s="36" t="str">
        <f ca="1">IFERROR(AVERAGE(OFFSET('Data - For Rank'!$R$2,CL84,0,COUNTIF(CL$7:CL$115,CL84)))+IFERROR(VLOOKUP((COUNT(CJ$6:CJ$115)/4),$ER$8:$ES$12,2,FALSE()),0),"")</f>
        <v/>
      </c>
      <c r="EA84" s="31"/>
      <c r="EB84" s="36" t="str">
        <f ca="1">IFERROR(AVERAGE(OFFSET('Data - For Rank'!$S$2,CQ84,0,COUNTIF(CQ$7:CQ$115,CQ84)))+IFERROR(VLOOKUP((COUNT(CO$6:CO$115)/4),$ER$8:$ES$12,2,FALSE()),0),"")</f>
        <v/>
      </c>
      <c r="EC84" s="37">
        <f>CS84+CU84+CW84+CY84+DA84+DC84+DE84+DG84+DI84+DK84+DM84+DO84+DQ84+DS84+DU84+DW84+DY84+EA84</f>
        <v>0</v>
      </c>
      <c r="ED84" s="33">
        <f t="shared" ca="1" si="3"/>
        <v>0</v>
      </c>
    </row>
    <row r="85" spans="2:134" outlineLevel="1" x14ac:dyDescent="0.2">
      <c r="B85" s="116">
        <f>B84+0.113</f>
        <v>0.73719999999999997</v>
      </c>
      <c r="C85" s="109"/>
      <c r="D85" s="109" t="s">
        <v>152</v>
      </c>
      <c r="E85" s="117" t="s">
        <v>39</v>
      </c>
      <c r="F85" s="118"/>
      <c r="G85" s="40"/>
      <c r="H85" s="40"/>
      <c r="I85" s="96" t="str">
        <f>IF(CS85=0,"",CS85)</f>
        <v/>
      </c>
      <c r="J85" s="96"/>
      <c r="K85" s="97" t="str">
        <f>IFERROR(_xlfn.RANK.EQ(I85,I$6:I$115,0),"")</f>
        <v/>
      </c>
      <c r="L85" s="40"/>
      <c r="M85" s="40"/>
      <c r="N85" s="96" t="str">
        <f>IF(CU85=0,"",CU85)</f>
        <v/>
      </c>
      <c r="O85" s="96"/>
      <c r="P85" s="97" t="str">
        <f>IFERROR(_xlfn.RANK.EQ(N85,N$6:N$115,0),"")</f>
        <v/>
      </c>
      <c r="Q85" s="40"/>
      <c r="R85" s="40"/>
      <c r="S85" s="96" t="str">
        <f>IF(CW85=0,"",CW85)</f>
        <v/>
      </c>
      <c r="T85" s="96"/>
      <c r="U85" s="97" t="str">
        <f>IFERROR(_xlfn.RANK.EQ(S85,S$6:S$115,0),"")</f>
        <v/>
      </c>
      <c r="V85" s="40"/>
      <c r="W85" s="40"/>
      <c r="X85" s="96" t="str">
        <f>IF(CY85=0,"",CY85)</f>
        <v/>
      </c>
      <c r="Y85" s="96"/>
      <c r="Z85" s="97" t="str">
        <f>IFERROR(_xlfn.RANK.EQ(X85,X$6:X$115,0),"")</f>
        <v/>
      </c>
      <c r="AA85" s="40"/>
      <c r="AB85" s="40"/>
      <c r="AC85" s="96" t="str">
        <f>IF(DA85=0,"",DA85)</f>
        <v/>
      </c>
      <c r="AD85" s="96"/>
      <c r="AE85" s="97" t="str">
        <f>IFERROR(_xlfn.RANK.EQ(AC85,AC$6:AC$115,0),"")</f>
        <v/>
      </c>
      <c r="AF85" s="40"/>
      <c r="AG85" s="40"/>
      <c r="AH85" s="96" t="str">
        <f>IF(DC85=0,"",DC85)</f>
        <v/>
      </c>
      <c r="AI85" s="96"/>
      <c r="AJ85" s="97" t="str">
        <f>IFERROR(_xlfn.RANK.EQ(AH85,AH$6:AH$115,0),"")</f>
        <v/>
      </c>
      <c r="AK85" s="40"/>
      <c r="AL85" s="40"/>
      <c r="AM85" s="96" t="str">
        <f>IF(DE85=0,"",DE85)</f>
        <v/>
      </c>
      <c r="AN85" s="96"/>
      <c r="AO85" s="97" t="str">
        <f>IFERROR(_xlfn.RANK.EQ(AM85,AM$6:AM$115,0),"")</f>
        <v/>
      </c>
      <c r="AP85" s="40"/>
      <c r="AQ85" s="40"/>
      <c r="AR85" s="96" t="str">
        <f>IF(DG85=0,"",DG85)</f>
        <v/>
      </c>
      <c r="AS85" s="96"/>
      <c r="AT85" s="97" t="str">
        <f>IFERROR(_xlfn.RANK.EQ(AR85,AR$6:AR$115,0),"")</f>
        <v/>
      </c>
      <c r="AU85" s="40"/>
      <c r="AV85" s="40"/>
      <c r="AW85" s="96" t="str">
        <f>IF(DI85=0,"",DI85)</f>
        <v/>
      </c>
      <c r="AX85" s="96"/>
      <c r="AY85" s="97" t="str">
        <f>IFERROR(_xlfn.RANK.EQ(AW85,AW$6:AW$115,0),"")</f>
        <v/>
      </c>
      <c r="AZ85" s="40"/>
      <c r="BA85" s="40"/>
      <c r="BB85" s="96" t="str">
        <f>IF(DK85=0,"",DK85)</f>
        <v/>
      </c>
      <c r="BC85" s="96"/>
      <c r="BD85" s="97" t="str">
        <f>IFERROR(_xlfn.RANK.EQ(BB85,BB$6:BB$115,0),"")</f>
        <v/>
      </c>
      <c r="BE85" s="40"/>
      <c r="BF85" s="40"/>
      <c r="BG85" s="96" t="str">
        <f>IF(DM85=0,"",DM85)</f>
        <v/>
      </c>
      <c r="BH85" s="96"/>
      <c r="BI85" s="97" t="str">
        <f>IFERROR(_xlfn.RANK.EQ(BG85,BG$6:BG$115,0),"")</f>
        <v/>
      </c>
      <c r="BJ85" s="40"/>
      <c r="BK85" s="40"/>
      <c r="BL85" s="96" t="str">
        <f>IF(DO85=0,"",DO85)</f>
        <v/>
      </c>
      <c r="BM85" s="96"/>
      <c r="BN85" s="97" t="str">
        <f>IFERROR(_xlfn.RANK.EQ(BL85,BL$6:BL$115,0),"")</f>
        <v/>
      </c>
      <c r="BO85" s="40"/>
      <c r="BP85" s="40"/>
      <c r="BQ85" s="96" t="str">
        <f>IF(DQ85=0,"",DQ85)</f>
        <v/>
      </c>
      <c r="BR85" s="96"/>
      <c r="BS85" s="97" t="str">
        <f>IFERROR(_xlfn.RANK.EQ(BQ85,BQ$6:BQ$115,0),"")</f>
        <v/>
      </c>
      <c r="BT85" s="40"/>
      <c r="BU85" s="40"/>
      <c r="BV85" s="96" t="str">
        <f>IF(DS85=0,"",DS85)</f>
        <v/>
      </c>
      <c r="BW85" s="96"/>
      <c r="BX85" s="97" t="str">
        <f>IFERROR(_xlfn.RANK.EQ(BV85,BV$6:BV$115,0),"")</f>
        <v/>
      </c>
      <c r="BY85" s="40"/>
      <c r="BZ85" s="40"/>
      <c r="CA85" s="96" t="str">
        <f>IF(DU85=0,"",DU85)</f>
        <v/>
      </c>
      <c r="CB85" s="96"/>
      <c r="CC85" s="97" t="str">
        <f>IFERROR(_xlfn.RANK.EQ(CA85,CA$6:CA$115,0),"")</f>
        <v/>
      </c>
      <c r="CD85" s="40"/>
      <c r="CE85" s="40"/>
      <c r="CF85" s="96" t="str">
        <f>IF(DW85=0,"",DW85)</f>
        <v/>
      </c>
      <c r="CG85" s="96"/>
      <c r="CH85" s="97" t="str">
        <f>IFERROR(_xlfn.RANK.EQ(CF85,CF$6:CF$115,0),"")</f>
        <v/>
      </c>
      <c r="CI85" s="40"/>
      <c r="CJ85" s="40"/>
      <c r="CK85" s="96" t="str">
        <f>IF(DY85=0,"",DY85)</f>
        <v/>
      </c>
      <c r="CL85" s="96"/>
      <c r="CM85" s="97" t="str">
        <f>IFERROR(_xlfn.RANK.EQ(CK85,CK$6:CK$115,0),"")</f>
        <v/>
      </c>
      <c r="CN85" s="40"/>
      <c r="CO85" s="40"/>
      <c r="CP85" s="96" t="str">
        <f>IF(EA85=0,"",EA85)</f>
        <v/>
      </c>
      <c r="CQ85" s="96"/>
      <c r="CR85" s="97" t="str">
        <f>IFERROR(_xlfn.RANK.EQ(CP85,CP$6:CP$115,0),"")</f>
        <v/>
      </c>
      <c r="CS85" s="41"/>
      <c r="CT85" s="42" t="str">
        <f ca="1">IFERROR(AVERAGE(OFFSET('Data - For Rank'!B$2,K85,0,COUNTIF(K$6:K$115,K85)))+IFERROR(VLOOKUP((COUNT($I$6:$I$115)/4),$ER$8:$ES$12,2,FALSE()),0),"")</f>
        <v/>
      </c>
      <c r="CU85" s="41"/>
      <c r="CV85" s="42" t="str">
        <f ca="1">IFERROR(AVERAGE(OFFSET('Data - For Rank'!$C$2,P85,0,COUNTIF(P$6:P$115,P85)))+IFERROR(VLOOKUP((COUNT(N$6:N$115)/4),$ER$8:$ES$12,2,FALSE()),0),"")</f>
        <v/>
      </c>
      <c r="CW85" s="41"/>
      <c r="CX85" s="42" t="str">
        <f ca="1">IFERROR(AVERAGE(OFFSET('Data - For Rank'!D$2,U85,0,COUNTIF(U$6:$U192,U85)))+IFERROR(VLOOKUP((COUNT(S$6:S$115)/4),$ER$8:$ES$12,2,FALSE()),0),"")</f>
        <v/>
      </c>
      <c r="CY85" s="41"/>
      <c r="CZ85" s="42" t="str">
        <f ca="1">IFERROR(AVERAGE(OFFSET('Data - For Rank'!E$2,Z85,0,COUNTIF(Z$6:Z$115,Z85)))+IFERROR(VLOOKUP((COUNT(W$6:W$115)/4),$ER$8:$ES$12,2,FALSE()),0),"")</f>
        <v/>
      </c>
      <c r="DA85" s="41"/>
      <c r="DB85" s="42" t="str">
        <f ca="1">IFERROR(AVERAGE(OFFSET('Data - For Rank'!F$2,AE85,0,COUNTIF(AE$6:AE$115,AE85)))+IFERROR(VLOOKUP((COUNT(AC$6:AC$115)/4),$ER$8:$ES$12,2,FALSE()),0),"")</f>
        <v/>
      </c>
      <c r="DC85" s="41"/>
      <c r="DD85" s="42" t="str">
        <f ca="1">IFERROR(AVERAGE(OFFSET('Data - For Rank'!G$2,AJ85,0,COUNTIF(AJ$6:AJ$115,AJ85)))+IFERROR(VLOOKUP((COUNT(AH$6:AH$115)/4),$ER$8:$ES$12,2,FALSE()),0),"")</f>
        <v/>
      </c>
      <c r="DE85" s="41"/>
      <c r="DF85" s="42" t="str">
        <f ca="1">IFERROR(AVERAGE(OFFSET('Data - For Rank'!$H$2,AO85,0,COUNTIF(AO$6:AO$115,AO85)))+IFERROR(VLOOKUP((COUNT(AM$6:AM$115)/4),$ER$8:$ES$12,2,FALSE()),0),"")</f>
        <v/>
      </c>
      <c r="DG85" s="41"/>
      <c r="DH85" s="42" t="str">
        <f ca="1">IFERROR(AVERAGE(OFFSET('Data - For Rank'!$I$2,AT85,0,COUNTIF(AT$6:AT$115,AT85)))+IFERROR(VLOOKUP((COUNT(AR$6:AR$115)/4),$ER$8:$ES$12,2,FALSE()),0),"")</f>
        <v/>
      </c>
      <c r="DI85" s="41"/>
      <c r="DJ85" s="42" t="str">
        <f ca="1">IFERROR(AVERAGE(OFFSET('Data - For Rank'!$J$2,AY85,0,COUNTIF(AY$6:AY$115,AY85)))+IFERROR(VLOOKUP((COUNT(AW$6:AW$115)/4),$ER$8:$ES$12,2,FALSE()),0),"")</f>
        <v/>
      </c>
      <c r="DK85" s="41"/>
      <c r="DL85" s="42" t="str">
        <f ca="1">IFERROR(AVERAGE(OFFSET('Data - For Rank'!$K$2,BD85,0,COUNTIF(BD$6:BD$115,BD85)))+IFERROR(VLOOKUP((COUNT(BB$6:BB$115)/4),$ER$8:$ES$12,2,FALSE()),0),"")</f>
        <v/>
      </c>
      <c r="DM85" s="41"/>
      <c r="DN85" s="42" t="str">
        <f ca="1">IFERROR(AVERAGE(OFFSET('Data - For Rank'!$L$2,BI85,0,COUNTIF(BI$6:BI$115,BI85)))+IFERROR(VLOOKUP((COUNT(BG$6:BG$115)/4),$ER$8:$ES$12,2,FALSE()),0),"")</f>
        <v/>
      </c>
      <c r="DO85" s="41"/>
      <c r="DP85" s="42" t="str">
        <f ca="1">IFERROR(AVERAGE(OFFSET('Data - For Rank'!$M$2,BN85,0,COUNTIF(BN$6:BN$115,BN85)))+IFERROR(VLOOKUP((COUNT(BL$6:BL$115)/4),$ER$8:$ES$12,2,FALSE()),0),"")</f>
        <v/>
      </c>
      <c r="DQ85" s="41"/>
      <c r="DR85" s="42" t="str">
        <f ca="1">IFERROR(AVERAGE(OFFSET('Data - For Rank'!$N$2,BS85,0,COUNTIF(BS$6:BS$115,BS85)))+IFERROR(VLOOKUP((COUNT(BQ$6:BQ$115)/4),$ER$8:$ES$12,2,FALSE()),0),"")</f>
        <v/>
      </c>
      <c r="DS85" s="41"/>
      <c r="DT85" s="42" t="str">
        <f ca="1">IFERROR(AVERAGE(OFFSET('Data - For Rank'!$O$2,BX85,0,COUNTIF(BX$6:BX$115,BX85)))+IFERROR(VLOOKUP((COUNT(BV$6:BV$115)/4),$ER$8:$ES$12,2,FALSE()),0),"")</f>
        <v/>
      </c>
      <c r="DU85" s="41"/>
      <c r="DV85" s="42" t="str">
        <f ca="1">IFERROR(AVERAGE(OFFSET('Data - For Rank'!$P$2,CC85,0,COUNTIF(CC$6:CC$115,CC85)))+IFERROR(VLOOKUP((COUNT(CA$6:CA$115)/4),$ER$8:$ES$12,2,FALSE()),0),"")</f>
        <v/>
      </c>
      <c r="DW85" s="41"/>
      <c r="DX85" s="42" t="str">
        <f ca="1">IFERROR(AVERAGE(OFFSET('Data - For Rank'!$Q$2,CH85,0,COUNTIF(CH$6:CH$115,CH85)))+IFERROR(VLOOKUP((COUNT(CF$6:CF$115)/4),$ER$8:$ES$12,2,FALSE()),0),"")</f>
        <v/>
      </c>
      <c r="DY85" s="41"/>
      <c r="DZ85" s="42" t="str">
        <f ca="1">IFERROR(AVERAGE(OFFSET('Data - For Rank'!$R$2,CM85,0,COUNTIF(CM$6:CM$115,CM85)))+IFERROR(VLOOKUP((COUNT(CK$6:CK$115)/4),$ER$8:$ES$12,2,FALSE()),0),"")</f>
        <v/>
      </c>
      <c r="EA85" s="41"/>
      <c r="EB85" s="42" t="str">
        <f ca="1">IFERROR(AVERAGE(OFFSET('Data - For Rank'!$S$2,CR85,0,COUNTIF(CR$6:CR$115,CR85)))+IFERROR(VLOOKUP((COUNT(CP$6:CP$115)/4),$ER$8:$ES$12,2,FALSE()),0),"")</f>
        <v/>
      </c>
      <c r="EC85" s="43">
        <f>IFERROR(AVERAGE(CS85,CU85,CW85,CY85,DA85,DC85,DE85,DG85,DI85,DK85,DM85,DO85,DQ85,DS85,DU85,DW85,DY85,EA85),0)</f>
        <v>0</v>
      </c>
      <c r="ED85" s="44">
        <f t="shared" ca="1" si="3"/>
        <v>0</v>
      </c>
    </row>
    <row r="86" spans="2:134" x14ac:dyDescent="0.2">
      <c r="B86" s="109">
        <f ca="1">_xlfn.RANK.EQ(C86,$C$72:$C$115,)</f>
        <v>2</v>
      </c>
      <c r="C86" s="110">
        <f ca="1">EC86</f>
        <v>0</v>
      </c>
      <c r="D86" s="110" t="s">
        <v>153</v>
      </c>
      <c r="E86" s="119" t="s">
        <v>154</v>
      </c>
      <c r="F86" s="112">
        <f ca="1">COUNT(CT86,CV86,CX86,CZ86,DB86,DD86,DF86,DH86,DJ86,DL86,DN86,DP86,DR86,DT86,DV86,DX86,DZ86,EB86)</f>
        <v>0</v>
      </c>
      <c r="G86" s="93" t="str">
        <f ca="1">IF(CT86=0,"",CT86)</f>
        <v/>
      </c>
      <c r="H86" s="93"/>
      <c r="I86" s="93"/>
      <c r="K86" s="93"/>
      <c r="L86" s="93" t="str">
        <f ca="1">IF(CV86=0,"",CV86)</f>
        <v/>
      </c>
      <c r="M86" s="93"/>
      <c r="N86" s="93"/>
      <c r="P86" s="93"/>
      <c r="Q86" s="93" t="str">
        <f ca="1">IF(CX86=0,"",CX86)</f>
        <v/>
      </c>
      <c r="R86" s="93"/>
      <c r="S86" s="93"/>
      <c r="U86" s="93"/>
      <c r="V86" s="93" t="str">
        <f ca="1">IF(CZ86=0,"",CZ86)</f>
        <v/>
      </c>
      <c r="W86" s="93"/>
      <c r="X86" s="93"/>
      <c r="Z86" s="93"/>
      <c r="AA86" s="93" t="str">
        <f ca="1">IF(DB86=0,"",DB86)</f>
        <v/>
      </c>
      <c r="AB86" s="93"/>
      <c r="AC86" s="93"/>
      <c r="AE86" s="93"/>
      <c r="AF86" s="93" t="str">
        <f ca="1">IF(DD86=0,"",DD86)</f>
        <v/>
      </c>
      <c r="AG86" s="93"/>
      <c r="AH86" s="93"/>
      <c r="AJ86" s="93"/>
      <c r="AK86" s="93" t="str">
        <f ca="1">IF(DF86=0,"",DF86)</f>
        <v/>
      </c>
      <c r="AL86" s="93"/>
      <c r="AM86" s="93"/>
      <c r="AO86" s="93"/>
      <c r="AP86" s="93" t="str">
        <f ca="1">IF(DH86=0,"",DH86)</f>
        <v/>
      </c>
      <c r="AQ86" s="93"/>
      <c r="AR86" s="93"/>
      <c r="AT86" s="93"/>
      <c r="AU86" s="93" t="str">
        <f ca="1">IF(DJ86=0,"",DJ86)</f>
        <v/>
      </c>
      <c r="AV86" s="93"/>
      <c r="AW86" s="93"/>
      <c r="AY86" s="93"/>
      <c r="AZ86" s="93" t="str">
        <f ca="1">IF(DL86=0,"",DL86)</f>
        <v/>
      </c>
      <c r="BA86" s="93"/>
      <c r="BB86" s="93"/>
      <c r="BD86" s="93"/>
      <c r="BE86" s="93" t="str">
        <f ca="1">IF(DN86=0,"",DN86)</f>
        <v/>
      </c>
      <c r="BF86" s="93"/>
      <c r="BG86" s="93"/>
      <c r="BI86" s="93"/>
      <c r="BJ86" s="93" t="str">
        <f ca="1">IF(DP86=0,"",DP86)</f>
        <v/>
      </c>
      <c r="BK86" s="93"/>
      <c r="BL86" s="93"/>
      <c r="BN86" s="93"/>
      <c r="BO86" s="93" t="str">
        <f ca="1">IF(DR86=0,"",DR86)</f>
        <v/>
      </c>
      <c r="BP86" s="93"/>
      <c r="BQ86" s="93"/>
      <c r="BS86" s="93"/>
      <c r="BT86" s="93" t="str">
        <f ca="1">IF(DT86=0,"",DT86)</f>
        <v/>
      </c>
      <c r="BU86" s="93"/>
      <c r="BV86" s="93"/>
      <c r="BX86" s="93"/>
      <c r="BY86" s="93" t="str">
        <f ca="1">IF(DV86=0,"",DV86)</f>
        <v/>
      </c>
      <c r="BZ86" s="93"/>
      <c r="CA86" s="93"/>
      <c r="CC86" s="93"/>
      <c r="CD86" s="93" t="str">
        <f ca="1">IF(DX86=0,"",DX86)</f>
        <v/>
      </c>
      <c r="CE86" s="93"/>
      <c r="CF86" s="93"/>
      <c r="CH86" s="93"/>
      <c r="CI86" s="93" t="str">
        <f ca="1">IF(DZ86=0,"",DZ86)</f>
        <v/>
      </c>
      <c r="CJ86" s="93"/>
      <c r="CK86" s="93"/>
      <c r="CM86" s="93"/>
      <c r="CN86" s="93" t="str">
        <f ca="1">IF(EB86=0,"",EB86)</f>
        <v/>
      </c>
      <c r="CO86" s="93"/>
      <c r="CP86" s="93"/>
      <c r="CR86" s="93"/>
      <c r="CS86" s="31"/>
      <c r="CT86" s="32" t="str">
        <f ca="1">IFERROR(CT87+CT88,"")</f>
        <v/>
      </c>
      <c r="CU86" s="31"/>
      <c r="CV86" s="32" t="str">
        <f ca="1">IFERROR(CV87+CV88,"")</f>
        <v/>
      </c>
      <c r="CW86" s="31"/>
      <c r="CX86" s="32" t="str">
        <f ca="1">IFERROR(CX87+CX88,"")</f>
        <v/>
      </c>
      <c r="CY86" s="31"/>
      <c r="CZ86" s="32" t="str">
        <f ca="1">IFERROR(CZ87+CZ88,"")</f>
        <v/>
      </c>
      <c r="DA86" s="31"/>
      <c r="DB86" s="32" t="str">
        <f ca="1">IFERROR(DB87+DB88,"")</f>
        <v/>
      </c>
      <c r="DC86" s="31"/>
      <c r="DD86" s="32" t="str">
        <f ca="1">IFERROR(DD87+DD88,"")</f>
        <v/>
      </c>
      <c r="DE86" s="31"/>
      <c r="DF86" s="32" t="str">
        <f ca="1">IFERROR(DF87+DF88,"")</f>
        <v/>
      </c>
      <c r="DG86" s="31"/>
      <c r="DH86" s="32" t="str">
        <f ca="1">IFERROR(DH87+DH88,"")</f>
        <v/>
      </c>
      <c r="DI86" s="31"/>
      <c r="DJ86" s="32" t="str">
        <f ca="1">IFERROR(DJ87+DJ88,"")</f>
        <v/>
      </c>
      <c r="DK86" s="31"/>
      <c r="DL86" s="32" t="str">
        <f ca="1">IFERROR(DL87+DL88,"")</f>
        <v/>
      </c>
      <c r="DM86" s="31"/>
      <c r="DN86" s="32" t="str">
        <f ca="1">IFERROR(DN87+DN88,"")</f>
        <v/>
      </c>
      <c r="DO86" s="31"/>
      <c r="DP86" s="32" t="str">
        <f ca="1">IFERROR(DP87+DP88,"")</f>
        <v/>
      </c>
      <c r="DQ86" s="31"/>
      <c r="DR86" s="32" t="str">
        <f ca="1">IFERROR(DR87+DR88,"")</f>
        <v/>
      </c>
      <c r="DS86" s="31"/>
      <c r="DT86" s="32" t="str">
        <f ca="1">IFERROR(DT87+DT88,"")</f>
        <v/>
      </c>
      <c r="DU86" s="31"/>
      <c r="DV86" s="32" t="str">
        <f ca="1">IFERROR(DV87+DV88,"")</f>
        <v/>
      </c>
      <c r="DW86" s="31"/>
      <c r="DX86" s="32" t="str">
        <f ca="1">IFERROR(DX87+DX88,"")</f>
        <v/>
      </c>
      <c r="DY86" s="31"/>
      <c r="DZ86" s="32" t="str">
        <f ca="1">IFERROR(DZ87+DZ88,"")</f>
        <v/>
      </c>
      <c r="EA86" s="31"/>
      <c r="EB86" s="32" t="str">
        <f ca="1">IFERROR(EB87+EB88,"")</f>
        <v/>
      </c>
      <c r="EC86" s="26">
        <f ca="1">IFERROR(LARGE($G86:$CN86,1),0)+IFERROR(LARGE($G86:$CN86,2),0)+IFERROR(LARGE($G86:$CN86,3),0)+IFERROR(LARGE($G86:$CN86,4),0)+IFERROR(LARGE($G86:$CN86,5),0)+IFERROR(LARGE($G86:$CN86,6),0)+IFERROR(LARGE($G86:$CN86,7),0)+IFERROR(LARGE($G86:$CN86,8),0)+IFERROR(LARGE($G86:$CN86,9),0)+IFERROR(LARGE($G86:$CN86,10),0)</f>
        <v>0</v>
      </c>
      <c r="ED86" s="33">
        <f t="shared" ca="1" si="3"/>
        <v>0</v>
      </c>
    </row>
    <row r="87" spans="2:134" outlineLevel="1" x14ac:dyDescent="0.2">
      <c r="B87" s="113">
        <f>B85+0.0212</f>
        <v>0.75839999999999996</v>
      </c>
      <c r="C87" s="109"/>
      <c r="D87" s="109" t="s">
        <v>155</v>
      </c>
      <c r="E87" s="114" t="s">
        <v>38</v>
      </c>
      <c r="F87" s="115"/>
      <c r="G87" s="35"/>
      <c r="H87" s="35" t="str">
        <f>IF(CS87=0,"",CS87)</f>
        <v/>
      </c>
      <c r="I87" s="35"/>
      <c r="J87" s="93" t="str">
        <f>IFERROR(RANK(H87,H$6:H$115,0),"")</f>
        <v/>
      </c>
      <c r="K87" s="35"/>
      <c r="L87" s="35"/>
      <c r="M87" s="35" t="str">
        <f>IF(CU87=0,"",CU87)</f>
        <v/>
      </c>
      <c r="N87" s="35"/>
      <c r="O87" s="93" t="str">
        <f>IFERROR(RANK(M87,M$6:M$115,0),"")</f>
        <v/>
      </c>
      <c r="P87" s="35"/>
      <c r="Q87" s="35"/>
      <c r="R87" s="35" t="str">
        <f>IF(CW87=0,"",CW87)</f>
        <v/>
      </c>
      <c r="S87" s="35"/>
      <c r="T87" s="93" t="str">
        <f>IFERROR(RANK(R87,R$6:R$115,0),"")</f>
        <v/>
      </c>
      <c r="U87" s="35"/>
      <c r="V87" s="35"/>
      <c r="W87" s="35" t="str">
        <f>IF(CY87=0,"",CY87)</f>
        <v/>
      </c>
      <c r="X87" s="35"/>
      <c r="Y87" s="93" t="str">
        <f>IFERROR(RANK(W87,W$6:W$115,0),"")</f>
        <v/>
      </c>
      <c r="Z87" s="35"/>
      <c r="AA87" s="35"/>
      <c r="AB87" s="35" t="str">
        <f>IF(DA87=0,"",DA87)</f>
        <v/>
      </c>
      <c r="AC87" s="35"/>
      <c r="AD87" s="93" t="str">
        <f>IFERROR(RANK(AB87,AB$6:AB$115,0),"")</f>
        <v/>
      </c>
      <c r="AE87" s="35"/>
      <c r="AF87" s="35"/>
      <c r="AG87" s="35" t="str">
        <f>IF(DC87=0,"",DC87)</f>
        <v/>
      </c>
      <c r="AH87" s="35"/>
      <c r="AI87" s="93" t="str">
        <f>IFERROR(RANK(AG87,AG$6:AG$115,0),"")</f>
        <v/>
      </c>
      <c r="AJ87" s="35"/>
      <c r="AK87" s="35"/>
      <c r="AL87" s="35" t="str">
        <f>IF(DE87=0,"",DE87)</f>
        <v/>
      </c>
      <c r="AM87" s="35"/>
      <c r="AN87" s="93" t="str">
        <f>IFERROR(RANK(AL87,AL$6:AL$115,0),"")</f>
        <v/>
      </c>
      <c r="AO87" s="35"/>
      <c r="AP87" s="35"/>
      <c r="AQ87" s="35" t="str">
        <f>IF(DG87=0,"",DG87)</f>
        <v/>
      </c>
      <c r="AR87" s="35"/>
      <c r="AS87" s="93" t="str">
        <f>IFERROR(RANK(AQ87,AQ$6:AQ$115,0),"")</f>
        <v/>
      </c>
      <c r="AT87" s="35"/>
      <c r="AU87" s="35"/>
      <c r="AV87" s="35" t="str">
        <f>IF(DI87=0,"",DI87)</f>
        <v/>
      </c>
      <c r="AW87" s="35"/>
      <c r="AX87" s="93" t="str">
        <f>IFERROR(RANK(AV87,AV$6:AV$115,0),"")</f>
        <v/>
      </c>
      <c r="AY87" s="35"/>
      <c r="AZ87" s="35"/>
      <c r="BA87" s="35" t="str">
        <f>IF(DK87=0,"",DK87)</f>
        <v/>
      </c>
      <c r="BB87" s="35"/>
      <c r="BC87" s="93" t="str">
        <f>IFERROR(RANK(BA87,BA$6:BA$115,0),"")</f>
        <v/>
      </c>
      <c r="BD87" s="35"/>
      <c r="BE87" s="35"/>
      <c r="BF87" s="35" t="str">
        <f>IF(DM87=0,"",DM87)</f>
        <v/>
      </c>
      <c r="BG87" s="35"/>
      <c r="BH87" s="93" t="str">
        <f>IFERROR(RANK(BF87,BF$6:BF$115,0),"")</f>
        <v/>
      </c>
      <c r="BI87" s="35"/>
      <c r="BJ87" s="35"/>
      <c r="BK87" s="35" t="str">
        <f>IF(DO87=0,"",DO87)</f>
        <v/>
      </c>
      <c r="BL87" s="35"/>
      <c r="BM87" s="93" t="str">
        <f>IFERROR(RANK(BK87,BK$6:BK$115,0),"")</f>
        <v/>
      </c>
      <c r="BN87" s="35"/>
      <c r="BO87" s="35"/>
      <c r="BP87" s="35" t="str">
        <f>IF(DQ87=0,"",DQ87)</f>
        <v/>
      </c>
      <c r="BQ87" s="35"/>
      <c r="BR87" s="93" t="str">
        <f>IFERROR(RANK(BP87,BP$6:BP$115,0),"")</f>
        <v/>
      </c>
      <c r="BS87" s="35"/>
      <c r="BT87" s="35"/>
      <c r="BU87" s="35" t="str">
        <f>IF(DS87=0,"",DS87)</f>
        <v/>
      </c>
      <c r="BV87" s="35"/>
      <c r="BW87" s="93" t="str">
        <f>IFERROR(RANK(BU87,BU$6:BU$115,0),"")</f>
        <v/>
      </c>
      <c r="BX87" s="35"/>
      <c r="BY87" s="35"/>
      <c r="BZ87" s="35" t="str">
        <f>IF(DU87=0,"",DU87)</f>
        <v/>
      </c>
      <c r="CA87" s="35"/>
      <c r="CB87" s="93" t="str">
        <f>IFERROR(RANK(BZ87,BZ$6:BZ$115,0),"")</f>
        <v/>
      </c>
      <c r="CC87" s="35"/>
      <c r="CD87" s="35"/>
      <c r="CE87" s="35" t="str">
        <f>IF(DW87=0,"",DW87)</f>
        <v/>
      </c>
      <c r="CF87" s="35"/>
      <c r="CG87" s="93" t="str">
        <f>IFERROR(RANK(CE87,CE$6:CE$115,0),"")</f>
        <v/>
      </c>
      <c r="CH87" s="35"/>
      <c r="CI87" s="35"/>
      <c r="CJ87" s="35" t="str">
        <f>IF(DY87=0,"",DY87)</f>
        <v/>
      </c>
      <c r="CK87" s="35"/>
      <c r="CL87" s="93" t="str">
        <f>IFERROR(RANK(CJ87,CJ$6:CJ$115,0),"")</f>
        <v/>
      </c>
      <c r="CM87" s="35"/>
      <c r="CN87" s="35"/>
      <c r="CO87" s="35" t="str">
        <f>IF(EA87=0,"",EA87)</f>
        <v/>
      </c>
      <c r="CP87" s="35"/>
      <c r="CQ87" s="93" t="str">
        <f>IFERROR(RANK(CO87,CO$6:CO$115,0),"")</f>
        <v/>
      </c>
      <c r="CR87" s="35"/>
      <c r="CS87" s="31"/>
      <c r="CT87" s="36" t="str">
        <f ca="1">IFERROR(AVERAGE(OFFSET('Data - For Rank'!B$2,J87,0,COUNTIF($J$7:J$115,J87)))+IFERROR(VLOOKUP((COUNT($H$6:$H$115)/4),$ER$8:$ES$12,2,FALSE()),0),"")</f>
        <v/>
      </c>
      <c r="CU87" s="31"/>
      <c r="CV87" s="36" t="str">
        <f ca="1">IFERROR(AVERAGE(OFFSET('Data - For Rank'!$C$2,O87,0,COUNTIF(O$7:O$115,O87)))+IFERROR(VLOOKUP((COUNT(M$6:M$115)/4),$ER$8:$ES$12,2,FALSE()),0),"")</f>
        <v/>
      </c>
      <c r="CW87" s="31"/>
      <c r="CX87" s="36" t="str">
        <f ca="1">IFERROR(AVERAGE(OFFSET('Data - For Rank'!D$2,T87,0,COUNTIF(T$7:T$115,T87)))+IFERROR(VLOOKUP((COUNT(R$6:R$115)/4),$ER$8:$ES$12,2,FALSE()),0),"")</f>
        <v/>
      </c>
      <c r="CY87" s="31"/>
      <c r="CZ87" s="36" t="str">
        <f ca="1">IFERROR(AVERAGE(OFFSET('Data - For Rank'!E$2,Y87,0,COUNTIF(Y$7:Y$115,Y87)))+IFERROR(VLOOKUP((COUNT(W$6:W$115)/4),$ER$8:$ES$12,2,FALSE()),0),"")</f>
        <v/>
      </c>
      <c r="DA87" s="31"/>
      <c r="DB87" s="36" t="str">
        <f ca="1">IFERROR(AVERAGE(OFFSET('Data - For Rank'!F$2,AD87,0,COUNTIF(AD$7:AD$115,AD87)))+IFERROR(VLOOKUP((COUNT(AB$6:AB$115)/4),$ER$8:$ES$12,2,FALSE()),0),"")</f>
        <v/>
      </c>
      <c r="DC87" s="31"/>
      <c r="DD87" s="36" t="str">
        <f ca="1">IFERROR(AVERAGE(OFFSET('Data - For Rank'!G$2,AI87,0,COUNTIF(AI$7:AI$115,AI87)))+IFERROR(VLOOKUP((COUNT(AG$6:AG$115)/4),$ER$8:$ES$12,2,FALSE()),0),"")</f>
        <v/>
      </c>
      <c r="DE87" s="31"/>
      <c r="DF87" s="36" t="str">
        <f ca="1">IFERROR(AVERAGE(OFFSET('Data - For Rank'!$H$2,AN87,0,COUNTIF(AN$7:AN$115,AN87)))+IFERROR(VLOOKUP((COUNT(AL$6:AL$115)/4),$ER$8:$ES$12,2,FALSE()),0),"")</f>
        <v/>
      </c>
      <c r="DG87" s="31"/>
      <c r="DH87" s="36" t="str">
        <f ca="1">IFERROR(AVERAGE(OFFSET('Data - For Rank'!$I$2,AS87,0,COUNTIF(AS$7:AS$115,AS87)))+IFERROR(VLOOKUP((COUNT(AQ$6:AQ$115)/4),$ER$8:$ES$12,2,FALSE()),0),"")</f>
        <v/>
      </c>
      <c r="DI87" s="31"/>
      <c r="DJ87" s="36" t="str">
        <f ca="1">IFERROR(AVERAGE(OFFSET('Data - For Rank'!$J$2,AX87,0,COUNTIF(AX$7:AX$115,AX87)))+IFERROR(VLOOKUP((COUNT(AV$6:AV$115)/4),$ER$8:$ES$12,2,FALSE()),0),"")</f>
        <v/>
      </c>
      <c r="DK87" s="31"/>
      <c r="DL87" s="36" t="str">
        <f ca="1">IFERROR(AVERAGE(OFFSET('Data - For Rank'!$K$2,BC87,0,COUNTIF(BC$7:BC$115,BC87)))+IFERROR(VLOOKUP((COUNT(BA$6:BA$115)/4),$ER$8:$ES$12,2,FALSE()),0),"")</f>
        <v/>
      </c>
      <c r="DM87" s="31"/>
      <c r="DN87" s="36" t="str">
        <f ca="1">IFERROR(AVERAGE(OFFSET('Data - For Rank'!$L$2,BH87,0,COUNTIF(BH$7:BH$115,BH87)))+IFERROR(VLOOKUP((COUNT(BF$6:BF$115)/4),$ER$8:$ES$12,2,FALSE()),0),"")</f>
        <v/>
      </c>
      <c r="DO87" s="31"/>
      <c r="DP87" s="36" t="str">
        <f ca="1">IFERROR(AVERAGE(OFFSET('Data - For Rank'!$M$2,BM87,0,COUNTIF(BM$7:BM$115,BM87)))+IFERROR(VLOOKUP((COUNT(BK$6:BK$115)/4),$ER$8:$ES$12,2,FALSE()),0),"")</f>
        <v/>
      </c>
      <c r="DQ87" s="31"/>
      <c r="DR87" s="36" t="str">
        <f ca="1">IFERROR(AVERAGE(OFFSET('Data - For Rank'!$N$2,BR87,0,COUNTIF(BR$7:BR$115,BR87)))+IFERROR(VLOOKUP((COUNT(BP$6:BP$115)/4),$ER$8:$ES$12,2,FALSE()),0),"")</f>
        <v/>
      </c>
      <c r="DS87" s="31"/>
      <c r="DT87" s="36" t="str">
        <f ca="1">IFERROR(AVERAGE(OFFSET('Data - For Rank'!$O$2,BW87,0,COUNTIF(BW$7:BW$115,BW87)))+IFERROR(VLOOKUP((COUNT(BU$6:BU$115)/4),$ER$8:$ES$12,2,FALSE()),0),"")</f>
        <v/>
      </c>
      <c r="DU87" s="31"/>
      <c r="DV87" s="36" t="str">
        <f ca="1">IFERROR(AVERAGE(OFFSET('Data - For Rank'!$P$2,CB87,0,COUNTIF(CB$7:CB$115,CB87)))+IFERROR(VLOOKUP((COUNT(BZ$6:BZ$115)/4),$ER$8:$ES$12,2,FALSE()),0),"")</f>
        <v/>
      </c>
      <c r="DW87" s="31"/>
      <c r="DX87" s="36" t="str">
        <f ca="1">IFERROR(AVERAGE(OFFSET('Data - For Rank'!$Q$2,CG87,0,COUNTIF(CG$7:CG$115,CG87)))+IFERROR(VLOOKUP((COUNT(CE$6:CE$115)/4),$ER$8:$ES$12,2,FALSE()),0),"")</f>
        <v/>
      </c>
      <c r="DY87" s="31"/>
      <c r="DZ87" s="36" t="str">
        <f ca="1">IFERROR(AVERAGE(OFFSET('Data - For Rank'!$R$2,CL87,0,COUNTIF(CL$7:CL$115,CL87)))+IFERROR(VLOOKUP((COUNT(CJ$6:CJ$115)/4),$ER$8:$ES$12,2,FALSE()),0),"")</f>
        <v/>
      </c>
      <c r="EA87" s="31"/>
      <c r="EB87" s="36" t="str">
        <f ca="1">IFERROR(AVERAGE(OFFSET('Data - For Rank'!$S$2,CQ87,0,COUNTIF(CQ$7:CQ$115,CQ87)))+IFERROR(VLOOKUP((COUNT(CO$6:CO$115)/4),$ER$8:$ES$12,2,FALSE()),0),"")</f>
        <v/>
      </c>
      <c r="EC87" s="37">
        <f>CS87+CU87+CW87+CY87+DA87+DC87+DE87+DG87+DI87+DK87+DM87+DO87+DQ87+DS87+DU87+DW87+DY87+EA87</f>
        <v>0</v>
      </c>
      <c r="ED87" s="33">
        <f t="shared" ca="1" si="3"/>
        <v>0</v>
      </c>
    </row>
    <row r="88" spans="2:134" outlineLevel="1" x14ac:dyDescent="0.2">
      <c r="B88" s="116">
        <f>B87+0.112</f>
        <v>0.87039999999999995</v>
      </c>
      <c r="C88" s="109"/>
      <c r="D88" s="109" t="s">
        <v>156</v>
      </c>
      <c r="E88" s="117" t="s">
        <v>39</v>
      </c>
      <c r="F88" s="118"/>
      <c r="G88" s="40"/>
      <c r="H88" s="40"/>
      <c r="I88" s="96" t="str">
        <f>IF(CS88=0,"",CS88)</f>
        <v/>
      </c>
      <c r="J88" s="96"/>
      <c r="K88" s="97" t="str">
        <f>IFERROR(_xlfn.RANK.EQ(I88,I$6:I$115,0),"")</f>
        <v/>
      </c>
      <c r="L88" s="40"/>
      <c r="M88" s="40"/>
      <c r="N88" s="96" t="str">
        <f>IF(CU88=0,"",CU88)</f>
        <v/>
      </c>
      <c r="O88" s="96"/>
      <c r="P88" s="97" t="str">
        <f>IFERROR(_xlfn.RANK.EQ(N88,N$6:N$115,0),"")</f>
        <v/>
      </c>
      <c r="Q88" s="40"/>
      <c r="R88" s="40"/>
      <c r="S88" s="96" t="str">
        <f>IF(CW88=0,"",CW88)</f>
        <v/>
      </c>
      <c r="T88" s="96"/>
      <c r="U88" s="97" t="str">
        <f>IFERROR(_xlfn.RANK.EQ(S88,S$6:S$115,0),"")</f>
        <v/>
      </c>
      <c r="V88" s="40"/>
      <c r="W88" s="40"/>
      <c r="X88" s="96" t="str">
        <f>IF(CY88=0,"",CY88)</f>
        <v/>
      </c>
      <c r="Y88" s="96"/>
      <c r="Z88" s="97" t="str">
        <f>IFERROR(_xlfn.RANK.EQ(X88,X$6:X$115,0),"")</f>
        <v/>
      </c>
      <c r="AA88" s="40"/>
      <c r="AB88" s="40"/>
      <c r="AC88" s="96" t="str">
        <f>IF(DA88=0,"",DA88)</f>
        <v/>
      </c>
      <c r="AD88" s="96"/>
      <c r="AE88" s="97" t="str">
        <f>IFERROR(_xlfn.RANK.EQ(AC88,AC$6:AC$115,0),"")</f>
        <v/>
      </c>
      <c r="AF88" s="40"/>
      <c r="AG88" s="40"/>
      <c r="AH88" s="96" t="str">
        <f>IF(DC88=0,"",DC88)</f>
        <v/>
      </c>
      <c r="AI88" s="96"/>
      <c r="AJ88" s="97" t="str">
        <f>IFERROR(_xlfn.RANK.EQ(AH88,AH$6:AH$115,0),"")</f>
        <v/>
      </c>
      <c r="AK88" s="40"/>
      <c r="AL88" s="40"/>
      <c r="AM88" s="96" t="str">
        <f>IF(DE88=0,"",DE88)</f>
        <v/>
      </c>
      <c r="AN88" s="96"/>
      <c r="AO88" s="97" t="str">
        <f>IFERROR(_xlfn.RANK.EQ(AM88,AM$6:AM$115,0),"")</f>
        <v/>
      </c>
      <c r="AP88" s="40"/>
      <c r="AQ88" s="40"/>
      <c r="AR88" s="96" t="str">
        <f>IF(DG88=0,"",DG88)</f>
        <v/>
      </c>
      <c r="AS88" s="96"/>
      <c r="AT88" s="97" t="str">
        <f>IFERROR(_xlfn.RANK.EQ(AR88,AR$6:AR$115,0),"")</f>
        <v/>
      </c>
      <c r="AU88" s="40"/>
      <c r="AV88" s="40"/>
      <c r="AW88" s="96" t="str">
        <f>IF(DI88=0,"",DI88)</f>
        <v/>
      </c>
      <c r="AX88" s="96"/>
      <c r="AY88" s="97" t="str">
        <f>IFERROR(_xlfn.RANK.EQ(AW88,AW$6:AW$115,0),"")</f>
        <v/>
      </c>
      <c r="AZ88" s="40"/>
      <c r="BA88" s="40"/>
      <c r="BB88" s="96" t="str">
        <f>IF(DK88=0,"",DK88)</f>
        <v/>
      </c>
      <c r="BC88" s="96"/>
      <c r="BD88" s="97" t="str">
        <f>IFERROR(_xlfn.RANK.EQ(BB88,BB$6:BB$115,0),"")</f>
        <v/>
      </c>
      <c r="BE88" s="40"/>
      <c r="BF88" s="40"/>
      <c r="BG88" s="96" t="str">
        <f>IF(DM88=0,"",DM88)</f>
        <v/>
      </c>
      <c r="BH88" s="96"/>
      <c r="BI88" s="97" t="str">
        <f>IFERROR(_xlfn.RANK.EQ(BG88,BG$6:BG$115,0),"")</f>
        <v/>
      </c>
      <c r="BJ88" s="40"/>
      <c r="BK88" s="40"/>
      <c r="BL88" s="96" t="str">
        <f>IF(DO88=0,"",DO88)</f>
        <v/>
      </c>
      <c r="BM88" s="96"/>
      <c r="BN88" s="97" t="str">
        <f>IFERROR(_xlfn.RANK.EQ(BL88,BL$6:BL$115,0),"")</f>
        <v/>
      </c>
      <c r="BO88" s="40"/>
      <c r="BP88" s="40"/>
      <c r="BQ88" s="96" t="str">
        <f>IF(DQ88=0,"",DQ88)</f>
        <v/>
      </c>
      <c r="BR88" s="96"/>
      <c r="BS88" s="97" t="str">
        <f>IFERROR(_xlfn.RANK.EQ(BQ88,BQ$6:BQ$115,0),"")</f>
        <v/>
      </c>
      <c r="BT88" s="40"/>
      <c r="BU88" s="40"/>
      <c r="BV88" s="96" t="str">
        <f>IF(DS88=0,"",DS88)</f>
        <v/>
      </c>
      <c r="BW88" s="96"/>
      <c r="BX88" s="97" t="str">
        <f>IFERROR(_xlfn.RANK.EQ(BV88,BV$6:BV$115,0),"")</f>
        <v/>
      </c>
      <c r="BY88" s="40"/>
      <c r="BZ88" s="40"/>
      <c r="CA88" s="96" t="str">
        <f>IF(DU88=0,"",DU88)</f>
        <v/>
      </c>
      <c r="CB88" s="96"/>
      <c r="CC88" s="97" t="str">
        <f>IFERROR(_xlfn.RANK.EQ(CA88,CA$6:CA$115,0),"")</f>
        <v/>
      </c>
      <c r="CD88" s="40"/>
      <c r="CE88" s="40"/>
      <c r="CF88" s="96" t="str">
        <f>IF(DW88=0,"",DW88)</f>
        <v/>
      </c>
      <c r="CG88" s="96"/>
      <c r="CH88" s="97" t="str">
        <f>IFERROR(_xlfn.RANK.EQ(CF88,CF$6:CF$115,0),"")</f>
        <v/>
      </c>
      <c r="CI88" s="40"/>
      <c r="CJ88" s="40"/>
      <c r="CK88" s="96" t="str">
        <f>IF(DY88=0,"",DY88)</f>
        <v/>
      </c>
      <c r="CL88" s="96"/>
      <c r="CM88" s="97" t="str">
        <f>IFERROR(_xlfn.RANK.EQ(CK88,CK$6:CK$115,0),"")</f>
        <v/>
      </c>
      <c r="CN88" s="40"/>
      <c r="CO88" s="40"/>
      <c r="CP88" s="96" t="str">
        <f>IF(EA88=0,"",EA88)</f>
        <v/>
      </c>
      <c r="CQ88" s="96"/>
      <c r="CR88" s="97" t="str">
        <f>IFERROR(_xlfn.RANK.EQ(CP88,CP$6:CP$115,0),"")</f>
        <v/>
      </c>
      <c r="CS88" s="41"/>
      <c r="CT88" s="42" t="str">
        <f ca="1">IFERROR(AVERAGE(OFFSET('Data - For Rank'!B$2,K88,0,COUNTIF(K$6:K$115,K88)))+IFERROR(VLOOKUP((COUNT($I$6:$I$115)/4),$ER$8:$ES$12,2,FALSE()),0),"")</f>
        <v/>
      </c>
      <c r="CU88" s="41"/>
      <c r="CV88" s="42" t="str">
        <f ca="1">IFERROR(AVERAGE(OFFSET('Data - For Rank'!$C$2,P88,0,COUNTIF(P$6:P$115,P88)))+IFERROR(VLOOKUP((COUNT(N$6:N$115)/4),$ER$8:$ES$12,2,FALSE()),0),"")</f>
        <v/>
      </c>
      <c r="CW88" s="41"/>
      <c r="CX88" s="42" t="str">
        <f ca="1">IFERROR(AVERAGE(OFFSET('Data - For Rank'!D$2,U88,0,COUNTIF(U$6:$U195,U88)))+IFERROR(VLOOKUP((COUNT(S$6:S$115)/4),$ER$8:$ES$12,2,FALSE()),0),"")</f>
        <v/>
      </c>
      <c r="CY88" s="41"/>
      <c r="CZ88" s="42" t="str">
        <f ca="1">IFERROR(AVERAGE(OFFSET('Data - For Rank'!E$2,Z88,0,COUNTIF(Z$6:Z$115,Z88)))+IFERROR(VLOOKUP((COUNT(W$6:W$115)/4),$ER$8:$ES$12,2,FALSE()),0),"")</f>
        <v/>
      </c>
      <c r="DA88" s="41"/>
      <c r="DB88" s="42" t="str">
        <f ca="1">IFERROR(AVERAGE(OFFSET('Data - For Rank'!F$2,AE88,0,COUNTIF(AE$6:AE$115,AE88)))+IFERROR(VLOOKUP((COUNT(AC$6:AC$115)/4),$ER$8:$ES$12,2,FALSE()),0),"")</f>
        <v/>
      </c>
      <c r="DC88" s="41"/>
      <c r="DD88" s="42" t="str">
        <f ca="1">IFERROR(AVERAGE(OFFSET('Data - For Rank'!G$2,AJ88,0,COUNTIF(AJ$6:AJ$115,AJ88)))+IFERROR(VLOOKUP((COUNT(AH$6:AH$115)/4),$ER$8:$ES$12,2,FALSE()),0),"")</f>
        <v/>
      </c>
      <c r="DE88" s="41"/>
      <c r="DF88" s="42" t="str">
        <f ca="1">IFERROR(AVERAGE(OFFSET('Data - For Rank'!$H$2,AO88,0,COUNTIF(AO$6:AO$115,AO88)))+IFERROR(VLOOKUP((COUNT(AM$6:AM$115)/4),$ER$8:$ES$12,2,FALSE()),0),"")</f>
        <v/>
      </c>
      <c r="DG88" s="41"/>
      <c r="DH88" s="42" t="str">
        <f ca="1">IFERROR(AVERAGE(OFFSET('Data - For Rank'!$I$2,AT88,0,COUNTIF(AT$6:AT$115,AT88)))+IFERROR(VLOOKUP((COUNT(AR$6:AR$115)/4),$ER$8:$ES$12,2,FALSE()),0),"")</f>
        <v/>
      </c>
      <c r="DI88" s="41"/>
      <c r="DJ88" s="42" t="str">
        <f ca="1">IFERROR(AVERAGE(OFFSET('Data - For Rank'!$J$2,AY88,0,COUNTIF(AY$6:AY$115,AY88)))+IFERROR(VLOOKUP((COUNT(AW$6:AW$115)/4),$ER$8:$ES$12,2,FALSE()),0),"")</f>
        <v/>
      </c>
      <c r="DK88" s="41"/>
      <c r="DL88" s="42" t="str">
        <f ca="1">IFERROR(AVERAGE(OFFSET('Data - For Rank'!$K$2,BD88,0,COUNTIF(BD$6:BD$115,BD88)))+IFERROR(VLOOKUP((COUNT(BB$6:BB$115)/4),$ER$8:$ES$12,2,FALSE()),0),"")</f>
        <v/>
      </c>
      <c r="DM88" s="41"/>
      <c r="DN88" s="42" t="str">
        <f ca="1">IFERROR(AVERAGE(OFFSET('Data - For Rank'!$L$2,BI88,0,COUNTIF(BI$6:BI$115,BI88)))+IFERROR(VLOOKUP((COUNT(BG$6:BG$115)/4),$ER$8:$ES$12,2,FALSE()),0),"")</f>
        <v/>
      </c>
      <c r="DO88" s="41"/>
      <c r="DP88" s="42" t="str">
        <f ca="1">IFERROR(AVERAGE(OFFSET('Data - For Rank'!$M$2,BN88,0,COUNTIF(BN$6:BN$115,BN88)))+IFERROR(VLOOKUP((COUNT(BL$6:BL$115)/4),$ER$8:$ES$12,2,FALSE()),0),"")</f>
        <v/>
      </c>
      <c r="DQ88" s="41"/>
      <c r="DR88" s="42" t="str">
        <f ca="1">IFERROR(AVERAGE(OFFSET('Data - For Rank'!$N$2,BS88,0,COUNTIF(BS$6:BS$115,BS88)))+IFERROR(VLOOKUP((COUNT(BQ$6:BQ$115)/4),$ER$8:$ES$12,2,FALSE()),0),"")</f>
        <v/>
      </c>
      <c r="DS88" s="41"/>
      <c r="DT88" s="42" t="str">
        <f ca="1">IFERROR(AVERAGE(OFFSET('Data - For Rank'!$O$2,BX88,0,COUNTIF(BX$6:BX$115,BX88)))+IFERROR(VLOOKUP((COUNT(BV$6:BV$115)/4),$ER$8:$ES$12,2,FALSE()),0),"")</f>
        <v/>
      </c>
      <c r="DU88" s="41"/>
      <c r="DV88" s="42" t="str">
        <f ca="1">IFERROR(AVERAGE(OFFSET('Data - For Rank'!$P$2,CC88,0,COUNTIF(CC$6:CC$115,CC88)))+IFERROR(VLOOKUP((COUNT(CA$6:CA$115)/4),$ER$8:$ES$12,2,FALSE()),0),"")</f>
        <v/>
      </c>
      <c r="DW88" s="41"/>
      <c r="DX88" s="42" t="str">
        <f ca="1">IFERROR(AVERAGE(OFFSET('Data - For Rank'!$Q$2,CH88,0,COUNTIF(CH$6:CH$115,CH88)))+IFERROR(VLOOKUP((COUNT(CF$6:CF$115)/4),$ER$8:$ES$12,2,FALSE()),0),"")</f>
        <v/>
      </c>
      <c r="DY88" s="41"/>
      <c r="DZ88" s="42" t="str">
        <f ca="1">IFERROR(AVERAGE(OFFSET('Data - For Rank'!$R$2,CM88,0,COUNTIF(CM$6:CM$115,CM88)))+IFERROR(VLOOKUP((COUNT(CK$6:CK$115)/4),$ER$8:$ES$12,2,FALSE()),0),"")</f>
        <v/>
      </c>
      <c r="EA88" s="41"/>
      <c r="EB88" s="42" t="str">
        <f ca="1">IFERROR(AVERAGE(OFFSET('Data - For Rank'!$S$2,CR88,0,COUNTIF(CR$6:CR$115,CR88)))+IFERROR(VLOOKUP((COUNT(CP$6:CP$115)/4),$ER$8:$ES$12,2,FALSE()),0),"")</f>
        <v/>
      </c>
      <c r="EC88" s="43">
        <f>IFERROR(AVERAGE(CS88,CU88,CW88,CY88,DA88,DC88,DE88,DG88,DI88,DK88,DM88,DO88,DQ88,DS88,DU88,DW88,DY88,EA88),0)</f>
        <v>0</v>
      </c>
      <c r="ED88" s="44">
        <f t="shared" ca="1" si="3"/>
        <v>0</v>
      </c>
    </row>
    <row r="89" spans="2:134" x14ac:dyDescent="0.2">
      <c r="B89" s="109">
        <f ca="1">_xlfn.RANK.EQ(C89,$C$72:$C$115,)</f>
        <v>2</v>
      </c>
      <c r="C89" s="110">
        <f ca="1">EC89</f>
        <v>0</v>
      </c>
      <c r="D89" s="110" t="s">
        <v>157</v>
      </c>
      <c r="E89" s="119" t="s">
        <v>158</v>
      </c>
      <c r="F89" s="112">
        <f ca="1">COUNT(CT89,CV89,CX89,CZ89,DB89,DD89,DF89,DH89,DJ89,DL89,DN89,DP89,DR89,DT89,DV89,DX89,DZ89,EB89)</f>
        <v>0</v>
      </c>
      <c r="G89" s="93" t="str">
        <f ca="1">IF(CT89=0,"",CT89)</f>
        <v/>
      </c>
      <c r="H89" s="93"/>
      <c r="I89" s="93"/>
      <c r="K89" s="93"/>
      <c r="L89" s="93" t="str">
        <f ca="1">IF(CV89=0,"",CV89)</f>
        <v/>
      </c>
      <c r="M89" s="93"/>
      <c r="N89" s="93"/>
      <c r="P89" s="93"/>
      <c r="Q89" s="93" t="str">
        <f ca="1">IF(CX89=0,"",CX89)</f>
        <v/>
      </c>
      <c r="R89" s="93"/>
      <c r="S89" s="93"/>
      <c r="U89" s="93"/>
      <c r="V89" s="93" t="str">
        <f ca="1">IF(CZ89=0,"",CZ89)</f>
        <v/>
      </c>
      <c r="W89" s="93"/>
      <c r="X89" s="93"/>
      <c r="Z89" s="93"/>
      <c r="AA89" s="93" t="str">
        <f ca="1">IF(DB89=0,"",DB89)</f>
        <v/>
      </c>
      <c r="AB89" s="93"/>
      <c r="AC89" s="93"/>
      <c r="AE89" s="93"/>
      <c r="AF89" s="93" t="str">
        <f ca="1">IF(DD89=0,"",DD89)</f>
        <v/>
      </c>
      <c r="AG89" s="93"/>
      <c r="AH89" s="93"/>
      <c r="AJ89" s="93"/>
      <c r="AK89" s="93" t="str">
        <f ca="1">IF(DF89=0,"",DF89)</f>
        <v/>
      </c>
      <c r="AL89" s="93"/>
      <c r="AM89" s="93"/>
      <c r="AO89" s="93"/>
      <c r="AP89" s="93" t="str">
        <f ca="1">IF(DH89=0,"",DH89)</f>
        <v/>
      </c>
      <c r="AQ89" s="93"/>
      <c r="AR89" s="93"/>
      <c r="AT89" s="93"/>
      <c r="AU89" s="93" t="str">
        <f ca="1">IF(DJ89=0,"",DJ89)</f>
        <v/>
      </c>
      <c r="AV89" s="93"/>
      <c r="AW89" s="93"/>
      <c r="AY89" s="93"/>
      <c r="AZ89" s="93" t="str">
        <f ca="1">IF(DL89=0,"",DL89)</f>
        <v/>
      </c>
      <c r="BA89" s="93"/>
      <c r="BB89" s="93"/>
      <c r="BD89" s="93"/>
      <c r="BE89" s="93" t="str">
        <f ca="1">IF(DN89=0,"",DN89)</f>
        <v/>
      </c>
      <c r="BF89" s="93"/>
      <c r="BG89" s="93"/>
      <c r="BI89" s="93"/>
      <c r="BJ89" s="93" t="str">
        <f ca="1">IF(DP89=0,"",DP89)</f>
        <v/>
      </c>
      <c r="BK89" s="93"/>
      <c r="BL89" s="93"/>
      <c r="BN89" s="93"/>
      <c r="BO89" s="93" t="str">
        <f ca="1">IF(DR89=0,"",DR89)</f>
        <v/>
      </c>
      <c r="BP89" s="93"/>
      <c r="BQ89" s="93"/>
      <c r="BS89" s="93"/>
      <c r="BT89" s="93" t="str">
        <f ca="1">IF(DT89=0,"",DT89)</f>
        <v/>
      </c>
      <c r="BU89" s="93"/>
      <c r="BV89" s="93"/>
      <c r="BX89" s="93"/>
      <c r="BY89" s="93" t="str">
        <f ca="1">IF(DV89=0,"",DV89)</f>
        <v/>
      </c>
      <c r="BZ89" s="93"/>
      <c r="CA89" s="93"/>
      <c r="CC89" s="93"/>
      <c r="CD89" s="93" t="str">
        <f ca="1">IF(DX89=0,"",DX89)</f>
        <v/>
      </c>
      <c r="CE89" s="93"/>
      <c r="CF89" s="93"/>
      <c r="CH89" s="93"/>
      <c r="CI89" s="93" t="str">
        <f ca="1">IF(DZ89=0,"",DZ89)</f>
        <v/>
      </c>
      <c r="CJ89" s="93"/>
      <c r="CK89" s="93"/>
      <c r="CM89" s="93"/>
      <c r="CN89" s="93" t="str">
        <f ca="1">IF(EB89=0,"",EB89)</f>
        <v/>
      </c>
      <c r="CO89" s="93"/>
      <c r="CP89" s="93"/>
      <c r="CR89" s="93"/>
      <c r="CS89" s="31"/>
      <c r="CT89" s="32" t="str">
        <f ca="1">IFERROR(CT90+CT91,"")</f>
        <v/>
      </c>
      <c r="CU89" s="31"/>
      <c r="CV89" s="32" t="str">
        <f ca="1">IFERROR(CV90+CV91,"")</f>
        <v/>
      </c>
      <c r="CW89" s="31"/>
      <c r="CX89" s="32" t="str">
        <f ca="1">IFERROR(CX90+CX91,"")</f>
        <v/>
      </c>
      <c r="CY89" s="31"/>
      <c r="CZ89" s="32" t="str">
        <f ca="1">IFERROR(CZ90+CZ91,"")</f>
        <v/>
      </c>
      <c r="DA89" s="31"/>
      <c r="DB89" s="32" t="str">
        <f ca="1">IFERROR(DB90+DB91,"")</f>
        <v/>
      </c>
      <c r="DC89" s="31"/>
      <c r="DD89" s="32" t="str">
        <f ca="1">IFERROR(DD90+DD91,"")</f>
        <v/>
      </c>
      <c r="DE89" s="31"/>
      <c r="DF89" s="32" t="str">
        <f ca="1">IFERROR(DF90+DF91,"")</f>
        <v/>
      </c>
      <c r="DG89" s="31"/>
      <c r="DH89" s="32" t="str">
        <f ca="1">IFERROR(DH90+DH91,"")</f>
        <v/>
      </c>
      <c r="DI89" s="31"/>
      <c r="DJ89" s="32" t="str">
        <f ca="1">IFERROR(DJ90+DJ91,"")</f>
        <v/>
      </c>
      <c r="DK89" s="31"/>
      <c r="DL89" s="32" t="str">
        <f ca="1">IFERROR(DL90+DL91,"")</f>
        <v/>
      </c>
      <c r="DM89" s="31"/>
      <c r="DN89" s="32" t="str">
        <f ca="1">IFERROR(DN90+DN91,"")</f>
        <v/>
      </c>
      <c r="DO89" s="31"/>
      <c r="DP89" s="32" t="str">
        <f ca="1">IFERROR(DP90+DP91,"")</f>
        <v/>
      </c>
      <c r="DQ89" s="31"/>
      <c r="DR89" s="32" t="str">
        <f ca="1">IFERROR(DR90+DR91,"")</f>
        <v/>
      </c>
      <c r="DS89" s="31"/>
      <c r="DT89" s="32" t="str">
        <f ca="1">IFERROR(DT90+DT91,"")</f>
        <v/>
      </c>
      <c r="DU89" s="31"/>
      <c r="DV89" s="32" t="str">
        <f ca="1">IFERROR(DV90+DV91,"")</f>
        <v/>
      </c>
      <c r="DW89" s="31"/>
      <c r="DX89" s="32" t="str">
        <f ca="1">IFERROR(DX90+DX91,"")</f>
        <v/>
      </c>
      <c r="DY89" s="31"/>
      <c r="DZ89" s="32" t="str">
        <f ca="1">IFERROR(DZ90+DZ91,"")</f>
        <v/>
      </c>
      <c r="EA89" s="31"/>
      <c r="EB89" s="32" t="str">
        <f ca="1">IFERROR(EB90+EB91,"")</f>
        <v/>
      </c>
      <c r="EC89" s="26">
        <f ca="1">IFERROR(LARGE($G89:$CN89,1),0)+IFERROR(LARGE($G89:$CN89,2),0)+IFERROR(LARGE($G89:$CN89,3),0)+IFERROR(LARGE($G89:$CN89,4),0)+IFERROR(LARGE($G89:$CN89,5),0)+IFERROR(LARGE($G89:$CN89,6),0)+IFERROR(LARGE($G89:$CN89,7),0)+IFERROR(LARGE($G89:$CN89,8),0)+IFERROR(LARGE($G89:$CN89,9),0)+IFERROR(LARGE($G89:$CN89,10),0)</f>
        <v>0</v>
      </c>
      <c r="ED89" s="33">
        <f t="shared" ca="1" si="3"/>
        <v>0</v>
      </c>
    </row>
    <row r="90" spans="2:134" outlineLevel="1" x14ac:dyDescent="0.2">
      <c r="B90" s="113">
        <f>B88+0.0211</f>
        <v>0.89149999999999996</v>
      </c>
      <c r="C90" s="109"/>
      <c r="D90" s="109" t="s">
        <v>159</v>
      </c>
      <c r="E90" s="114" t="s">
        <v>38</v>
      </c>
      <c r="F90" s="115"/>
      <c r="G90" s="35"/>
      <c r="H90" s="35" t="str">
        <f>IF(CS90=0,"",CS90)</f>
        <v/>
      </c>
      <c r="I90" s="35"/>
      <c r="J90" s="93" t="str">
        <f>IFERROR(RANK(H90,H$6:H$115,0),"")</f>
        <v/>
      </c>
      <c r="K90" s="35"/>
      <c r="L90" s="35"/>
      <c r="M90" s="35" t="str">
        <f>IF(CU90=0,"",CU90)</f>
        <v/>
      </c>
      <c r="N90" s="35"/>
      <c r="O90" s="93" t="str">
        <f>IFERROR(RANK(M90,M$6:M$115,0),"")</f>
        <v/>
      </c>
      <c r="P90" s="35"/>
      <c r="Q90" s="35"/>
      <c r="R90" s="35" t="str">
        <f>IF(CW90=0,"",CW90)</f>
        <v/>
      </c>
      <c r="S90" s="35"/>
      <c r="T90" s="93" t="str">
        <f>IFERROR(RANK(R90,R$6:R$115,0),"")</f>
        <v/>
      </c>
      <c r="U90" s="35"/>
      <c r="V90" s="35"/>
      <c r="W90" s="35" t="str">
        <f>IF(CY90=0,"",CY90)</f>
        <v/>
      </c>
      <c r="X90" s="35"/>
      <c r="Y90" s="93" t="str">
        <f>IFERROR(RANK(W90,W$6:W$115,0),"")</f>
        <v/>
      </c>
      <c r="Z90" s="35"/>
      <c r="AA90" s="35"/>
      <c r="AB90" s="35" t="str">
        <f>IF(DA90=0,"",DA90)</f>
        <v/>
      </c>
      <c r="AC90" s="35"/>
      <c r="AD90" s="93" t="str">
        <f>IFERROR(RANK(AB90,AB$6:AB$115,0),"")</f>
        <v/>
      </c>
      <c r="AE90" s="35"/>
      <c r="AF90" s="35"/>
      <c r="AG90" s="35" t="str">
        <f>IF(DC90=0,"",DC90)</f>
        <v/>
      </c>
      <c r="AH90" s="35"/>
      <c r="AI90" s="93" t="str">
        <f>IFERROR(RANK(AG90,AG$6:AG$115,0),"")</f>
        <v/>
      </c>
      <c r="AJ90" s="35"/>
      <c r="AK90" s="35"/>
      <c r="AL90" s="35" t="str">
        <f>IF(DE90=0,"",DE90)</f>
        <v/>
      </c>
      <c r="AM90" s="35"/>
      <c r="AN90" s="93" t="str">
        <f>IFERROR(RANK(AL90,AL$6:AL$115,0),"")</f>
        <v/>
      </c>
      <c r="AO90" s="35"/>
      <c r="AP90" s="35"/>
      <c r="AQ90" s="35" t="str">
        <f>IF(DG90=0,"",DG90)</f>
        <v/>
      </c>
      <c r="AR90" s="35"/>
      <c r="AS90" s="93" t="str">
        <f>IFERROR(RANK(AQ90,AQ$6:AQ$115,0),"")</f>
        <v/>
      </c>
      <c r="AT90" s="35"/>
      <c r="AU90" s="35"/>
      <c r="AV90" s="35" t="str">
        <f>IF(DI90=0,"",DI90)</f>
        <v/>
      </c>
      <c r="AW90" s="35"/>
      <c r="AX90" s="93" t="str">
        <f>IFERROR(RANK(AV90,AV$6:AV$115,0),"")</f>
        <v/>
      </c>
      <c r="AY90" s="35"/>
      <c r="AZ90" s="35"/>
      <c r="BA90" s="35" t="str">
        <f>IF(DK90=0,"",DK90)</f>
        <v/>
      </c>
      <c r="BB90" s="35"/>
      <c r="BC90" s="93" t="str">
        <f>IFERROR(RANK(BA90,BA$6:BA$115,0),"")</f>
        <v/>
      </c>
      <c r="BD90" s="35"/>
      <c r="BE90" s="35"/>
      <c r="BF90" s="35" t="str">
        <f>IF(DM90=0,"",DM90)</f>
        <v/>
      </c>
      <c r="BG90" s="35"/>
      <c r="BH90" s="93" t="str">
        <f>IFERROR(RANK(BF90,BF$6:BF$115,0),"")</f>
        <v/>
      </c>
      <c r="BI90" s="35"/>
      <c r="BJ90" s="35"/>
      <c r="BK90" s="35" t="str">
        <f>IF(DO90=0,"",DO90)</f>
        <v/>
      </c>
      <c r="BL90" s="35"/>
      <c r="BM90" s="93" t="str">
        <f>IFERROR(RANK(BK90,BK$6:BK$115,0),"")</f>
        <v/>
      </c>
      <c r="BN90" s="35"/>
      <c r="BO90" s="35"/>
      <c r="BP90" s="35" t="str">
        <f>IF(DQ90=0,"",DQ90)</f>
        <v/>
      </c>
      <c r="BQ90" s="35"/>
      <c r="BR90" s="93" t="str">
        <f>IFERROR(RANK(BP90,BP$6:BP$115,0),"")</f>
        <v/>
      </c>
      <c r="BS90" s="35"/>
      <c r="BT90" s="35"/>
      <c r="BU90" s="35" t="str">
        <f>IF(DS90=0,"",DS90)</f>
        <v/>
      </c>
      <c r="BV90" s="35"/>
      <c r="BW90" s="93" t="str">
        <f>IFERROR(RANK(BU90,BU$6:BU$115,0),"")</f>
        <v/>
      </c>
      <c r="BX90" s="35"/>
      <c r="BY90" s="35"/>
      <c r="BZ90" s="35" t="str">
        <f>IF(DU90=0,"",DU90)</f>
        <v/>
      </c>
      <c r="CA90" s="35"/>
      <c r="CB90" s="93" t="str">
        <f>IFERROR(RANK(BZ90,BZ$6:BZ$115,0),"")</f>
        <v/>
      </c>
      <c r="CC90" s="35"/>
      <c r="CD90" s="35"/>
      <c r="CE90" s="35" t="str">
        <f>IF(DW90=0,"",DW90)</f>
        <v/>
      </c>
      <c r="CF90" s="35"/>
      <c r="CG90" s="93" t="str">
        <f>IFERROR(RANK(CE90,CE$6:CE$115,0),"")</f>
        <v/>
      </c>
      <c r="CH90" s="35"/>
      <c r="CI90" s="35"/>
      <c r="CJ90" s="35" t="str">
        <f>IF(DY90=0,"",DY90)</f>
        <v/>
      </c>
      <c r="CK90" s="35"/>
      <c r="CL90" s="93" t="str">
        <f>IFERROR(RANK(CJ90,CJ$6:CJ$115,0),"")</f>
        <v/>
      </c>
      <c r="CM90" s="35"/>
      <c r="CN90" s="35"/>
      <c r="CO90" s="35" t="str">
        <f>IF(EA90=0,"",EA90)</f>
        <v/>
      </c>
      <c r="CP90" s="35"/>
      <c r="CQ90" s="93" t="str">
        <f>IFERROR(RANK(CO90,CO$6:CO$115,0),"")</f>
        <v/>
      </c>
      <c r="CR90" s="35"/>
      <c r="CS90" s="31"/>
      <c r="CT90" s="36" t="str">
        <f ca="1">IFERROR(AVERAGE(OFFSET('Data - For Rank'!B$2,J90,0,COUNTIF($J$7:J$115,J90)))+IFERROR(VLOOKUP((COUNT($H$6:$H$115)/4),$ER$8:$ES$12,2,FALSE()),0),"")</f>
        <v/>
      </c>
      <c r="CU90" s="31"/>
      <c r="CV90" s="36" t="str">
        <f ca="1">IFERROR(AVERAGE(OFFSET('Data - For Rank'!$C$2,O90,0,COUNTIF(O$7:O$115,O90)))+IFERROR(VLOOKUP((COUNT(M$6:M$115)/4),$ER$8:$ES$12,2,FALSE()),0),"")</f>
        <v/>
      </c>
      <c r="CW90" s="31"/>
      <c r="CX90" s="36" t="str">
        <f ca="1">IFERROR(AVERAGE(OFFSET('Data - For Rank'!D$2,T90,0,COUNTIF(T$7:T$115,T90)))+IFERROR(VLOOKUP((COUNT(R$6:R$115)/4),$ER$8:$ES$12,2,FALSE()),0),"")</f>
        <v/>
      </c>
      <c r="CY90" s="31"/>
      <c r="CZ90" s="36" t="str">
        <f ca="1">IFERROR(AVERAGE(OFFSET('Data - For Rank'!E$2,Y90,0,COUNTIF(Y$7:Y$115,Y90)))+IFERROR(VLOOKUP((COUNT(W$6:W$115)/4),$ER$8:$ES$12,2,FALSE()),0),"")</f>
        <v/>
      </c>
      <c r="DA90" s="31"/>
      <c r="DB90" s="36" t="str">
        <f ca="1">IFERROR(AVERAGE(OFFSET('Data - For Rank'!F$2,AD90,0,COUNTIF(AD$7:AD$115,AD90)))+IFERROR(VLOOKUP((COUNT(AB$6:AB$115)/4),$ER$8:$ES$12,2,FALSE()),0),"")</f>
        <v/>
      </c>
      <c r="DC90" s="31"/>
      <c r="DD90" s="36" t="str">
        <f ca="1">IFERROR(AVERAGE(OFFSET('Data - For Rank'!G$2,AI90,0,COUNTIF(AI$7:AI$115,AI90)))+IFERROR(VLOOKUP((COUNT(AG$6:AG$115)/4),$ER$8:$ES$12,2,FALSE()),0),"")</f>
        <v/>
      </c>
      <c r="DE90" s="31"/>
      <c r="DF90" s="36" t="str">
        <f ca="1">IFERROR(AVERAGE(OFFSET('Data - For Rank'!$H$2,AN90,0,COUNTIF(AN$7:AN$115,AN90)))+IFERROR(VLOOKUP((COUNT(AL$6:AL$115)/4),$ER$8:$ES$12,2,FALSE()),0),"")</f>
        <v/>
      </c>
      <c r="DG90" s="31"/>
      <c r="DH90" s="36" t="str">
        <f ca="1">IFERROR(AVERAGE(OFFSET('Data - For Rank'!$I$2,AS90,0,COUNTIF(AS$7:AS$115,AS90)))+IFERROR(VLOOKUP((COUNT(AQ$6:AQ$115)/4),$ER$8:$ES$12,2,FALSE()),0),"")</f>
        <v/>
      </c>
      <c r="DI90" s="31"/>
      <c r="DJ90" s="36" t="str">
        <f ca="1">IFERROR(AVERAGE(OFFSET('Data - For Rank'!$J$2,AX90,0,COUNTIF(AX$7:AX$115,AX90)))+IFERROR(VLOOKUP((COUNT(AV$6:AV$115)/4),$ER$8:$ES$12,2,FALSE()),0),"")</f>
        <v/>
      </c>
      <c r="DK90" s="31"/>
      <c r="DL90" s="36" t="str">
        <f ca="1">IFERROR(AVERAGE(OFFSET('Data - For Rank'!$K$2,BC90,0,COUNTIF(BC$7:BC$115,BC90)))+IFERROR(VLOOKUP((COUNT(BA$6:BA$115)/4),$ER$8:$ES$12,2,FALSE()),0),"")</f>
        <v/>
      </c>
      <c r="DM90" s="31"/>
      <c r="DN90" s="36" t="str">
        <f ca="1">IFERROR(AVERAGE(OFFSET('Data - For Rank'!$L$2,BH90,0,COUNTIF(BH$7:BH$115,BH90)))+IFERROR(VLOOKUP((COUNT(BF$6:BF$115)/4),$ER$8:$ES$12,2,FALSE()),0),"")</f>
        <v/>
      </c>
      <c r="DO90" s="31"/>
      <c r="DP90" s="36" t="str">
        <f ca="1">IFERROR(AVERAGE(OFFSET('Data - For Rank'!$M$2,BM90,0,COUNTIF(BM$7:BM$115,BM90)))+IFERROR(VLOOKUP((COUNT(BK$6:BK$115)/4),$ER$8:$ES$12,2,FALSE()),0),"")</f>
        <v/>
      </c>
      <c r="DQ90" s="31"/>
      <c r="DR90" s="36" t="str">
        <f ca="1">IFERROR(AVERAGE(OFFSET('Data - For Rank'!$N$2,BR90,0,COUNTIF(BR$7:BR$115,BR90)))+IFERROR(VLOOKUP((COUNT(BP$6:BP$115)/4),$ER$8:$ES$12,2,FALSE()),0),"")</f>
        <v/>
      </c>
      <c r="DS90" s="31"/>
      <c r="DT90" s="36" t="str">
        <f ca="1">IFERROR(AVERAGE(OFFSET('Data - For Rank'!$O$2,BW90,0,COUNTIF(BW$7:BW$115,BW90)))+IFERROR(VLOOKUP((COUNT(BU$6:BU$115)/4),$ER$8:$ES$12,2,FALSE()),0),"")</f>
        <v/>
      </c>
      <c r="DU90" s="31"/>
      <c r="DV90" s="36" t="str">
        <f ca="1">IFERROR(AVERAGE(OFFSET('Data - For Rank'!$P$2,CB90,0,COUNTIF(CB$7:CB$115,CB90)))+IFERROR(VLOOKUP((COUNT(BZ$6:BZ$115)/4),$ER$8:$ES$12,2,FALSE()),0),"")</f>
        <v/>
      </c>
      <c r="DW90" s="31"/>
      <c r="DX90" s="36" t="str">
        <f ca="1">IFERROR(AVERAGE(OFFSET('Data - For Rank'!$Q$2,CG90,0,COUNTIF(CG$7:CG$115,CG90)))+IFERROR(VLOOKUP((COUNT(CE$6:CE$115)/4),$ER$8:$ES$12,2,FALSE()),0),"")</f>
        <v/>
      </c>
      <c r="DY90" s="31"/>
      <c r="DZ90" s="36" t="str">
        <f ca="1">IFERROR(AVERAGE(OFFSET('Data - For Rank'!$R$2,CL90,0,COUNTIF(CL$7:CL$115,CL90)))+IFERROR(VLOOKUP((COUNT(CJ$6:CJ$115)/4),$ER$8:$ES$12,2,FALSE()),0),"")</f>
        <v/>
      </c>
      <c r="EA90" s="31"/>
      <c r="EB90" s="36" t="str">
        <f ca="1">IFERROR(AVERAGE(OFFSET('Data - For Rank'!$S$2,CQ90,0,COUNTIF(CQ$7:CQ$115,CQ90)))+IFERROR(VLOOKUP((COUNT(CO$6:CO$115)/4),$ER$8:$ES$12,2,FALSE()),0),"")</f>
        <v/>
      </c>
      <c r="EC90" s="37">
        <f>CS90+CU90+CW90+CY90+DA90+DC90+DE90+DG90+DI90+DK90+DM90+DO90+DQ90+DS90+DU90+DW90+DY90+EA90</f>
        <v>0</v>
      </c>
      <c r="ED90" s="33">
        <f t="shared" ca="1" si="3"/>
        <v>0</v>
      </c>
    </row>
    <row r="91" spans="2:134" outlineLevel="1" x14ac:dyDescent="0.2">
      <c r="B91" s="116">
        <f>B90+0.111</f>
        <v>1.0024999999999999</v>
      </c>
      <c r="C91" s="109"/>
      <c r="D91" s="109" t="s">
        <v>160</v>
      </c>
      <c r="E91" s="117" t="s">
        <v>39</v>
      </c>
      <c r="F91" s="118"/>
      <c r="G91" s="40"/>
      <c r="H91" s="40"/>
      <c r="I91" s="96" t="str">
        <f>IF(CS91=0,"",CS91)</f>
        <v/>
      </c>
      <c r="J91" s="96"/>
      <c r="K91" s="97" t="str">
        <f>IFERROR(_xlfn.RANK.EQ(I91,I$6:I$115,0),"")</f>
        <v/>
      </c>
      <c r="L91" s="40"/>
      <c r="M91" s="40"/>
      <c r="N91" s="96" t="str">
        <f>IF(CU91=0,"",CU91)</f>
        <v/>
      </c>
      <c r="O91" s="96"/>
      <c r="P91" s="97" t="str">
        <f>IFERROR(_xlfn.RANK.EQ(N91,N$6:N$115,0),"")</f>
        <v/>
      </c>
      <c r="Q91" s="40"/>
      <c r="R91" s="40"/>
      <c r="S91" s="96" t="str">
        <f>IF(CW91=0,"",CW91)</f>
        <v/>
      </c>
      <c r="T91" s="96"/>
      <c r="U91" s="97" t="str">
        <f>IFERROR(_xlfn.RANK.EQ(S91,S$6:S$115,0),"")</f>
        <v/>
      </c>
      <c r="V91" s="40"/>
      <c r="W91" s="40"/>
      <c r="X91" s="96" t="str">
        <f>IF(CY91=0,"",CY91)</f>
        <v/>
      </c>
      <c r="Y91" s="96"/>
      <c r="Z91" s="97" t="str">
        <f>IFERROR(_xlfn.RANK.EQ(X91,X$6:X$115,0),"")</f>
        <v/>
      </c>
      <c r="AA91" s="40"/>
      <c r="AB91" s="40"/>
      <c r="AC91" s="96" t="str">
        <f>IF(DA91=0,"",DA91)</f>
        <v/>
      </c>
      <c r="AD91" s="96"/>
      <c r="AE91" s="97" t="str">
        <f>IFERROR(_xlfn.RANK.EQ(AC91,AC$6:AC$115,0),"")</f>
        <v/>
      </c>
      <c r="AF91" s="40"/>
      <c r="AG91" s="40"/>
      <c r="AH91" s="96" t="str">
        <f>IF(DC91=0,"",DC91)</f>
        <v/>
      </c>
      <c r="AI91" s="96"/>
      <c r="AJ91" s="97" t="str">
        <f>IFERROR(_xlfn.RANK.EQ(AH91,AH$6:AH$115,0),"")</f>
        <v/>
      </c>
      <c r="AK91" s="40"/>
      <c r="AL91" s="40"/>
      <c r="AM91" s="96" t="str">
        <f>IF(DE91=0,"",DE91)</f>
        <v/>
      </c>
      <c r="AN91" s="96"/>
      <c r="AO91" s="97" t="str">
        <f>IFERROR(_xlfn.RANK.EQ(AM91,AM$6:AM$115,0),"")</f>
        <v/>
      </c>
      <c r="AP91" s="40"/>
      <c r="AQ91" s="40"/>
      <c r="AR91" s="96" t="str">
        <f>IF(DG91=0,"",DG91)</f>
        <v/>
      </c>
      <c r="AS91" s="96"/>
      <c r="AT91" s="97" t="str">
        <f>IFERROR(_xlfn.RANK.EQ(AR91,AR$6:AR$115,0),"")</f>
        <v/>
      </c>
      <c r="AU91" s="40"/>
      <c r="AV91" s="40"/>
      <c r="AW91" s="96" t="str">
        <f>IF(DI91=0,"",DI91)</f>
        <v/>
      </c>
      <c r="AX91" s="96"/>
      <c r="AY91" s="97" t="str">
        <f>IFERROR(_xlfn.RANK.EQ(AW91,AW$6:AW$115,0),"")</f>
        <v/>
      </c>
      <c r="AZ91" s="40"/>
      <c r="BA91" s="40"/>
      <c r="BB91" s="96" t="str">
        <f>IF(DK91=0,"",DK91)</f>
        <v/>
      </c>
      <c r="BC91" s="96"/>
      <c r="BD91" s="97" t="str">
        <f>IFERROR(_xlfn.RANK.EQ(BB91,BB$6:BB$115,0),"")</f>
        <v/>
      </c>
      <c r="BE91" s="40"/>
      <c r="BF91" s="40"/>
      <c r="BG91" s="96" t="str">
        <f>IF(DM91=0,"",DM91)</f>
        <v/>
      </c>
      <c r="BH91" s="96"/>
      <c r="BI91" s="97" t="str">
        <f>IFERROR(_xlfn.RANK.EQ(BG91,BG$6:BG$115,0),"")</f>
        <v/>
      </c>
      <c r="BJ91" s="40"/>
      <c r="BK91" s="40"/>
      <c r="BL91" s="96" t="str">
        <f>IF(DO91=0,"",DO91)</f>
        <v/>
      </c>
      <c r="BM91" s="96"/>
      <c r="BN91" s="97" t="str">
        <f>IFERROR(_xlfn.RANK.EQ(BL91,BL$6:BL$115,0),"")</f>
        <v/>
      </c>
      <c r="BO91" s="40"/>
      <c r="BP91" s="40"/>
      <c r="BQ91" s="96" t="str">
        <f>IF(DQ91=0,"",DQ91)</f>
        <v/>
      </c>
      <c r="BR91" s="96"/>
      <c r="BS91" s="97" t="str">
        <f>IFERROR(_xlfn.RANK.EQ(BQ91,BQ$6:BQ$115,0),"")</f>
        <v/>
      </c>
      <c r="BT91" s="40"/>
      <c r="BU91" s="40"/>
      <c r="BV91" s="96" t="str">
        <f>IF(DS91=0,"",DS91)</f>
        <v/>
      </c>
      <c r="BW91" s="96"/>
      <c r="BX91" s="97" t="str">
        <f>IFERROR(_xlfn.RANK.EQ(BV91,BV$6:BV$115,0),"")</f>
        <v/>
      </c>
      <c r="BY91" s="40"/>
      <c r="BZ91" s="40"/>
      <c r="CA91" s="96" t="str">
        <f>IF(DU91=0,"",DU91)</f>
        <v/>
      </c>
      <c r="CB91" s="96"/>
      <c r="CC91" s="97" t="str">
        <f>IFERROR(_xlfn.RANK.EQ(CA91,CA$6:CA$115,0),"")</f>
        <v/>
      </c>
      <c r="CD91" s="40"/>
      <c r="CE91" s="40"/>
      <c r="CF91" s="96" t="str">
        <f>IF(DW91=0,"",DW91)</f>
        <v/>
      </c>
      <c r="CG91" s="96"/>
      <c r="CH91" s="97" t="str">
        <f>IFERROR(_xlfn.RANK.EQ(CF91,CF$6:CF$115,0),"")</f>
        <v/>
      </c>
      <c r="CI91" s="40"/>
      <c r="CJ91" s="40"/>
      <c r="CK91" s="96" t="str">
        <f>IF(DY91=0,"",DY91)</f>
        <v/>
      </c>
      <c r="CL91" s="96"/>
      <c r="CM91" s="97" t="str">
        <f>IFERROR(_xlfn.RANK.EQ(CK91,CK$6:CK$115,0),"")</f>
        <v/>
      </c>
      <c r="CN91" s="40"/>
      <c r="CO91" s="40"/>
      <c r="CP91" s="96" t="str">
        <f>IF(EA91=0,"",EA91)</f>
        <v/>
      </c>
      <c r="CQ91" s="96"/>
      <c r="CR91" s="97" t="str">
        <f>IFERROR(_xlfn.RANK.EQ(CP91,CP$6:CP$115,0),"")</f>
        <v/>
      </c>
      <c r="CS91" s="41"/>
      <c r="CT91" s="42" t="str">
        <f ca="1">IFERROR(AVERAGE(OFFSET('Data - For Rank'!B$2,K91,0,COUNTIF(K$6:K$115,K91)))+IFERROR(VLOOKUP((COUNT($I$6:$I$115)/4),$ER$8:$ES$12,2,FALSE()),0),"")</f>
        <v/>
      </c>
      <c r="CU91" s="41"/>
      <c r="CV91" s="42" t="str">
        <f ca="1">IFERROR(AVERAGE(OFFSET('Data - For Rank'!$C$2,P91,0,COUNTIF(P$6:P$115,P91)))+IFERROR(VLOOKUP((COUNT(N$6:N$115)/4),$ER$8:$ES$12,2,FALSE()),0),"")</f>
        <v/>
      </c>
      <c r="CW91" s="41"/>
      <c r="CX91" s="42" t="str">
        <f ca="1">IFERROR(AVERAGE(OFFSET('Data - For Rank'!D$2,U91,0,COUNTIF(U$6:$U198,U91)))+IFERROR(VLOOKUP((COUNT(S$6:S$115)/4),$ER$8:$ES$12,2,FALSE()),0),"")</f>
        <v/>
      </c>
      <c r="CY91" s="41"/>
      <c r="CZ91" s="42" t="str">
        <f ca="1">IFERROR(AVERAGE(OFFSET('Data - For Rank'!E$2,Z91,0,COUNTIF(Z$6:Z$115,Z91)))+IFERROR(VLOOKUP((COUNT(W$6:W$115)/4),$ER$8:$ES$12,2,FALSE()),0),"")</f>
        <v/>
      </c>
      <c r="DA91" s="41"/>
      <c r="DB91" s="42" t="str">
        <f ca="1">IFERROR(AVERAGE(OFFSET('Data - For Rank'!F$2,AE91,0,COUNTIF(AE$6:AE$115,AE91)))+IFERROR(VLOOKUP((COUNT(AC$6:AC$115)/4),$ER$8:$ES$12,2,FALSE()),0),"")</f>
        <v/>
      </c>
      <c r="DC91" s="41"/>
      <c r="DD91" s="42" t="str">
        <f ca="1">IFERROR(AVERAGE(OFFSET('Data - For Rank'!G$2,AJ91,0,COUNTIF(AJ$6:AJ$115,AJ91)))+IFERROR(VLOOKUP((COUNT(AH$6:AH$115)/4),$ER$8:$ES$12,2,FALSE()),0),"")</f>
        <v/>
      </c>
      <c r="DE91" s="41"/>
      <c r="DF91" s="42" t="str">
        <f ca="1">IFERROR(AVERAGE(OFFSET('Data - For Rank'!$H$2,AO91,0,COUNTIF(AO$6:AO$115,AO91)))+IFERROR(VLOOKUP((COUNT(AM$6:AM$115)/4),$ER$8:$ES$12,2,FALSE()),0),"")</f>
        <v/>
      </c>
      <c r="DG91" s="41"/>
      <c r="DH91" s="42" t="str">
        <f ca="1">IFERROR(AVERAGE(OFFSET('Data - For Rank'!$I$2,AT91,0,COUNTIF(AT$6:AT$115,AT91)))+IFERROR(VLOOKUP((COUNT(AR$6:AR$115)/4),$ER$8:$ES$12,2,FALSE()),0),"")</f>
        <v/>
      </c>
      <c r="DI91" s="41"/>
      <c r="DJ91" s="42" t="str">
        <f ca="1">IFERROR(AVERAGE(OFFSET('Data - For Rank'!$J$2,AY91,0,COUNTIF(AY$6:AY$115,AY91)))+IFERROR(VLOOKUP((COUNT(AW$6:AW$115)/4),$ER$8:$ES$12,2,FALSE()),0),"")</f>
        <v/>
      </c>
      <c r="DK91" s="41"/>
      <c r="DL91" s="42" t="str">
        <f ca="1">IFERROR(AVERAGE(OFFSET('Data - For Rank'!$K$2,BD91,0,COUNTIF(BD$6:BD$115,BD91)))+IFERROR(VLOOKUP((COUNT(BB$6:BB$115)/4),$ER$8:$ES$12,2,FALSE()),0),"")</f>
        <v/>
      </c>
      <c r="DM91" s="41"/>
      <c r="DN91" s="42" t="str">
        <f ca="1">IFERROR(AVERAGE(OFFSET('Data - For Rank'!$L$2,BI91,0,COUNTIF(BI$6:BI$115,BI91)))+IFERROR(VLOOKUP((COUNT(BG$6:BG$115)/4),$ER$8:$ES$12,2,FALSE()),0),"")</f>
        <v/>
      </c>
      <c r="DO91" s="41"/>
      <c r="DP91" s="42" t="str">
        <f ca="1">IFERROR(AVERAGE(OFFSET('Data - For Rank'!$M$2,BN91,0,COUNTIF(BN$6:BN$115,BN91)))+IFERROR(VLOOKUP((COUNT(BL$6:BL$115)/4),$ER$8:$ES$12,2,FALSE()),0),"")</f>
        <v/>
      </c>
      <c r="DQ91" s="41"/>
      <c r="DR91" s="42" t="str">
        <f ca="1">IFERROR(AVERAGE(OFFSET('Data - For Rank'!$N$2,BS91,0,COUNTIF(BS$6:BS$115,BS91)))+IFERROR(VLOOKUP((COUNT(BQ$6:BQ$115)/4),$ER$8:$ES$12,2,FALSE()),0),"")</f>
        <v/>
      </c>
      <c r="DS91" s="41"/>
      <c r="DT91" s="42" t="str">
        <f ca="1">IFERROR(AVERAGE(OFFSET('Data - For Rank'!$O$2,BX91,0,COUNTIF(BX$6:BX$115,BX91)))+IFERROR(VLOOKUP((COUNT(BV$6:BV$115)/4),$ER$8:$ES$12,2,FALSE()),0),"")</f>
        <v/>
      </c>
      <c r="DU91" s="41"/>
      <c r="DV91" s="42" t="str">
        <f ca="1">IFERROR(AVERAGE(OFFSET('Data - For Rank'!$P$2,CC91,0,COUNTIF(CC$6:CC$115,CC91)))+IFERROR(VLOOKUP((COUNT(CA$6:CA$115)/4),$ER$8:$ES$12,2,FALSE()),0),"")</f>
        <v/>
      </c>
      <c r="DW91" s="41"/>
      <c r="DX91" s="42" t="str">
        <f ca="1">IFERROR(AVERAGE(OFFSET('Data - For Rank'!$Q$2,CH91,0,COUNTIF(CH$6:CH$115,CH91)))+IFERROR(VLOOKUP((COUNT(CF$6:CF$115)/4),$ER$8:$ES$12,2,FALSE()),0),"")</f>
        <v/>
      </c>
      <c r="DY91" s="41"/>
      <c r="DZ91" s="42" t="str">
        <f ca="1">IFERROR(AVERAGE(OFFSET('Data - For Rank'!$R$2,CM91,0,COUNTIF(CM$6:CM$115,CM91)))+IFERROR(VLOOKUP((COUNT(CK$6:CK$115)/4),$ER$8:$ES$12,2,FALSE()),0),"")</f>
        <v/>
      </c>
      <c r="EA91" s="41"/>
      <c r="EB91" s="42" t="str">
        <f ca="1">IFERROR(AVERAGE(OFFSET('Data - For Rank'!$S$2,CR91,0,COUNTIF(CR$6:CR$115,CR91)))+IFERROR(VLOOKUP((COUNT(CP$6:CP$115)/4),$ER$8:$ES$12,2,FALSE()),0),"")</f>
        <v/>
      </c>
      <c r="EC91" s="43">
        <f>IFERROR(AVERAGE(CS91,CU91,CW91,CY91,DA91,DC91,DE91,DG91,DI91,DK91,DM91,DO91,DQ91,DS91,DU91,DW91,DY91,EA91),0)</f>
        <v>0</v>
      </c>
      <c r="ED91" s="44">
        <f t="shared" ca="1" si="3"/>
        <v>0</v>
      </c>
    </row>
    <row r="92" spans="2:134" x14ac:dyDescent="0.2">
      <c r="B92" s="109">
        <f ca="1">_xlfn.RANK.EQ(C92,$C$72:$C$115,)</f>
        <v>2</v>
      </c>
      <c r="C92" s="110">
        <f ca="1">EC92</f>
        <v>0</v>
      </c>
      <c r="D92" s="110" t="s">
        <v>161</v>
      </c>
      <c r="E92" s="119" t="s">
        <v>161</v>
      </c>
      <c r="F92" s="112">
        <f ca="1">COUNT(CT92,CV92,CX92,CZ92,DB92,DD92,DF92,DH92,DJ92,DL92,DN92,DP92,DR92,DT92,DV92,DX92,DZ92,EB92)</f>
        <v>0</v>
      </c>
      <c r="G92" s="93" t="str">
        <f ca="1">IF(CT92=0,"",CT92)</f>
        <v/>
      </c>
      <c r="H92" s="93"/>
      <c r="I92" s="93"/>
      <c r="K92" s="93"/>
      <c r="L92" s="93" t="str">
        <f ca="1">IF(CV92=0,"",CV92)</f>
        <v/>
      </c>
      <c r="M92" s="93"/>
      <c r="N92" s="93"/>
      <c r="P92" s="93"/>
      <c r="Q92" s="93" t="str">
        <f ca="1">IF(CX92=0,"",CX92)</f>
        <v/>
      </c>
      <c r="R92" s="93"/>
      <c r="S92" s="93"/>
      <c r="U92" s="93"/>
      <c r="V92" s="93" t="str">
        <f ca="1">IF(CZ92=0,"",CZ92)</f>
        <v/>
      </c>
      <c r="W92" s="93"/>
      <c r="X92" s="93"/>
      <c r="Z92" s="93"/>
      <c r="AA92" s="93" t="str">
        <f ca="1">IF(DB92=0,"",DB92)</f>
        <v/>
      </c>
      <c r="AB92" s="93"/>
      <c r="AC92" s="93"/>
      <c r="AE92" s="93"/>
      <c r="AF92" s="93" t="str">
        <f ca="1">IF(DD92=0,"",DD92)</f>
        <v/>
      </c>
      <c r="AG92" s="93"/>
      <c r="AH92" s="93"/>
      <c r="AJ92" s="93"/>
      <c r="AK92" s="93" t="str">
        <f ca="1">IF(DF92=0,"",DF92)</f>
        <v/>
      </c>
      <c r="AL92" s="93"/>
      <c r="AM92" s="93"/>
      <c r="AO92" s="93"/>
      <c r="AP92" s="93" t="str">
        <f ca="1">IF(DH92=0,"",DH92)</f>
        <v/>
      </c>
      <c r="AQ92" s="93"/>
      <c r="AR92" s="93"/>
      <c r="AT92" s="93"/>
      <c r="AU92" s="93" t="str">
        <f ca="1">IF(DJ92=0,"",DJ92)</f>
        <v/>
      </c>
      <c r="AV92" s="93"/>
      <c r="AW92" s="93"/>
      <c r="AY92" s="93"/>
      <c r="AZ92" s="93" t="str">
        <f ca="1">IF(DL92=0,"",DL92)</f>
        <v/>
      </c>
      <c r="BA92" s="93"/>
      <c r="BB92" s="93"/>
      <c r="BD92" s="93"/>
      <c r="BE92" s="93" t="str">
        <f ca="1">IF(DN92=0,"",DN92)</f>
        <v/>
      </c>
      <c r="BF92" s="93"/>
      <c r="BG92" s="93"/>
      <c r="BI92" s="93"/>
      <c r="BJ92" s="93" t="str">
        <f ca="1">IF(DP92=0,"",DP92)</f>
        <v/>
      </c>
      <c r="BK92" s="93"/>
      <c r="BL92" s="93"/>
      <c r="BN92" s="93"/>
      <c r="BO92" s="93" t="str">
        <f ca="1">IF(DR92=0,"",DR92)</f>
        <v/>
      </c>
      <c r="BP92" s="93"/>
      <c r="BQ92" s="93"/>
      <c r="BS92" s="93"/>
      <c r="BT92" s="93" t="str">
        <f ca="1">IF(DT92=0,"",DT92)</f>
        <v/>
      </c>
      <c r="BU92" s="93"/>
      <c r="BV92" s="93"/>
      <c r="BX92" s="93"/>
      <c r="BY92" s="93" t="str">
        <f ca="1">IF(DV92=0,"",DV92)</f>
        <v/>
      </c>
      <c r="BZ92" s="93"/>
      <c r="CA92" s="93"/>
      <c r="CC92" s="93"/>
      <c r="CD92" s="93" t="str">
        <f ca="1">IF(DX92=0,"",DX92)</f>
        <v/>
      </c>
      <c r="CE92" s="93"/>
      <c r="CF92" s="93"/>
      <c r="CH92" s="93"/>
      <c r="CI92" s="93" t="str">
        <f ca="1">IF(DZ92=0,"",DZ92)</f>
        <v/>
      </c>
      <c r="CJ92" s="93"/>
      <c r="CK92" s="93"/>
      <c r="CM92" s="93"/>
      <c r="CN92" s="93" t="str">
        <f ca="1">IF(EB92=0,"",EB92)</f>
        <v/>
      </c>
      <c r="CO92" s="93"/>
      <c r="CP92" s="93"/>
      <c r="CR92" s="93"/>
      <c r="CS92" s="31"/>
      <c r="CT92" s="32" t="str">
        <f ca="1">IFERROR(CT93+CT94,"")</f>
        <v/>
      </c>
      <c r="CU92" s="31"/>
      <c r="CV92" s="32" t="str">
        <f ca="1">IFERROR(CV93+CV94,"")</f>
        <v/>
      </c>
      <c r="CW92" s="31"/>
      <c r="CX92" s="32" t="str">
        <f ca="1">IFERROR(CX93+CX94,"")</f>
        <v/>
      </c>
      <c r="CY92" s="31"/>
      <c r="CZ92" s="32" t="str">
        <f ca="1">IFERROR(CZ93+CZ94,"")</f>
        <v/>
      </c>
      <c r="DA92" s="31"/>
      <c r="DB92" s="32" t="str">
        <f ca="1">IFERROR(DB93+DB94,"")</f>
        <v/>
      </c>
      <c r="DC92" s="31"/>
      <c r="DD92" s="32" t="str">
        <f ca="1">IFERROR(DD93+DD94,"")</f>
        <v/>
      </c>
      <c r="DE92" s="31"/>
      <c r="DF92" s="32" t="str">
        <f ca="1">IFERROR(DF93+DF94,"")</f>
        <v/>
      </c>
      <c r="DG92" s="31"/>
      <c r="DH92" s="32" t="str">
        <f ca="1">IFERROR(DH93+DH94,"")</f>
        <v/>
      </c>
      <c r="DI92" s="31"/>
      <c r="DJ92" s="32" t="str">
        <f ca="1">IFERROR(DJ93+DJ94,"")</f>
        <v/>
      </c>
      <c r="DK92" s="31"/>
      <c r="DL92" s="32" t="str">
        <f ca="1">IFERROR(DL93+DL94,"")</f>
        <v/>
      </c>
      <c r="DM92" s="31"/>
      <c r="DN92" s="32" t="str">
        <f ca="1">IFERROR(DN93+DN94,"")</f>
        <v/>
      </c>
      <c r="DO92" s="31"/>
      <c r="DP92" s="32" t="str">
        <f ca="1">IFERROR(DP93+DP94,"")</f>
        <v/>
      </c>
      <c r="DQ92" s="31"/>
      <c r="DR92" s="32" t="str">
        <f ca="1">IFERROR(DR93+DR94,"")</f>
        <v/>
      </c>
      <c r="DS92" s="31"/>
      <c r="DT92" s="32" t="str">
        <f ca="1">IFERROR(DT93+DT94,"")</f>
        <v/>
      </c>
      <c r="DU92" s="31"/>
      <c r="DV92" s="32" t="str">
        <f ca="1">IFERROR(DV93+DV94,"")</f>
        <v/>
      </c>
      <c r="DW92" s="31"/>
      <c r="DX92" s="32" t="str">
        <f ca="1">IFERROR(DX93+DX94,"")</f>
        <v/>
      </c>
      <c r="DY92" s="31"/>
      <c r="DZ92" s="32" t="str">
        <f ca="1">IFERROR(DZ93+DZ94,"")</f>
        <v/>
      </c>
      <c r="EA92" s="31"/>
      <c r="EB92" s="32" t="str">
        <f ca="1">IFERROR(EB93+EB94,"")</f>
        <v/>
      </c>
      <c r="EC92" s="26">
        <f ca="1">IFERROR(LARGE($G92:$CN92,1),0)+IFERROR(LARGE($G92:$CN92,2),0)+IFERROR(LARGE($G92:$CN92,3),0)+IFERROR(LARGE($G92:$CN92,4),0)+IFERROR(LARGE($G92:$CN92,5),0)+IFERROR(LARGE($G92:$CN92,6),0)+IFERROR(LARGE($G92:$CN92,7),0)+IFERROR(LARGE($G92:$CN92,8),0)+IFERROR(LARGE($G92:$CN92,9),0)+IFERROR(LARGE($G92:$CN92,10),0)</f>
        <v>0</v>
      </c>
      <c r="ED92" s="33">
        <f t="shared" ca="1" si="3"/>
        <v>0</v>
      </c>
    </row>
    <row r="93" spans="2:134" outlineLevel="1" x14ac:dyDescent="0.2">
      <c r="B93" s="113">
        <f>B91+0.029</f>
        <v>1.0314999999999999</v>
      </c>
      <c r="C93" s="109"/>
      <c r="D93" s="109" t="s">
        <v>162</v>
      </c>
      <c r="E93" s="114" t="s">
        <v>38</v>
      </c>
      <c r="F93" s="115"/>
      <c r="G93" s="35"/>
      <c r="H93" s="35" t="str">
        <f>IF(CS93=0,"",CS93)</f>
        <v/>
      </c>
      <c r="I93" s="35"/>
      <c r="J93" s="93" t="str">
        <f>IFERROR(RANK(H93,H$6:H$115,0),"")</f>
        <v/>
      </c>
      <c r="K93" s="35"/>
      <c r="L93" s="35"/>
      <c r="M93" s="35" t="str">
        <f>IF(CU93=0,"",CU93)</f>
        <v/>
      </c>
      <c r="N93" s="35"/>
      <c r="O93" s="93" t="str">
        <f>IFERROR(RANK(M93,M$6:M$115,0),"")</f>
        <v/>
      </c>
      <c r="P93" s="35"/>
      <c r="Q93" s="35"/>
      <c r="R93" s="35" t="str">
        <f>IF(CW93=0,"",CW93)</f>
        <v/>
      </c>
      <c r="S93" s="35"/>
      <c r="T93" s="93" t="str">
        <f>IFERROR(RANK(R93,R$6:R$115,0),"")</f>
        <v/>
      </c>
      <c r="U93" s="35"/>
      <c r="V93" s="35"/>
      <c r="W93" s="35" t="str">
        <f>IF(CY93=0,"",CY93)</f>
        <v/>
      </c>
      <c r="X93" s="35"/>
      <c r="Y93" s="93" t="str">
        <f>IFERROR(RANK(W93,W$6:W$115,0),"")</f>
        <v/>
      </c>
      <c r="Z93" s="35"/>
      <c r="AA93" s="35"/>
      <c r="AB93" s="35" t="str">
        <f>IF(DA93=0,"",DA93)</f>
        <v/>
      </c>
      <c r="AC93" s="35"/>
      <c r="AD93" s="93" t="str">
        <f>IFERROR(RANK(AB93,AB$6:AB$115,0),"")</f>
        <v/>
      </c>
      <c r="AE93" s="35"/>
      <c r="AF93" s="35"/>
      <c r="AG93" s="35" t="str">
        <f>IF(DC93=0,"",DC93)</f>
        <v/>
      </c>
      <c r="AH93" s="35"/>
      <c r="AI93" s="93" t="str">
        <f>IFERROR(RANK(AG93,AG$6:AG$115,0),"")</f>
        <v/>
      </c>
      <c r="AJ93" s="35"/>
      <c r="AK93" s="35"/>
      <c r="AL93" s="35" t="str">
        <f>IF(DE93=0,"",DE93)</f>
        <v/>
      </c>
      <c r="AM93" s="35"/>
      <c r="AN93" s="93" t="str">
        <f>IFERROR(RANK(AL93,AL$6:AL$115,0),"")</f>
        <v/>
      </c>
      <c r="AO93" s="35"/>
      <c r="AP93" s="35"/>
      <c r="AQ93" s="35" t="str">
        <f>IF(DG93=0,"",DG93)</f>
        <v/>
      </c>
      <c r="AR93" s="35"/>
      <c r="AS93" s="93" t="str">
        <f>IFERROR(RANK(AQ93,AQ$6:AQ$115,0),"")</f>
        <v/>
      </c>
      <c r="AT93" s="35"/>
      <c r="AU93" s="35"/>
      <c r="AV93" s="35" t="str">
        <f>IF(DI93=0,"",DI93)</f>
        <v/>
      </c>
      <c r="AW93" s="35"/>
      <c r="AX93" s="93" t="str">
        <f>IFERROR(RANK(AV93,AV$6:AV$115,0),"")</f>
        <v/>
      </c>
      <c r="AY93" s="35"/>
      <c r="AZ93" s="35"/>
      <c r="BA93" s="35" t="str">
        <f>IF(DK93=0,"",DK93)</f>
        <v/>
      </c>
      <c r="BB93" s="35"/>
      <c r="BC93" s="93" t="str">
        <f>IFERROR(RANK(BA93,BA$6:BA$115,0),"")</f>
        <v/>
      </c>
      <c r="BD93" s="35"/>
      <c r="BE93" s="35"/>
      <c r="BF93" s="35" t="str">
        <f>IF(DM93=0,"",DM93)</f>
        <v/>
      </c>
      <c r="BG93" s="35"/>
      <c r="BH93" s="93" t="str">
        <f>IFERROR(RANK(BF93,BF$6:BF$115,0),"")</f>
        <v/>
      </c>
      <c r="BI93" s="35"/>
      <c r="BJ93" s="35"/>
      <c r="BK93" s="35" t="str">
        <f>IF(DO93=0,"",DO93)</f>
        <v/>
      </c>
      <c r="BL93" s="35"/>
      <c r="BM93" s="93" t="str">
        <f>IFERROR(RANK(BK93,BK$6:BK$115,0),"")</f>
        <v/>
      </c>
      <c r="BN93" s="35"/>
      <c r="BO93" s="35"/>
      <c r="BP93" s="35" t="str">
        <f>IF(DQ93=0,"",DQ93)</f>
        <v/>
      </c>
      <c r="BQ93" s="35"/>
      <c r="BR93" s="93" t="str">
        <f>IFERROR(RANK(BP93,BP$6:BP$115,0),"")</f>
        <v/>
      </c>
      <c r="BS93" s="35"/>
      <c r="BT93" s="35"/>
      <c r="BU93" s="35" t="str">
        <f>IF(DS93=0,"",DS93)</f>
        <v/>
      </c>
      <c r="BV93" s="35"/>
      <c r="BW93" s="93" t="str">
        <f>IFERROR(RANK(BU93,BU$6:BU$115,0),"")</f>
        <v/>
      </c>
      <c r="BX93" s="35"/>
      <c r="BY93" s="35"/>
      <c r="BZ93" s="35" t="str">
        <f>IF(DU93=0,"",DU93)</f>
        <v/>
      </c>
      <c r="CA93" s="35"/>
      <c r="CB93" s="93" t="str">
        <f>IFERROR(RANK(BZ93,BZ$6:BZ$115,0),"")</f>
        <v/>
      </c>
      <c r="CC93" s="35"/>
      <c r="CD93" s="35"/>
      <c r="CE93" s="35" t="str">
        <f>IF(DW93=0,"",DW93)</f>
        <v/>
      </c>
      <c r="CF93" s="35"/>
      <c r="CG93" s="93" t="str">
        <f>IFERROR(RANK(CE93,CE$6:CE$115,0),"")</f>
        <v/>
      </c>
      <c r="CH93" s="35"/>
      <c r="CI93" s="35"/>
      <c r="CJ93" s="35" t="str">
        <f>IF(DY93=0,"",DY93)</f>
        <v/>
      </c>
      <c r="CK93" s="35"/>
      <c r="CL93" s="93" t="str">
        <f>IFERROR(RANK(CJ93,CJ$6:CJ$115,0),"")</f>
        <v/>
      </c>
      <c r="CM93" s="35"/>
      <c r="CN93" s="35"/>
      <c r="CO93" s="35" t="str">
        <f>IF(EA93=0,"",EA93)</f>
        <v/>
      </c>
      <c r="CP93" s="35"/>
      <c r="CQ93" s="93" t="str">
        <f>IFERROR(RANK(CO93,CO$6:CO$115,0),"")</f>
        <v/>
      </c>
      <c r="CR93" s="35"/>
      <c r="CS93" s="31"/>
      <c r="CT93" s="36" t="str">
        <f ca="1">IFERROR(AVERAGE(OFFSET('Data - For Rank'!B$2,J93,0,COUNTIF($J$7:J$115,J93)))+IFERROR(VLOOKUP((COUNT($H$6:$H$115)/4),$ER$8:$ES$12,2,FALSE()),0),"")</f>
        <v/>
      </c>
      <c r="CU93" s="31"/>
      <c r="CV93" s="36" t="str">
        <f ca="1">IFERROR(AVERAGE(OFFSET('Data - For Rank'!$C$2,O93,0,COUNTIF(O$7:O$115,O93)))+IFERROR(VLOOKUP((COUNT(M$6:M$115)/4),$ER$8:$ES$12,2,FALSE()),0),"")</f>
        <v/>
      </c>
      <c r="CW93" s="31"/>
      <c r="CX93" s="36" t="str">
        <f ca="1">IFERROR(AVERAGE(OFFSET('Data - For Rank'!D$2,T93,0,COUNTIF(T$7:T$115,T93)))+IFERROR(VLOOKUP((COUNT(R$6:R$115)/4),$ER$8:$ES$12,2,FALSE()),0),"")</f>
        <v/>
      </c>
      <c r="CY93" s="31"/>
      <c r="CZ93" s="36" t="str">
        <f ca="1">IFERROR(AVERAGE(OFFSET('Data - For Rank'!E$2,Y93,0,COUNTIF(Y$7:Y$115,Y93)))+IFERROR(VLOOKUP((COUNT(W$6:W$115)/4),$ER$8:$ES$12,2,FALSE()),0),"")</f>
        <v/>
      </c>
      <c r="DA93" s="31"/>
      <c r="DB93" s="36" t="str">
        <f ca="1">IFERROR(AVERAGE(OFFSET('Data - For Rank'!F$2,AD93,0,COUNTIF(AD$7:AD$115,AD93)))+IFERROR(VLOOKUP((COUNT(AB$6:AB$115)/4),$ER$8:$ES$12,2,FALSE()),0),"")</f>
        <v/>
      </c>
      <c r="DC93" s="31"/>
      <c r="DD93" s="36" t="str">
        <f ca="1">IFERROR(AVERAGE(OFFSET('Data - For Rank'!G$2,AI93,0,COUNTIF(AI$7:AI$115,AI93)))+IFERROR(VLOOKUP((COUNT(AG$6:AG$115)/4),$ER$8:$ES$12,2,FALSE()),0),"")</f>
        <v/>
      </c>
      <c r="DE93" s="31"/>
      <c r="DF93" s="36" t="str">
        <f ca="1">IFERROR(AVERAGE(OFFSET('Data - For Rank'!$H$2,AN93,0,COUNTIF(AN$7:AN$115,AN93)))+IFERROR(VLOOKUP((COUNT(AL$6:AL$115)/4),$ER$8:$ES$12,2,FALSE()),0),"")</f>
        <v/>
      </c>
      <c r="DG93" s="31"/>
      <c r="DH93" s="36" t="str">
        <f ca="1">IFERROR(AVERAGE(OFFSET('Data - For Rank'!$I$2,AS93,0,COUNTIF(AS$7:AS$115,AS93)))+IFERROR(VLOOKUP((COUNT(AQ$6:AQ$115)/4),$ER$8:$ES$12,2,FALSE()),0),"")</f>
        <v/>
      </c>
      <c r="DI93" s="31"/>
      <c r="DJ93" s="36" t="str">
        <f ca="1">IFERROR(AVERAGE(OFFSET('Data - For Rank'!$J$2,AX93,0,COUNTIF(AX$7:AX$115,AX93)))+IFERROR(VLOOKUP((COUNT(AV$6:AV$115)/4),$ER$8:$ES$12,2,FALSE()),0),"")</f>
        <v/>
      </c>
      <c r="DK93" s="31"/>
      <c r="DL93" s="36" t="str">
        <f ca="1">IFERROR(AVERAGE(OFFSET('Data - For Rank'!$K$2,BC93,0,COUNTIF(BC$7:BC$115,BC93)))+IFERROR(VLOOKUP((COUNT(BA$6:BA$115)/4),$ER$8:$ES$12,2,FALSE()),0),"")</f>
        <v/>
      </c>
      <c r="DM93" s="31"/>
      <c r="DN93" s="36" t="str">
        <f ca="1">IFERROR(AVERAGE(OFFSET('Data - For Rank'!$L$2,BH93,0,COUNTIF(BH$7:BH$115,BH93)))+IFERROR(VLOOKUP((COUNT(BF$6:BF$115)/4),$ER$8:$ES$12,2,FALSE()),0),"")</f>
        <v/>
      </c>
      <c r="DO93" s="31"/>
      <c r="DP93" s="36" t="str">
        <f ca="1">IFERROR(AVERAGE(OFFSET('Data - For Rank'!$M$2,BM93,0,COUNTIF(BM$7:BM$115,BM93)))+IFERROR(VLOOKUP((COUNT(BK$6:BK$115)/4),$ER$8:$ES$12,2,FALSE()),0),"")</f>
        <v/>
      </c>
      <c r="DQ93" s="31"/>
      <c r="DR93" s="36" t="str">
        <f ca="1">IFERROR(AVERAGE(OFFSET('Data - For Rank'!$N$2,BR93,0,COUNTIF(BR$7:BR$115,BR93)))+IFERROR(VLOOKUP((COUNT(BP$6:BP$115)/4),$ER$8:$ES$12,2,FALSE()),0),"")</f>
        <v/>
      </c>
      <c r="DS93" s="31"/>
      <c r="DT93" s="36" t="str">
        <f ca="1">IFERROR(AVERAGE(OFFSET('Data - For Rank'!$O$2,BW93,0,COUNTIF(BW$7:BW$115,BW93)))+IFERROR(VLOOKUP((COUNT(BU$6:BU$115)/4),$ER$8:$ES$12,2,FALSE()),0),"")</f>
        <v/>
      </c>
      <c r="DU93" s="31"/>
      <c r="DV93" s="36" t="str">
        <f ca="1">IFERROR(AVERAGE(OFFSET('Data - For Rank'!$P$2,CB93,0,COUNTIF(CB$7:CB$115,CB93)))+IFERROR(VLOOKUP((COUNT(BZ$6:BZ$115)/4),$ER$8:$ES$12,2,FALSE()),0),"")</f>
        <v/>
      </c>
      <c r="DW93" s="31"/>
      <c r="DX93" s="36" t="str">
        <f ca="1">IFERROR(AVERAGE(OFFSET('Data - For Rank'!$Q$2,CG93,0,COUNTIF(CG$7:CG$115,CG93)))+IFERROR(VLOOKUP((COUNT(CE$6:CE$115)/4),$ER$8:$ES$12,2,FALSE()),0),"")</f>
        <v/>
      </c>
      <c r="DY93" s="31"/>
      <c r="DZ93" s="36" t="str">
        <f ca="1">IFERROR(AVERAGE(OFFSET('Data - For Rank'!$R$2,CL93,0,COUNTIF(CL$7:CL$115,CL93)))+IFERROR(VLOOKUP((COUNT(CJ$6:CJ$115)/4),$ER$8:$ES$12,2,FALSE()),0),"")</f>
        <v/>
      </c>
      <c r="EA93" s="31"/>
      <c r="EB93" s="36" t="str">
        <f ca="1">IFERROR(AVERAGE(OFFSET('Data - For Rank'!$S$2,CQ93,0,COUNTIF(CQ$7:CQ$115,CQ93)))+IFERROR(VLOOKUP((COUNT(CO$6:CO$115)/4),$ER$8:$ES$12,2,FALSE()),0),"")</f>
        <v/>
      </c>
      <c r="EC93" s="37">
        <f>CS93+CU93+CW93+CY93+DA93+DC93+DE93+DG93+DI93+DK93+DM93+DO93+DQ93+DS93+DU93+DW93+DY93+EA93</f>
        <v>0</v>
      </c>
      <c r="ED93" s="33">
        <f t="shared" ca="1" si="3"/>
        <v>0</v>
      </c>
    </row>
    <row r="94" spans="2:134" outlineLevel="1" x14ac:dyDescent="0.2">
      <c r="B94" s="116">
        <f>B93+0.19</f>
        <v>1.2214999999999998</v>
      </c>
      <c r="C94" s="109"/>
      <c r="D94" s="109" t="s">
        <v>163</v>
      </c>
      <c r="E94" s="117" t="s">
        <v>39</v>
      </c>
      <c r="F94" s="118"/>
      <c r="G94" s="40"/>
      <c r="H94" s="40"/>
      <c r="I94" s="96" t="str">
        <f>IF(CS94=0,"",CS94)</f>
        <v/>
      </c>
      <c r="J94" s="96"/>
      <c r="K94" s="97" t="str">
        <f>IFERROR(_xlfn.RANK.EQ(I94,I$6:I$115,0),"")</f>
        <v/>
      </c>
      <c r="L94" s="40"/>
      <c r="M94" s="40"/>
      <c r="N94" s="96" t="str">
        <f>IF(CU94=0,"",CU94)</f>
        <v/>
      </c>
      <c r="O94" s="96"/>
      <c r="P94" s="97" t="str">
        <f>IFERROR(_xlfn.RANK.EQ(N94,N$6:N$115,0),"")</f>
        <v/>
      </c>
      <c r="Q94" s="40"/>
      <c r="R94" s="40"/>
      <c r="S94" s="96" t="str">
        <f>IF(CW94=0,"",CW94)</f>
        <v/>
      </c>
      <c r="T94" s="96"/>
      <c r="U94" s="97" t="str">
        <f>IFERROR(_xlfn.RANK.EQ(S94,S$6:S$115,0),"")</f>
        <v/>
      </c>
      <c r="V94" s="40"/>
      <c r="W94" s="40"/>
      <c r="X94" s="96" t="str">
        <f>IF(CY94=0,"",CY94)</f>
        <v/>
      </c>
      <c r="Y94" s="96"/>
      <c r="Z94" s="97" t="str">
        <f>IFERROR(_xlfn.RANK.EQ(X94,X$6:X$115,0),"")</f>
        <v/>
      </c>
      <c r="AA94" s="40"/>
      <c r="AB94" s="40"/>
      <c r="AC94" s="96" t="str">
        <f>IF(DA94=0,"",DA94)</f>
        <v/>
      </c>
      <c r="AD94" s="96"/>
      <c r="AE94" s="97" t="str">
        <f>IFERROR(_xlfn.RANK.EQ(AC94,AC$6:AC$115,0),"")</f>
        <v/>
      </c>
      <c r="AF94" s="40"/>
      <c r="AG94" s="40"/>
      <c r="AH94" s="96" t="str">
        <f>IF(DC94=0,"",DC94)</f>
        <v/>
      </c>
      <c r="AI94" s="96"/>
      <c r="AJ94" s="97" t="str">
        <f>IFERROR(_xlfn.RANK.EQ(AH94,AH$6:AH$115,0),"")</f>
        <v/>
      </c>
      <c r="AK94" s="40"/>
      <c r="AL94" s="40"/>
      <c r="AM94" s="96" t="str">
        <f>IF(DE94=0,"",DE94)</f>
        <v/>
      </c>
      <c r="AN94" s="96"/>
      <c r="AO94" s="97" t="str">
        <f>IFERROR(_xlfn.RANK.EQ(AM94,AM$6:AM$115,0),"")</f>
        <v/>
      </c>
      <c r="AP94" s="40"/>
      <c r="AQ94" s="40"/>
      <c r="AR94" s="96" t="str">
        <f>IF(DG94=0,"",DG94)</f>
        <v/>
      </c>
      <c r="AS94" s="96"/>
      <c r="AT94" s="97" t="str">
        <f>IFERROR(_xlfn.RANK.EQ(AR94,AR$6:AR$115,0),"")</f>
        <v/>
      </c>
      <c r="AU94" s="40"/>
      <c r="AV94" s="40"/>
      <c r="AW94" s="96" t="str">
        <f>IF(DI94=0,"",DI94)</f>
        <v/>
      </c>
      <c r="AX94" s="96"/>
      <c r="AY94" s="97" t="str">
        <f>IFERROR(_xlfn.RANK.EQ(AW94,AW$6:AW$115,0),"")</f>
        <v/>
      </c>
      <c r="AZ94" s="40"/>
      <c r="BA94" s="40"/>
      <c r="BB94" s="96" t="str">
        <f>IF(DK94=0,"",DK94)</f>
        <v/>
      </c>
      <c r="BC94" s="96"/>
      <c r="BD94" s="97" t="str">
        <f>IFERROR(_xlfn.RANK.EQ(BB94,BB$6:BB$115,0),"")</f>
        <v/>
      </c>
      <c r="BE94" s="40"/>
      <c r="BF94" s="40"/>
      <c r="BG94" s="96" t="str">
        <f>IF(DM94=0,"",DM94)</f>
        <v/>
      </c>
      <c r="BH94" s="96"/>
      <c r="BI94" s="97" t="str">
        <f>IFERROR(_xlfn.RANK.EQ(BG94,BG$6:BG$115,0),"")</f>
        <v/>
      </c>
      <c r="BJ94" s="40"/>
      <c r="BK94" s="40"/>
      <c r="BL94" s="96" t="str">
        <f>IF(DO94=0,"",DO94)</f>
        <v/>
      </c>
      <c r="BM94" s="96"/>
      <c r="BN94" s="97" t="str">
        <f>IFERROR(_xlfn.RANK.EQ(BL94,BL$6:BL$115,0),"")</f>
        <v/>
      </c>
      <c r="BO94" s="40"/>
      <c r="BP94" s="40"/>
      <c r="BQ94" s="96" t="str">
        <f>IF(DQ94=0,"",DQ94)</f>
        <v/>
      </c>
      <c r="BR94" s="96"/>
      <c r="BS94" s="97" t="str">
        <f>IFERROR(_xlfn.RANK.EQ(BQ94,BQ$6:BQ$115,0),"")</f>
        <v/>
      </c>
      <c r="BT94" s="40"/>
      <c r="BU94" s="40"/>
      <c r="BV94" s="96" t="str">
        <f>IF(DS94=0,"",DS94)</f>
        <v/>
      </c>
      <c r="BW94" s="96"/>
      <c r="BX94" s="97" t="str">
        <f>IFERROR(_xlfn.RANK.EQ(BV94,BV$6:BV$115,0),"")</f>
        <v/>
      </c>
      <c r="BY94" s="40"/>
      <c r="BZ94" s="40"/>
      <c r="CA94" s="96" t="str">
        <f>IF(DU94=0,"",DU94)</f>
        <v/>
      </c>
      <c r="CB94" s="96"/>
      <c r="CC94" s="97" t="str">
        <f>IFERROR(_xlfn.RANK.EQ(CA94,CA$6:CA$115,0),"")</f>
        <v/>
      </c>
      <c r="CD94" s="40"/>
      <c r="CE94" s="40"/>
      <c r="CF94" s="96" t="str">
        <f>IF(DW94=0,"",DW94)</f>
        <v/>
      </c>
      <c r="CG94" s="96"/>
      <c r="CH94" s="97" t="str">
        <f>IFERROR(_xlfn.RANK.EQ(CF94,CF$6:CF$115,0),"")</f>
        <v/>
      </c>
      <c r="CI94" s="40"/>
      <c r="CJ94" s="40"/>
      <c r="CK94" s="96" t="str">
        <f>IF(DY94=0,"",DY94)</f>
        <v/>
      </c>
      <c r="CL94" s="96"/>
      <c r="CM94" s="97" t="str">
        <f>IFERROR(_xlfn.RANK.EQ(CK94,CK$6:CK$115,0),"")</f>
        <v/>
      </c>
      <c r="CN94" s="40"/>
      <c r="CO94" s="40"/>
      <c r="CP94" s="96" t="str">
        <f>IF(EA94=0,"",EA94)</f>
        <v/>
      </c>
      <c r="CQ94" s="96"/>
      <c r="CR94" s="97" t="str">
        <f>IFERROR(_xlfn.RANK.EQ(CP94,CP$6:CP$115,0),"")</f>
        <v/>
      </c>
      <c r="CS94" s="41"/>
      <c r="CT94" s="42" t="str">
        <f ca="1">IFERROR(AVERAGE(OFFSET('Data - For Rank'!B$2,K94,0,COUNTIF(K$6:K$115,K94)))+IFERROR(VLOOKUP((COUNT($I$6:$I$115)/4),$ER$8:$ES$12,2,FALSE()),0),"")</f>
        <v/>
      </c>
      <c r="CU94" s="41"/>
      <c r="CV94" s="42" t="str">
        <f ca="1">IFERROR(AVERAGE(OFFSET('Data - For Rank'!$C$2,P94,0,COUNTIF(P$6:P$115,P94)))+IFERROR(VLOOKUP((COUNT(N$6:N$115)/4),$ER$8:$ES$12,2,FALSE()),0),"")</f>
        <v/>
      </c>
      <c r="CW94" s="41"/>
      <c r="CX94" s="42" t="str">
        <f ca="1">IFERROR(AVERAGE(OFFSET('Data - For Rank'!D$2,U94,0,COUNTIF(U$6:$U201,U94)))+IFERROR(VLOOKUP((COUNT(S$6:S$115)/4),$ER$8:$ES$12,2,FALSE()),0),"")</f>
        <v/>
      </c>
      <c r="CY94" s="41"/>
      <c r="CZ94" s="42" t="str">
        <f ca="1">IFERROR(AVERAGE(OFFSET('Data - For Rank'!E$2,Z94,0,COUNTIF(Z$6:Z$115,Z94)))+IFERROR(VLOOKUP((COUNT(W$6:W$115)/4),$ER$8:$ES$12,2,FALSE()),0),"")</f>
        <v/>
      </c>
      <c r="DA94" s="41"/>
      <c r="DB94" s="42" t="str">
        <f ca="1">IFERROR(AVERAGE(OFFSET('Data - For Rank'!F$2,AE94,0,COUNTIF(AE$6:AE$115,AE94)))+IFERROR(VLOOKUP((COUNT(AC$6:AC$115)/4),$ER$8:$ES$12,2,FALSE()),0),"")</f>
        <v/>
      </c>
      <c r="DC94" s="41"/>
      <c r="DD94" s="42" t="str">
        <f ca="1">IFERROR(AVERAGE(OFFSET('Data - For Rank'!G$2,AJ94,0,COUNTIF(AJ$6:AJ$115,AJ94)))+IFERROR(VLOOKUP((COUNT(AH$6:AH$115)/4),$ER$8:$ES$12,2,FALSE()),0),"")</f>
        <v/>
      </c>
      <c r="DE94" s="41"/>
      <c r="DF94" s="42" t="str">
        <f ca="1">IFERROR(AVERAGE(OFFSET('Data - For Rank'!$H$2,AO94,0,COUNTIF(AO$6:AO$115,AO94)))+IFERROR(VLOOKUP((COUNT(AM$6:AM$115)/4),$ER$8:$ES$12,2,FALSE()),0),"")</f>
        <v/>
      </c>
      <c r="DG94" s="41"/>
      <c r="DH94" s="42" t="str">
        <f ca="1">IFERROR(AVERAGE(OFFSET('Data - For Rank'!$I$2,AT94,0,COUNTIF(AT$6:AT$115,AT94)))+IFERROR(VLOOKUP((COUNT(AR$6:AR$115)/4),$ER$8:$ES$12,2,FALSE()),0),"")</f>
        <v/>
      </c>
      <c r="DI94" s="41"/>
      <c r="DJ94" s="42" t="str">
        <f ca="1">IFERROR(AVERAGE(OFFSET('Data - For Rank'!$J$2,AY94,0,COUNTIF(AY$6:AY$115,AY94)))+IFERROR(VLOOKUP((COUNT(AW$6:AW$115)/4),$ER$8:$ES$12,2,FALSE()),0),"")</f>
        <v/>
      </c>
      <c r="DK94" s="41"/>
      <c r="DL94" s="42" t="str">
        <f ca="1">IFERROR(AVERAGE(OFFSET('Data - For Rank'!$K$2,BD94,0,COUNTIF(BD$6:BD$115,BD94)))+IFERROR(VLOOKUP((COUNT(BB$6:BB$115)/4),$ER$8:$ES$12,2,FALSE()),0),"")</f>
        <v/>
      </c>
      <c r="DM94" s="41"/>
      <c r="DN94" s="42" t="str">
        <f ca="1">IFERROR(AVERAGE(OFFSET('Data - For Rank'!$L$2,BI94,0,COUNTIF(BI$6:BI$115,BI94)))+IFERROR(VLOOKUP((COUNT(BG$6:BG$115)/4),$ER$8:$ES$12,2,FALSE()),0),"")</f>
        <v/>
      </c>
      <c r="DO94" s="41"/>
      <c r="DP94" s="42" t="str">
        <f ca="1">IFERROR(AVERAGE(OFFSET('Data - For Rank'!$M$2,BN94,0,COUNTIF(BN$6:BN$115,BN94)))+IFERROR(VLOOKUP((COUNT(BL$6:BL$115)/4),$ER$8:$ES$12,2,FALSE()),0),"")</f>
        <v/>
      </c>
      <c r="DQ94" s="41"/>
      <c r="DR94" s="42" t="str">
        <f ca="1">IFERROR(AVERAGE(OFFSET('Data - For Rank'!$N$2,BS94,0,COUNTIF(BS$6:BS$115,BS94)))+IFERROR(VLOOKUP((COUNT(BQ$6:BQ$115)/4),$ER$8:$ES$12,2,FALSE()),0),"")</f>
        <v/>
      </c>
      <c r="DS94" s="41"/>
      <c r="DT94" s="42" t="str">
        <f ca="1">IFERROR(AVERAGE(OFFSET('Data - For Rank'!$O$2,BX94,0,COUNTIF(BX$6:BX$115,BX94)))+IFERROR(VLOOKUP((COUNT(BV$6:BV$115)/4),$ER$8:$ES$12,2,FALSE()),0),"")</f>
        <v/>
      </c>
      <c r="DU94" s="41"/>
      <c r="DV94" s="42" t="str">
        <f ca="1">IFERROR(AVERAGE(OFFSET('Data - For Rank'!$P$2,CC94,0,COUNTIF(CC$6:CC$115,CC94)))+IFERROR(VLOOKUP((COUNT(CA$6:CA$115)/4),$ER$8:$ES$12,2,FALSE()),0),"")</f>
        <v/>
      </c>
      <c r="DW94" s="41"/>
      <c r="DX94" s="42" t="str">
        <f ca="1">IFERROR(AVERAGE(OFFSET('Data - For Rank'!$Q$2,CH94,0,COUNTIF(CH$6:CH$115,CH94)))+IFERROR(VLOOKUP((COUNT(CF$6:CF$115)/4),$ER$8:$ES$12,2,FALSE()),0),"")</f>
        <v/>
      </c>
      <c r="DY94" s="41"/>
      <c r="DZ94" s="42" t="str">
        <f ca="1">IFERROR(AVERAGE(OFFSET('Data - For Rank'!$R$2,CM94,0,COUNTIF(CM$6:CM$115,CM94)))+IFERROR(VLOOKUP((COUNT(CK$6:CK$115)/4),$ER$8:$ES$12,2,FALSE()),0),"")</f>
        <v/>
      </c>
      <c r="EA94" s="41"/>
      <c r="EB94" s="42" t="str">
        <f ca="1">IFERROR(AVERAGE(OFFSET('Data - For Rank'!$S$2,CR94,0,COUNTIF(CR$6:CR$115,CR94)))+IFERROR(VLOOKUP((COUNT(CP$6:CP$115)/4),$ER$8:$ES$12,2,FALSE()),0),"")</f>
        <v/>
      </c>
      <c r="EC94" s="43">
        <f>IFERROR(AVERAGE(CS94,CU94,CW94,CY94,DA94,DC94,DE94,DG94,DI94,DK94,DM94,DO94,DQ94,DS94,DU94,DW94,DY94,EA94),0)</f>
        <v>0</v>
      </c>
      <c r="ED94" s="44">
        <f t="shared" ca="1" si="3"/>
        <v>0</v>
      </c>
    </row>
    <row r="95" spans="2:134" x14ac:dyDescent="0.2">
      <c r="B95" s="109">
        <f ca="1">_xlfn.RANK.EQ(C95,$C$72:$C$115,)</f>
        <v>2</v>
      </c>
      <c r="C95" s="110">
        <f ca="1">EC95</f>
        <v>0</v>
      </c>
      <c r="D95" s="110" t="s">
        <v>164</v>
      </c>
      <c r="E95" s="119" t="s">
        <v>164</v>
      </c>
      <c r="F95" s="112">
        <f ca="1">COUNT(CT95,CV95,CX95,CZ95,DB95,DD95,DF95,DH95,DJ95,DL95,DN95,DP95,DR95,DT95,DV95,DX95,DZ95,EB95)</f>
        <v>0</v>
      </c>
      <c r="G95" s="93" t="str">
        <f ca="1">IF(CT95=0,"",CT95)</f>
        <v/>
      </c>
      <c r="H95" s="93"/>
      <c r="I95" s="93"/>
      <c r="K95" s="93"/>
      <c r="L95" s="93" t="str">
        <f ca="1">IF(CV95=0,"",CV95)</f>
        <v/>
      </c>
      <c r="M95" s="93"/>
      <c r="N95" s="93"/>
      <c r="P95" s="93"/>
      <c r="Q95" s="93" t="str">
        <f ca="1">IF(CX95=0,"",CX95)</f>
        <v/>
      </c>
      <c r="R95" s="93"/>
      <c r="S95" s="93"/>
      <c r="U95" s="93"/>
      <c r="V95" s="93" t="str">
        <f ca="1">IF(CZ95=0,"",CZ95)</f>
        <v/>
      </c>
      <c r="W95" s="93"/>
      <c r="X95" s="93"/>
      <c r="Z95" s="93"/>
      <c r="AA95" s="93" t="str">
        <f ca="1">IF(DB95=0,"",DB95)</f>
        <v/>
      </c>
      <c r="AB95" s="93"/>
      <c r="AC95" s="93"/>
      <c r="AE95" s="93"/>
      <c r="AF95" s="93" t="str">
        <f ca="1">IF(DD95=0,"",DD95)</f>
        <v/>
      </c>
      <c r="AG95" s="93"/>
      <c r="AH95" s="93"/>
      <c r="AJ95" s="93"/>
      <c r="AK95" s="93" t="str">
        <f ca="1">IF(DF95=0,"",DF95)</f>
        <v/>
      </c>
      <c r="AL95" s="93"/>
      <c r="AM95" s="93"/>
      <c r="AO95" s="93"/>
      <c r="AP95" s="93" t="str">
        <f ca="1">IF(DH95=0,"",DH95)</f>
        <v/>
      </c>
      <c r="AQ95" s="93"/>
      <c r="AR95" s="93"/>
      <c r="AT95" s="93"/>
      <c r="AU95" s="93" t="str">
        <f ca="1">IF(DJ95=0,"",DJ95)</f>
        <v/>
      </c>
      <c r="AV95" s="93"/>
      <c r="AW95" s="93"/>
      <c r="AY95" s="93"/>
      <c r="AZ95" s="93" t="str">
        <f ca="1">IF(DL95=0,"",DL95)</f>
        <v/>
      </c>
      <c r="BA95" s="93"/>
      <c r="BB95" s="93"/>
      <c r="BD95" s="93"/>
      <c r="BE95" s="93" t="str">
        <f ca="1">IF(DN95=0,"",DN95)</f>
        <v/>
      </c>
      <c r="BF95" s="93"/>
      <c r="BG95" s="93"/>
      <c r="BI95" s="93"/>
      <c r="BJ95" s="93" t="str">
        <f ca="1">IF(DP95=0,"",DP95)</f>
        <v/>
      </c>
      <c r="BK95" s="93"/>
      <c r="BL95" s="93"/>
      <c r="BN95" s="93"/>
      <c r="BO95" s="93" t="str">
        <f ca="1">IF(DR95=0,"",DR95)</f>
        <v/>
      </c>
      <c r="BP95" s="93"/>
      <c r="BQ95" s="93"/>
      <c r="BS95" s="93"/>
      <c r="BT95" s="93" t="str">
        <f ca="1">IF(DT95=0,"",DT95)</f>
        <v/>
      </c>
      <c r="BU95" s="93"/>
      <c r="BV95" s="93"/>
      <c r="BX95" s="93"/>
      <c r="BY95" s="93" t="str">
        <f ca="1">IF(DV95=0,"",DV95)</f>
        <v/>
      </c>
      <c r="BZ95" s="93"/>
      <c r="CA95" s="93"/>
      <c r="CC95" s="93"/>
      <c r="CD95" s="93" t="str">
        <f ca="1">IF(DX95=0,"",DX95)</f>
        <v/>
      </c>
      <c r="CE95" s="93"/>
      <c r="CF95" s="93"/>
      <c r="CH95" s="93"/>
      <c r="CI95" s="93" t="str">
        <f ca="1">IF(DZ95=0,"",DZ95)</f>
        <v/>
      </c>
      <c r="CJ95" s="93"/>
      <c r="CK95" s="93"/>
      <c r="CM95" s="93"/>
      <c r="CN95" s="93" t="str">
        <f ca="1">IF(EB95=0,"",EB95)</f>
        <v/>
      </c>
      <c r="CO95" s="93"/>
      <c r="CP95" s="93"/>
      <c r="CR95" s="93"/>
      <c r="CS95" s="31"/>
      <c r="CT95" s="32" t="str">
        <f ca="1">IFERROR(CT96+CT97,"")</f>
        <v/>
      </c>
      <c r="CU95" s="31"/>
      <c r="CV95" s="32" t="str">
        <f ca="1">IFERROR(CV96+CV97,"")</f>
        <v/>
      </c>
      <c r="CW95" s="31"/>
      <c r="CX95" s="32" t="str">
        <f ca="1">IFERROR(CX96+CX97,"")</f>
        <v/>
      </c>
      <c r="CY95" s="31"/>
      <c r="CZ95" s="32" t="str">
        <f ca="1">IFERROR(CZ96+CZ97,"")</f>
        <v/>
      </c>
      <c r="DA95" s="31"/>
      <c r="DB95" s="32" t="str">
        <f ca="1">IFERROR(DB96+DB97,"")</f>
        <v/>
      </c>
      <c r="DC95" s="31"/>
      <c r="DD95" s="32" t="str">
        <f ca="1">IFERROR(DD96+DD97,"")</f>
        <v/>
      </c>
      <c r="DE95" s="31"/>
      <c r="DF95" s="32" t="str">
        <f ca="1">IFERROR(DF96+DF97,"")</f>
        <v/>
      </c>
      <c r="DG95" s="31"/>
      <c r="DH95" s="32" t="str">
        <f ca="1">IFERROR(DH96+DH97,"")</f>
        <v/>
      </c>
      <c r="DI95" s="31"/>
      <c r="DJ95" s="32" t="str">
        <f ca="1">IFERROR(DJ96+DJ97,"")</f>
        <v/>
      </c>
      <c r="DK95" s="31"/>
      <c r="DL95" s="32" t="str">
        <f ca="1">IFERROR(DL96+DL97,"")</f>
        <v/>
      </c>
      <c r="DM95" s="31"/>
      <c r="DN95" s="32" t="str">
        <f ca="1">IFERROR(DN96+DN97,"")</f>
        <v/>
      </c>
      <c r="DO95" s="31"/>
      <c r="DP95" s="32" t="str">
        <f ca="1">IFERROR(DP96+DP97,"")</f>
        <v/>
      </c>
      <c r="DQ95" s="31"/>
      <c r="DR95" s="32" t="str">
        <f ca="1">IFERROR(DR96+DR97,"")</f>
        <v/>
      </c>
      <c r="DS95" s="31"/>
      <c r="DT95" s="32" t="str">
        <f ca="1">IFERROR(DT96+DT97,"")</f>
        <v/>
      </c>
      <c r="DU95" s="31"/>
      <c r="DV95" s="32" t="str">
        <f ca="1">IFERROR(DV96+DV97,"")</f>
        <v/>
      </c>
      <c r="DW95" s="31"/>
      <c r="DX95" s="32" t="str">
        <f ca="1">IFERROR(DX96+DX97,"")</f>
        <v/>
      </c>
      <c r="DY95" s="31"/>
      <c r="DZ95" s="32" t="str">
        <f ca="1">IFERROR(DZ96+DZ97,"")</f>
        <v/>
      </c>
      <c r="EA95" s="31"/>
      <c r="EB95" s="32" t="str">
        <f ca="1">IFERROR(EB96+EB97,"")</f>
        <v/>
      </c>
      <c r="EC95" s="26">
        <f ca="1">IFERROR(LARGE($G95:$CN95,1),0)+IFERROR(LARGE($G95:$CN95,2),0)+IFERROR(LARGE($G95:$CN95,3),0)+IFERROR(LARGE($G95:$CN95,4),0)+IFERROR(LARGE($G95:$CN95,5),0)+IFERROR(LARGE($G95:$CN95,6),0)+IFERROR(LARGE($G95:$CN95,7),0)+IFERROR(LARGE($G95:$CN95,8),0)+IFERROR(LARGE($G95:$CN95,9),0)+IFERROR(LARGE($G95:$CN95,10),0)</f>
        <v>0</v>
      </c>
      <c r="ED95" s="33">
        <f t="shared" ca="1" si="3"/>
        <v>0</v>
      </c>
    </row>
    <row r="96" spans="2:134" outlineLevel="1" x14ac:dyDescent="0.2">
      <c r="B96" s="113">
        <f>B94+0.08</f>
        <v>1.3014999999999999</v>
      </c>
      <c r="C96" s="109"/>
      <c r="D96" s="109" t="s">
        <v>165</v>
      </c>
      <c r="E96" s="114" t="s">
        <v>38</v>
      </c>
      <c r="F96" s="115"/>
      <c r="G96" s="35"/>
      <c r="H96" s="35" t="str">
        <f>IF(CS96=0,"",CS96)</f>
        <v/>
      </c>
      <c r="I96" s="35"/>
      <c r="J96" s="93" t="str">
        <f>IFERROR(RANK(H96,H$6:H$115,0),"")</f>
        <v/>
      </c>
      <c r="K96" s="35"/>
      <c r="L96" s="35"/>
      <c r="M96" s="35" t="str">
        <f>IF(CU96=0,"",CU96)</f>
        <v/>
      </c>
      <c r="N96" s="35"/>
      <c r="O96" s="93" t="str">
        <f>IFERROR(RANK(M96,M$6:M$115,0),"")</f>
        <v/>
      </c>
      <c r="P96" s="35"/>
      <c r="Q96" s="35"/>
      <c r="R96" s="35" t="str">
        <f>IF(CW96=0,"",CW96)</f>
        <v/>
      </c>
      <c r="S96" s="35"/>
      <c r="T96" s="93" t="str">
        <f>IFERROR(RANK(R96,R$6:R$115,0),"")</f>
        <v/>
      </c>
      <c r="U96" s="35"/>
      <c r="V96" s="35"/>
      <c r="W96" s="35" t="str">
        <f>IF(CY96=0,"",CY96)</f>
        <v/>
      </c>
      <c r="X96" s="35"/>
      <c r="Y96" s="93" t="str">
        <f>IFERROR(RANK(W96,W$6:W$115,0),"")</f>
        <v/>
      </c>
      <c r="Z96" s="35"/>
      <c r="AA96" s="35"/>
      <c r="AB96" s="35" t="str">
        <f>IF(DA96=0,"",DA96)</f>
        <v/>
      </c>
      <c r="AC96" s="35"/>
      <c r="AD96" s="93" t="str">
        <f>IFERROR(RANK(AB96,AB$6:AB$115,0),"")</f>
        <v/>
      </c>
      <c r="AE96" s="35"/>
      <c r="AF96" s="35"/>
      <c r="AG96" s="35" t="str">
        <f>IF(DC96=0,"",DC96)</f>
        <v/>
      </c>
      <c r="AH96" s="35"/>
      <c r="AI96" s="93" t="str">
        <f>IFERROR(RANK(AG96,AG$6:AG$115,0),"")</f>
        <v/>
      </c>
      <c r="AJ96" s="35"/>
      <c r="AK96" s="35"/>
      <c r="AL96" s="35" t="str">
        <f>IF(DE96=0,"",DE96)</f>
        <v/>
      </c>
      <c r="AM96" s="35"/>
      <c r="AN96" s="93" t="str">
        <f>IFERROR(RANK(AL96,AL$6:AL$115,0),"")</f>
        <v/>
      </c>
      <c r="AO96" s="35"/>
      <c r="AP96" s="35"/>
      <c r="AQ96" s="35" t="str">
        <f>IF(DG96=0,"",DG96)</f>
        <v/>
      </c>
      <c r="AR96" s="35"/>
      <c r="AS96" s="93" t="str">
        <f>IFERROR(RANK(AQ96,AQ$6:AQ$115,0),"")</f>
        <v/>
      </c>
      <c r="AT96" s="35"/>
      <c r="AU96" s="35"/>
      <c r="AV96" s="35" t="str">
        <f>IF(DI96=0,"",DI96)</f>
        <v/>
      </c>
      <c r="AW96" s="35"/>
      <c r="AX96" s="93" t="str">
        <f>IFERROR(RANK(AV96,AV$6:AV$115,0),"")</f>
        <v/>
      </c>
      <c r="AY96" s="35"/>
      <c r="AZ96" s="35"/>
      <c r="BA96" s="35" t="str">
        <f>IF(DK96=0,"",DK96)</f>
        <v/>
      </c>
      <c r="BB96" s="35"/>
      <c r="BC96" s="93" t="str">
        <f>IFERROR(RANK(BA96,BA$6:BA$115,0),"")</f>
        <v/>
      </c>
      <c r="BD96" s="35"/>
      <c r="BE96" s="35"/>
      <c r="BF96" s="35" t="str">
        <f>IF(DM96=0,"",DM96)</f>
        <v/>
      </c>
      <c r="BG96" s="35"/>
      <c r="BH96" s="93" t="str">
        <f>IFERROR(RANK(BF96,BF$6:BF$115,0),"")</f>
        <v/>
      </c>
      <c r="BI96" s="35"/>
      <c r="BJ96" s="35"/>
      <c r="BK96" s="35" t="str">
        <f>IF(DO96=0,"",DO96)</f>
        <v/>
      </c>
      <c r="BL96" s="35"/>
      <c r="BM96" s="93" t="str">
        <f>IFERROR(RANK(BK96,BK$6:BK$115,0),"")</f>
        <v/>
      </c>
      <c r="BN96" s="35"/>
      <c r="BO96" s="35"/>
      <c r="BP96" s="35" t="str">
        <f>IF(DQ96=0,"",DQ96)</f>
        <v/>
      </c>
      <c r="BQ96" s="35"/>
      <c r="BR96" s="93" t="str">
        <f>IFERROR(RANK(BP96,BP$6:BP$115,0),"")</f>
        <v/>
      </c>
      <c r="BS96" s="35"/>
      <c r="BT96" s="35"/>
      <c r="BU96" s="35" t="str">
        <f>IF(DS96=0,"",DS96)</f>
        <v/>
      </c>
      <c r="BV96" s="35"/>
      <c r="BW96" s="93" t="str">
        <f>IFERROR(RANK(BU96,BU$6:BU$115,0),"")</f>
        <v/>
      </c>
      <c r="BX96" s="35"/>
      <c r="BY96" s="35"/>
      <c r="BZ96" s="35" t="str">
        <f>IF(DU96=0,"",DU96)</f>
        <v/>
      </c>
      <c r="CA96" s="35"/>
      <c r="CB96" s="93" t="str">
        <f>IFERROR(RANK(BZ96,BZ$6:BZ$115,0),"")</f>
        <v/>
      </c>
      <c r="CC96" s="35"/>
      <c r="CD96" s="35"/>
      <c r="CE96" s="35" t="str">
        <f>IF(DW96=0,"",DW96)</f>
        <v/>
      </c>
      <c r="CF96" s="35"/>
      <c r="CG96" s="93" t="str">
        <f>IFERROR(RANK(CE96,CE$6:CE$115,0),"")</f>
        <v/>
      </c>
      <c r="CH96" s="35"/>
      <c r="CI96" s="35"/>
      <c r="CJ96" s="35" t="str">
        <f>IF(DY96=0,"",DY96)</f>
        <v/>
      </c>
      <c r="CK96" s="35"/>
      <c r="CL96" s="93" t="str">
        <f>IFERROR(RANK(CJ96,CJ$6:CJ$115,0),"")</f>
        <v/>
      </c>
      <c r="CM96" s="35"/>
      <c r="CN96" s="35"/>
      <c r="CO96" s="35" t="str">
        <f>IF(EA96=0,"",EA96)</f>
        <v/>
      </c>
      <c r="CP96" s="35"/>
      <c r="CQ96" s="93" t="str">
        <f>IFERROR(RANK(CO96,CO$6:CO$115,0),"")</f>
        <v/>
      </c>
      <c r="CR96" s="35"/>
      <c r="CS96" s="31"/>
      <c r="CT96" s="36" t="str">
        <f ca="1">IFERROR(AVERAGE(OFFSET('Data - For Rank'!B$2,J96,0,COUNTIF($J$7:J$115,J96)))+IFERROR(VLOOKUP((COUNT($H$6:$H$115)/4),$ER$8:$ES$12,2,FALSE()),0),"")</f>
        <v/>
      </c>
      <c r="CU96" s="31"/>
      <c r="CV96" s="36" t="str">
        <f ca="1">IFERROR(AVERAGE(OFFSET('Data - For Rank'!$C$2,O96,0,COUNTIF(O$7:O$115,O96)))+IFERROR(VLOOKUP((COUNT(M$6:M$115)/4),$ER$8:$ES$12,2,FALSE()),0),"")</f>
        <v/>
      </c>
      <c r="CW96" s="31"/>
      <c r="CX96" s="36" t="str">
        <f ca="1">IFERROR(AVERAGE(OFFSET('Data - For Rank'!D$2,T96,0,COUNTIF(T$7:T$115,T96)))+IFERROR(VLOOKUP((COUNT(R$6:R$115)/4),$ER$8:$ES$12,2,FALSE()),0),"")</f>
        <v/>
      </c>
      <c r="CY96" s="31"/>
      <c r="CZ96" s="36" t="str">
        <f ca="1">IFERROR(AVERAGE(OFFSET('Data - For Rank'!E$2,Y96,0,COUNTIF(Y$7:Y$115,Y96)))+IFERROR(VLOOKUP((COUNT(W$6:W$115)/4),$ER$8:$ES$12,2,FALSE()),0),"")</f>
        <v/>
      </c>
      <c r="DA96" s="31"/>
      <c r="DB96" s="36" t="str">
        <f ca="1">IFERROR(AVERAGE(OFFSET('Data - For Rank'!F$2,AD96,0,COUNTIF(AD$7:AD$115,AD96)))+IFERROR(VLOOKUP((COUNT(AB$6:AB$115)/4),$ER$8:$ES$12,2,FALSE()),0),"")</f>
        <v/>
      </c>
      <c r="DC96" s="31"/>
      <c r="DD96" s="36" t="str">
        <f ca="1">IFERROR(AVERAGE(OFFSET('Data - For Rank'!G$2,AI96,0,COUNTIF(AI$7:AI$115,AI96)))+IFERROR(VLOOKUP((COUNT(AG$6:AG$115)/4),$ER$8:$ES$12,2,FALSE()),0),"")</f>
        <v/>
      </c>
      <c r="DE96" s="31"/>
      <c r="DF96" s="36" t="str">
        <f ca="1">IFERROR(AVERAGE(OFFSET('Data - For Rank'!$H$2,AN96,0,COUNTIF(AN$7:AN$115,AN96)))+IFERROR(VLOOKUP((COUNT(AL$6:AL$115)/4),$ER$8:$ES$12,2,FALSE()),0),"")</f>
        <v/>
      </c>
      <c r="DG96" s="31"/>
      <c r="DH96" s="36" t="str">
        <f ca="1">IFERROR(AVERAGE(OFFSET('Data - For Rank'!$I$2,AS96,0,COUNTIF(AS$7:AS$115,AS96)))+IFERROR(VLOOKUP((COUNT(AQ$6:AQ$115)/4),$ER$8:$ES$12,2,FALSE()),0),"")</f>
        <v/>
      </c>
      <c r="DI96" s="31"/>
      <c r="DJ96" s="36" t="str">
        <f ca="1">IFERROR(AVERAGE(OFFSET('Data - For Rank'!$J$2,AX96,0,COUNTIF(AX$7:AX$115,AX96)))+IFERROR(VLOOKUP((COUNT(AV$6:AV$115)/4),$ER$8:$ES$12,2,FALSE()),0),"")</f>
        <v/>
      </c>
      <c r="DK96" s="31"/>
      <c r="DL96" s="36" t="str">
        <f ca="1">IFERROR(AVERAGE(OFFSET('Data - For Rank'!$K$2,BC96,0,COUNTIF(BC$7:BC$115,BC96)))+IFERROR(VLOOKUP((COUNT(BA$6:BA$115)/4),$ER$8:$ES$12,2,FALSE()),0),"")</f>
        <v/>
      </c>
      <c r="DM96" s="31"/>
      <c r="DN96" s="36" t="str">
        <f ca="1">IFERROR(AVERAGE(OFFSET('Data - For Rank'!$L$2,BH96,0,COUNTIF(BH$7:BH$115,BH96)))+IFERROR(VLOOKUP((COUNT(BF$6:BF$115)/4),$ER$8:$ES$12,2,FALSE()),0),"")</f>
        <v/>
      </c>
      <c r="DO96" s="31"/>
      <c r="DP96" s="36" t="str">
        <f ca="1">IFERROR(AVERAGE(OFFSET('Data - For Rank'!$M$2,BM96,0,COUNTIF(BM$7:BM$115,BM96)))+IFERROR(VLOOKUP((COUNT(BK$6:BK$115)/4),$ER$8:$ES$12,2,FALSE()),0),"")</f>
        <v/>
      </c>
      <c r="DQ96" s="31"/>
      <c r="DR96" s="36" t="str">
        <f ca="1">IFERROR(AVERAGE(OFFSET('Data - For Rank'!$N$2,BR96,0,COUNTIF(BR$7:BR$115,BR96)))+IFERROR(VLOOKUP((COUNT(BP$6:BP$115)/4),$ER$8:$ES$12,2,FALSE()),0),"")</f>
        <v/>
      </c>
      <c r="DS96" s="31"/>
      <c r="DT96" s="36" t="str">
        <f ca="1">IFERROR(AVERAGE(OFFSET('Data - For Rank'!$O$2,BW96,0,COUNTIF(BW$7:BW$115,BW96)))+IFERROR(VLOOKUP((COUNT(BU$6:BU$115)/4),$ER$8:$ES$12,2,FALSE()),0),"")</f>
        <v/>
      </c>
      <c r="DU96" s="31"/>
      <c r="DV96" s="36" t="str">
        <f ca="1">IFERROR(AVERAGE(OFFSET('Data - For Rank'!$P$2,CB96,0,COUNTIF(CB$7:CB$115,CB96)))+IFERROR(VLOOKUP((COUNT(BZ$6:BZ$115)/4),$ER$8:$ES$12,2,FALSE()),0),"")</f>
        <v/>
      </c>
      <c r="DW96" s="31"/>
      <c r="DX96" s="36" t="str">
        <f ca="1">IFERROR(AVERAGE(OFFSET('Data - For Rank'!$Q$2,CG96,0,COUNTIF(CG$7:CG$115,CG96)))+IFERROR(VLOOKUP((COUNT(CE$6:CE$115)/4),$ER$8:$ES$12,2,FALSE()),0),"")</f>
        <v/>
      </c>
      <c r="DY96" s="31"/>
      <c r="DZ96" s="36" t="str">
        <f ca="1">IFERROR(AVERAGE(OFFSET('Data - For Rank'!$R$2,CL96,0,COUNTIF(CL$7:CL$115,CL96)))+IFERROR(VLOOKUP((COUNT(CJ$6:CJ$115)/4),$ER$8:$ES$12,2,FALSE()),0),"")</f>
        <v/>
      </c>
      <c r="EA96" s="31"/>
      <c r="EB96" s="36" t="str">
        <f ca="1">IFERROR(AVERAGE(OFFSET('Data - For Rank'!$S$2,CQ96,0,COUNTIF(CQ$7:CQ$115,CQ96)))+IFERROR(VLOOKUP((COUNT(CO$6:CO$115)/4),$ER$8:$ES$12,2,FALSE()),0),"")</f>
        <v/>
      </c>
      <c r="EC96" s="37">
        <f>CS96+CU96+CW96+CY96+DA96+DC96+DE96+DG96+DI96+DK96+DM96+DO96+DQ96+DS96+DU96+DW96+DY96+EA96</f>
        <v>0</v>
      </c>
      <c r="ED96" s="33">
        <f t="shared" ca="1" si="3"/>
        <v>0</v>
      </c>
    </row>
    <row r="97" spans="2:134" outlineLevel="1" x14ac:dyDescent="0.2">
      <c r="B97" s="116">
        <f>B96+0.18</f>
        <v>1.4814999999999998</v>
      </c>
      <c r="C97" s="109"/>
      <c r="D97" s="109" t="s">
        <v>166</v>
      </c>
      <c r="E97" s="117" t="s">
        <v>39</v>
      </c>
      <c r="F97" s="118"/>
      <c r="G97" s="40"/>
      <c r="H97" s="40"/>
      <c r="I97" s="96" t="str">
        <f>IF(CS97=0,"",CS97)</f>
        <v/>
      </c>
      <c r="J97" s="96"/>
      <c r="K97" s="97" t="str">
        <f>IFERROR(_xlfn.RANK.EQ(I97,I$6:I$115,0),"")</f>
        <v/>
      </c>
      <c r="L97" s="40"/>
      <c r="M97" s="40"/>
      <c r="N97" s="96" t="str">
        <f>IF(CU97=0,"",CU97)</f>
        <v/>
      </c>
      <c r="O97" s="96"/>
      <c r="P97" s="97" t="str">
        <f>IFERROR(_xlfn.RANK.EQ(N97,N$6:N$115,0),"")</f>
        <v/>
      </c>
      <c r="Q97" s="40"/>
      <c r="R97" s="40"/>
      <c r="S97" s="96" t="str">
        <f>IF(CW97=0,"",CW97)</f>
        <v/>
      </c>
      <c r="T97" s="96"/>
      <c r="U97" s="97" t="str">
        <f>IFERROR(_xlfn.RANK.EQ(S97,S$6:S$115,0),"")</f>
        <v/>
      </c>
      <c r="V97" s="40"/>
      <c r="W97" s="40"/>
      <c r="X97" s="96" t="str">
        <f>IF(CY97=0,"",CY97)</f>
        <v/>
      </c>
      <c r="Y97" s="96"/>
      <c r="Z97" s="97" t="str">
        <f>IFERROR(_xlfn.RANK.EQ(X97,X$6:X$115,0),"")</f>
        <v/>
      </c>
      <c r="AA97" s="40"/>
      <c r="AB97" s="40"/>
      <c r="AC97" s="96" t="str">
        <f>IF(DA97=0,"",DA97)</f>
        <v/>
      </c>
      <c r="AD97" s="96"/>
      <c r="AE97" s="97" t="str">
        <f>IFERROR(_xlfn.RANK.EQ(AC97,AC$6:AC$115,0),"")</f>
        <v/>
      </c>
      <c r="AF97" s="40"/>
      <c r="AG97" s="40"/>
      <c r="AH97" s="96" t="str">
        <f>IF(DC97=0,"",DC97)</f>
        <v/>
      </c>
      <c r="AI97" s="96"/>
      <c r="AJ97" s="97" t="str">
        <f>IFERROR(_xlfn.RANK.EQ(AH97,AH$6:AH$115,0),"")</f>
        <v/>
      </c>
      <c r="AK97" s="40"/>
      <c r="AL97" s="40"/>
      <c r="AM97" s="96" t="str">
        <f>IF(DE97=0,"",DE97)</f>
        <v/>
      </c>
      <c r="AN97" s="96"/>
      <c r="AO97" s="97" t="str">
        <f>IFERROR(_xlfn.RANK.EQ(AM97,AM$6:AM$115,0),"")</f>
        <v/>
      </c>
      <c r="AP97" s="40"/>
      <c r="AQ97" s="40"/>
      <c r="AR97" s="96" t="str">
        <f>IF(DG97=0,"",DG97)</f>
        <v/>
      </c>
      <c r="AS97" s="96"/>
      <c r="AT97" s="97" t="str">
        <f>IFERROR(_xlfn.RANK.EQ(AR97,AR$6:AR$115,0),"")</f>
        <v/>
      </c>
      <c r="AU97" s="40"/>
      <c r="AV97" s="40"/>
      <c r="AW97" s="96" t="str">
        <f>IF(DI97=0,"",DI97)</f>
        <v/>
      </c>
      <c r="AX97" s="96"/>
      <c r="AY97" s="97" t="str">
        <f>IFERROR(_xlfn.RANK.EQ(AW97,AW$6:AW$115,0),"")</f>
        <v/>
      </c>
      <c r="AZ97" s="40"/>
      <c r="BA97" s="40"/>
      <c r="BB97" s="96" t="str">
        <f>IF(DK97=0,"",DK97)</f>
        <v/>
      </c>
      <c r="BC97" s="96"/>
      <c r="BD97" s="97" t="str">
        <f>IFERROR(_xlfn.RANK.EQ(BB97,BB$6:BB$115,0),"")</f>
        <v/>
      </c>
      <c r="BE97" s="40"/>
      <c r="BF97" s="40"/>
      <c r="BG97" s="96" t="str">
        <f>IF(DM97=0,"",DM97)</f>
        <v/>
      </c>
      <c r="BH97" s="96"/>
      <c r="BI97" s="97" t="str">
        <f>IFERROR(_xlfn.RANK.EQ(BG97,BG$6:BG$115,0),"")</f>
        <v/>
      </c>
      <c r="BJ97" s="40"/>
      <c r="BK97" s="40"/>
      <c r="BL97" s="96" t="str">
        <f>IF(DO97=0,"",DO97)</f>
        <v/>
      </c>
      <c r="BM97" s="96"/>
      <c r="BN97" s="97" t="str">
        <f>IFERROR(_xlfn.RANK.EQ(BL97,BL$6:BL$115,0),"")</f>
        <v/>
      </c>
      <c r="BO97" s="40"/>
      <c r="BP97" s="40"/>
      <c r="BQ97" s="96" t="str">
        <f>IF(DQ97=0,"",DQ97)</f>
        <v/>
      </c>
      <c r="BR97" s="96"/>
      <c r="BS97" s="97" t="str">
        <f>IFERROR(_xlfn.RANK.EQ(BQ97,BQ$6:BQ$115,0),"")</f>
        <v/>
      </c>
      <c r="BT97" s="40"/>
      <c r="BU97" s="40"/>
      <c r="BV97" s="96" t="str">
        <f>IF(DS97=0,"",DS97)</f>
        <v/>
      </c>
      <c r="BW97" s="96"/>
      <c r="BX97" s="97" t="str">
        <f>IFERROR(_xlfn.RANK.EQ(BV97,BV$6:BV$115,0),"")</f>
        <v/>
      </c>
      <c r="BY97" s="40"/>
      <c r="BZ97" s="40"/>
      <c r="CA97" s="96" t="str">
        <f>IF(DU97=0,"",DU97)</f>
        <v/>
      </c>
      <c r="CB97" s="96"/>
      <c r="CC97" s="97" t="str">
        <f>IFERROR(_xlfn.RANK.EQ(CA97,CA$6:CA$115,0),"")</f>
        <v/>
      </c>
      <c r="CD97" s="40"/>
      <c r="CE97" s="40"/>
      <c r="CF97" s="96" t="str">
        <f>IF(DW97=0,"",DW97)</f>
        <v/>
      </c>
      <c r="CG97" s="96"/>
      <c r="CH97" s="97" t="str">
        <f>IFERROR(_xlfn.RANK.EQ(CF97,CF$6:CF$115,0),"")</f>
        <v/>
      </c>
      <c r="CI97" s="40"/>
      <c r="CJ97" s="40"/>
      <c r="CK97" s="96" t="str">
        <f>IF(DY97=0,"",DY97)</f>
        <v/>
      </c>
      <c r="CL97" s="96"/>
      <c r="CM97" s="97" t="str">
        <f>IFERROR(_xlfn.RANK.EQ(CK97,CK$6:CK$115,0),"")</f>
        <v/>
      </c>
      <c r="CN97" s="40"/>
      <c r="CO97" s="40"/>
      <c r="CP97" s="96" t="str">
        <f>IF(EA97=0,"",EA97)</f>
        <v/>
      </c>
      <c r="CQ97" s="96"/>
      <c r="CR97" s="97" t="str">
        <f>IFERROR(_xlfn.RANK.EQ(CP97,CP$6:CP$115,0),"")</f>
        <v/>
      </c>
      <c r="CS97" s="41"/>
      <c r="CT97" s="42" t="str">
        <f ca="1">IFERROR(AVERAGE(OFFSET('Data - For Rank'!B$2,K97,0,COUNTIF(K$6:K$115,K97)))+IFERROR(VLOOKUP((COUNT($I$6:$I$115)/4),$ER$8:$ES$12,2,FALSE()),0),"")</f>
        <v/>
      </c>
      <c r="CU97" s="41"/>
      <c r="CV97" s="42" t="str">
        <f ca="1">IFERROR(AVERAGE(OFFSET('Data - For Rank'!$C$2,P97,0,COUNTIF(P$6:P$115,P97)))+IFERROR(VLOOKUP((COUNT(N$6:N$115)/4),$ER$8:$ES$12,2,FALSE()),0),"")</f>
        <v/>
      </c>
      <c r="CW97" s="41"/>
      <c r="CX97" s="42" t="str">
        <f ca="1">IFERROR(AVERAGE(OFFSET('Data - For Rank'!D$2,U97,0,COUNTIF(U$6:$U204,U97)))+IFERROR(VLOOKUP((COUNT(S$6:S$115)/4),$ER$8:$ES$12,2,FALSE()),0),"")</f>
        <v/>
      </c>
      <c r="CY97" s="41"/>
      <c r="CZ97" s="42" t="str">
        <f ca="1">IFERROR(AVERAGE(OFFSET('Data - For Rank'!E$2,Z97,0,COUNTIF(Z$6:Z$115,Z97)))+IFERROR(VLOOKUP((COUNT(W$6:W$115)/4),$ER$8:$ES$12,2,FALSE()),0),"")</f>
        <v/>
      </c>
      <c r="DA97" s="41"/>
      <c r="DB97" s="42" t="str">
        <f ca="1">IFERROR(AVERAGE(OFFSET('Data - For Rank'!F$2,AE97,0,COUNTIF(AE$6:AE$115,AE97)))+IFERROR(VLOOKUP((COUNT(AC$6:AC$115)/4),$ER$8:$ES$12,2,FALSE()),0),"")</f>
        <v/>
      </c>
      <c r="DC97" s="41"/>
      <c r="DD97" s="42" t="str">
        <f ca="1">IFERROR(AVERAGE(OFFSET('Data - For Rank'!G$2,AJ97,0,COUNTIF(AJ$6:AJ$115,AJ97)))+IFERROR(VLOOKUP((COUNT(AH$6:AH$115)/4),$ER$8:$ES$12,2,FALSE()),0),"")</f>
        <v/>
      </c>
      <c r="DE97" s="41"/>
      <c r="DF97" s="42" t="str">
        <f ca="1">IFERROR(AVERAGE(OFFSET('Data - For Rank'!$H$2,AO97,0,COUNTIF(AO$6:AO$115,AO97)))+IFERROR(VLOOKUP((COUNT(AM$6:AM$115)/4),$ER$8:$ES$12,2,FALSE()),0),"")</f>
        <v/>
      </c>
      <c r="DG97" s="41"/>
      <c r="DH97" s="42" t="str">
        <f ca="1">IFERROR(AVERAGE(OFFSET('Data - For Rank'!$I$2,AT97,0,COUNTIF(AT$6:AT$115,AT97)))+IFERROR(VLOOKUP((COUNT(AR$6:AR$115)/4),$ER$8:$ES$12,2,FALSE()),0),"")</f>
        <v/>
      </c>
      <c r="DI97" s="41"/>
      <c r="DJ97" s="42" t="str">
        <f ca="1">IFERROR(AVERAGE(OFFSET('Data - For Rank'!$J$2,AY97,0,COUNTIF(AY$6:AY$115,AY97)))+IFERROR(VLOOKUP((COUNT(AW$6:AW$115)/4),$ER$8:$ES$12,2,FALSE()),0),"")</f>
        <v/>
      </c>
      <c r="DK97" s="41"/>
      <c r="DL97" s="42" t="str">
        <f ca="1">IFERROR(AVERAGE(OFFSET('Data - For Rank'!$K$2,BD97,0,COUNTIF(BD$6:BD$115,BD97)))+IFERROR(VLOOKUP((COUNT(BB$6:BB$115)/4),$ER$8:$ES$12,2,FALSE()),0),"")</f>
        <v/>
      </c>
      <c r="DM97" s="41"/>
      <c r="DN97" s="42" t="str">
        <f ca="1">IFERROR(AVERAGE(OFFSET('Data - For Rank'!$L$2,BI97,0,COUNTIF(BI$6:BI$115,BI97)))+IFERROR(VLOOKUP((COUNT(BG$6:BG$115)/4),$ER$8:$ES$12,2,FALSE()),0),"")</f>
        <v/>
      </c>
      <c r="DO97" s="41"/>
      <c r="DP97" s="42" t="str">
        <f ca="1">IFERROR(AVERAGE(OFFSET('Data - For Rank'!$M$2,BN97,0,COUNTIF(BN$6:BN$115,BN97)))+IFERROR(VLOOKUP((COUNT(BL$6:BL$115)/4),$ER$8:$ES$12,2,FALSE()),0),"")</f>
        <v/>
      </c>
      <c r="DQ97" s="41"/>
      <c r="DR97" s="42" t="str">
        <f ca="1">IFERROR(AVERAGE(OFFSET('Data - For Rank'!$N$2,BS97,0,COUNTIF(BS$6:BS$115,BS97)))+IFERROR(VLOOKUP((COUNT(BQ$6:BQ$115)/4),$ER$8:$ES$12,2,FALSE()),0),"")</f>
        <v/>
      </c>
      <c r="DS97" s="41"/>
      <c r="DT97" s="42" t="str">
        <f ca="1">IFERROR(AVERAGE(OFFSET('Data - For Rank'!$O$2,BX97,0,COUNTIF(BX$6:BX$115,BX97)))+IFERROR(VLOOKUP((COUNT(BV$6:BV$115)/4),$ER$8:$ES$12,2,FALSE()),0),"")</f>
        <v/>
      </c>
      <c r="DU97" s="41"/>
      <c r="DV97" s="42" t="str">
        <f ca="1">IFERROR(AVERAGE(OFFSET('Data - For Rank'!$P$2,CC97,0,COUNTIF(CC$6:CC$115,CC97)))+IFERROR(VLOOKUP((COUNT(CA$6:CA$115)/4),$ER$8:$ES$12,2,FALSE()),0),"")</f>
        <v/>
      </c>
      <c r="DW97" s="41"/>
      <c r="DX97" s="42" t="str">
        <f ca="1">IFERROR(AVERAGE(OFFSET('Data - For Rank'!$Q$2,CH97,0,COUNTIF(CH$6:CH$115,CH97)))+IFERROR(VLOOKUP((COUNT(CF$6:CF$115)/4),$ER$8:$ES$12,2,FALSE()),0),"")</f>
        <v/>
      </c>
      <c r="DY97" s="41"/>
      <c r="DZ97" s="42" t="str">
        <f ca="1">IFERROR(AVERAGE(OFFSET('Data - For Rank'!$R$2,CM97,0,COUNTIF(CM$6:CM$115,CM97)))+IFERROR(VLOOKUP((COUNT(CK$6:CK$115)/4),$ER$8:$ES$12,2,FALSE()),0),"")</f>
        <v/>
      </c>
      <c r="EA97" s="41"/>
      <c r="EB97" s="42" t="str">
        <f ca="1">IFERROR(AVERAGE(OFFSET('Data - For Rank'!$S$2,CR97,0,COUNTIF(CR$6:CR$115,CR97)))+IFERROR(VLOOKUP((COUNT(CP$6:CP$115)/4),$ER$8:$ES$12,2,FALSE()),0),"")</f>
        <v/>
      </c>
      <c r="EC97" s="43">
        <f>IFERROR(AVERAGE(CS97,CU97,CW97,CY97,DA97,DC97,DE97,DG97,DI97,DK97,DM97,DO97,DQ97,DS97,DU97,DW97,DY97,EA97),0)</f>
        <v>0</v>
      </c>
      <c r="ED97" s="44">
        <f t="shared" ca="1" si="3"/>
        <v>0</v>
      </c>
    </row>
    <row r="98" spans="2:134" ht="15.75" customHeight="1" x14ac:dyDescent="0.2">
      <c r="B98" s="109">
        <f ca="1">_xlfn.RANK.EQ(C98,$C$72:$C$115,)</f>
        <v>2</v>
      </c>
      <c r="C98" s="110">
        <f ca="1">EC98</f>
        <v>0</v>
      </c>
      <c r="D98" s="110" t="s">
        <v>167</v>
      </c>
      <c r="E98" s="119" t="s">
        <v>167</v>
      </c>
      <c r="F98" s="112">
        <f ca="1">COUNT(CT98,CV98,CX98,CZ98,DB98,DD98,DF98,DH98,DJ98,DL98,DN98,DP98,DR98,DT98,DV98,DX98,DZ98,EB98)</f>
        <v>0</v>
      </c>
      <c r="G98" s="93" t="str">
        <f ca="1">IF(CT98=0,"",CT98)</f>
        <v/>
      </c>
      <c r="H98" s="93"/>
      <c r="I98" s="93"/>
      <c r="K98" s="93"/>
      <c r="L98" s="93" t="str">
        <f ca="1">IF(CV98=0,"",CV98)</f>
        <v/>
      </c>
      <c r="M98" s="93"/>
      <c r="N98" s="93"/>
      <c r="P98" s="93"/>
      <c r="Q98" s="93" t="str">
        <f ca="1">IF(CX98=0,"",CX98)</f>
        <v/>
      </c>
      <c r="R98" s="93"/>
      <c r="S98" s="93"/>
      <c r="U98" s="93"/>
      <c r="V98" s="93" t="str">
        <f ca="1">IF(CZ98=0,"",CZ98)</f>
        <v/>
      </c>
      <c r="W98" s="93"/>
      <c r="X98" s="93"/>
      <c r="Z98" s="93"/>
      <c r="AA98" s="93" t="str">
        <f ca="1">IF(DB98=0,"",DB98)</f>
        <v/>
      </c>
      <c r="AB98" s="93"/>
      <c r="AC98" s="93"/>
      <c r="AE98" s="93"/>
      <c r="AF98" s="93" t="str">
        <f ca="1">IF(DD98=0,"",DD98)</f>
        <v/>
      </c>
      <c r="AG98" s="93"/>
      <c r="AH98" s="93"/>
      <c r="AJ98" s="93"/>
      <c r="AK98" s="93" t="str">
        <f ca="1">IF(DF98=0,"",DF98)</f>
        <v/>
      </c>
      <c r="AL98" s="93"/>
      <c r="AM98" s="93"/>
      <c r="AO98" s="93"/>
      <c r="AP98" s="93" t="str">
        <f ca="1">IF(DH98=0,"",DH98)</f>
        <v/>
      </c>
      <c r="AQ98" s="93"/>
      <c r="AR98" s="93"/>
      <c r="AT98" s="93"/>
      <c r="AU98" s="93" t="str">
        <f ca="1">IF(DJ98=0,"",DJ98)</f>
        <v/>
      </c>
      <c r="AV98" s="93"/>
      <c r="AW98" s="93"/>
      <c r="AY98" s="93"/>
      <c r="AZ98" s="93" t="str">
        <f ca="1">IF(DL98=0,"",DL98)</f>
        <v/>
      </c>
      <c r="BA98" s="93"/>
      <c r="BB98" s="93"/>
      <c r="BD98" s="93"/>
      <c r="BE98" s="93" t="str">
        <f ca="1">IF(DN98=0,"",DN98)</f>
        <v/>
      </c>
      <c r="BF98" s="93"/>
      <c r="BG98" s="93"/>
      <c r="BI98" s="93"/>
      <c r="BJ98" s="93" t="str">
        <f ca="1">IF(DP98=0,"",DP98)</f>
        <v/>
      </c>
      <c r="BK98" s="93"/>
      <c r="BL98" s="93"/>
      <c r="BN98" s="93"/>
      <c r="BO98" s="93" t="str">
        <f ca="1">IF(DR98=0,"",DR98)</f>
        <v/>
      </c>
      <c r="BP98" s="93"/>
      <c r="BQ98" s="93"/>
      <c r="BS98" s="93"/>
      <c r="BT98" s="93" t="str">
        <f ca="1">IF(DT98=0,"",DT98)</f>
        <v/>
      </c>
      <c r="BU98" s="93"/>
      <c r="BV98" s="93"/>
      <c r="BX98" s="93"/>
      <c r="BY98" s="93" t="str">
        <f ca="1">IF(DV98=0,"",DV98)</f>
        <v/>
      </c>
      <c r="BZ98" s="93"/>
      <c r="CA98" s="93"/>
      <c r="CC98" s="93"/>
      <c r="CD98" s="93" t="str">
        <f ca="1">IF(DX98=0,"",DX98)</f>
        <v/>
      </c>
      <c r="CE98" s="93"/>
      <c r="CF98" s="93"/>
      <c r="CH98" s="93"/>
      <c r="CI98" s="93" t="str">
        <f ca="1">IF(DZ98=0,"",DZ98)</f>
        <v/>
      </c>
      <c r="CJ98" s="93"/>
      <c r="CK98" s="93"/>
      <c r="CM98" s="93"/>
      <c r="CN98" s="93" t="str">
        <f ca="1">IF(EB98=0,"",EB98)</f>
        <v/>
      </c>
      <c r="CO98" s="93"/>
      <c r="CP98" s="93"/>
      <c r="CR98" s="93"/>
      <c r="CS98" s="31"/>
      <c r="CT98" s="32" t="str">
        <f ca="1">IFERROR(CT99+CT100,"")</f>
        <v/>
      </c>
      <c r="CU98" s="31"/>
      <c r="CV98" s="32" t="str">
        <f ca="1">IFERROR(CV99+CV100,"")</f>
        <v/>
      </c>
      <c r="CW98" s="31"/>
      <c r="CX98" s="32" t="str">
        <f ca="1">IFERROR(CX99+CX100,"")</f>
        <v/>
      </c>
      <c r="CY98" s="31"/>
      <c r="CZ98" s="32" t="str">
        <f ca="1">IFERROR(CZ99+CZ100,"")</f>
        <v/>
      </c>
      <c r="DA98" s="31"/>
      <c r="DB98" s="32" t="str">
        <f ca="1">IFERROR(DB99+DB100,"")</f>
        <v/>
      </c>
      <c r="DC98" s="31"/>
      <c r="DD98" s="32" t="str">
        <f ca="1">IFERROR(DD99+DD100,"")</f>
        <v/>
      </c>
      <c r="DE98" s="31"/>
      <c r="DF98" s="32" t="str">
        <f ca="1">IFERROR(DF99+DF100,"")</f>
        <v/>
      </c>
      <c r="DG98" s="31"/>
      <c r="DH98" s="32" t="str">
        <f ca="1">IFERROR(DH99+DH100,"")</f>
        <v/>
      </c>
      <c r="DI98" s="31"/>
      <c r="DJ98" s="32" t="str">
        <f ca="1">IFERROR(DJ99+DJ100,"")</f>
        <v/>
      </c>
      <c r="DK98" s="31"/>
      <c r="DL98" s="32" t="str">
        <f ca="1">IFERROR(DL99+DL100,"")</f>
        <v/>
      </c>
      <c r="DM98" s="31"/>
      <c r="DN98" s="32" t="str">
        <f ca="1">IFERROR(DN99+DN100,"")</f>
        <v/>
      </c>
      <c r="DO98" s="31"/>
      <c r="DP98" s="32" t="str">
        <f ca="1">IFERROR(DP99+DP100,"")</f>
        <v/>
      </c>
      <c r="DQ98" s="31"/>
      <c r="DR98" s="32" t="str">
        <f ca="1">IFERROR(DR99+DR100,"")</f>
        <v/>
      </c>
      <c r="DS98" s="31"/>
      <c r="DT98" s="32" t="str">
        <f ca="1">IFERROR(DT99+DT100,"")</f>
        <v/>
      </c>
      <c r="DU98" s="31"/>
      <c r="DV98" s="32" t="str">
        <f ca="1">IFERROR(DV99+DV100,"")</f>
        <v/>
      </c>
      <c r="DW98" s="31"/>
      <c r="DX98" s="32" t="str">
        <f ca="1">IFERROR(DX99+DX100,"")</f>
        <v/>
      </c>
      <c r="DY98" s="31"/>
      <c r="DZ98" s="32" t="str">
        <f ca="1">IFERROR(DZ99+DZ100,"")</f>
        <v/>
      </c>
      <c r="EA98" s="31"/>
      <c r="EB98" s="32" t="str">
        <f ca="1">IFERROR(EB99+EB100,"")</f>
        <v/>
      </c>
      <c r="EC98" s="26">
        <f ca="1">IFERROR(LARGE($G98:$CN98,1),0)+IFERROR(LARGE($G98:$CN98,2),0)+IFERROR(LARGE($G98:$CN98,3),0)+IFERROR(LARGE($G98:$CN98,4),0)+IFERROR(LARGE($G98:$CN98,5),0)+IFERROR(LARGE($G98:$CN98,6),0)+IFERROR(LARGE($G98:$CN98,7),0)+IFERROR(LARGE($G98:$CN98,8),0)+IFERROR(LARGE($G98:$CN98,9),0)+IFERROR(LARGE($G98:$CN98,10),0)</f>
        <v>0</v>
      </c>
      <c r="ED98" s="33">
        <f t="shared" ca="1" si="3"/>
        <v>0</v>
      </c>
    </row>
    <row r="99" spans="2:134" outlineLevel="1" x14ac:dyDescent="0.2">
      <c r="B99" s="113">
        <f>B97+0.027</f>
        <v>1.5084999999999997</v>
      </c>
      <c r="C99" s="109"/>
      <c r="D99" s="109" t="s">
        <v>168</v>
      </c>
      <c r="E99" s="114" t="s">
        <v>38</v>
      </c>
      <c r="F99" s="115"/>
      <c r="G99" s="35"/>
      <c r="H99" s="35" t="str">
        <f>IF(CS99=0,"",CS99)</f>
        <v/>
      </c>
      <c r="I99" s="35"/>
      <c r="J99" s="93" t="str">
        <f>IFERROR(RANK(H99,H$6:H$115,0),"")</f>
        <v/>
      </c>
      <c r="K99" s="35"/>
      <c r="L99" s="35"/>
      <c r="M99" s="35" t="str">
        <f>IF(CU99=0,"",CU99)</f>
        <v/>
      </c>
      <c r="N99" s="35"/>
      <c r="O99" s="93" t="str">
        <f>IFERROR(RANK(M99,M$6:M$115,0),"")</f>
        <v/>
      </c>
      <c r="P99" s="35"/>
      <c r="Q99" s="35"/>
      <c r="R99" s="35" t="str">
        <f>IF(CW99=0,"",CW99)</f>
        <v/>
      </c>
      <c r="S99" s="35"/>
      <c r="T99" s="93" t="str">
        <f>IFERROR(RANK(R99,R$6:R$115,0),"")</f>
        <v/>
      </c>
      <c r="U99" s="35"/>
      <c r="V99" s="35"/>
      <c r="W99" s="35" t="str">
        <f>IF(CY99=0,"",CY99)</f>
        <v/>
      </c>
      <c r="X99" s="35"/>
      <c r="Y99" s="93" t="str">
        <f>IFERROR(RANK(W99,W$6:W$115,0),"")</f>
        <v/>
      </c>
      <c r="Z99" s="35"/>
      <c r="AA99" s="35"/>
      <c r="AB99" s="35" t="str">
        <f>IF(DA99=0,"",DA99)</f>
        <v/>
      </c>
      <c r="AC99" s="35"/>
      <c r="AD99" s="93" t="str">
        <f>IFERROR(RANK(AB99,AB$6:AB$115,0),"")</f>
        <v/>
      </c>
      <c r="AE99" s="35"/>
      <c r="AF99" s="35"/>
      <c r="AG99" s="35" t="str">
        <f>IF(DC99=0,"",DC99)</f>
        <v/>
      </c>
      <c r="AH99" s="35"/>
      <c r="AI99" s="93" t="str">
        <f>IFERROR(RANK(AG99,AG$6:AG$115,0),"")</f>
        <v/>
      </c>
      <c r="AJ99" s="35"/>
      <c r="AK99" s="35"/>
      <c r="AL99" s="35" t="str">
        <f>IF(DE99=0,"",DE99)</f>
        <v/>
      </c>
      <c r="AM99" s="35"/>
      <c r="AN99" s="93" t="str">
        <f>IFERROR(RANK(AL99,AL$6:AL$115,0),"")</f>
        <v/>
      </c>
      <c r="AO99" s="35"/>
      <c r="AP99" s="35"/>
      <c r="AQ99" s="35" t="str">
        <f>IF(DG99=0,"",DG99)</f>
        <v/>
      </c>
      <c r="AR99" s="35"/>
      <c r="AS99" s="93" t="str">
        <f>IFERROR(RANK(AQ99,AQ$6:AQ$115,0),"")</f>
        <v/>
      </c>
      <c r="AT99" s="35"/>
      <c r="AU99" s="35"/>
      <c r="AV99" s="35" t="str">
        <f>IF(DI99=0,"",DI99)</f>
        <v/>
      </c>
      <c r="AW99" s="35"/>
      <c r="AX99" s="93" t="str">
        <f>IFERROR(RANK(AV99,AV$6:AV$115,0),"")</f>
        <v/>
      </c>
      <c r="AY99" s="35"/>
      <c r="AZ99" s="35"/>
      <c r="BA99" s="35" t="str">
        <f>IF(DK99=0,"",DK99)</f>
        <v/>
      </c>
      <c r="BB99" s="35"/>
      <c r="BC99" s="93" t="str">
        <f>IFERROR(RANK(BA99,BA$6:BA$115,0),"")</f>
        <v/>
      </c>
      <c r="BD99" s="35"/>
      <c r="BE99" s="35"/>
      <c r="BF99" s="35" t="str">
        <f>IF(DM99=0,"",DM99)</f>
        <v/>
      </c>
      <c r="BG99" s="35"/>
      <c r="BH99" s="93" t="str">
        <f>IFERROR(RANK(BF99,BF$6:BF$115,0),"")</f>
        <v/>
      </c>
      <c r="BI99" s="35"/>
      <c r="BJ99" s="35"/>
      <c r="BK99" s="35" t="str">
        <f>IF(DO99=0,"",DO99)</f>
        <v/>
      </c>
      <c r="BL99" s="35"/>
      <c r="BM99" s="93" t="str">
        <f>IFERROR(RANK(BK99,BK$6:BK$115,0),"")</f>
        <v/>
      </c>
      <c r="BN99" s="35"/>
      <c r="BO99" s="35"/>
      <c r="BP99" s="35" t="str">
        <f>IF(DQ99=0,"",DQ99)</f>
        <v/>
      </c>
      <c r="BQ99" s="35"/>
      <c r="BR99" s="93" t="str">
        <f>IFERROR(RANK(BP99,BP$6:BP$115,0),"")</f>
        <v/>
      </c>
      <c r="BS99" s="35"/>
      <c r="BT99" s="35"/>
      <c r="BU99" s="35" t="str">
        <f>IF(DS99=0,"",DS99)</f>
        <v/>
      </c>
      <c r="BV99" s="35"/>
      <c r="BW99" s="93" t="str">
        <f>IFERROR(RANK(BU99,BU$6:BU$115,0),"")</f>
        <v/>
      </c>
      <c r="BX99" s="35"/>
      <c r="BY99" s="35"/>
      <c r="BZ99" s="35" t="str">
        <f>IF(DU99=0,"",DU99)</f>
        <v/>
      </c>
      <c r="CA99" s="35"/>
      <c r="CB99" s="93" t="str">
        <f>IFERROR(RANK(BZ99,BZ$6:BZ$115,0),"")</f>
        <v/>
      </c>
      <c r="CC99" s="35"/>
      <c r="CD99" s="35"/>
      <c r="CE99" s="35" t="str">
        <f>IF(DW99=0,"",DW99)</f>
        <v/>
      </c>
      <c r="CF99" s="35"/>
      <c r="CG99" s="93" t="str">
        <f>IFERROR(RANK(CE99,CE$6:CE$115,0),"")</f>
        <v/>
      </c>
      <c r="CH99" s="35"/>
      <c r="CI99" s="35"/>
      <c r="CJ99" s="35" t="str">
        <f>IF(DY99=0,"",DY99)</f>
        <v/>
      </c>
      <c r="CK99" s="35"/>
      <c r="CL99" s="93" t="str">
        <f>IFERROR(RANK(CJ99,CJ$6:CJ$115,0),"")</f>
        <v/>
      </c>
      <c r="CM99" s="35"/>
      <c r="CN99" s="35"/>
      <c r="CO99" s="35" t="str">
        <f>IF(EA99=0,"",EA99)</f>
        <v/>
      </c>
      <c r="CP99" s="35"/>
      <c r="CQ99" s="93" t="str">
        <f>IFERROR(RANK(CO99,CO$6:CO$115,0),"")</f>
        <v/>
      </c>
      <c r="CR99" s="35"/>
      <c r="CS99" s="31"/>
      <c r="CT99" s="36" t="str">
        <f ca="1">IFERROR(AVERAGE(OFFSET('Data - For Rank'!B$2,J99,0,COUNTIF($J$7:J$115,J99)))+IFERROR(VLOOKUP((COUNT($H$6:$H$115)/4),$ER$8:$ES$12,2,FALSE()),0),"")</f>
        <v/>
      </c>
      <c r="CU99" s="31"/>
      <c r="CV99" s="36" t="str">
        <f ca="1">IFERROR(AVERAGE(OFFSET('Data - For Rank'!$C$2,O99,0,COUNTIF(O$7:O$115,O99)))+IFERROR(VLOOKUP((COUNT(M$6:M$115)/4),$ER$8:$ES$12,2,FALSE()),0),"")</f>
        <v/>
      </c>
      <c r="CW99" s="31"/>
      <c r="CX99" s="36" t="str">
        <f ca="1">IFERROR(AVERAGE(OFFSET('Data - For Rank'!D$2,T99,0,COUNTIF(T$7:T$115,T99)))+IFERROR(VLOOKUP((COUNT(R$6:R$115)/4),$ER$8:$ES$12,2,FALSE()),0),"")</f>
        <v/>
      </c>
      <c r="CY99" s="31"/>
      <c r="CZ99" s="36" t="str">
        <f ca="1">IFERROR(AVERAGE(OFFSET('Data - For Rank'!E$2,Y99,0,COUNTIF(Y$7:Y$115,Y99)))+IFERROR(VLOOKUP((COUNT(W$6:W$115)/4),$ER$8:$ES$12,2,FALSE()),0),"")</f>
        <v/>
      </c>
      <c r="DA99" s="31"/>
      <c r="DB99" s="36" t="str">
        <f ca="1">IFERROR(AVERAGE(OFFSET('Data - For Rank'!F$2,AD99,0,COUNTIF(AD$7:AD$115,AD99)))+IFERROR(VLOOKUP((COUNT(AB$6:AB$115)/4),$ER$8:$ES$12,2,FALSE()),0),"")</f>
        <v/>
      </c>
      <c r="DC99" s="31"/>
      <c r="DD99" s="36" t="str">
        <f ca="1">IFERROR(AVERAGE(OFFSET('Data - For Rank'!G$2,AI99,0,COUNTIF(AI$7:AI$115,AI99)))+IFERROR(VLOOKUP((COUNT(AG$6:AG$115)/4),$ER$8:$ES$12,2,FALSE()),0),"")</f>
        <v/>
      </c>
      <c r="DE99" s="31"/>
      <c r="DF99" s="36" t="str">
        <f ca="1">IFERROR(AVERAGE(OFFSET('Data - For Rank'!$H$2,AN99,0,COUNTIF(AN$7:AN$115,AN99)))+IFERROR(VLOOKUP((COUNT(AL$6:AL$115)/4),$ER$8:$ES$12,2,FALSE()),0),"")</f>
        <v/>
      </c>
      <c r="DG99" s="31"/>
      <c r="DH99" s="36" t="str">
        <f ca="1">IFERROR(AVERAGE(OFFSET('Data - For Rank'!$I$2,AS99,0,COUNTIF(AS$7:AS$115,AS99)))+IFERROR(VLOOKUP((COUNT(AQ$6:AQ$115)/4),$ER$8:$ES$12,2,FALSE()),0),"")</f>
        <v/>
      </c>
      <c r="DI99" s="31"/>
      <c r="DJ99" s="36" t="str">
        <f ca="1">IFERROR(AVERAGE(OFFSET('Data - For Rank'!$J$2,AX99,0,COUNTIF(AX$7:AX$115,AX99)))+IFERROR(VLOOKUP((COUNT(AV$6:AV$115)/4),$ER$8:$ES$12,2,FALSE()),0),"")</f>
        <v/>
      </c>
      <c r="DK99" s="31"/>
      <c r="DL99" s="36" t="str">
        <f ca="1">IFERROR(AVERAGE(OFFSET('Data - For Rank'!$K$2,BC99,0,COUNTIF(BC$7:BC$115,BC99)))+IFERROR(VLOOKUP((COUNT(BA$6:BA$115)/4),$ER$8:$ES$12,2,FALSE()),0),"")</f>
        <v/>
      </c>
      <c r="DM99" s="31"/>
      <c r="DN99" s="36" t="str">
        <f ca="1">IFERROR(AVERAGE(OFFSET('Data - For Rank'!$L$2,BH99,0,COUNTIF(BH$7:BH$115,BH99)))+IFERROR(VLOOKUP((COUNT(BF$6:BF$115)/4),$ER$8:$ES$12,2,FALSE()),0),"")</f>
        <v/>
      </c>
      <c r="DO99" s="31"/>
      <c r="DP99" s="36" t="str">
        <f ca="1">IFERROR(AVERAGE(OFFSET('Data - For Rank'!$M$2,BM99,0,COUNTIF(BM$7:BM$115,BM99)))+IFERROR(VLOOKUP((COUNT(BK$6:BK$115)/4),$ER$8:$ES$12,2,FALSE()),0),"")</f>
        <v/>
      </c>
      <c r="DQ99" s="31"/>
      <c r="DR99" s="36" t="str">
        <f ca="1">IFERROR(AVERAGE(OFFSET('Data - For Rank'!$N$2,BR99,0,COUNTIF(BR$7:BR$115,BR99)))+IFERROR(VLOOKUP((COUNT(BP$6:BP$115)/4),$ER$8:$ES$12,2,FALSE()),0),"")</f>
        <v/>
      </c>
      <c r="DS99" s="31"/>
      <c r="DT99" s="36" t="str">
        <f ca="1">IFERROR(AVERAGE(OFFSET('Data - For Rank'!$O$2,BW99,0,COUNTIF(BW$7:BW$115,BW99)))+IFERROR(VLOOKUP((COUNT(BU$6:BU$115)/4),$ER$8:$ES$12,2,FALSE()),0),"")</f>
        <v/>
      </c>
      <c r="DU99" s="31"/>
      <c r="DV99" s="36" t="str">
        <f ca="1">IFERROR(AVERAGE(OFFSET('Data - For Rank'!$P$2,CB99,0,COUNTIF(CB$7:CB$115,CB99)))+IFERROR(VLOOKUP((COUNT(BZ$6:BZ$115)/4),$ER$8:$ES$12,2,FALSE()),0),"")</f>
        <v/>
      </c>
      <c r="DW99" s="31"/>
      <c r="DX99" s="36" t="str">
        <f ca="1">IFERROR(AVERAGE(OFFSET('Data - For Rank'!$Q$2,CG99,0,COUNTIF(CG$7:CG$115,CG99)))+IFERROR(VLOOKUP((COUNT(CE$6:CE$115)/4),$ER$8:$ES$12,2,FALSE()),0),"")</f>
        <v/>
      </c>
      <c r="DY99" s="31"/>
      <c r="DZ99" s="36" t="str">
        <f ca="1">IFERROR(AVERAGE(OFFSET('Data - For Rank'!$R$2,CL99,0,COUNTIF(CL$7:CL$115,CL99)))+IFERROR(VLOOKUP((COUNT(CJ$6:CJ$115)/4),$ER$8:$ES$12,2,FALSE()),0),"")</f>
        <v/>
      </c>
      <c r="EA99" s="31"/>
      <c r="EB99" s="36" t="str">
        <f ca="1">IFERROR(AVERAGE(OFFSET('Data - For Rank'!$S$2,CQ99,0,COUNTIF(CQ$7:CQ$115,CQ99)))+IFERROR(VLOOKUP((COUNT(CO$6:CO$115)/4),$ER$8:$ES$12,2,FALSE()),0),"")</f>
        <v/>
      </c>
      <c r="EC99" s="37">
        <f>CS99+CU99+CW99+CY99+DA99+DC99+DE99+DG99+DI99+DK99+DM99+DO99+DQ99+DS99+DU99+DW99+DY99+EA99</f>
        <v>0</v>
      </c>
      <c r="ED99" s="33">
        <f t="shared" ca="1" si="3"/>
        <v>0</v>
      </c>
    </row>
    <row r="100" spans="2:134" outlineLevel="1" x14ac:dyDescent="0.2">
      <c r="B100" s="116">
        <f>B99+0.17</f>
        <v>1.6784999999999997</v>
      </c>
      <c r="C100" s="109"/>
      <c r="D100" s="109" t="s">
        <v>169</v>
      </c>
      <c r="E100" s="117" t="s">
        <v>39</v>
      </c>
      <c r="F100" s="118"/>
      <c r="G100" s="40"/>
      <c r="H100" s="40"/>
      <c r="I100" s="96" t="str">
        <f>IF(CS100=0,"",CS100)</f>
        <v/>
      </c>
      <c r="J100" s="96"/>
      <c r="K100" s="97" t="str">
        <f>IFERROR(_xlfn.RANK.EQ(I100,I$6:I$115,0),"")</f>
        <v/>
      </c>
      <c r="L100" s="40"/>
      <c r="M100" s="40"/>
      <c r="N100" s="96" t="str">
        <f>IF(CU100=0,"",CU100)</f>
        <v/>
      </c>
      <c r="O100" s="96"/>
      <c r="P100" s="97" t="str">
        <f>IFERROR(_xlfn.RANK.EQ(N100,N$6:N$115,0),"")</f>
        <v/>
      </c>
      <c r="Q100" s="40"/>
      <c r="R100" s="40"/>
      <c r="S100" s="96" t="str">
        <f>IF(CW100=0,"",CW100)</f>
        <v/>
      </c>
      <c r="T100" s="96"/>
      <c r="U100" s="97" t="str">
        <f>IFERROR(_xlfn.RANK.EQ(S100,S$6:S$115,0),"")</f>
        <v/>
      </c>
      <c r="V100" s="40"/>
      <c r="W100" s="40"/>
      <c r="X100" s="96" t="str">
        <f>IF(CY100=0,"",CY100)</f>
        <v/>
      </c>
      <c r="Y100" s="96"/>
      <c r="Z100" s="97" t="str">
        <f>IFERROR(_xlfn.RANK.EQ(X100,X$6:X$115,0),"")</f>
        <v/>
      </c>
      <c r="AA100" s="40"/>
      <c r="AB100" s="40"/>
      <c r="AC100" s="96" t="str">
        <f>IF(DA100=0,"",DA100)</f>
        <v/>
      </c>
      <c r="AD100" s="96"/>
      <c r="AE100" s="97" t="str">
        <f>IFERROR(_xlfn.RANK.EQ(AC100,AC$6:AC$115,0),"")</f>
        <v/>
      </c>
      <c r="AF100" s="40"/>
      <c r="AG100" s="40"/>
      <c r="AH100" s="96" t="str">
        <f>IF(DC100=0,"",DC100)</f>
        <v/>
      </c>
      <c r="AI100" s="96"/>
      <c r="AJ100" s="97" t="str">
        <f>IFERROR(_xlfn.RANK.EQ(AH100,AH$6:AH$115,0),"")</f>
        <v/>
      </c>
      <c r="AK100" s="40"/>
      <c r="AL100" s="40"/>
      <c r="AM100" s="96" t="str">
        <f>IF(DE100=0,"",DE100)</f>
        <v/>
      </c>
      <c r="AN100" s="96"/>
      <c r="AO100" s="97" t="str">
        <f>IFERROR(_xlfn.RANK.EQ(AM100,AM$6:AM$115,0),"")</f>
        <v/>
      </c>
      <c r="AP100" s="40"/>
      <c r="AQ100" s="40"/>
      <c r="AR100" s="96" t="str">
        <f>IF(DG100=0,"",DG100)</f>
        <v/>
      </c>
      <c r="AS100" s="96"/>
      <c r="AT100" s="97" t="str">
        <f>IFERROR(_xlfn.RANK.EQ(AR100,AR$6:AR$115,0),"")</f>
        <v/>
      </c>
      <c r="AU100" s="40"/>
      <c r="AV100" s="40"/>
      <c r="AW100" s="96" t="str">
        <f>IF(DI100=0,"",DI100)</f>
        <v/>
      </c>
      <c r="AX100" s="96"/>
      <c r="AY100" s="97" t="str">
        <f>IFERROR(_xlfn.RANK.EQ(AW100,AW$6:AW$115,0),"")</f>
        <v/>
      </c>
      <c r="AZ100" s="40"/>
      <c r="BA100" s="40"/>
      <c r="BB100" s="96" t="str">
        <f>IF(DK100=0,"",DK100)</f>
        <v/>
      </c>
      <c r="BC100" s="96"/>
      <c r="BD100" s="97" t="str">
        <f>IFERROR(_xlfn.RANK.EQ(BB100,BB$6:BB$115,0),"")</f>
        <v/>
      </c>
      <c r="BE100" s="40"/>
      <c r="BF100" s="40"/>
      <c r="BG100" s="96" t="str">
        <f>IF(DM100=0,"",DM100)</f>
        <v/>
      </c>
      <c r="BH100" s="96"/>
      <c r="BI100" s="97" t="str">
        <f>IFERROR(_xlfn.RANK.EQ(BG100,BG$6:BG$115,0),"")</f>
        <v/>
      </c>
      <c r="BJ100" s="40"/>
      <c r="BK100" s="40"/>
      <c r="BL100" s="96" t="str">
        <f>IF(DO100=0,"",DO100)</f>
        <v/>
      </c>
      <c r="BM100" s="96"/>
      <c r="BN100" s="97" t="str">
        <f>IFERROR(_xlfn.RANK.EQ(BL100,BL$6:BL$115,0),"")</f>
        <v/>
      </c>
      <c r="BO100" s="40"/>
      <c r="BP100" s="40"/>
      <c r="BQ100" s="96" t="str">
        <f>IF(DQ100=0,"",DQ100)</f>
        <v/>
      </c>
      <c r="BR100" s="96"/>
      <c r="BS100" s="97" t="str">
        <f>IFERROR(_xlfn.RANK.EQ(BQ100,BQ$6:BQ$115,0),"")</f>
        <v/>
      </c>
      <c r="BT100" s="40"/>
      <c r="BU100" s="40"/>
      <c r="BV100" s="96" t="str">
        <f>IF(DS100=0,"",DS100)</f>
        <v/>
      </c>
      <c r="BW100" s="96"/>
      <c r="BX100" s="97" t="str">
        <f>IFERROR(_xlfn.RANK.EQ(BV100,BV$6:BV$115,0),"")</f>
        <v/>
      </c>
      <c r="BY100" s="40"/>
      <c r="BZ100" s="40"/>
      <c r="CA100" s="96" t="str">
        <f>IF(DU100=0,"",DU100)</f>
        <v/>
      </c>
      <c r="CB100" s="96"/>
      <c r="CC100" s="97" t="str">
        <f>IFERROR(_xlfn.RANK.EQ(CA100,CA$6:CA$115,0),"")</f>
        <v/>
      </c>
      <c r="CD100" s="40"/>
      <c r="CE100" s="40"/>
      <c r="CF100" s="96" t="str">
        <f>IF(DW100=0,"",DW100)</f>
        <v/>
      </c>
      <c r="CG100" s="96"/>
      <c r="CH100" s="97" t="str">
        <f>IFERROR(_xlfn.RANK.EQ(CF100,CF$6:CF$115,0),"")</f>
        <v/>
      </c>
      <c r="CI100" s="40"/>
      <c r="CJ100" s="40"/>
      <c r="CK100" s="96" t="str">
        <f>IF(DY100=0,"",DY100)</f>
        <v/>
      </c>
      <c r="CL100" s="96"/>
      <c r="CM100" s="97" t="str">
        <f>IFERROR(_xlfn.RANK.EQ(CK100,CK$6:CK$115,0),"")</f>
        <v/>
      </c>
      <c r="CN100" s="40"/>
      <c r="CO100" s="40"/>
      <c r="CP100" s="96" t="str">
        <f>IF(EA100=0,"",EA100)</f>
        <v/>
      </c>
      <c r="CQ100" s="96"/>
      <c r="CR100" s="97" t="str">
        <f>IFERROR(_xlfn.RANK.EQ(CP100,CP$6:CP$115,0),"")</f>
        <v/>
      </c>
      <c r="CS100" s="41"/>
      <c r="CT100" s="42" t="str">
        <f ca="1">IFERROR(AVERAGE(OFFSET('Data - For Rank'!B$2,K100,0,COUNTIF(K$6:K$115,K100)))+IFERROR(VLOOKUP((COUNT($I$6:$I$115)/4),$ER$8:$ES$12,2,FALSE()),0),"")</f>
        <v/>
      </c>
      <c r="CU100" s="41"/>
      <c r="CV100" s="42" t="str">
        <f ca="1">IFERROR(AVERAGE(OFFSET('Data - For Rank'!$C$2,P100,0,COUNTIF(P$6:P$115,P100)))+IFERROR(VLOOKUP((COUNT(N$6:N$115)/4),$ER$8:$ES$12,2,FALSE()),0),"")</f>
        <v/>
      </c>
      <c r="CW100" s="41"/>
      <c r="CX100" s="42" t="str">
        <f ca="1">IFERROR(AVERAGE(OFFSET('Data - For Rank'!D$2,U100,0,COUNTIF(U$6:$U207,U100)))+IFERROR(VLOOKUP((COUNT(S$6:S$115)/4),$ER$8:$ES$12,2,FALSE()),0),"")</f>
        <v/>
      </c>
      <c r="CY100" s="41"/>
      <c r="CZ100" s="42" t="str">
        <f ca="1">IFERROR(AVERAGE(OFFSET('Data - For Rank'!E$2,Z100,0,COUNTIF(Z$6:Z$115,Z100)))+IFERROR(VLOOKUP((COUNT(W$6:W$115)/4),$ER$8:$ES$12,2,FALSE()),0),"")</f>
        <v/>
      </c>
      <c r="DA100" s="41"/>
      <c r="DB100" s="42" t="str">
        <f ca="1">IFERROR(AVERAGE(OFFSET('Data - For Rank'!F$2,AE100,0,COUNTIF(AE$6:AE$115,AE100)))+IFERROR(VLOOKUP((COUNT(AC$6:AC$115)/4),$ER$8:$ES$12,2,FALSE()),0),"")</f>
        <v/>
      </c>
      <c r="DC100" s="41"/>
      <c r="DD100" s="42" t="str">
        <f ca="1">IFERROR(AVERAGE(OFFSET('Data - For Rank'!G$2,AJ100,0,COUNTIF(AJ$6:AJ$115,AJ100)))+IFERROR(VLOOKUP((COUNT(AH$6:AH$115)/4),$ER$8:$ES$12,2,FALSE()),0),"")</f>
        <v/>
      </c>
      <c r="DE100" s="41"/>
      <c r="DF100" s="42" t="str">
        <f ca="1">IFERROR(AVERAGE(OFFSET('Data - For Rank'!$H$2,AO100,0,COUNTIF(AO$6:AO$115,AO100)))+IFERROR(VLOOKUP((COUNT(AM$6:AM$115)/4),$ER$8:$ES$12,2,FALSE()),0),"")</f>
        <v/>
      </c>
      <c r="DG100" s="41"/>
      <c r="DH100" s="42" t="str">
        <f ca="1">IFERROR(AVERAGE(OFFSET('Data - For Rank'!$I$2,AT100,0,COUNTIF(AT$6:AT$115,AT100)))+IFERROR(VLOOKUP((COUNT(AR$6:AR$115)/4),$ER$8:$ES$12,2,FALSE()),0),"")</f>
        <v/>
      </c>
      <c r="DI100" s="41"/>
      <c r="DJ100" s="42" t="str">
        <f ca="1">IFERROR(AVERAGE(OFFSET('Data - For Rank'!$J$2,AY100,0,COUNTIF(AY$6:AY$115,AY100)))+IFERROR(VLOOKUP((COUNT(AW$6:AW$115)/4),$ER$8:$ES$12,2,FALSE()),0),"")</f>
        <v/>
      </c>
      <c r="DK100" s="41"/>
      <c r="DL100" s="42" t="str">
        <f ca="1">IFERROR(AVERAGE(OFFSET('Data - For Rank'!$K$2,BD100,0,COUNTIF(BD$6:BD$115,BD100)))+IFERROR(VLOOKUP((COUNT(BB$6:BB$115)/4),$ER$8:$ES$12,2,FALSE()),0),"")</f>
        <v/>
      </c>
      <c r="DM100" s="41"/>
      <c r="DN100" s="42" t="str">
        <f ca="1">IFERROR(AVERAGE(OFFSET('Data - For Rank'!$L$2,BI100,0,COUNTIF(BI$6:BI$115,BI100)))+IFERROR(VLOOKUP((COUNT(BG$6:BG$115)/4),$ER$8:$ES$12,2,FALSE()),0),"")</f>
        <v/>
      </c>
      <c r="DO100" s="41"/>
      <c r="DP100" s="42" t="str">
        <f ca="1">IFERROR(AVERAGE(OFFSET('Data - For Rank'!$M$2,BN100,0,COUNTIF(BN$6:BN$115,BN100)))+IFERROR(VLOOKUP((COUNT(BL$6:BL$115)/4),$ER$8:$ES$12,2,FALSE()),0),"")</f>
        <v/>
      </c>
      <c r="DQ100" s="41"/>
      <c r="DR100" s="42" t="str">
        <f ca="1">IFERROR(AVERAGE(OFFSET('Data - For Rank'!$N$2,BS100,0,COUNTIF(BS$6:BS$115,BS100)))+IFERROR(VLOOKUP((COUNT(BQ$6:BQ$115)/4),$ER$8:$ES$12,2,FALSE()),0),"")</f>
        <v/>
      </c>
      <c r="DS100" s="41"/>
      <c r="DT100" s="42" t="str">
        <f ca="1">IFERROR(AVERAGE(OFFSET('Data - For Rank'!$O$2,BX100,0,COUNTIF(BX$6:BX$115,BX100)))+IFERROR(VLOOKUP((COUNT(BV$6:BV$115)/4),$ER$8:$ES$12,2,FALSE()),0),"")</f>
        <v/>
      </c>
      <c r="DU100" s="41"/>
      <c r="DV100" s="42" t="str">
        <f ca="1">IFERROR(AVERAGE(OFFSET('Data - For Rank'!$P$2,CC100,0,COUNTIF(CC$6:CC$115,CC100)))+IFERROR(VLOOKUP((COUNT(CA$6:CA$115)/4),$ER$8:$ES$12,2,FALSE()),0),"")</f>
        <v/>
      </c>
      <c r="DW100" s="41"/>
      <c r="DX100" s="42" t="str">
        <f ca="1">IFERROR(AVERAGE(OFFSET('Data - For Rank'!$Q$2,CH100,0,COUNTIF(CH$6:CH$115,CH100)))+IFERROR(VLOOKUP((COUNT(CF$6:CF$115)/4),$ER$8:$ES$12,2,FALSE()),0),"")</f>
        <v/>
      </c>
      <c r="DY100" s="41"/>
      <c r="DZ100" s="42" t="str">
        <f ca="1">IFERROR(AVERAGE(OFFSET('Data - For Rank'!$R$2,CM100,0,COUNTIF(CM$6:CM$115,CM100)))+IFERROR(VLOOKUP((COUNT(CK$6:CK$115)/4),$ER$8:$ES$12,2,FALSE()),0),"")</f>
        <v/>
      </c>
      <c r="EA100" s="41"/>
      <c r="EB100" s="42" t="str">
        <f ca="1">IFERROR(AVERAGE(OFFSET('Data - For Rank'!$S$2,CR100,0,COUNTIF(CR$6:CR$115,CR100)))+IFERROR(VLOOKUP((COUNT(CP$6:CP$115)/4),$ER$8:$ES$12,2,FALSE()),0),"")</f>
        <v/>
      </c>
      <c r="EC100" s="43">
        <f>IFERROR(AVERAGE(CS100,CU100,CW100,CY100,DA100,DC100,DE100,DG100,DI100,DK100,DM100,DO100,DQ100,DS100,DU100,DW100,DY100,EA100),0)</f>
        <v>0</v>
      </c>
      <c r="ED100" s="44">
        <f t="shared" ca="1" si="3"/>
        <v>0</v>
      </c>
    </row>
    <row r="101" spans="2:134" x14ac:dyDescent="0.2">
      <c r="B101" s="109">
        <f ca="1">_xlfn.RANK.EQ(C101,$C$72:$C$115,)</f>
        <v>2</v>
      </c>
      <c r="C101" s="110">
        <f ca="1">EC101</f>
        <v>0</v>
      </c>
      <c r="D101" s="110" t="s">
        <v>170</v>
      </c>
      <c r="E101" s="119" t="s">
        <v>170</v>
      </c>
      <c r="F101" s="112">
        <f ca="1">COUNT(CT101,CV101,CX101,CZ101,DB101,DD101,DF101,DH101,DJ101,DL101,DN101,DP101,DR101,DT101,DV101,DX101,DZ101,EB101)</f>
        <v>0</v>
      </c>
      <c r="G101" s="93" t="str">
        <f ca="1">IF(CT101=0,"",CT101)</f>
        <v/>
      </c>
      <c r="H101" s="93"/>
      <c r="I101" s="93"/>
      <c r="K101" s="93"/>
      <c r="L101" s="93" t="str">
        <f ca="1">IF(CV101=0,"",CV101)</f>
        <v/>
      </c>
      <c r="M101" s="93"/>
      <c r="N101" s="93"/>
      <c r="P101" s="93"/>
      <c r="Q101" s="93" t="str">
        <f ca="1">IF(CX101=0,"",CX101)</f>
        <v/>
      </c>
      <c r="R101" s="93"/>
      <c r="S101" s="93"/>
      <c r="U101" s="93"/>
      <c r="V101" s="93" t="str">
        <f ca="1">IF(CZ101=0,"",CZ101)</f>
        <v/>
      </c>
      <c r="W101" s="93"/>
      <c r="X101" s="93"/>
      <c r="Z101" s="93"/>
      <c r="AA101" s="93" t="str">
        <f ca="1">IF(DB101=0,"",DB101)</f>
        <v/>
      </c>
      <c r="AB101" s="93"/>
      <c r="AC101" s="93"/>
      <c r="AE101" s="93"/>
      <c r="AF101" s="93" t="str">
        <f ca="1">IF(DD101=0,"",DD101)</f>
        <v/>
      </c>
      <c r="AG101" s="93"/>
      <c r="AH101" s="93"/>
      <c r="AJ101" s="93"/>
      <c r="AK101" s="93" t="str">
        <f ca="1">IF(DF101=0,"",DF101)</f>
        <v/>
      </c>
      <c r="AL101" s="93"/>
      <c r="AM101" s="93"/>
      <c r="AO101" s="93"/>
      <c r="AP101" s="93" t="str">
        <f ca="1">IF(DH101=0,"",DH101)</f>
        <v/>
      </c>
      <c r="AQ101" s="93"/>
      <c r="AR101" s="93"/>
      <c r="AT101" s="93"/>
      <c r="AU101" s="93" t="str">
        <f ca="1">IF(DJ101=0,"",DJ101)</f>
        <v/>
      </c>
      <c r="AV101" s="93"/>
      <c r="AW101" s="93"/>
      <c r="AY101" s="93"/>
      <c r="AZ101" s="93" t="str">
        <f ca="1">IF(DL101=0,"",DL101)</f>
        <v/>
      </c>
      <c r="BA101" s="93"/>
      <c r="BB101" s="93"/>
      <c r="BD101" s="93"/>
      <c r="BE101" s="93" t="str">
        <f ca="1">IF(DN101=0,"",DN101)</f>
        <v/>
      </c>
      <c r="BF101" s="93"/>
      <c r="BG101" s="93"/>
      <c r="BI101" s="93"/>
      <c r="BJ101" s="93" t="str">
        <f ca="1">IF(DP101=0,"",DP101)</f>
        <v/>
      </c>
      <c r="BK101" s="93"/>
      <c r="BL101" s="93"/>
      <c r="BN101" s="93"/>
      <c r="BO101" s="93" t="str">
        <f ca="1">IF(DR101=0,"",DR101)</f>
        <v/>
      </c>
      <c r="BP101" s="93"/>
      <c r="BQ101" s="93"/>
      <c r="BS101" s="93"/>
      <c r="BT101" s="93" t="str">
        <f ca="1">IF(DT101=0,"",DT101)</f>
        <v/>
      </c>
      <c r="BU101" s="93"/>
      <c r="BV101" s="93"/>
      <c r="BX101" s="93"/>
      <c r="BY101" s="93" t="str">
        <f ca="1">IF(DV101=0,"",DV101)</f>
        <v/>
      </c>
      <c r="BZ101" s="93"/>
      <c r="CA101" s="93"/>
      <c r="CC101" s="93"/>
      <c r="CD101" s="93" t="str">
        <f ca="1">IF(DX101=0,"",DX101)</f>
        <v/>
      </c>
      <c r="CE101" s="93"/>
      <c r="CF101" s="93"/>
      <c r="CH101" s="93"/>
      <c r="CI101" s="93" t="str">
        <f ca="1">IF(DZ101=0,"",DZ101)</f>
        <v/>
      </c>
      <c r="CJ101" s="93"/>
      <c r="CK101" s="93"/>
      <c r="CM101" s="93"/>
      <c r="CN101" s="93" t="str">
        <f ca="1">IF(EB101=0,"",EB101)</f>
        <v/>
      </c>
      <c r="CO101" s="93"/>
      <c r="CP101" s="93"/>
      <c r="CR101" s="93"/>
      <c r="CS101" s="31"/>
      <c r="CT101" s="32" t="str">
        <f ca="1">IFERROR(CT102+CT103,"")</f>
        <v/>
      </c>
      <c r="CU101" s="31"/>
      <c r="CV101" s="32" t="str">
        <f ca="1">IFERROR(CV102+CV103,"")</f>
        <v/>
      </c>
      <c r="CW101" s="31"/>
      <c r="CX101" s="32" t="str">
        <f ca="1">IFERROR(CX102+CX103,"")</f>
        <v/>
      </c>
      <c r="CY101" s="31"/>
      <c r="CZ101" s="32" t="str">
        <f ca="1">IFERROR(CZ102+CZ103,"")</f>
        <v/>
      </c>
      <c r="DA101" s="31"/>
      <c r="DB101" s="32" t="str">
        <f ca="1">IFERROR(DB102+DB103,"")</f>
        <v/>
      </c>
      <c r="DC101" s="31"/>
      <c r="DD101" s="32" t="str">
        <f ca="1">IFERROR(DD102+DD103,"")</f>
        <v/>
      </c>
      <c r="DE101" s="31"/>
      <c r="DF101" s="32" t="str">
        <f ca="1">IFERROR(DF102+DF103,"")</f>
        <v/>
      </c>
      <c r="DG101" s="31"/>
      <c r="DH101" s="32" t="str">
        <f ca="1">IFERROR(DH102+DH103,"")</f>
        <v/>
      </c>
      <c r="DI101" s="31"/>
      <c r="DJ101" s="32" t="str">
        <f ca="1">IFERROR(DJ102+DJ103,"")</f>
        <v/>
      </c>
      <c r="DK101" s="31"/>
      <c r="DL101" s="32" t="str">
        <f ca="1">IFERROR(DL102+DL103,"")</f>
        <v/>
      </c>
      <c r="DM101" s="31"/>
      <c r="DN101" s="32" t="str">
        <f ca="1">IFERROR(DN102+DN103,"")</f>
        <v/>
      </c>
      <c r="DO101" s="31"/>
      <c r="DP101" s="32" t="str">
        <f ca="1">IFERROR(DP102+DP103,"")</f>
        <v/>
      </c>
      <c r="DQ101" s="31"/>
      <c r="DR101" s="32" t="str">
        <f ca="1">IFERROR(DR102+DR103,"")</f>
        <v/>
      </c>
      <c r="DS101" s="31"/>
      <c r="DT101" s="32" t="str">
        <f ca="1">IFERROR(DT102+DT103,"")</f>
        <v/>
      </c>
      <c r="DU101" s="31"/>
      <c r="DV101" s="32" t="str">
        <f ca="1">IFERROR(DV102+DV103,"")</f>
        <v/>
      </c>
      <c r="DW101" s="31"/>
      <c r="DX101" s="32" t="str">
        <f ca="1">IFERROR(DX102+DX103,"")</f>
        <v/>
      </c>
      <c r="DY101" s="31"/>
      <c r="DZ101" s="32" t="str">
        <f ca="1">IFERROR(DZ102+DZ103,"")</f>
        <v/>
      </c>
      <c r="EA101" s="31"/>
      <c r="EB101" s="32" t="str">
        <f ca="1">IFERROR(EB102+EB103,"")</f>
        <v/>
      </c>
      <c r="EC101" s="26">
        <f ca="1">IFERROR(LARGE($G101:$CN101,1),0)+IFERROR(LARGE($G101:$CN101,2),0)+IFERROR(LARGE($G101:$CN101,3),0)+IFERROR(LARGE($G101:$CN101,4),0)+IFERROR(LARGE($G101:$CN101,5),0)+IFERROR(LARGE($G101:$CN101,6),0)+IFERROR(LARGE($G101:$CN101,7),0)+IFERROR(LARGE($G101:$CN101,8),0)+IFERROR(LARGE($G101:$CN101,9),0)+IFERROR(LARGE($G101:$CN101,10),0)</f>
        <v>0</v>
      </c>
      <c r="ED101" s="33">
        <f t="shared" ca="1" si="3"/>
        <v>0</v>
      </c>
    </row>
    <row r="102" spans="2:134" outlineLevel="1" x14ac:dyDescent="0.2">
      <c r="B102" s="113">
        <f>B100+0.026</f>
        <v>1.7044999999999997</v>
      </c>
      <c r="C102" s="109"/>
      <c r="D102" s="109" t="s">
        <v>171</v>
      </c>
      <c r="E102" s="114" t="s">
        <v>38</v>
      </c>
      <c r="F102" s="115"/>
      <c r="G102" s="35"/>
      <c r="H102" s="35" t="str">
        <f>IF(CS102=0,"",CS102)</f>
        <v/>
      </c>
      <c r="I102" s="35"/>
      <c r="J102" s="93" t="str">
        <f>IFERROR(RANK(H102,H$6:H$115,0),"")</f>
        <v/>
      </c>
      <c r="K102" s="35"/>
      <c r="L102" s="35"/>
      <c r="M102" s="35" t="str">
        <f>IF(CU102=0,"",CU102)</f>
        <v/>
      </c>
      <c r="N102" s="35"/>
      <c r="O102" s="93" t="str">
        <f>IFERROR(RANK(M102,M$6:M$115,0),"")</f>
        <v/>
      </c>
      <c r="P102" s="35"/>
      <c r="Q102" s="35"/>
      <c r="R102" s="35" t="str">
        <f>IF(CW102=0,"",CW102)</f>
        <v/>
      </c>
      <c r="S102" s="35"/>
      <c r="T102" s="93" t="str">
        <f>IFERROR(RANK(R102,R$6:R$115,0),"")</f>
        <v/>
      </c>
      <c r="U102" s="35"/>
      <c r="V102" s="35"/>
      <c r="W102" s="35" t="str">
        <f>IF(CY102=0,"",CY102)</f>
        <v/>
      </c>
      <c r="X102" s="35"/>
      <c r="Y102" s="93" t="str">
        <f>IFERROR(RANK(W102,W$6:W$115,0),"")</f>
        <v/>
      </c>
      <c r="Z102" s="35"/>
      <c r="AA102" s="35"/>
      <c r="AB102" s="35" t="str">
        <f>IF(DA102=0,"",DA102)</f>
        <v/>
      </c>
      <c r="AC102" s="35"/>
      <c r="AD102" s="93" t="str">
        <f>IFERROR(RANK(AB102,AB$6:AB$115,0),"")</f>
        <v/>
      </c>
      <c r="AE102" s="35"/>
      <c r="AF102" s="35"/>
      <c r="AG102" s="35" t="str">
        <f>IF(DC102=0,"",DC102)</f>
        <v/>
      </c>
      <c r="AH102" s="35"/>
      <c r="AI102" s="93" t="str">
        <f>IFERROR(RANK(AG102,AG$6:AG$115,0),"")</f>
        <v/>
      </c>
      <c r="AJ102" s="35"/>
      <c r="AK102" s="35"/>
      <c r="AL102" s="35" t="str">
        <f>IF(DE102=0,"",DE102)</f>
        <v/>
      </c>
      <c r="AM102" s="35"/>
      <c r="AN102" s="93" t="str">
        <f>IFERROR(RANK(AL102,AL$6:AL$115,0),"")</f>
        <v/>
      </c>
      <c r="AO102" s="35"/>
      <c r="AP102" s="35"/>
      <c r="AQ102" s="35" t="str">
        <f>IF(DG102=0,"",DG102)</f>
        <v/>
      </c>
      <c r="AR102" s="35"/>
      <c r="AS102" s="93" t="str">
        <f>IFERROR(RANK(AQ102,AQ$6:AQ$115,0),"")</f>
        <v/>
      </c>
      <c r="AT102" s="35"/>
      <c r="AU102" s="35"/>
      <c r="AV102" s="35" t="str">
        <f>IF(DI102=0,"",DI102)</f>
        <v/>
      </c>
      <c r="AW102" s="35"/>
      <c r="AX102" s="93" t="str">
        <f>IFERROR(RANK(AV102,AV$6:AV$115,0),"")</f>
        <v/>
      </c>
      <c r="AY102" s="35"/>
      <c r="AZ102" s="35"/>
      <c r="BA102" s="35" t="str">
        <f>IF(DK102=0,"",DK102)</f>
        <v/>
      </c>
      <c r="BB102" s="35"/>
      <c r="BC102" s="93" t="str">
        <f>IFERROR(RANK(BA102,BA$6:BA$115,0),"")</f>
        <v/>
      </c>
      <c r="BD102" s="35"/>
      <c r="BE102" s="35"/>
      <c r="BF102" s="35" t="str">
        <f>IF(DM102=0,"",DM102)</f>
        <v/>
      </c>
      <c r="BG102" s="35"/>
      <c r="BH102" s="93" t="str">
        <f>IFERROR(RANK(BF102,BF$6:BF$115,0),"")</f>
        <v/>
      </c>
      <c r="BI102" s="35"/>
      <c r="BJ102" s="35"/>
      <c r="BK102" s="35" t="str">
        <f>IF(DO102=0,"",DO102)</f>
        <v/>
      </c>
      <c r="BL102" s="35"/>
      <c r="BM102" s="93" t="str">
        <f>IFERROR(RANK(BK102,BK$6:BK$115,0),"")</f>
        <v/>
      </c>
      <c r="BN102" s="35"/>
      <c r="BO102" s="35"/>
      <c r="BP102" s="35" t="str">
        <f>IF(DQ102=0,"",DQ102)</f>
        <v/>
      </c>
      <c r="BQ102" s="35"/>
      <c r="BR102" s="93" t="str">
        <f>IFERROR(RANK(BP102,BP$6:BP$115,0),"")</f>
        <v/>
      </c>
      <c r="BS102" s="35"/>
      <c r="BT102" s="35"/>
      <c r="BU102" s="35" t="str">
        <f>IF(DS102=0,"",DS102)</f>
        <v/>
      </c>
      <c r="BV102" s="35"/>
      <c r="BW102" s="93" t="str">
        <f>IFERROR(RANK(BU102,BU$6:BU$115,0),"")</f>
        <v/>
      </c>
      <c r="BX102" s="35"/>
      <c r="BY102" s="35"/>
      <c r="BZ102" s="35" t="str">
        <f>IF(DU102=0,"",DU102)</f>
        <v/>
      </c>
      <c r="CA102" s="35"/>
      <c r="CB102" s="93" t="str">
        <f>IFERROR(RANK(BZ102,BZ$6:BZ$115,0),"")</f>
        <v/>
      </c>
      <c r="CC102" s="35"/>
      <c r="CD102" s="35"/>
      <c r="CE102" s="35" t="str">
        <f>IF(DW102=0,"",DW102)</f>
        <v/>
      </c>
      <c r="CF102" s="35"/>
      <c r="CG102" s="93" t="str">
        <f>IFERROR(RANK(CE102,CE$6:CE$115,0),"")</f>
        <v/>
      </c>
      <c r="CH102" s="35"/>
      <c r="CI102" s="35"/>
      <c r="CJ102" s="35" t="str">
        <f>IF(DY102=0,"",DY102)</f>
        <v/>
      </c>
      <c r="CK102" s="35"/>
      <c r="CL102" s="93" t="str">
        <f>IFERROR(RANK(CJ102,CJ$6:CJ$115,0),"")</f>
        <v/>
      </c>
      <c r="CM102" s="35"/>
      <c r="CN102" s="35"/>
      <c r="CO102" s="35" t="str">
        <f>IF(EA102=0,"",EA102)</f>
        <v/>
      </c>
      <c r="CP102" s="35"/>
      <c r="CQ102" s="93" t="str">
        <f>IFERROR(RANK(CO102,CO$6:CO$115,0),"")</f>
        <v/>
      </c>
      <c r="CR102" s="35"/>
      <c r="CS102" s="31"/>
      <c r="CT102" s="36" t="str">
        <f ca="1">IFERROR(AVERAGE(OFFSET('Data - For Rank'!B$2,J102,0,COUNTIF($J$7:J$115,J102)))+IFERROR(VLOOKUP((COUNT($H$6:$H$115)/4),$ER$8:$ES$12,2,FALSE()),0),"")</f>
        <v/>
      </c>
      <c r="CU102" s="31"/>
      <c r="CV102" s="36" t="str">
        <f ca="1">IFERROR(AVERAGE(OFFSET('Data - For Rank'!$C$2,O102,0,COUNTIF(O$7:O$115,O102)))+IFERROR(VLOOKUP((COUNT(M$6:M$115)/4),$ER$8:$ES$12,2,FALSE()),0),"")</f>
        <v/>
      </c>
      <c r="CW102" s="31"/>
      <c r="CX102" s="36" t="str">
        <f ca="1">IFERROR(AVERAGE(OFFSET('Data - For Rank'!D$2,T102,0,COUNTIF(T$7:T$115,T102)))+IFERROR(VLOOKUP((COUNT(R$6:R$115)/4),$ER$8:$ES$12,2,FALSE()),0),"")</f>
        <v/>
      </c>
      <c r="CY102" s="31"/>
      <c r="CZ102" s="36" t="str">
        <f ca="1">IFERROR(AVERAGE(OFFSET('Data - For Rank'!E$2,Y102,0,COUNTIF(Y$7:Y$115,Y102)))+IFERROR(VLOOKUP((COUNT(W$6:W$115)/4),$ER$8:$ES$12,2,FALSE()),0),"")</f>
        <v/>
      </c>
      <c r="DA102" s="31"/>
      <c r="DB102" s="36" t="str">
        <f ca="1">IFERROR(AVERAGE(OFFSET('Data - For Rank'!F$2,AD102,0,COUNTIF(AD$7:AD$115,AD102)))+IFERROR(VLOOKUP((COUNT(AB$6:AB$115)/4),$ER$8:$ES$12,2,FALSE()),0),"")</f>
        <v/>
      </c>
      <c r="DC102" s="31"/>
      <c r="DD102" s="36" t="str">
        <f ca="1">IFERROR(AVERAGE(OFFSET('Data - For Rank'!G$2,AI102,0,COUNTIF(AI$7:AI$115,AI102)))+IFERROR(VLOOKUP((COUNT(AG$6:AG$115)/4),$ER$8:$ES$12,2,FALSE()),0),"")</f>
        <v/>
      </c>
      <c r="DE102" s="31"/>
      <c r="DF102" s="36" t="str">
        <f ca="1">IFERROR(AVERAGE(OFFSET('Data - For Rank'!$H$2,AN102,0,COUNTIF(AN$7:AN$115,AN102)))+IFERROR(VLOOKUP((COUNT(AL$6:AL$115)/4),$ER$8:$ES$12,2,FALSE()),0),"")</f>
        <v/>
      </c>
      <c r="DG102" s="31"/>
      <c r="DH102" s="36" t="str">
        <f ca="1">IFERROR(AVERAGE(OFFSET('Data - For Rank'!$I$2,AS102,0,COUNTIF(AS$7:AS$115,AS102)))+IFERROR(VLOOKUP((COUNT(AQ$6:AQ$115)/4),$ER$8:$ES$12,2,FALSE()),0),"")</f>
        <v/>
      </c>
      <c r="DI102" s="31"/>
      <c r="DJ102" s="36" t="str">
        <f ca="1">IFERROR(AVERAGE(OFFSET('Data - For Rank'!$J$2,AX102,0,COUNTIF(AX$7:AX$115,AX102)))+IFERROR(VLOOKUP((COUNT(AV$6:AV$115)/4),$ER$8:$ES$12,2,FALSE()),0),"")</f>
        <v/>
      </c>
      <c r="DK102" s="31"/>
      <c r="DL102" s="36" t="str">
        <f ca="1">IFERROR(AVERAGE(OFFSET('Data - For Rank'!$K$2,BC102,0,COUNTIF(BC$7:BC$115,BC102)))+IFERROR(VLOOKUP((COUNT(BA$6:BA$115)/4),$ER$8:$ES$12,2,FALSE()),0),"")</f>
        <v/>
      </c>
      <c r="DM102" s="31"/>
      <c r="DN102" s="36" t="str">
        <f ca="1">IFERROR(AVERAGE(OFFSET('Data - For Rank'!$L$2,BH102,0,COUNTIF(BH$7:BH$115,BH102)))+IFERROR(VLOOKUP((COUNT(BF$6:BF$115)/4),$ER$8:$ES$12,2,FALSE()),0),"")</f>
        <v/>
      </c>
      <c r="DO102" s="31"/>
      <c r="DP102" s="36" t="str">
        <f ca="1">IFERROR(AVERAGE(OFFSET('Data - For Rank'!$M$2,BM102,0,COUNTIF(BM$7:BM$115,BM102)))+IFERROR(VLOOKUP((COUNT(BK$6:BK$115)/4),$ER$8:$ES$12,2,FALSE()),0),"")</f>
        <v/>
      </c>
      <c r="DQ102" s="31"/>
      <c r="DR102" s="36" t="str">
        <f ca="1">IFERROR(AVERAGE(OFFSET('Data - For Rank'!$N$2,BR102,0,COUNTIF(BR$7:BR$115,BR102)))+IFERROR(VLOOKUP((COUNT(BP$6:BP$115)/4),$ER$8:$ES$12,2,FALSE()),0),"")</f>
        <v/>
      </c>
      <c r="DS102" s="31"/>
      <c r="DT102" s="36" t="str">
        <f ca="1">IFERROR(AVERAGE(OFFSET('Data - For Rank'!$O$2,BW102,0,COUNTIF(BW$7:BW$115,BW102)))+IFERROR(VLOOKUP((COUNT(BU$6:BU$115)/4),$ER$8:$ES$12,2,FALSE()),0),"")</f>
        <v/>
      </c>
      <c r="DU102" s="31"/>
      <c r="DV102" s="36" t="str">
        <f ca="1">IFERROR(AVERAGE(OFFSET('Data - For Rank'!$P$2,CB102,0,COUNTIF(CB$7:CB$115,CB102)))+IFERROR(VLOOKUP((COUNT(BZ$6:BZ$115)/4),$ER$8:$ES$12,2,FALSE()),0),"")</f>
        <v/>
      </c>
      <c r="DW102" s="31"/>
      <c r="DX102" s="36" t="str">
        <f ca="1">IFERROR(AVERAGE(OFFSET('Data - For Rank'!$Q$2,CG102,0,COUNTIF(CG$7:CG$115,CG102)))+IFERROR(VLOOKUP((COUNT(CE$6:CE$115)/4),$ER$8:$ES$12,2,FALSE()),0),"")</f>
        <v/>
      </c>
      <c r="DY102" s="31"/>
      <c r="DZ102" s="36" t="str">
        <f ca="1">IFERROR(AVERAGE(OFFSET('Data - For Rank'!$R$2,CL102,0,COUNTIF(CL$7:CL$115,CL102)))+IFERROR(VLOOKUP((COUNT(CJ$6:CJ$115)/4),$ER$8:$ES$12,2,FALSE()),0),"")</f>
        <v/>
      </c>
      <c r="EA102" s="31"/>
      <c r="EB102" s="36" t="str">
        <f ca="1">IFERROR(AVERAGE(OFFSET('Data - For Rank'!$S$2,CQ102,0,COUNTIF(CQ$7:CQ$115,CQ102)))+IFERROR(VLOOKUP((COUNT(CO$6:CO$115)/4),$ER$8:$ES$12,2,FALSE()),0),"")</f>
        <v/>
      </c>
      <c r="EC102" s="37">
        <f>CS102+CU102+CW102+CY102+DA102+DC102+DE102+DG102+DI102+DK102+DM102+DO102+DQ102+DS102+DU102+DW102+DY102+EA102</f>
        <v>0</v>
      </c>
      <c r="ED102" s="33">
        <f t="shared" ca="1" si="3"/>
        <v>0</v>
      </c>
    </row>
    <row r="103" spans="2:134" outlineLevel="1" x14ac:dyDescent="0.2">
      <c r="B103" s="116">
        <f>B102+0.16</f>
        <v>1.8644999999999996</v>
      </c>
      <c r="C103" s="109"/>
      <c r="D103" s="109" t="s">
        <v>172</v>
      </c>
      <c r="E103" s="117" t="s">
        <v>39</v>
      </c>
      <c r="F103" s="118"/>
      <c r="G103" s="40"/>
      <c r="H103" s="40"/>
      <c r="I103" s="96" t="str">
        <f>IF(CS103=0,"",CS103)</f>
        <v/>
      </c>
      <c r="J103" s="96"/>
      <c r="K103" s="97" t="str">
        <f>IFERROR(_xlfn.RANK.EQ(I103,I$6:I$115,0),"")</f>
        <v/>
      </c>
      <c r="L103" s="40"/>
      <c r="M103" s="40"/>
      <c r="N103" s="96" t="str">
        <f>IF(CU103=0,"",CU103)</f>
        <v/>
      </c>
      <c r="O103" s="96"/>
      <c r="P103" s="97" t="str">
        <f>IFERROR(_xlfn.RANK.EQ(N103,N$6:N$115,0),"")</f>
        <v/>
      </c>
      <c r="Q103" s="40"/>
      <c r="R103" s="40"/>
      <c r="S103" s="96" t="str">
        <f>IF(CW103=0,"",CW103)</f>
        <v/>
      </c>
      <c r="T103" s="96"/>
      <c r="U103" s="97" t="str">
        <f>IFERROR(_xlfn.RANK.EQ(S103,S$6:S$115,0),"")</f>
        <v/>
      </c>
      <c r="V103" s="40"/>
      <c r="W103" s="40"/>
      <c r="X103" s="96" t="str">
        <f>IF(CY103=0,"",CY103)</f>
        <v/>
      </c>
      <c r="Y103" s="96"/>
      <c r="Z103" s="97" t="str">
        <f>IFERROR(_xlfn.RANK.EQ(X103,X$6:X$115,0),"")</f>
        <v/>
      </c>
      <c r="AA103" s="40"/>
      <c r="AB103" s="40"/>
      <c r="AC103" s="96" t="str">
        <f>IF(DA103=0,"",DA103)</f>
        <v/>
      </c>
      <c r="AD103" s="96"/>
      <c r="AE103" s="97" t="str">
        <f>IFERROR(_xlfn.RANK.EQ(AC103,AC$6:AC$115,0),"")</f>
        <v/>
      </c>
      <c r="AF103" s="40"/>
      <c r="AG103" s="40"/>
      <c r="AH103" s="96" t="str">
        <f>IF(DC103=0,"",DC103)</f>
        <v/>
      </c>
      <c r="AI103" s="96"/>
      <c r="AJ103" s="97" t="str">
        <f>IFERROR(_xlfn.RANK.EQ(AH103,AH$6:AH$115,0),"")</f>
        <v/>
      </c>
      <c r="AK103" s="40"/>
      <c r="AL103" s="40"/>
      <c r="AM103" s="96" t="str">
        <f>IF(DE103=0,"",DE103)</f>
        <v/>
      </c>
      <c r="AN103" s="96"/>
      <c r="AO103" s="97" t="str">
        <f>IFERROR(_xlfn.RANK.EQ(AM103,AM$6:AM$115,0),"")</f>
        <v/>
      </c>
      <c r="AP103" s="40"/>
      <c r="AQ103" s="40"/>
      <c r="AR103" s="96" t="str">
        <f>IF(DG103=0,"",DG103)</f>
        <v/>
      </c>
      <c r="AS103" s="96"/>
      <c r="AT103" s="97" t="str">
        <f>IFERROR(_xlfn.RANK.EQ(AR103,AR$6:AR$115,0),"")</f>
        <v/>
      </c>
      <c r="AU103" s="40"/>
      <c r="AV103" s="40"/>
      <c r="AW103" s="96" t="str">
        <f>IF(DI103=0,"",DI103)</f>
        <v/>
      </c>
      <c r="AX103" s="96"/>
      <c r="AY103" s="97" t="str">
        <f>IFERROR(_xlfn.RANK.EQ(AW103,AW$6:AW$115,0),"")</f>
        <v/>
      </c>
      <c r="AZ103" s="40"/>
      <c r="BA103" s="40"/>
      <c r="BB103" s="96" t="str">
        <f>IF(DK103=0,"",DK103)</f>
        <v/>
      </c>
      <c r="BC103" s="96"/>
      <c r="BD103" s="97" t="str">
        <f>IFERROR(_xlfn.RANK.EQ(BB103,BB$6:BB$115,0),"")</f>
        <v/>
      </c>
      <c r="BE103" s="40"/>
      <c r="BF103" s="40"/>
      <c r="BG103" s="96" t="str">
        <f>IF(DM103=0,"",DM103)</f>
        <v/>
      </c>
      <c r="BH103" s="96"/>
      <c r="BI103" s="97" t="str">
        <f>IFERROR(_xlfn.RANK.EQ(BG103,BG$6:BG$115,0),"")</f>
        <v/>
      </c>
      <c r="BJ103" s="40"/>
      <c r="BK103" s="40"/>
      <c r="BL103" s="96" t="str">
        <f>IF(DO103=0,"",DO103)</f>
        <v/>
      </c>
      <c r="BM103" s="96"/>
      <c r="BN103" s="97" t="str">
        <f>IFERROR(_xlfn.RANK.EQ(BL103,BL$6:BL$115,0),"")</f>
        <v/>
      </c>
      <c r="BO103" s="40"/>
      <c r="BP103" s="40"/>
      <c r="BQ103" s="96" t="str">
        <f>IF(DQ103=0,"",DQ103)</f>
        <v/>
      </c>
      <c r="BR103" s="96"/>
      <c r="BS103" s="97" t="str">
        <f>IFERROR(_xlfn.RANK.EQ(BQ103,BQ$6:BQ$115,0),"")</f>
        <v/>
      </c>
      <c r="BT103" s="40"/>
      <c r="BU103" s="40"/>
      <c r="BV103" s="96" t="str">
        <f>IF(DS103=0,"",DS103)</f>
        <v/>
      </c>
      <c r="BW103" s="96"/>
      <c r="BX103" s="97" t="str">
        <f>IFERROR(_xlfn.RANK.EQ(BV103,BV$6:BV$115,0),"")</f>
        <v/>
      </c>
      <c r="BY103" s="40"/>
      <c r="BZ103" s="40"/>
      <c r="CA103" s="96" t="str">
        <f>IF(DU103=0,"",DU103)</f>
        <v/>
      </c>
      <c r="CB103" s="96"/>
      <c r="CC103" s="97" t="str">
        <f>IFERROR(_xlfn.RANK.EQ(CA103,CA$6:CA$115,0),"")</f>
        <v/>
      </c>
      <c r="CD103" s="40"/>
      <c r="CE103" s="40"/>
      <c r="CF103" s="96" t="str">
        <f>IF(DW103=0,"",DW103)</f>
        <v/>
      </c>
      <c r="CG103" s="96"/>
      <c r="CH103" s="97" t="str">
        <f>IFERROR(_xlfn.RANK.EQ(CF103,CF$6:CF$115,0),"")</f>
        <v/>
      </c>
      <c r="CI103" s="40"/>
      <c r="CJ103" s="40"/>
      <c r="CK103" s="96" t="str">
        <f>IF(DY103=0,"",DY103)</f>
        <v/>
      </c>
      <c r="CL103" s="96"/>
      <c r="CM103" s="97" t="str">
        <f>IFERROR(_xlfn.RANK.EQ(CK103,CK$6:CK$115,0),"")</f>
        <v/>
      </c>
      <c r="CN103" s="40"/>
      <c r="CO103" s="40"/>
      <c r="CP103" s="96" t="str">
        <f>IF(EA103=0,"",EA103)</f>
        <v/>
      </c>
      <c r="CQ103" s="96"/>
      <c r="CR103" s="97" t="str">
        <f>IFERROR(_xlfn.RANK.EQ(CP103,CP$6:CP$115,0),"")</f>
        <v/>
      </c>
      <c r="CS103" s="41"/>
      <c r="CT103" s="42" t="str">
        <f ca="1">IFERROR(AVERAGE(OFFSET('Data - For Rank'!B$2,K103,0,COUNTIF(K$6:K$115,K103)))+IFERROR(VLOOKUP((COUNT($I$6:$I$115)/4),$ER$8:$ES$12,2,FALSE()),0),"")</f>
        <v/>
      </c>
      <c r="CU103" s="41"/>
      <c r="CV103" s="42" t="str">
        <f ca="1">IFERROR(AVERAGE(OFFSET('Data - For Rank'!$C$2,P103,0,COUNTIF(P$6:P$115,P103)))+IFERROR(VLOOKUP((COUNT(N$6:N$115)/4),$ER$8:$ES$12,2,FALSE()),0),"")</f>
        <v/>
      </c>
      <c r="CW103" s="41"/>
      <c r="CX103" s="42" t="str">
        <f ca="1">IFERROR(AVERAGE(OFFSET('Data - For Rank'!D$2,U103,0,COUNTIF(U$6:$U210,U103)))+IFERROR(VLOOKUP((COUNT(S$6:S$115)/4),$ER$8:$ES$12,2,FALSE()),0),"")</f>
        <v/>
      </c>
      <c r="CY103" s="41"/>
      <c r="CZ103" s="42" t="str">
        <f ca="1">IFERROR(AVERAGE(OFFSET('Data - For Rank'!E$2,Z103,0,COUNTIF(Z$6:Z$115,Z103)))+IFERROR(VLOOKUP((COUNT(W$6:W$115)/4),$ER$8:$ES$12,2,FALSE()),0),"")</f>
        <v/>
      </c>
      <c r="DA103" s="41"/>
      <c r="DB103" s="42" t="str">
        <f ca="1">IFERROR(AVERAGE(OFFSET('Data - For Rank'!F$2,AE103,0,COUNTIF(AE$6:AE$115,AE103)))+IFERROR(VLOOKUP((COUNT(AC$6:AC$115)/4),$ER$8:$ES$12,2,FALSE()),0),"")</f>
        <v/>
      </c>
      <c r="DC103" s="41"/>
      <c r="DD103" s="42" t="str">
        <f ca="1">IFERROR(AVERAGE(OFFSET('Data - For Rank'!G$2,AJ103,0,COUNTIF(AJ$6:AJ$115,AJ103)))+IFERROR(VLOOKUP((COUNT(AH$6:AH$115)/4),$ER$8:$ES$12,2,FALSE()),0),"")</f>
        <v/>
      </c>
      <c r="DE103" s="41"/>
      <c r="DF103" s="42" t="str">
        <f ca="1">IFERROR(AVERAGE(OFFSET('Data - For Rank'!$H$2,AO103,0,COUNTIF(AO$6:AO$115,AO103)))+IFERROR(VLOOKUP((COUNT(AM$6:AM$115)/4),$ER$8:$ES$12,2,FALSE()),0),"")</f>
        <v/>
      </c>
      <c r="DG103" s="41"/>
      <c r="DH103" s="42" t="str">
        <f ca="1">IFERROR(AVERAGE(OFFSET('Data - For Rank'!$I$2,AT103,0,COUNTIF(AT$6:AT$115,AT103)))+IFERROR(VLOOKUP((COUNT(AR$6:AR$115)/4),$ER$8:$ES$12,2,FALSE()),0),"")</f>
        <v/>
      </c>
      <c r="DI103" s="41"/>
      <c r="DJ103" s="42" t="str">
        <f ca="1">IFERROR(AVERAGE(OFFSET('Data - For Rank'!$J$2,AY103,0,COUNTIF(AY$6:AY$115,AY103)))+IFERROR(VLOOKUP((COUNT(AW$6:AW$115)/4),$ER$8:$ES$12,2,FALSE()),0),"")</f>
        <v/>
      </c>
      <c r="DK103" s="41"/>
      <c r="DL103" s="42" t="str">
        <f ca="1">IFERROR(AVERAGE(OFFSET('Data - For Rank'!$K$2,BD103,0,COUNTIF(BD$6:BD$115,BD103)))+IFERROR(VLOOKUP((COUNT(BB$6:BB$115)/4),$ER$8:$ES$12,2,FALSE()),0),"")</f>
        <v/>
      </c>
      <c r="DM103" s="41"/>
      <c r="DN103" s="42" t="str">
        <f ca="1">IFERROR(AVERAGE(OFFSET('Data - For Rank'!$L$2,BI103,0,COUNTIF(BI$6:BI$115,BI103)))+IFERROR(VLOOKUP((COUNT(BG$6:BG$115)/4),$ER$8:$ES$12,2,FALSE()),0),"")</f>
        <v/>
      </c>
      <c r="DO103" s="41"/>
      <c r="DP103" s="42" t="str">
        <f ca="1">IFERROR(AVERAGE(OFFSET('Data - For Rank'!$M$2,BN103,0,COUNTIF(BN$6:BN$115,BN103)))+IFERROR(VLOOKUP((COUNT(BL$6:BL$115)/4),$ER$8:$ES$12,2,FALSE()),0),"")</f>
        <v/>
      </c>
      <c r="DQ103" s="41"/>
      <c r="DR103" s="42" t="str">
        <f ca="1">IFERROR(AVERAGE(OFFSET('Data - For Rank'!$N$2,BS103,0,COUNTIF(BS$6:BS$115,BS103)))+IFERROR(VLOOKUP((COUNT(BQ$6:BQ$115)/4),$ER$8:$ES$12,2,FALSE()),0),"")</f>
        <v/>
      </c>
      <c r="DS103" s="41"/>
      <c r="DT103" s="42" t="str">
        <f ca="1">IFERROR(AVERAGE(OFFSET('Data - For Rank'!$O$2,BX103,0,COUNTIF(BX$6:BX$115,BX103)))+IFERROR(VLOOKUP((COUNT(BV$6:BV$115)/4),$ER$8:$ES$12,2,FALSE()),0),"")</f>
        <v/>
      </c>
      <c r="DU103" s="41"/>
      <c r="DV103" s="42" t="str">
        <f ca="1">IFERROR(AVERAGE(OFFSET('Data - For Rank'!$P$2,CC103,0,COUNTIF(CC$6:CC$115,CC103)))+IFERROR(VLOOKUP((COUNT(CA$6:CA$115)/4),$ER$8:$ES$12,2,FALSE()),0),"")</f>
        <v/>
      </c>
      <c r="DW103" s="41"/>
      <c r="DX103" s="42" t="str">
        <f ca="1">IFERROR(AVERAGE(OFFSET('Data - For Rank'!$Q$2,CH103,0,COUNTIF(CH$6:CH$115,CH103)))+IFERROR(VLOOKUP((COUNT(CF$6:CF$115)/4),$ER$8:$ES$12,2,FALSE()),0),"")</f>
        <v/>
      </c>
      <c r="DY103" s="41"/>
      <c r="DZ103" s="42" t="str">
        <f ca="1">IFERROR(AVERAGE(OFFSET('Data - For Rank'!$R$2,CM103,0,COUNTIF(CM$6:CM$115,CM103)))+IFERROR(VLOOKUP((COUNT(CK$6:CK$115)/4),$ER$8:$ES$12,2,FALSE()),0),"")</f>
        <v/>
      </c>
      <c r="EA103" s="41"/>
      <c r="EB103" s="42" t="str">
        <f ca="1">IFERROR(AVERAGE(OFFSET('Data - For Rank'!$S$2,CR103,0,COUNTIF(CR$6:CR$115,CR103)))+IFERROR(VLOOKUP((COUNT(CP$6:CP$115)/4),$ER$8:$ES$12,2,FALSE()),0),"")</f>
        <v/>
      </c>
      <c r="EC103" s="43">
        <f>IFERROR(AVERAGE(CS103,CU103,CW103,CY103,DA103,DC103,DE103,DG103,DI103,DK103,DM103,DO103,DQ103,DS103,DU103,DW103,DY103,EA103),0)</f>
        <v>0</v>
      </c>
      <c r="ED103" s="44">
        <f t="shared" ca="1" si="3"/>
        <v>0</v>
      </c>
    </row>
    <row r="104" spans="2:134" x14ac:dyDescent="0.2">
      <c r="B104" s="109">
        <f ca="1">_xlfn.RANK.EQ(C104,$C$72:$C$115,)</f>
        <v>2</v>
      </c>
      <c r="C104" s="110">
        <f ca="1">EC104</f>
        <v>0</v>
      </c>
      <c r="D104" s="110" t="s">
        <v>173</v>
      </c>
      <c r="E104" s="119" t="s">
        <v>173</v>
      </c>
      <c r="F104" s="112">
        <f ca="1">COUNT(CT104,CV104,CX104,CZ104,DB104,DD104,DF104,DH104,DJ104,DL104,DN104,DP104,DR104,DT104,DV104,DX104,DZ104,EB104)</f>
        <v>0</v>
      </c>
      <c r="G104" s="93" t="str">
        <f ca="1">IF(CT104=0,"",CT104)</f>
        <v/>
      </c>
      <c r="H104" s="93"/>
      <c r="I104" s="93"/>
      <c r="K104" s="93"/>
      <c r="L104" s="93" t="str">
        <f ca="1">IF(CV104=0,"",CV104)</f>
        <v/>
      </c>
      <c r="M104" s="93"/>
      <c r="N104" s="93"/>
      <c r="P104" s="93"/>
      <c r="Q104" s="93" t="str">
        <f ca="1">IF(CX104=0,"",CX104)</f>
        <v/>
      </c>
      <c r="R104" s="93"/>
      <c r="S104" s="93"/>
      <c r="U104" s="93"/>
      <c r="V104" s="93" t="str">
        <f ca="1">IF(CZ104=0,"",CZ104)</f>
        <v/>
      </c>
      <c r="W104" s="93"/>
      <c r="X104" s="93"/>
      <c r="Z104" s="93"/>
      <c r="AA104" s="93" t="str">
        <f ca="1">IF(DB104=0,"",DB104)</f>
        <v/>
      </c>
      <c r="AB104" s="93"/>
      <c r="AC104" s="93"/>
      <c r="AE104" s="93"/>
      <c r="AF104" s="93" t="str">
        <f ca="1">IF(DD104=0,"",DD104)</f>
        <v/>
      </c>
      <c r="AG104" s="93"/>
      <c r="AH104" s="93"/>
      <c r="AJ104" s="93"/>
      <c r="AK104" s="93" t="str">
        <f ca="1">IF(DF104=0,"",DF104)</f>
        <v/>
      </c>
      <c r="AL104" s="93"/>
      <c r="AM104" s="93"/>
      <c r="AO104" s="93"/>
      <c r="AP104" s="93" t="str">
        <f ca="1">IF(DH104=0,"",DH104)</f>
        <v/>
      </c>
      <c r="AQ104" s="93"/>
      <c r="AR104" s="93"/>
      <c r="AT104" s="93"/>
      <c r="AU104" s="93" t="str">
        <f ca="1">IF(DJ104=0,"",DJ104)</f>
        <v/>
      </c>
      <c r="AV104" s="93"/>
      <c r="AW104" s="93"/>
      <c r="AY104" s="93"/>
      <c r="AZ104" s="93" t="str">
        <f ca="1">IF(DL104=0,"",DL104)</f>
        <v/>
      </c>
      <c r="BA104" s="93"/>
      <c r="BB104" s="93"/>
      <c r="BD104" s="93"/>
      <c r="BE104" s="93" t="str">
        <f ca="1">IF(DN104=0,"",DN104)</f>
        <v/>
      </c>
      <c r="BF104" s="93"/>
      <c r="BG104" s="93"/>
      <c r="BI104" s="93"/>
      <c r="BJ104" s="93" t="str">
        <f ca="1">IF(DP104=0,"",DP104)</f>
        <v/>
      </c>
      <c r="BK104" s="93"/>
      <c r="BL104" s="93"/>
      <c r="BN104" s="93"/>
      <c r="BO104" s="93" t="str">
        <f ca="1">IF(DR104=0,"",DR104)</f>
        <v/>
      </c>
      <c r="BP104" s="93"/>
      <c r="BQ104" s="93"/>
      <c r="BS104" s="93"/>
      <c r="BT104" s="93" t="str">
        <f ca="1">IF(DT104=0,"",DT104)</f>
        <v/>
      </c>
      <c r="BU104" s="93"/>
      <c r="BV104" s="93"/>
      <c r="BX104" s="93"/>
      <c r="BY104" s="93" t="str">
        <f ca="1">IF(DV104=0,"",DV104)</f>
        <v/>
      </c>
      <c r="BZ104" s="93"/>
      <c r="CA104" s="93"/>
      <c r="CC104" s="93"/>
      <c r="CD104" s="93" t="str">
        <f ca="1">IF(DX104=0,"",DX104)</f>
        <v/>
      </c>
      <c r="CE104" s="93"/>
      <c r="CF104" s="93"/>
      <c r="CH104" s="93"/>
      <c r="CI104" s="93" t="str">
        <f ca="1">IF(DZ104=0,"",DZ104)</f>
        <v/>
      </c>
      <c r="CJ104" s="93"/>
      <c r="CK104" s="93"/>
      <c r="CM104" s="93"/>
      <c r="CN104" s="93" t="str">
        <f ca="1">IF(EB104=0,"",EB104)</f>
        <v/>
      </c>
      <c r="CO104" s="93"/>
      <c r="CP104" s="93"/>
      <c r="CR104" s="93"/>
      <c r="CS104" s="31"/>
      <c r="CT104" s="32" t="str">
        <f ca="1">IFERROR(CT105+CT106,"")</f>
        <v/>
      </c>
      <c r="CU104" s="31"/>
      <c r="CV104" s="32" t="str">
        <f ca="1">IFERROR(CV105+CV106,"")</f>
        <v/>
      </c>
      <c r="CW104" s="31"/>
      <c r="CX104" s="32" t="str">
        <f ca="1">IFERROR(CX105+CX106,"")</f>
        <v/>
      </c>
      <c r="CY104" s="31"/>
      <c r="CZ104" s="32" t="str">
        <f ca="1">IFERROR(CZ105+CZ106,"")</f>
        <v/>
      </c>
      <c r="DA104" s="31"/>
      <c r="DB104" s="32" t="str">
        <f ca="1">IFERROR(DB105+DB106,"")</f>
        <v/>
      </c>
      <c r="DC104" s="31"/>
      <c r="DD104" s="32" t="str">
        <f ca="1">IFERROR(DD105+DD106,"")</f>
        <v/>
      </c>
      <c r="DE104" s="31"/>
      <c r="DF104" s="32" t="str">
        <f ca="1">IFERROR(DF105+DF106,"")</f>
        <v/>
      </c>
      <c r="DG104" s="31"/>
      <c r="DH104" s="32" t="str">
        <f ca="1">IFERROR(DH105+DH106,"")</f>
        <v/>
      </c>
      <c r="DI104" s="31"/>
      <c r="DJ104" s="32" t="str">
        <f ca="1">IFERROR(DJ105+DJ106,"")</f>
        <v/>
      </c>
      <c r="DK104" s="31"/>
      <c r="DL104" s="32" t="str">
        <f ca="1">IFERROR(DL105+DL106,"")</f>
        <v/>
      </c>
      <c r="DM104" s="31"/>
      <c r="DN104" s="32" t="str">
        <f ca="1">IFERROR(DN105+DN106,"")</f>
        <v/>
      </c>
      <c r="DO104" s="31"/>
      <c r="DP104" s="32" t="str">
        <f ca="1">IFERROR(DP105+DP106,"")</f>
        <v/>
      </c>
      <c r="DQ104" s="31"/>
      <c r="DR104" s="32" t="str">
        <f ca="1">IFERROR(DR105+DR106,"")</f>
        <v/>
      </c>
      <c r="DS104" s="31"/>
      <c r="DT104" s="32" t="str">
        <f ca="1">IFERROR(DT105+DT106,"")</f>
        <v/>
      </c>
      <c r="DU104" s="31"/>
      <c r="DV104" s="32" t="str">
        <f ca="1">IFERROR(DV105+DV106,"")</f>
        <v/>
      </c>
      <c r="DW104" s="31"/>
      <c r="DX104" s="32" t="str">
        <f ca="1">IFERROR(DX105+DX106,"")</f>
        <v/>
      </c>
      <c r="DY104" s="31"/>
      <c r="DZ104" s="32" t="str">
        <f ca="1">IFERROR(DZ105+DZ106,"")</f>
        <v/>
      </c>
      <c r="EA104" s="31"/>
      <c r="EB104" s="32" t="str">
        <f ca="1">IFERROR(EB105+EB106,"")</f>
        <v/>
      </c>
      <c r="EC104" s="26">
        <f ca="1">IFERROR(LARGE($G104:$CN104,1),0)+IFERROR(LARGE($G104:$CN104,2),0)+IFERROR(LARGE($G104:$CN104,3),0)+IFERROR(LARGE($G104:$CN104,4),0)+IFERROR(LARGE($G104:$CN104,5),0)+IFERROR(LARGE($G104:$CN104,6),0)+IFERROR(LARGE($G104:$CN104,7),0)+IFERROR(LARGE($G104:$CN104,8),0)+IFERROR(LARGE($G104:$CN104,9),0)+IFERROR(LARGE($G104:$CN104,10),0)</f>
        <v>0</v>
      </c>
      <c r="ED104" s="33">
        <f t="shared" ca="1" si="3"/>
        <v>0</v>
      </c>
    </row>
    <row r="105" spans="2:134" outlineLevel="1" x14ac:dyDescent="0.2">
      <c r="B105" s="113">
        <f>B103+0.025</f>
        <v>1.8894999999999995</v>
      </c>
      <c r="C105" s="109"/>
      <c r="D105" s="109" t="s">
        <v>174</v>
      </c>
      <c r="E105" s="114" t="s">
        <v>38</v>
      </c>
      <c r="F105" s="115"/>
      <c r="G105" s="35"/>
      <c r="H105" s="35" t="str">
        <f>IF(CS105=0,"",CS105)</f>
        <v/>
      </c>
      <c r="I105" s="35"/>
      <c r="J105" s="93" t="str">
        <f>IFERROR(RANK(H105,H$6:H$115,0),"")</f>
        <v/>
      </c>
      <c r="K105" s="35"/>
      <c r="L105" s="35"/>
      <c r="M105" s="35" t="str">
        <f>IF(CU105=0,"",CU105)</f>
        <v/>
      </c>
      <c r="N105" s="35"/>
      <c r="O105" s="93" t="str">
        <f>IFERROR(RANK(M105,M$6:M$115,0),"")</f>
        <v/>
      </c>
      <c r="P105" s="35"/>
      <c r="Q105" s="35"/>
      <c r="R105" s="35" t="str">
        <f>IF(CW105=0,"",CW105)</f>
        <v/>
      </c>
      <c r="S105" s="35"/>
      <c r="T105" s="93" t="str">
        <f>IFERROR(RANK(R105,R$6:R$115,0),"")</f>
        <v/>
      </c>
      <c r="U105" s="35"/>
      <c r="V105" s="35"/>
      <c r="W105" s="35" t="str">
        <f>IF(CY105=0,"",CY105)</f>
        <v/>
      </c>
      <c r="X105" s="35"/>
      <c r="Y105" s="93" t="str">
        <f>IFERROR(RANK(W105,W$6:W$115,0),"")</f>
        <v/>
      </c>
      <c r="Z105" s="35"/>
      <c r="AA105" s="35"/>
      <c r="AB105" s="35" t="str">
        <f>IF(DA105=0,"",DA105)</f>
        <v/>
      </c>
      <c r="AC105" s="35"/>
      <c r="AD105" s="93" t="str">
        <f>IFERROR(RANK(AB105,AB$6:AB$115,0),"")</f>
        <v/>
      </c>
      <c r="AE105" s="35"/>
      <c r="AF105" s="35"/>
      <c r="AG105" s="35" t="str">
        <f>IF(DC105=0,"",DC105)</f>
        <v/>
      </c>
      <c r="AH105" s="35"/>
      <c r="AI105" s="93" t="str">
        <f>IFERROR(RANK(AG105,AG$6:AG$115,0),"")</f>
        <v/>
      </c>
      <c r="AJ105" s="35"/>
      <c r="AK105" s="35"/>
      <c r="AL105" s="35" t="str">
        <f>IF(DE105=0,"",DE105)</f>
        <v/>
      </c>
      <c r="AM105" s="35"/>
      <c r="AN105" s="93" t="str">
        <f>IFERROR(RANK(AL105,AL$6:AL$115,0),"")</f>
        <v/>
      </c>
      <c r="AO105" s="35"/>
      <c r="AP105" s="35"/>
      <c r="AQ105" s="35" t="str">
        <f>IF(DG105=0,"",DG105)</f>
        <v/>
      </c>
      <c r="AR105" s="35"/>
      <c r="AS105" s="93" t="str">
        <f>IFERROR(RANK(AQ105,AQ$6:AQ$115,0),"")</f>
        <v/>
      </c>
      <c r="AT105" s="35"/>
      <c r="AU105" s="35"/>
      <c r="AV105" s="35" t="str">
        <f>IF(DI105=0,"",DI105)</f>
        <v/>
      </c>
      <c r="AW105" s="35"/>
      <c r="AX105" s="93" t="str">
        <f>IFERROR(RANK(AV105,AV$6:AV$115,0),"")</f>
        <v/>
      </c>
      <c r="AY105" s="35"/>
      <c r="AZ105" s="35"/>
      <c r="BA105" s="35" t="str">
        <f>IF(DK105=0,"",DK105)</f>
        <v/>
      </c>
      <c r="BB105" s="35"/>
      <c r="BC105" s="93" t="str">
        <f>IFERROR(RANK(BA105,BA$6:BA$115,0),"")</f>
        <v/>
      </c>
      <c r="BD105" s="35"/>
      <c r="BE105" s="35"/>
      <c r="BF105" s="35" t="str">
        <f>IF(DM105=0,"",DM105)</f>
        <v/>
      </c>
      <c r="BG105" s="35"/>
      <c r="BH105" s="93" t="str">
        <f>IFERROR(RANK(BF105,BF$6:BF$115,0),"")</f>
        <v/>
      </c>
      <c r="BI105" s="35"/>
      <c r="BJ105" s="35"/>
      <c r="BK105" s="35" t="str">
        <f>IF(DO105=0,"",DO105)</f>
        <v/>
      </c>
      <c r="BL105" s="35"/>
      <c r="BM105" s="93" t="str">
        <f>IFERROR(RANK(BK105,BK$6:BK$115,0),"")</f>
        <v/>
      </c>
      <c r="BN105" s="35"/>
      <c r="BO105" s="35"/>
      <c r="BP105" s="35" t="str">
        <f>IF(DQ105=0,"",DQ105)</f>
        <v/>
      </c>
      <c r="BQ105" s="35"/>
      <c r="BR105" s="93" t="str">
        <f>IFERROR(RANK(BP105,BP$6:BP$115,0),"")</f>
        <v/>
      </c>
      <c r="BS105" s="35"/>
      <c r="BT105" s="35"/>
      <c r="BU105" s="35" t="str">
        <f>IF(DS105=0,"",DS105)</f>
        <v/>
      </c>
      <c r="BV105" s="35"/>
      <c r="BW105" s="93" t="str">
        <f>IFERROR(RANK(BU105,BU$6:BU$115,0),"")</f>
        <v/>
      </c>
      <c r="BX105" s="35"/>
      <c r="BY105" s="35"/>
      <c r="BZ105" s="35" t="str">
        <f>IF(DU105=0,"",DU105)</f>
        <v/>
      </c>
      <c r="CA105" s="35"/>
      <c r="CB105" s="93" t="str">
        <f>IFERROR(RANK(BZ105,BZ$6:BZ$115,0),"")</f>
        <v/>
      </c>
      <c r="CC105" s="35"/>
      <c r="CD105" s="35"/>
      <c r="CE105" s="35" t="str">
        <f>IF(DW105=0,"",DW105)</f>
        <v/>
      </c>
      <c r="CF105" s="35"/>
      <c r="CG105" s="93" t="str">
        <f>IFERROR(RANK(CE105,CE$6:CE$115,0),"")</f>
        <v/>
      </c>
      <c r="CH105" s="35"/>
      <c r="CI105" s="35"/>
      <c r="CJ105" s="35" t="str">
        <f>IF(DY105=0,"",DY105)</f>
        <v/>
      </c>
      <c r="CK105" s="35"/>
      <c r="CL105" s="93" t="str">
        <f>IFERROR(RANK(CJ105,CJ$6:CJ$115,0),"")</f>
        <v/>
      </c>
      <c r="CM105" s="35"/>
      <c r="CN105" s="35"/>
      <c r="CO105" s="35" t="str">
        <f>IF(EA105=0,"",EA105)</f>
        <v/>
      </c>
      <c r="CP105" s="35"/>
      <c r="CQ105" s="93" t="str">
        <f>IFERROR(RANK(CO105,CO$6:CO$115,0),"")</f>
        <v/>
      </c>
      <c r="CR105" s="35"/>
      <c r="CS105" s="31"/>
      <c r="CT105" s="36" t="str">
        <f ca="1">IFERROR(AVERAGE(OFFSET('Data - For Rank'!B$2,J105,0,COUNTIF($J$7:J$115,J105)))+IFERROR(VLOOKUP((COUNT($H$6:$H$115)/4),$ER$8:$ES$12,2,FALSE()),0),"")</f>
        <v/>
      </c>
      <c r="CU105" s="31"/>
      <c r="CV105" s="36" t="str">
        <f ca="1">IFERROR(AVERAGE(OFFSET('Data - For Rank'!$C$2,O105,0,COUNTIF(O$7:O$115,O105)))+IFERROR(VLOOKUP((COUNT(M$6:M$115)/4),$ER$8:$ES$12,2,FALSE()),0),"")</f>
        <v/>
      </c>
      <c r="CW105" s="31"/>
      <c r="CX105" s="36" t="str">
        <f ca="1">IFERROR(AVERAGE(OFFSET('Data - For Rank'!D$2,T105,0,COUNTIF(T$7:T$115,T105)))+IFERROR(VLOOKUP((COUNT(R$6:R$115)/4),$ER$8:$ES$12,2,FALSE()),0),"")</f>
        <v/>
      </c>
      <c r="CY105" s="31"/>
      <c r="CZ105" s="36" t="str">
        <f ca="1">IFERROR(AVERAGE(OFFSET('Data - For Rank'!E$2,Y105,0,COUNTIF(Y$7:Y$115,Y105)))+IFERROR(VLOOKUP((COUNT(W$6:W$115)/4),$ER$8:$ES$12,2,FALSE()),0),"")</f>
        <v/>
      </c>
      <c r="DA105" s="31"/>
      <c r="DB105" s="36" t="str">
        <f ca="1">IFERROR(AVERAGE(OFFSET('Data - For Rank'!F$2,AD105,0,COUNTIF(AD$7:AD$115,AD105)))+IFERROR(VLOOKUP((COUNT(AB$6:AB$115)/4),$ER$8:$ES$12,2,FALSE()),0),"")</f>
        <v/>
      </c>
      <c r="DC105" s="31"/>
      <c r="DD105" s="36" t="str">
        <f ca="1">IFERROR(AVERAGE(OFFSET('Data - For Rank'!G$2,AI105,0,COUNTIF(AI$7:AI$115,AI105)))+IFERROR(VLOOKUP((COUNT(AG$6:AG$115)/4),$ER$8:$ES$12,2,FALSE()),0),"")</f>
        <v/>
      </c>
      <c r="DE105" s="31"/>
      <c r="DF105" s="36" t="str">
        <f ca="1">IFERROR(AVERAGE(OFFSET('Data - For Rank'!$H$2,AN105,0,COUNTIF(AN$7:AN$115,AN105)))+IFERROR(VLOOKUP((COUNT(AL$6:AL$115)/4),$ER$8:$ES$12,2,FALSE()),0),"")</f>
        <v/>
      </c>
      <c r="DG105" s="31"/>
      <c r="DH105" s="36" t="str">
        <f ca="1">IFERROR(AVERAGE(OFFSET('Data - For Rank'!$I$2,AS105,0,COUNTIF(AS$7:AS$115,AS105)))+IFERROR(VLOOKUP((COUNT(AQ$6:AQ$115)/4),$ER$8:$ES$12,2,FALSE()),0),"")</f>
        <v/>
      </c>
      <c r="DI105" s="31"/>
      <c r="DJ105" s="36" t="str">
        <f ca="1">IFERROR(AVERAGE(OFFSET('Data - For Rank'!$J$2,AX105,0,COUNTIF(AX$7:AX$115,AX105)))+IFERROR(VLOOKUP((COUNT(AV$6:AV$115)/4),$ER$8:$ES$12,2,FALSE()),0),"")</f>
        <v/>
      </c>
      <c r="DK105" s="31"/>
      <c r="DL105" s="36" t="str">
        <f ca="1">IFERROR(AVERAGE(OFFSET('Data - For Rank'!$K$2,BC105,0,COUNTIF(BC$7:BC$115,BC105)))+IFERROR(VLOOKUP((COUNT(BA$6:BA$115)/4),$ER$8:$ES$12,2,FALSE()),0),"")</f>
        <v/>
      </c>
      <c r="DM105" s="31"/>
      <c r="DN105" s="36" t="str">
        <f ca="1">IFERROR(AVERAGE(OFFSET('Data - For Rank'!$L$2,BH105,0,COUNTIF(BH$7:BH$115,BH105)))+IFERROR(VLOOKUP((COUNT(BF$6:BF$115)/4),$ER$8:$ES$12,2,FALSE()),0),"")</f>
        <v/>
      </c>
      <c r="DO105" s="31"/>
      <c r="DP105" s="36" t="str">
        <f ca="1">IFERROR(AVERAGE(OFFSET('Data - For Rank'!$M$2,BM105,0,COUNTIF(BM$7:BM$115,BM105)))+IFERROR(VLOOKUP((COUNT(BK$6:BK$115)/4),$ER$8:$ES$12,2,FALSE()),0),"")</f>
        <v/>
      </c>
      <c r="DQ105" s="31"/>
      <c r="DR105" s="36" t="str">
        <f ca="1">IFERROR(AVERAGE(OFFSET('Data - For Rank'!$N$2,BR105,0,COUNTIF(BR$7:BR$115,BR105)))+IFERROR(VLOOKUP((COUNT(BP$6:BP$115)/4),$ER$8:$ES$12,2,FALSE()),0),"")</f>
        <v/>
      </c>
      <c r="DS105" s="31"/>
      <c r="DT105" s="36" t="str">
        <f ca="1">IFERROR(AVERAGE(OFFSET('Data - For Rank'!$O$2,BW105,0,COUNTIF(BW$7:BW$115,BW105)))+IFERROR(VLOOKUP((COUNT(BU$6:BU$115)/4),$ER$8:$ES$12,2,FALSE()),0),"")</f>
        <v/>
      </c>
      <c r="DU105" s="31"/>
      <c r="DV105" s="36" t="str">
        <f ca="1">IFERROR(AVERAGE(OFFSET('Data - For Rank'!$P$2,CB105,0,COUNTIF(CB$7:CB$115,CB105)))+IFERROR(VLOOKUP((COUNT(BZ$6:BZ$115)/4),$ER$8:$ES$12,2,FALSE()),0),"")</f>
        <v/>
      </c>
      <c r="DW105" s="31"/>
      <c r="DX105" s="36" t="str">
        <f ca="1">IFERROR(AVERAGE(OFFSET('Data - For Rank'!$Q$2,CG105,0,COUNTIF(CG$7:CG$115,CG105)))+IFERROR(VLOOKUP((COUNT(CE$6:CE$115)/4),$ER$8:$ES$12,2,FALSE()),0),"")</f>
        <v/>
      </c>
      <c r="DY105" s="31"/>
      <c r="DZ105" s="36" t="str">
        <f ca="1">IFERROR(AVERAGE(OFFSET('Data - For Rank'!$R$2,CL105,0,COUNTIF(CL$7:CL$115,CL105)))+IFERROR(VLOOKUP((COUNT(CJ$6:CJ$115)/4),$ER$8:$ES$12,2,FALSE()),0),"")</f>
        <v/>
      </c>
      <c r="EA105" s="31"/>
      <c r="EB105" s="36" t="str">
        <f ca="1">IFERROR(AVERAGE(OFFSET('Data - For Rank'!$S$2,CQ105,0,COUNTIF(CQ$7:CQ$115,CQ105)))+IFERROR(VLOOKUP((COUNT(CO$6:CO$115)/4),$ER$8:$ES$12,2,FALSE()),0),"")</f>
        <v/>
      </c>
      <c r="EC105" s="37">
        <f>CS105+CU105+CW105+CY105+DA105+DC105+DE105+DG105+DI105+DK105+DM105+DO105+DQ105+DS105+DU105+DW105+DY105+EA105</f>
        <v>0</v>
      </c>
      <c r="ED105" s="33">
        <f t="shared" ca="1" si="3"/>
        <v>0</v>
      </c>
    </row>
    <row r="106" spans="2:134" outlineLevel="1" x14ac:dyDescent="0.2">
      <c r="B106" s="116">
        <f>B105+0.15</f>
        <v>2.0394999999999994</v>
      </c>
      <c r="C106" s="109"/>
      <c r="D106" s="109" t="s">
        <v>175</v>
      </c>
      <c r="E106" s="117" t="s">
        <v>39</v>
      </c>
      <c r="F106" s="118"/>
      <c r="G106" s="40"/>
      <c r="H106" s="40"/>
      <c r="I106" s="96" t="str">
        <f>IF(CS106=0,"",CS106)</f>
        <v/>
      </c>
      <c r="J106" s="96"/>
      <c r="K106" s="97" t="str">
        <f>IFERROR(_xlfn.RANK.EQ(I106,I$6:I$115,0),"")</f>
        <v/>
      </c>
      <c r="L106" s="40"/>
      <c r="M106" s="40"/>
      <c r="N106" s="96" t="str">
        <f>IF(CU106=0,"",CU106)</f>
        <v/>
      </c>
      <c r="O106" s="96"/>
      <c r="P106" s="97" t="str">
        <f>IFERROR(_xlfn.RANK.EQ(N106,N$6:N$115,0),"")</f>
        <v/>
      </c>
      <c r="Q106" s="40"/>
      <c r="R106" s="40"/>
      <c r="S106" s="96" t="str">
        <f>IF(CW106=0,"",CW106)</f>
        <v/>
      </c>
      <c r="T106" s="96"/>
      <c r="U106" s="97" t="str">
        <f>IFERROR(_xlfn.RANK.EQ(S106,S$6:S$115,0),"")</f>
        <v/>
      </c>
      <c r="V106" s="40"/>
      <c r="W106" s="40"/>
      <c r="X106" s="96" t="str">
        <f>IF(CY106=0,"",CY106)</f>
        <v/>
      </c>
      <c r="Y106" s="96"/>
      <c r="Z106" s="97" t="str">
        <f>IFERROR(_xlfn.RANK.EQ(X106,X$6:X$115,0),"")</f>
        <v/>
      </c>
      <c r="AA106" s="40"/>
      <c r="AB106" s="40"/>
      <c r="AC106" s="96" t="str">
        <f>IF(DA106=0,"",DA106)</f>
        <v/>
      </c>
      <c r="AD106" s="96"/>
      <c r="AE106" s="97" t="str">
        <f>IFERROR(_xlfn.RANK.EQ(AC106,AC$6:AC$115,0),"")</f>
        <v/>
      </c>
      <c r="AF106" s="40"/>
      <c r="AG106" s="40"/>
      <c r="AH106" s="96" t="str">
        <f>IF(DC106=0,"",DC106)</f>
        <v/>
      </c>
      <c r="AI106" s="96"/>
      <c r="AJ106" s="97" t="str">
        <f>IFERROR(_xlfn.RANK.EQ(AH106,AH$6:AH$115,0),"")</f>
        <v/>
      </c>
      <c r="AK106" s="40"/>
      <c r="AL106" s="40"/>
      <c r="AM106" s="96" t="str">
        <f>IF(DE106=0,"",DE106)</f>
        <v/>
      </c>
      <c r="AN106" s="96"/>
      <c r="AO106" s="97" t="str">
        <f>IFERROR(_xlfn.RANK.EQ(AM106,AM$6:AM$115,0),"")</f>
        <v/>
      </c>
      <c r="AP106" s="40"/>
      <c r="AQ106" s="40"/>
      <c r="AR106" s="96" t="str">
        <f>IF(DG106=0,"",DG106)</f>
        <v/>
      </c>
      <c r="AS106" s="96"/>
      <c r="AT106" s="97" t="str">
        <f>IFERROR(_xlfn.RANK.EQ(AR106,AR$6:AR$115,0),"")</f>
        <v/>
      </c>
      <c r="AU106" s="40"/>
      <c r="AV106" s="40"/>
      <c r="AW106" s="96" t="str">
        <f>IF(DI106=0,"",DI106)</f>
        <v/>
      </c>
      <c r="AX106" s="96"/>
      <c r="AY106" s="97" t="str">
        <f>IFERROR(_xlfn.RANK.EQ(AW106,AW$6:AW$115,0),"")</f>
        <v/>
      </c>
      <c r="AZ106" s="40"/>
      <c r="BA106" s="40"/>
      <c r="BB106" s="96" t="str">
        <f>IF(DK106=0,"",DK106)</f>
        <v/>
      </c>
      <c r="BC106" s="96"/>
      <c r="BD106" s="97" t="str">
        <f>IFERROR(_xlfn.RANK.EQ(BB106,BB$6:BB$115,0),"")</f>
        <v/>
      </c>
      <c r="BE106" s="40"/>
      <c r="BF106" s="40"/>
      <c r="BG106" s="96" t="str">
        <f>IF(DM106=0,"",DM106)</f>
        <v/>
      </c>
      <c r="BH106" s="96"/>
      <c r="BI106" s="97" t="str">
        <f>IFERROR(_xlfn.RANK.EQ(BG106,BG$6:BG$115,0),"")</f>
        <v/>
      </c>
      <c r="BJ106" s="40"/>
      <c r="BK106" s="40"/>
      <c r="BL106" s="96" t="str">
        <f>IF(DO106=0,"",DO106)</f>
        <v/>
      </c>
      <c r="BM106" s="96"/>
      <c r="BN106" s="97" t="str">
        <f>IFERROR(_xlfn.RANK.EQ(BL106,BL$6:BL$115,0),"")</f>
        <v/>
      </c>
      <c r="BO106" s="40"/>
      <c r="BP106" s="40"/>
      <c r="BQ106" s="96" t="str">
        <f>IF(DQ106=0,"",DQ106)</f>
        <v/>
      </c>
      <c r="BR106" s="96"/>
      <c r="BS106" s="97" t="str">
        <f>IFERROR(_xlfn.RANK.EQ(BQ106,BQ$6:BQ$115,0),"")</f>
        <v/>
      </c>
      <c r="BT106" s="40"/>
      <c r="BU106" s="40"/>
      <c r="BV106" s="96" t="str">
        <f>IF(DS106=0,"",DS106)</f>
        <v/>
      </c>
      <c r="BW106" s="96"/>
      <c r="BX106" s="97" t="str">
        <f>IFERROR(_xlfn.RANK.EQ(BV106,BV$6:BV$115,0),"")</f>
        <v/>
      </c>
      <c r="BY106" s="40"/>
      <c r="BZ106" s="40"/>
      <c r="CA106" s="96" t="str">
        <f>IF(DU106=0,"",DU106)</f>
        <v/>
      </c>
      <c r="CB106" s="96"/>
      <c r="CC106" s="97" t="str">
        <f>IFERROR(_xlfn.RANK.EQ(CA106,CA$6:CA$115,0),"")</f>
        <v/>
      </c>
      <c r="CD106" s="40"/>
      <c r="CE106" s="40"/>
      <c r="CF106" s="96" t="str">
        <f>IF(DW106=0,"",DW106)</f>
        <v/>
      </c>
      <c r="CG106" s="96"/>
      <c r="CH106" s="97" t="str">
        <f>IFERROR(_xlfn.RANK.EQ(CF106,CF$6:CF$115,0),"")</f>
        <v/>
      </c>
      <c r="CI106" s="40"/>
      <c r="CJ106" s="40"/>
      <c r="CK106" s="96" t="str">
        <f>IF(DY106=0,"",DY106)</f>
        <v/>
      </c>
      <c r="CL106" s="96"/>
      <c r="CM106" s="97" t="str">
        <f>IFERROR(_xlfn.RANK.EQ(CK106,CK$6:CK$115,0),"")</f>
        <v/>
      </c>
      <c r="CN106" s="40"/>
      <c r="CO106" s="40"/>
      <c r="CP106" s="96" t="str">
        <f>IF(EA106=0,"",EA106)</f>
        <v/>
      </c>
      <c r="CQ106" s="96"/>
      <c r="CR106" s="97" t="str">
        <f>IFERROR(_xlfn.RANK.EQ(CP106,CP$6:CP$115,0),"")</f>
        <v/>
      </c>
      <c r="CS106" s="41"/>
      <c r="CT106" s="42" t="str">
        <f ca="1">IFERROR(AVERAGE(OFFSET('Data - For Rank'!B$2,K106,0,COUNTIF(K$6:K$115,K106)))+IFERROR(VLOOKUP((COUNT($I$6:$I$115)/4),$ER$8:$ES$12,2,FALSE()),0),"")</f>
        <v/>
      </c>
      <c r="CU106" s="41"/>
      <c r="CV106" s="42" t="str">
        <f ca="1">IFERROR(AVERAGE(OFFSET('Data - For Rank'!$C$2,P106,0,COUNTIF(P$6:P$115,P106)))+IFERROR(VLOOKUP((COUNT(N$6:N$115)/4),$ER$8:$ES$12,2,FALSE()),0),"")</f>
        <v/>
      </c>
      <c r="CW106" s="41"/>
      <c r="CX106" s="42" t="str">
        <f ca="1">IFERROR(AVERAGE(OFFSET('Data - For Rank'!D$2,U106,0,COUNTIF(U$6:$U213,U106)))+IFERROR(VLOOKUP((COUNT(S$6:S$115)/4),$ER$8:$ES$12,2,FALSE()),0),"")</f>
        <v/>
      </c>
      <c r="CY106" s="41"/>
      <c r="CZ106" s="42" t="str">
        <f ca="1">IFERROR(AVERAGE(OFFSET('Data - For Rank'!E$2,Z106,0,COUNTIF(Z$6:Z$115,Z106)))+IFERROR(VLOOKUP((COUNT(W$6:W$115)/4),$ER$8:$ES$12,2,FALSE()),0),"")</f>
        <v/>
      </c>
      <c r="DA106" s="41"/>
      <c r="DB106" s="42" t="str">
        <f ca="1">IFERROR(AVERAGE(OFFSET('Data - For Rank'!F$2,AE106,0,COUNTIF(AE$6:AE$115,AE106)))+IFERROR(VLOOKUP((COUNT(AC$6:AC$115)/4),$ER$8:$ES$12,2,FALSE()),0),"")</f>
        <v/>
      </c>
      <c r="DC106" s="41"/>
      <c r="DD106" s="42" t="str">
        <f ca="1">IFERROR(AVERAGE(OFFSET('Data - For Rank'!G$2,AJ106,0,COUNTIF(AJ$6:AJ$115,AJ106)))+IFERROR(VLOOKUP((COUNT(AH$6:AH$115)/4),$ER$8:$ES$12,2,FALSE()),0),"")</f>
        <v/>
      </c>
      <c r="DE106" s="41"/>
      <c r="DF106" s="42" t="str">
        <f ca="1">IFERROR(AVERAGE(OFFSET('Data - For Rank'!$H$2,AO106,0,COUNTIF(AO$6:AO$115,AO106)))+IFERROR(VLOOKUP((COUNT(AM$6:AM$115)/4),$ER$8:$ES$12,2,FALSE()),0),"")</f>
        <v/>
      </c>
      <c r="DG106" s="41"/>
      <c r="DH106" s="42" t="str">
        <f ca="1">IFERROR(AVERAGE(OFFSET('Data - For Rank'!$I$2,AT106,0,COUNTIF(AT$6:AT$115,AT106)))+IFERROR(VLOOKUP((COUNT(AR$6:AR$115)/4),$ER$8:$ES$12,2,FALSE()),0),"")</f>
        <v/>
      </c>
      <c r="DI106" s="41"/>
      <c r="DJ106" s="42" t="str">
        <f ca="1">IFERROR(AVERAGE(OFFSET('Data - For Rank'!$J$2,AY106,0,COUNTIF(AY$6:AY$115,AY106)))+IFERROR(VLOOKUP((COUNT(AW$6:AW$115)/4),$ER$8:$ES$12,2,FALSE()),0),"")</f>
        <v/>
      </c>
      <c r="DK106" s="41"/>
      <c r="DL106" s="42" t="str">
        <f ca="1">IFERROR(AVERAGE(OFFSET('Data - For Rank'!$K$2,BD106,0,COUNTIF(BD$6:BD$115,BD106)))+IFERROR(VLOOKUP((COUNT(BB$6:BB$115)/4),$ER$8:$ES$12,2,FALSE()),0),"")</f>
        <v/>
      </c>
      <c r="DM106" s="41"/>
      <c r="DN106" s="42" t="str">
        <f ca="1">IFERROR(AVERAGE(OFFSET('Data - For Rank'!$L$2,BI106,0,COUNTIF(BI$6:BI$115,BI106)))+IFERROR(VLOOKUP((COUNT(BG$6:BG$115)/4),$ER$8:$ES$12,2,FALSE()),0),"")</f>
        <v/>
      </c>
      <c r="DO106" s="41"/>
      <c r="DP106" s="42" t="str">
        <f ca="1">IFERROR(AVERAGE(OFFSET('Data - For Rank'!$M$2,BN106,0,COUNTIF(BN$6:BN$115,BN106)))+IFERROR(VLOOKUP((COUNT(BL$6:BL$115)/4),$ER$8:$ES$12,2,FALSE()),0),"")</f>
        <v/>
      </c>
      <c r="DQ106" s="41"/>
      <c r="DR106" s="42" t="str">
        <f ca="1">IFERROR(AVERAGE(OFFSET('Data - For Rank'!$N$2,BS106,0,COUNTIF(BS$6:BS$115,BS106)))+IFERROR(VLOOKUP((COUNT(BQ$6:BQ$115)/4),$ER$8:$ES$12,2,FALSE()),0),"")</f>
        <v/>
      </c>
      <c r="DS106" s="41"/>
      <c r="DT106" s="42" t="str">
        <f ca="1">IFERROR(AVERAGE(OFFSET('Data - For Rank'!$O$2,BX106,0,COUNTIF(BX$6:BX$115,BX106)))+IFERROR(VLOOKUP((COUNT(BV$6:BV$115)/4),$ER$8:$ES$12,2,FALSE()),0),"")</f>
        <v/>
      </c>
      <c r="DU106" s="41"/>
      <c r="DV106" s="42" t="str">
        <f ca="1">IFERROR(AVERAGE(OFFSET('Data - For Rank'!$P$2,CC106,0,COUNTIF(CC$6:CC$115,CC106)))+IFERROR(VLOOKUP((COUNT(CA$6:CA$115)/4),$ER$8:$ES$12,2,FALSE()),0),"")</f>
        <v/>
      </c>
      <c r="DW106" s="41"/>
      <c r="DX106" s="42" t="str">
        <f ca="1">IFERROR(AVERAGE(OFFSET('Data - For Rank'!$Q$2,CH106,0,COUNTIF(CH$6:CH$115,CH106)))+IFERROR(VLOOKUP((COUNT(CF$6:CF$115)/4),$ER$8:$ES$12,2,FALSE()),0),"")</f>
        <v/>
      </c>
      <c r="DY106" s="41"/>
      <c r="DZ106" s="42" t="str">
        <f ca="1">IFERROR(AVERAGE(OFFSET('Data - For Rank'!$R$2,CM106,0,COUNTIF(CM$6:CM$115,CM106)))+IFERROR(VLOOKUP((COUNT(CK$6:CK$115)/4),$ER$8:$ES$12,2,FALSE()),0),"")</f>
        <v/>
      </c>
      <c r="EA106" s="41"/>
      <c r="EB106" s="42" t="str">
        <f ca="1">IFERROR(AVERAGE(OFFSET('Data - For Rank'!$S$2,CR106,0,COUNTIF(CR$6:CR$115,CR106)))+IFERROR(VLOOKUP((COUNT(CP$6:CP$115)/4),$ER$8:$ES$12,2,FALSE()),0),"")</f>
        <v/>
      </c>
      <c r="EC106" s="43">
        <f>IFERROR(AVERAGE(CS106,CU106,CW106,CY106,DA106,DC106,DE106,DG106,DI106,DK106,DM106,DO106,DQ106,DS106,DU106,DW106,DY106,EA106),0)</f>
        <v>0</v>
      </c>
      <c r="ED106" s="44">
        <f t="shared" ca="1" si="3"/>
        <v>0</v>
      </c>
    </row>
    <row r="107" spans="2:134" x14ac:dyDescent="0.2">
      <c r="B107" s="109">
        <f ca="1">_xlfn.RANK.EQ(C107,$C$72:$C$115,)</f>
        <v>2</v>
      </c>
      <c r="C107" s="110">
        <f ca="1">EC107</f>
        <v>0</v>
      </c>
      <c r="D107" s="110" t="s">
        <v>176</v>
      </c>
      <c r="E107" s="119" t="s">
        <v>176</v>
      </c>
      <c r="F107" s="112">
        <f ca="1">COUNT(CT107,CV107,CX107,CZ107,DB107,DD107,DF107,DH107,DJ107,DL107,DN107,DP107,DR107,DT107,DV107,DX107,DZ107,EB107)</f>
        <v>0</v>
      </c>
      <c r="G107" s="93" t="str">
        <f ca="1">IF(CT107=0,"",CT107)</f>
        <v/>
      </c>
      <c r="H107" s="93"/>
      <c r="I107" s="93"/>
      <c r="K107" s="93"/>
      <c r="L107" s="93" t="str">
        <f ca="1">IF(CV107=0,"",CV107)</f>
        <v/>
      </c>
      <c r="M107" s="93"/>
      <c r="N107" s="93"/>
      <c r="P107" s="93"/>
      <c r="Q107" s="93" t="str">
        <f ca="1">IF(CX107=0,"",CX107)</f>
        <v/>
      </c>
      <c r="R107" s="93"/>
      <c r="S107" s="93"/>
      <c r="U107" s="93"/>
      <c r="V107" s="93" t="str">
        <f ca="1">IF(CZ107=0,"",CZ107)</f>
        <v/>
      </c>
      <c r="W107" s="93"/>
      <c r="X107" s="93"/>
      <c r="Z107" s="93"/>
      <c r="AA107" s="93" t="str">
        <f ca="1">IF(DB107=0,"",DB107)</f>
        <v/>
      </c>
      <c r="AB107" s="93"/>
      <c r="AC107" s="93"/>
      <c r="AE107" s="93"/>
      <c r="AF107" s="93" t="str">
        <f ca="1">IF(DD107=0,"",DD107)</f>
        <v/>
      </c>
      <c r="AG107" s="93"/>
      <c r="AH107" s="93"/>
      <c r="AJ107" s="93"/>
      <c r="AK107" s="93" t="str">
        <f ca="1">IF(DF107=0,"",DF107)</f>
        <v/>
      </c>
      <c r="AL107" s="93"/>
      <c r="AM107" s="93"/>
      <c r="AO107" s="93"/>
      <c r="AP107" s="93" t="str">
        <f ca="1">IF(DH107=0,"",DH107)</f>
        <v/>
      </c>
      <c r="AQ107" s="93"/>
      <c r="AR107" s="93"/>
      <c r="AT107" s="93"/>
      <c r="AU107" s="93" t="str">
        <f ca="1">IF(DJ107=0,"",DJ107)</f>
        <v/>
      </c>
      <c r="AV107" s="93"/>
      <c r="AW107" s="93"/>
      <c r="AY107" s="93"/>
      <c r="AZ107" s="93" t="str">
        <f ca="1">IF(DL107=0,"",DL107)</f>
        <v/>
      </c>
      <c r="BA107" s="93"/>
      <c r="BB107" s="93"/>
      <c r="BD107" s="93"/>
      <c r="BE107" s="93" t="str">
        <f ca="1">IF(DN107=0,"",DN107)</f>
        <v/>
      </c>
      <c r="BF107" s="93"/>
      <c r="BG107" s="93"/>
      <c r="BI107" s="93"/>
      <c r="BJ107" s="93" t="str">
        <f ca="1">IF(DP107=0,"",DP107)</f>
        <v/>
      </c>
      <c r="BK107" s="93"/>
      <c r="BL107" s="93"/>
      <c r="BN107" s="93"/>
      <c r="BO107" s="93" t="str">
        <f ca="1">IF(DR107=0,"",DR107)</f>
        <v/>
      </c>
      <c r="BP107" s="93"/>
      <c r="BQ107" s="93"/>
      <c r="BS107" s="93"/>
      <c r="BT107" s="93" t="str">
        <f ca="1">IF(DT107=0,"",DT107)</f>
        <v/>
      </c>
      <c r="BU107" s="93"/>
      <c r="BV107" s="93"/>
      <c r="BX107" s="93"/>
      <c r="BY107" s="93" t="str">
        <f ca="1">IF(DV107=0,"",DV107)</f>
        <v/>
      </c>
      <c r="BZ107" s="93"/>
      <c r="CA107" s="93"/>
      <c r="CC107" s="93"/>
      <c r="CD107" s="93" t="str">
        <f ca="1">IF(DX107=0,"",DX107)</f>
        <v/>
      </c>
      <c r="CE107" s="93"/>
      <c r="CF107" s="93"/>
      <c r="CH107" s="93"/>
      <c r="CI107" s="93" t="str">
        <f ca="1">IF(DZ107=0,"",DZ107)</f>
        <v/>
      </c>
      <c r="CJ107" s="93"/>
      <c r="CK107" s="93"/>
      <c r="CM107" s="93"/>
      <c r="CN107" s="93" t="str">
        <f ca="1">IF(EB107=0,"",EB107)</f>
        <v/>
      </c>
      <c r="CO107" s="93"/>
      <c r="CP107" s="93"/>
      <c r="CR107" s="93"/>
      <c r="CS107" s="31"/>
      <c r="CT107" s="32" t="str">
        <f ca="1">IFERROR(CT108+CT109,"")</f>
        <v/>
      </c>
      <c r="CU107" s="31"/>
      <c r="CV107" s="32" t="str">
        <f ca="1">IFERROR(CV108+CV109,"")</f>
        <v/>
      </c>
      <c r="CW107" s="31"/>
      <c r="CX107" s="32" t="str">
        <f ca="1">IFERROR(CX108+CX109,"")</f>
        <v/>
      </c>
      <c r="CY107" s="31"/>
      <c r="CZ107" s="32" t="str">
        <f ca="1">IFERROR(CZ108+CZ109,"")</f>
        <v/>
      </c>
      <c r="DA107" s="31"/>
      <c r="DB107" s="32" t="str">
        <f ca="1">IFERROR(DB108+DB109,"")</f>
        <v/>
      </c>
      <c r="DC107" s="31"/>
      <c r="DD107" s="32" t="str">
        <f ca="1">IFERROR(DD108+DD109,"")</f>
        <v/>
      </c>
      <c r="DE107" s="31"/>
      <c r="DF107" s="32" t="str">
        <f ca="1">IFERROR(DF108+DF109,"")</f>
        <v/>
      </c>
      <c r="DG107" s="31"/>
      <c r="DH107" s="32" t="str">
        <f ca="1">IFERROR(DH108+DH109,"")</f>
        <v/>
      </c>
      <c r="DI107" s="31"/>
      <c r="DJ107" s="32" t="str">
        <f ca="1">IFERROR(DJ108+DJ109,"")</f>
        <v/>
      </c>
      <c r="DK107" s="31"/>
      <c r="DL107" s="32" t="str">
        <f ca="1">IFERROR(DL108+DL109,"")</f>
        <v/>
      </c>
      <c r="DM107" s="31"/>
      <c r="DN107" s="32" t="str">
        <f ca="1">IFERROR(DN108+DN109,"")</f>
        <v/>
      </c>
      <c r="DO107" s="31"/>
      <c r="DP107" s="32" t="str">
        <f ca="1">IFERROR(DP108+DP109,"")</f>
        <v/>
      </c>
      <c r="DQ107" s="31"/>
      <c r="DR107" s="32" t="str">
        <f ca="1">IFERROR(DR108+DR109,"")</f>
        <v/>
      </c>
      <c r="DS107" s="31"/>
      <c r="DT107" s="32" t="str">
        <f ca="1">IFERROR(DT108+DT109,"")</f>
        <v/>
      </c>
      <c r="DU107" s="31"/>
      <c r="DV107" s="32" t="str">
        <f ca="1">IFERROR(DV108+DV109,"")</f>
        <v/>
      </c>
      <c r="DW107" s="31"/>
      <c r="DX107" s="32" t="str">
        <f ca="1">IFERROR(DX108+DX109,"")</f>
        <v/>
      </c>
      <c r="DY107" s="31"/>
      <c r="DZ107" s="32" t="str">
        <f ca="1">IFERROR(DZ108+DZ109,"")</f>
        <v/>
      </c>
      <c r="EA107" s="31"/>
      <c r="EB107" s="32" t="str">
        <f ca="1">IFERROR(EB108+EB109,"")</f>
        <v/>
      </c>
      <c r="EC107" s="26">
        <f ca="1">IFERROR(LARGE($G107:$CN107,1),0)+IFERROR(LARGE($G107:$CN107,2),0)+IFERROR(LARGE($G107:$CN107,3),0)+IFERROR(LARGE($G107:$CN107,4),0)+IFERROR(LARGE($G107:$CN107,5),0)+IFERROR(LARGE($G107:$CN107,6),0)+IFERROR(LARGE($G107:$CN107,7),0)+IFERROR(LARGE($G107:$CN107,8),0)+IFERROR(LARGE($G107:$CN107,9),0)+IFERROR(LARGE($G107:$CN107,10),0)</f>
        <v>0</v>
      </c>
      <c r="ED107" s="33">
        <f t="shared" ca="1" si="3"/>
        <v>0</v>
      </c>
    </row>
    <row r="108" spans="2:134" outlineLevel="1" x14ac:dyDescent="0.2">
      <c r="B108" s="113">
        <f>B106+0.024</f>
        <v>2.0634999999999994</v>
      </c>
      <c r="C108" s="109"/>
      <c r="D108" s="109" t="s">
        <v>177</v>
      </c>
      <c r="E108" s="114" t="s">
        <v>38</v>
      </c>
      <c r="F108" s="115"/>
      <c r="G108" s="35"/>
      <c r="H108" s="35" t="str">
        <f>IF(CS108=0,"",CS108)</f>
        <v/>
      </c>
      <c r="I108" s="35"/>
      <c r="J108" s="93" t="str">
        <f>IFERROR(RANK(H108,H$6:H$115,0),"")</f>
        <v/>
      </c>
      <c r="K108" s="35"/>
      <c r="L108" s="35"/>
      <c r="M108" s="35" t="str">
        <f>IF(CU108=0,"",CU108)</f>
        <v/>
      </c>
      <c r="N108" s="35"/>
      <c r="O108" s="93" t="str">
        <f>IFERROR(RANK(M108,M$6:M$115,0),"")</f>
        <v/>
      </c>
      <c r="P108" s="35"/>
      <c r="Q108" s="35"/>
      <c r="R108" s="35" t="str">
        <f>IF(CW108=0,"",CW108)</f>
        <v/>
      </c>
      <c r="S108" s="35"/>
      <c r="T108" s="93" t="str">
        <f>IFERROR(RANK(R108,R$6:R$115,0),"")</f>
        <v/>
      </c>
      <c r="U108" s="35"/>
      <c r="V108" s="35"/>
      <c r="W108" s="35" t="str">
        <f>IF(CY108=0,"",CY108)</f>
        <v/>
      </c>
      <c r="X108" s="35"/>
      <c r="Y108" s="93" t="str">
        <f>IFERROR(RANK(W108,W$6:W$115,0),"")</f>
        <v/>
      </c>
      <c r="Z108" s="35"/>
      <c r="AA108" s="35"/>
      <c r="AB108" s="35" t="str">
        <f>IF(DA108=0,"",DA108)</f>
        <v/>
      </c>
      <c r="AC108" s="35"/>
      <c r="AD108" s="93" t="str">
        <f>IFERROR(RANK(AB108,AB$6:AB$115,0),"")</f>
        <v/>
      </c>
      <c r="AE108" s="35"/>
      <c r="AF108" s="35"/>
      <c r="AG108" s="35" t="str">
        <f>IF(DC108=0,"",DC108)</f>
        <v/>
      </c>
      <c r="AH108" s="35"/>
      <c r="AI108" s="93" t="str">
        <f>IFERROR(RANK(AG108,AG$6:AG$115,0),"")</f>
        <v/>
      </c>
      <c r="AJ108" s="35"/>
      <c r="AK108" s="35"/>
      <c r="AL108" s="35" t="str">
        <f>IF(DE108=0,"",DE108)</f>
        <v/>
      </c>
      <c r="AM108" s="35"/>
      <c r="AN108" s="93" t="str">
        <f>IFERROR(RANK(AL108,AL$6:AL$115,0),"")</f>
        <v/>
      </c>
      <c r="AO108" s="35"/>
      <c r="AP108" s="35"/>
      <c r="AQ108" s="35" t="str">
        <f>IF(DG108=0,"",DG108)</f>
        <v/>
      </c>
      <c r="AR108" s="35"/>
      <c r="AS108" s="93" t="str">
        <f>IFERROR(RANK(AQ108,AQ$6:AQ$115,0),"")</f>
        <v/>
      </c>
      <c r="AT108" s="35"/>
      <c r="AU108" s="35"/>
      <c r="AV108" s="35" t="str">
        <f>IF(DI108=0,"",DI108)</f>
        <v/>
      </c>
      <c r="AW108" s="35"/>
      <c r="AX108" s="93" t="str">
        <f>IFERROR(RANK(AV108,AV$6:AV$115,0),"")</f>
        <v/>
      </c>
      <c r="AY108" s="35"/>
      <c r="AZ108" s="35"/>
      <c r="BA108" s="35" t="str">
        <f>IF(DK108=0,"",DK108)</f>
        <v/>
      </c>
      <c r="BB108" s="35"/>
      <c r="BC108" s="93" t="str">
        <f>IFERROR(RANK(BA108,BA$6:BA$115,0),"")</f>
        <v/>
      </c>
      <c r="BD108" s="35"/>
      <c r="BE108" s="35"/>
      <c r="BF108" s="35" t="str">
        <f>IF(DM108=0,"",DM108)</f>
        <v/>
      </c>
      <c r="BG108" s="35"/>
      <c r="BH108" s="93" t="str">
        <f>IFERROR(RANK(BF108,BF$6:BF$115,0),"")</f>
        <v/>
      </c>
      <c r="BI108" s="35"/>
      <c r="BJ108" s="35"/>
      <c r="BK108" s="35" t="str">
        <f>IF(DO108=0,"",DO108)</f>
        <v/>
      </c>
      <c r="BL108" s="35"/>
      <c r="BM108" s="93" t="str">
        <f>IFERROR(RANK(BK108,BK$6:BK$115,0),"")</f>
        <v/>
      </c>
      <c r="BN108" s="35"/>
      <c r="BO108" s="35"/>
      <c r="BP108" s="35" t="str">
        <f>IF(DQ108=0,"",DQ108)</f>
        <v/>
      </c>
      <c r="BQ108" s="35"/>
      <c r="BR108" s="93" t="str">
        <f>IFERROR(RANK(BP108,BP$6:BP$115,0),"")</f>
        <v/>
      </c>
      <c r="BS108" s="35"/>
      <c r="BT108" s="35"/>
      <c r="BU108" s="35" t="str">
        <f>IF(DS108=0,"",DS108)</f>
        <v/>
      </c>
      <c r="BV108" s="35"/>
      <c r="BW108" s="93" t="str">
        <f>IFERROR(RANK(BU108,BU$6:BU$115,0),"")</f>
        <v/>
      </c>
      <c r="BX108" s="35"/>
      <c r="BY108" s="35"/>
      <c r="BZ108" s="35" t="str">
        <f>IF(DU108=0,"",DU108)</f>
        <v/>
      </c>
      <c r="CA108" s="35"/>
      <c r="CB108" s="93" t="str">
        <f>IFERROR(RANK(BZ108,BZ$6:BZ$115,0),"")</f>
        <v/>
      </c>
      <c r="CC108" s="35"/>
      <c r="CD108" s="35"/>
      <c r="CE108" s="35" t="str">
        <f>IF(DW108=0,"",DW108)</f>
        <v/>
      </c>
      <c r="CF108" s="35"/>
      <c r="CG108" s="93" t="str">
        <f>IFERROR(RANK(CE108,CE$6:CE$115,0),"")</f>
        <v/>
      </c>
      <c r="CH108" s="35"/>
      <c r="CI108" s="35"/>
      <c r="CJ108" s="35" t="str">
        <f>IF(DY108=0,"",DY108)</f>
        <v/>
      </c>
      <c r="CK108" s="35"/>
      <c r="CL108" s="93" t="str">
        <f>IFERROR(RANK(CJ108,CJ$6:CJ$115,0),"")</f>
        <v/>
      </c>
      <c r="CM108" s="35"/>
      <c r="CN108" s="35"/>
      <c r="CO108" s="35" t="str">
        <f>IF(EA108=0,"",EA108)</f>
        <v/>
      </c>
      <c r="CP108" s="35"/>
      <c r="CQ108" s="93" t="str">
        <f>IFERROR(RANK(CO108,CO$6:CO$115,0),"")</f>
        <v/>
      </c>
      <c r="CR108" s="35"/>
      <c r="CS108" s="31"/>
      <c r="CT108" s="36" t="str">
        <f ca="1">IFERROR(AVERAGE(OFFSET('Data - For Rank'!B$2,J108,0,COUNTIF($J$7:J$115,J108)))+IFERROR(VLOOKUP((COUNT($H$6:$H$115)/4),$ER$8:$ES$12,2,FALSE()),0),"")</f>
        <v/>
      </c>
      <c r="CU108" s="31"/>
      <c r="CV108" s="36" t="str">
        <f ca="1">IFERROR(AVERAGE(OFFSET('Data - For Rank'!$C$2,O108,0,COUNTIF(O$7:O$115,O108)))+IFERROR(VLOOKUP((COUNT(M$6:M$115)/4),$ER$8:$ES$12,2,FALSE()),0),"")</f>
        <v/>
      </c>
      <c r="CW108" s="31"/>
      <c r="CX108" s="36" t="str">
        <f ca="1">IFERROR(AVERAGE(OFFSET('Data - For Rank'!D$2,T108,0,COUNTIF(T$7:T$115,T108)))+IFERROR(VLOOKUP((COUNT(R$6:R$115)/4),$ER$8:$ES$12,2,FALSE()),0),"")</f>
        <v/>
      </c>
      <c r="CY108" s="31"/>
      <c r="CZ108" s="36" t="str">
        <f ca="1">IFERROR(AVERAGE(OFFSET('Data - For Rank'!E$2,Y108,0,COUNTIF(Y$7:Y$115,Y108)))+IFERROR(VLOOKUP((COUNT(W$6:W$115)/4),$ER$8:$ES$12,2,FALSE()),0),"")</f>
        <v/>
      </c>
      <c r="DA108" s="31"/>
      <c r="DB108" s="36" t="str">
        <f ca="1">IFERROR(AVERAGE(OFFSET('Data - For Rank'!F$2,AD108,0,COUNTIF(AD$7:AD$115,AD108)))+IFERROR(VLOOKUP((COUNT(AB$6:AB$115)/4),$ER$8:$ES$12,2,FALSE()),0),"")</f>
        <v/>
      </c>
      <c r="DC108" s="31"/>
      <c r="DD108" s="36" t="str">
        <f ca="1">IFERROR(AVERAGE(OFFSET('Data - For Rank'!G$2,AI108,0,COUNTIF(AI$7:AI$115,AI108)))+IFERROR(VLOOKUP((COUNT(AG$6:AG$115)/4),$ER$8:$ES$12,2,FALSE()),0),"")</f>
        <v/>
      </c>
      <c r="DE108" s="31"/>
      <c r="DF108" s="36" t="str">
        <f ca="1">IFERROR(AVERAGE(OFFSET('Data - For Rank'!$H$2,AN108,0,COUNTIF(AN$7:AN$115,AN108)))+IFERROR(VLOOKUP((COUNT(AL$6:AL$115)/4),$ER$8:$ES$12,2,FALSE()),0),"")</f>
        <v/>
      </c>
      <c r="DG108" s="31"/>
      <c r="DH108" s="36" t="str">
        <f ca="1">IFERROR(AVERAGE(OFFSET('Data - For Rank'!$I$2,AS108,0,COUNTIF(AS$7:AS$115,AS108)))+IFERROR(VLOOKUP((COUNT(AQ$6:AQ$115)/4),$ER$8:$ES$12,2,FALSE()),0),"")</f>
        <v/>
      </c>
      <c r="DI108" s="31"/>
      <c r="DJ108" s="36" t="str">
        <f ca="1">IFERROR(AVERAGE(OFFSET('Data - For Rank'!$J$2,AX108,0,COUNTIF(AX$7:AX$115,AX108)))+IFERROR(VLOOKUP((COUNT(AV$6:AV$115)/4),$ER$8:$ES$12,2,FALSE()),0),"")</f>
        <v/>
      </c>
      <c r="DK108" s="31"/>
      <c r="DL108" s="36" t="str">
        <f ca="1">IFERROR(AVERAGE(OFFSET('Data - For Rank'!$K$2,BC108,0,COUNTIF(BC$7:BC$115,BC108)))+IFERROR(VLOOKUP((COUNT(BA$6:BA$115)/4),$ER$8:$ES$12,2,FALSE()),0),"")</f>
        <v/>
      </c>
      <c r="DM108" s="31"/>
      <c r="DN108" s="36" t="str">
        <f ca="1">IFERROR(AVERAGE(OFFSET('Data - For Rank'!$L$2,BH108,0,COUNTIF(BH$7:BH$115,BH108)))+IFERROR(VLOOKUP((COUNT(BF$6:BF$115)/4),$ER$8:$ES$12,2,FALSE()),0),"")</f>
        <v/>
      </c>
      <c r="DO108" s="31"/>
      <c r="DP108" s="36" t="str">
        <f ca="1">IFERROR(AVERAGE(OFFSET('Data - For Rank'!$M$2,BM108,0,COUNTIF(BM$7:BM$115,BM108)))+IFERROR(VLOOKUP((COUNT(BK$6:BK$115)/4),$ER$8:$ES$12,2,FALSE()),0),"")</f>
        <v/>
      </c>
      <c r="DQ108" s="31"/>
      <c r="DR108" s="36" t="str">
        <f ca="1">IFERROR(AVERAGE(OFFSET('Data - For Rank'!$N$2,BR108,0,COUNTIF(BR$7:BR$115,BR108)))+IFERROR(VLOOKUP((COUNT(BP$6:BP$115)/4),$ER$8:$ES$12,2,FALSE()),0),"")</f>
        <v/>
      </c>
      <c r="DS108" s="31"/>
      <c r="DT108" s="36" t="str">
        <f ca="1">IFERROR(AVERAGE(OFFSET('Data - For Rank'!$O$2,BW108,0,COUNTIF(BW$7:BW$115,BW108)))+IFERROR(VLOOKUP((COUNT(BU$6:BU$115)/4),$ER$8:$ES$12,2,FALSE()),0),"")</f>
        <v/>
      </c>
      <c r="DU108" s="31"/>
      <c r="DV108" s="36" t="str">
        <f ca="1">IFERROR(AVERAGE(OFFSET('Data - For Rank'!$P$2,CB108,0,COUNTIF(CB$7:CB$115,CB108)))+IFERROR(VLOOKUP((COUNT(BZ$6:BZ$115)/4),$ER$8:$ES$12,2,FALSE()),0),"")</f>
        <v/>
      </c>
      <c r="DW108" s="31"/>
      <c r="DX108" s="36" t="str">
        <f ca="1">IFERROR(AVERAGE(OFFSET('Data - For Rank'!$Q$2,CG108,0,COUNTIF(CG$7:CG$115,CG108)))+IFERROR(VLOOKUP((COUNT(CE$6:CE$115)/4),$ER$8:$ES$12,2,FALSE()),0),"")</f>
        <v/>
      </c>
      <c r="DY108" s="31"/>
      <c r="DZ108" s="36" t="str">
        <f ca="1">IFERROR(AVERAGE(OFFSET('Data - For Rank'!$R$2,CL108,0,COUNTIF(CL$7:CL$115,CL108)))+IFERROR(VLOOKUP((COUNT(CJ$6:CJ$115)/4),$ER$8:$ES$12,2,FALSE()),0),"")</f>
        <v/>
      </c>
      <c r="EA108" s="31"/>
      <c r="EB108" s="36" t="str">
        <f ca="1">IFERROR(AVERAGE(OFFSET('Data - For Rank'!$S$2,CQ108,0,COUNTIF(CQ$7:CQ$115,CQ108)))+IFERROR(VLOOKUP((COUNT(CO$6:CO$115)/4),$ER$8:$ES$12,2,FALSE()),0),"")</f>
        <v/>
      </c>
      <c r="EC108" s="37">
        <f>CS108+CU108+CW108+CY108+DA108+DC108+DE108+DG108+DI108+DK108+DM108+DO108+DQ108+DS108+DU108+DW108+DY108+EA108</f>
        <v>0</v>
      </c>
      <c r="ED108" s="33">
        <f t="shared" ca="1" si="3"/>
        <v>0</v>
      </c>
    </row>
    <row r="109" spans="2:134" outlineLevel="1" x14ac:dyDescent="0.2">
      <c r="B109" s="116">
        <f>B108+0.14</f>
        <v>2.2034999999999996</v>
      </c>
      <c r="C109" s="109"/>
      <c r="D109" s="109" t="s">
        <v>178</v>
      </c>
      <c r="E109" s="117" t="s">
        <v>39</v>
      </c>
      <c r="F109" s="118"/>
      <c r="G109" s="40"/>
      <c r="H109" s="40"/>
      <c r="I109" s="96" t="str">
        <f>IF(CS109=0,"",CS109)</f>
        <v/>
      </c>
      <c r="J109" s="96"/>
      <c r="K109" s="97" t="str">
        <f>IFERROR(_xlfn.RANK.EQ(I109,I$6:I$115,0),"")</f>
        <v/>
      </c>
      <c r="L109" s="40"/>
      <c r="M109" s="40"/>
      <c r="N109" s="96" t="str">
        <f>IF(CU109=0,"",CU109)</f>
        <v/>
      </c>
      <c r="O109" s="96"/>
      <c r="P109" s="97" t="str">
        <f>IFERROR(_xlfn.RANK.EQ(N109,N$6:N$115,0),"")</f>
        <v/>
      </c>
      <c r="Q109" s="40"/>
      <c r="R109" s="40"/>
      <c r="S109" s="96" t="str">
        <f>IF(CW109=0,"",CW109)</f>
        <v/>
      </c>
      <c r="T109" s="96"/>
      <c r="U109" s="97" t="str">
        <f>IFERROR(_xlfn.RANK.EQ(S109,S$6:S$115,0),"")</f>
        <v/>
      </c>
      <c r="V109" s="40"/>
      <c r="W109" s="40"/>
      <c r="X109" s="96" t="str">
        <f>IF(CY109=0,"",CY109)</f>
        <v/>
      </c>
      <c r="Y109" s="96"/>
      <c r="Z109" s="97" t="str">
        <f>IFERROR(_xlfn.RANK.EQ(X109,X$6:X$115,0),"")</f>
        <v/>
      </c>
      <c r="AA109" s="40"/>
      <c r="AB109" s="40"/>
      <c r="AC109" s="96" t="str">
        <f>IF(DA109=0,"",DA109)</f>
        <v/>
      </c>
      <c r="AD109" s="96"/>
      <c r="AE109" s="97" t="str">
        <f>IFERROR(_xlfn.RANK.EQ(AC109,AC$6:AC$115,0),"")</f>
        <v/>
      </c>
      <c r="AF109" s="40"/>
      <c r="AG109" s="40"/>
      <c r="AH109" s="96" t="str">
        <f>IF(DC109=0,"",DC109)</f>
        <v/>
      </c>
      <c r="AI109" s="96"/>
      <c r="AJ109" s="97" t="str">
        <f>IFERROR(_xlfn.RANK.EQ(AH109,AH$6:AH$115,0),"")</f>
        <v/>
      </c>
      <c r="AK109" s="40"/>
      <c r="AL109" s="40"/>
      <c r="AM109" s="96" t="str">
        <f>IF(DE109=0,"",DE109)</f>
        <v/>
      </c>
      <c r="AN109" s="96"/>
      <c r="AO109" s="97" t="str">
        <f>IFERROR(_xlfn.RANK.EQ(AM109,AM$6:AM$115,0),"")</f>
        <v/>
      </c>
      <c r="AP109" s="40"/>
      <c r="AQ109" s="40"/>
      <c r="AR109" s="96" t="str">
        <f>IF(DG109=0,"",DG109)</f>
        <v/>
      </c>
      <c r="AS109" s="96"/>
      <c r="AT109" s="97" t="str">
        <f>IFERROR(_xlfn.RANK.EQ(AR109,AR$6:AR$115,0),"")</f>
        <v/>
      </c>
      <c r="AU109" s="40"/>
      <c r="AV109" s="40"/>
      <c r="AW109" s="96" t="str">
        <f>IF(DI109=0,"",DI109)</f>
        <v/>
      </c>
      <c r="AX109" s="96"/>
      <c r="AY109" s="97" t="str">
        <f>IFERROR(_xlfn.RANK.EQ(AW109,AW$6:AW$115,0),"")</f>
        <v/>
      </c>
      <c r="AZ109" s="40"/>
      <c r="BA109" s="40"/>
      <c r="BB109" s="96" t="str">
        <f>IF(DK109=0,"",DK109)</f>
        <v/>
      </c>
      <c r="BC109" s="96"/>
      <c r="BD109" s="97" t="str">
        <f>IFERROR(_xlfn.RANK.EQ(BB109,BB$6:BB$115,0),"")</f>
        <v/>
      </c>
      <c r="BE109" s="40"/>
      <c r="BF109" s="40"/>
      <c r="BG109" s="96" t="str">
        <f>IF(DM109=0,"",DM109)</f>
        <v/>
      </c>
      <c r="BH109" s="96"/>
      <c r="BI109" s="97" t="str">
        <f>IFERROR(_xlfn.RANK.EQ(BG109,BG$6:BG$115,0),"")</f>
        <v/>
      </c>
      <c r="BJ109" s="40"/>
      <c r="BK109" s="40"/>
      <c r="BL109" s="96" t="str">
        <f>IF(DO109=0,"",DO109)</f>
        <v/>
      </c>
      <c r="BM109" s="96"/>
      <c r="BN109" s="97" t="str">
        <f>IFERROR(_xlfn.RANK.EQ(BL109,BL$6:BL$115,0),"")</f>
        <v/>
      </c>
      <c r="BO109" s="40"/>
      <c r="BP109" s="40"/>
      <c r="BQ109" s="96" t="str">
        <f>IF(DQ109=0,"",DQ109)</f>
        <v/>
      </c>
      <c r="BR109" s="96"/>
      <c r="BS109" s="97" t="str">
        <f>IFERROR(_xlfn.RANK.EQ(BQ109,BQ$6:BQ$115,0),"")</f>
        <v/>
      </c>
      <c r="BT109" s="40"/>
      <c r="BU109" s="40"/>
      <c r="BV109" s="96" t="str">
        <f>IF(DS109=0,"",DS109)</f>
        <v/>
      </c>
      <c r="BW109" s="96"/>
      <c r="BX109" s="97" t="str">
        <f>IFERROR(_xlfn.RANK.EQ(BV109,BV$6:BV$115,0),"")</f>
        <v/>
      </c>
      <c r="BY109" s="40"/>
      <c r="BZ109" s="40"/>
      <c r="CA109" s="96" t="str">
        <f>IF(DU109=0,"",DU109)</f>
        <v/>
      </c>
      <c r="CB109" s="96"/>
      <c r="CC109" s="97" t="str">
        <f>IFERROR(_xlfn.RANK.EQ(CA109,CA$6:CA$115,0),"")</f>
        <v/>
      </c>
      <c r="CD109" s="40"/>
      <c r="CE109" s="40"/>
      <c r="CF109" s="96" t="str">
        <f>IF(DW109=0,"",DW109)</f>
        <v/>
      </c>
      <c r="CG109" s="96"/>
      <c r="CH109" s="97" t="str">
        <f>IFERROR(_xlfn.RANK.EQ(CF109,CF$6:CF$115,0),"")</f>
        <v/>
      </c>
      <c r="CI109" s="40"/>
      <c r="CJ109" s="40"/>
      <c r="CK109" s="96" t="str">
        <f>IF(DY109=0,"",DY109)</f>
        <v/>
      </c>
      <c r="CL109" s="96"/>
      <c r="CM109" s="97" t="str">
        <f>IFERROR(_xlfn.RANK.EQ(CK109,CK$6:CK$115,0),"")</f>
        <v/>
      </c>
      <c r="CN109" s="40"/>
      <c r="CO109" s="40"/>
      <c r="CP109" s="96" t="str">
        <f>IF(EA109=0,"",EA109)</f>
        <v/>
      </c>
      <c r="CQ109" s="96"/>
      <c r="CR109" s="97" t="str">
        <f>IFERROR(_xlfn.RANK.EQ(CP109,CP$6:CP$115,0),"")</f>
        <v/>
      </c>
      <c r="CS109" s="41"/>
      <c r="CT109" s="42" t="str">
        <f ca="1">IFERROR(AVERAGE(OFFSET('Data - For Rank'!B$2,K109,0,COUNTIF(K$6:K$115,K109)))+IFERROR(VLOOKUP((COUNT($I$6:$I$115)/4),$ER$8:$ES$12,2,FALSE()),0),"")</f>
        <v/>
      </c>
      <c r="CU109" s="41"/>
      <c r="CV109" s="42" t="str">
        <f ca="1">IFERROR(AVERAGE(OFFSET('Data - For Rank'!$C$2,P109,0,COUNTIF(P$6:P$115,P109)))+IFERROR(VLOOKUP((COUNT(N$6:N$115)/4),$ER$8:$ES$12,2,FALSE()),0),"")</f>
        <v/>
      </c>
      <c r="CW109" s="41"/>
      <c r="CX109" s="42" t="str">
        <f ca="1">IFERROR(AVERAGE(OFFSET('Data - For Rank'!D$2,U109,0,COUNTIF(U$6:$U216,U109)))+IFERROR(VLOOKUP((COUNT(S$6:S$115)/4),$ER$8:$ES$12,2,FALSE()),0),"")</f>
        <v/>
      </c>
      <c r="CY109" s="41"/>
      <c r="CZ109" s="42" t="str">
        <f ca="1">IFERROR(AVERAGE(OFFSET('Data - For Rank'!E$2,Z109,0,COUNTIF(Z$6:Z$115,Z109)))+IFERROR(VLOOKUP((COUNT(W$6:W$115)/4),$ER$8:$ES$12,2,FALSE()),0),"")</f>
        <v/>
      </c>
      <c r="DA109" s="41"/>
      <c r="DB109" s="42" t="str">
        <f ca="1">IFERROR(AVERAGE(OFFSET('Data - For Rank'!F$2,AE109,0,COUNTIF(AE$6:AE$115,AE109)))+IFERROR(VLOOKUP((COUNT(AC$6:AC$115)/4),$ER$8:$ES$12,2,FALSE()),0),"")</f>
        <v/>
      </c>
      <c r="DC109" s="41"/>
      <c r="DD109" s="42" t="str">
        <f ca="1">IFERROR(AVERAGE(OFFSET('Data - For Rank'!G$2,AJ109,0,COUNTIF(AJ$6:AJ$115,AJ109)))+IFERROR(VLOOKUP((COUNT(AH$6:AH$115)/4),$ER$8:$ES$12,2,FALSE()),0),"")</f>
        <v/>
      </c>
      <c r="DE109" s="41"/>
      <c r="DF109" s="42" t="str">
        <f ca="1">IFERROR(AVERAGE(OFFSET('Data - For Rank'!$H$2,AO109,0,COUNTIF(AO$6:AO$115,AO109)))+IFERROR(VLOOKUP((COUNT(AM$6:AM$115)/4),$ER$8:$ES$12,2,FALSE()),0),"")</f>
        <v/>
      </c>
      <c r="DG109" s="41"/>
      <c r="DH109" s="42" t="str">
        <f ca="1">IFERROR(AVERAGE(OFFSET('Data - For Rank'!$I$2,AT109,0,COUNTIF(AT$6:AT$115,AT109)))+IFERROR(VLOOKUP((COUNT(AR$6:AR$115)/4),$ER$8:$ES$12,2,FALSE()),0),"")</f>
        <v/>
      </c>
      <c r="DI109" s="41"/>
      <c r="DJ109" s="42" t="str">
        <f ca="1">IFERROR(AVERAGE(OFFSET('Data - For Rank'!$J$2,AY109,0,COUNTIF(AY$6:AY$115,AY109)))+IFERROR(VLOOKUP((COUNT(AW$6:AW$115)/4),$ER$8:$ES$12,2,FALSE()),0),"")</f>
        <v/>
      </c>
      <c r="DK109" s="41"/>
      <c r="DL109" s="42" t="str">
        <f ca="1">IFERROR(AVERAGE(OFFSET('Data - For Rank'!$K$2,BD109,0,COUNTIF(BD$6:BD$115,BD109)))+IFERROR(VLOOKUP((COUNT(BB$6:BB$115)/4),$ER$8:$ES$12,2,FALSE()),0),"")</f>
        <v/>
      </c>
      <c r="DM109" s="41"/>
      <c r="DN109" s="42" t="str">
        <f ca="1">IFERROR(AVERAGE(OFFSET('Data - For Rank'!$L$2,BI109,0,COUNTIF(BI$6:BI$115,BI109)))+IFERROR(VLOOKUP((COUNT(BG$6:BG$115)/4),$ER$8:$ES$12,2,FALSE()),0),"")</f>
        <v/>
      </c>
      <c r="DO109" s="41"/>
      <c r="DP109" s="42" t="str">
        <f ca="1">IFERROR(AVERAGE(OFFSET('Data - For Rank'!$M$2,BN109,0,COUNTIF(BN$6:BN$115,BN109)))+IFERROR(VLOOKUP((COUNT(BL$6:BL$115)/4),$ER$8:$ES$12,2,FALSE()),0),"")</f>
        <v/>
      </c>
      <c r="DQ109" s="41"/>
      <c r="DR109" s="42" t="str">
        <f ca="1">IFERROR(AVERAGE(OFFSET('Data - For Rank'!$N$2,BS109,0,COUNTIF(BS$6:BS$115,BS109)))+IFERROR(VLOOKUP((COUNT(BQ$6:BQ$115)/4),$ER$8:$ES$12,2,FALSE()),0),"")</f>
        <v/>
      </c>
      <c r="DS109" s="41"/>
      <c r="DT109" s="42" t="str">
        <f ca="1">IFERROR(AVERAGE(OFFSET('Data - For Rank'!$O$2,BX109,0,COUNTIF(BX$6:BX$115,BX109)))+IFERROR(VLOOKUP((COUNT(BV$6:BV$115)/4),$ER$8:$ES$12,2,FALSE()),0),"")</f>
        <v/>
      </c>
      <c r="DU109" s="41"/>
      <c r="DV109" s="42" t="str">
        <f ca="1">IFERROR(AVERAGE(OFFSET('Data - For Rank'!$P$2,CC109,0,COUNTIF(CC$6:CC$115,CC109)))+IFERROR(VLOOKUP((COUNT(CA$6:CA$115)/4),$ER$8:$ES$12,2,FALSE()),0),"")</f>
        <v/>
      </c>
      <c r="DW109" s="41"/>
      <c r="DX109" s="42" t="str">
        <f ca="1">IFERROR(AVERAGE(OFFSET('Data - For Rank'!$Q$2,CH109,0,COUNTIF(CH$6:CH$115,CH109)))+IFERROR(VLOOKUP((COUNT(CF$6:CF$115)/4),$ER$8:$ES$12,2,FALSE()),0),"")</f>
        <v/>
      </c>
      <c r="DY109" s="41"/>
      <c r="DZ109" s="42" t="str">
        <f ca="1">IFERROR(AVERAGE(OFFSET('Data - For Rank'!$R$2,CM109,0,COUNTIF(CM$6:CM$115,CM109)))+IFERROR(VLOOKUP((COUNT(CK$6:CK$115)/4),$ER$8:$ES$12,2,FALSE()),0),"")</f>
        <v/>
      </c>
      <c r="EA109" s="41"/>
      <c r="EB109" s="42" t="str">
        <f ca="1">IFERROR(AVERAGE(OFFSET('Data - For Rank'!$S$2,CR109,0,COUNTIF(CR$6:CR$115,CR109)))+IFERROR(VLOOKUP((COUNT(CP$6:CP$115)/4),$ER$8:$ES$12,2,FALSE()),0),"")</f>
        <v/>
      </c>
      <c r="EC109" s="43">
        <f>IFERROR(AVERAGE(CS109,CU109,CW109,CY109,DA109,DC109,DE109,DG109,DI109,DK109,DM109,DO109,DQ109,DS109,DU109,DW109,DY109,EA109),0)</f>
        <v>0</v>
      </c>
      <c r="ED109" s="44">
        <f t="shared" ca="1" si="3"/>
        <v>0</v>
      </c>
    </row>
    <row r="110" spans="2:134" x14ac:dyDescent="0.2">
      <c r="B110" s="109">
        <f ca="1">_xlfn.RANK.EQ(C110,$C$72:$C$115,)</f>
        <v>2</v>
      </c>
      <c r="C110" s="110">
        <f ca="1">EC110</f>
        <v>0</v>
      </c>
      <c r="D110" s="110" t="s">
        <v>179</v>
      </c>
      <c r="E110" s="119" t="s">
        <v>179</v>
      </c>
      <c r="F110" s="112">
        <f ca="1">COUNT(CT110,CV110,CX110,CZ110,DB110,DD110,DF110,DH110,DJ110,DL110,DN110,DP110,DR110,DT110,DV110,DX110,DZ110,EB110)</f>
        <v>0</v>
      </c>
      <c r="G110" s="93" t="str">
        <f ca="1">IF(CT110=0,"",CT110)</f>
        <v/>
      </c>
      <c r="H110" s="93"/>
      <c r="I110" s="93"/>
      <c r="K110" s="93"/>
      <c r="L110" s="93" t="str">
        <f ca="1">IF(CV110=0,"",CV110)</f>
        <v/>
      </c>
      <c r="M110" s="93"/>
      <c r="N110" s="93"/>
      <c r="P110" s="93"/>
      <c r="Q110" s="93" t="str">
        <f ca="1">IF(CX110=0,"",CX110)</f>
        <v/>
      </c>
      <c r="R110" s="93"/>
      <c r="S110" s="93"/>
      <c r="U110" s="93"/>
      <c r="V110" s="93" t="str">
        <f ca="1">IF(CZ110=0,"",CZ110)</f>
        <v/>
      </c>
      <c r="W110" s="93"/>
      <c r="X110" s="93"/>
      <c r="Z110" s="93"/>
      <c r="AA110" s="93" t="str">
        <f ca="1">IF(DB110=0,"",DB110)</f>
        <v/>
      </c>
      <c r="AB110" s="93"/>
      <c r="AC110" s="93"/>
      <c r="AE110" s="93"/>
      <c r="AF110" s="93" t="str">
        <f ca="1">IF(DD110=0,"",DD110)</f>
        <v/>
      </c>
      <c r="AG110" s="93"/>
      <c r="AH110" s="93"/>
      <c r="AJ110" s="93"/>
      <c r="AK110" s="93" t="str">
        <f ca="1">IF(DF110=0,"",DF110)</f>
        <v/>
      </c>
      <c r="AL110" s="93"/>
      <c r="AM110" s="93"/>
      <c r="AO110" s="93"/>
      <c r="AP110" s="93" t="str">
        <f ca="1">IF(DH110=0,"",DH110)</f>
        <v/>
      </c>
      <c r="AQ110" s="93"/>
      <c r="AR110" s="93"/>
      <c r="AT110" s="93"/>
      <c r="AU110" s="93" t="str">
        <f ca="1">IF(DJ110=0,"",DJ110)</f>
        <v/>
      </c>
      <c r="AV110" s="93"/>
      <c r="AW110" s="93"/>
      <c r="AY110" s="93"/>
      <c r="AZ110" s="93" t="str">
        <f ca="1">IF(DL110=0,"",DL110)</f>
        <v/>
      </c>
      <c r="BA110" s="93"/>
      <c r="BB110" s="93"/>
      <c r="BD110" s="93"/>
      <c r="BE110" s="93" t="str">
        <f ca="1">IF(DN110=0,"",DN110)</f>
        <v/>
      </c>
      <c r="BF110" s="93"/>
      <c r="BG110" s="93"/>
      <c r="BI110" s="93"/>
      <c r="BJ110" s="93" t="str">
        <f ca="1">IF(DP110=0,"",DP110)</f>
        <v/>
      </c>
      <c r="BK110" s="93"/>
      <c r="BL110" s="93"/>
      <c r="BN110" s="93"/>
      <c r="BO110" s="93" t="str">
        <f ca="1">IF(DR110=0,"",DR110)</f>
        <v/>
      </c>
      <c r="BP110" s="93"/>
      <c r="BQ110" s="93"/>
      <c r="BS110" s="93"/>
      <c r="BT110" s="93" t="str">
        <f ca="1">IF(DT110=0,"",DT110)</f>
        <v/>
      </c>
      <c r="BU110" s="93"/>
      <c r="BV110" s="93"/>
      <c r="BX110" s="93"/>
      <c r="BY110" s="93" t="str">
        <f ca="1">IF(DV110=0,"",DV110)</f>
        <v/>
      </c>
      <c r="BZ110" s="93"/>
      <c r="CA110" s="93"/>
      <c r="CC110" s="93"/>
      <c r="CD110" s="93" t="str">
        <f ca="1">IF(DX110=0,"",DX110)</f>
        <v/>
      </c>
      <c r="CE110" s="93"/>
      <c r="CF110" s="93"/>
      <c r="CH110" s="93"/>
      <c r="CI110" s="93" t="str">
        <f ca="1">IF(DZ110=0,"",DZ110)</f>
        <v/>
      </c>
      <c r="CJ110" s="93"/>
      <c r="CK110" s="93"/>
      <c r="CM110" s="93"/>
      <c r="CN110" s="93" t="str">
        <f ca="1">IF(EB110=0,"",EB110)</f>
        <v/>
      </c>
      <c r="CO110" s="93"/>
      <c r="CP110" s="93"/>
      <c r="CR110" s="93"/>
      <c r="CS110" s="31"/>
      <c r="CT110" s="32" t="str">
        <f ca="1">IFERROR(CT111+CT112,"")</f>
        <v/>
      </c>
      <c r="CU110" s="31"/>
      <c r="CV110" s="32" t="str">
        <f ca="1">IFERROR(CV111+CV112,"")</f>
        <v/>
      </c>
      <c r="CW110" s="31"/>
      <c r="CX110" s="32" t="str">
        <f ca="1">IFERROR(CX111+CX112,"")</f>
        <v/>
      </c>
      <c r="CY110" s="31"/>
      <c r="CZ110" s="32" t="str">
        <f ca="1">IFERROR(CZ111+CZ112,"")</f>
        <v/>
      </c>
      <c r="DA110" s="31"/>
      <c r="DB110" s="32" t="str">
        <f ca="1">IFERROR(DB111+DB112,"")</f>
        <v/>
      </c>
      <c r="DC110" s="31"/>
      <c r="DD110" s="32" t="str">
        <f ca="1">IFERROR(DD111+DD112,"")</f>
        <v/>
      </c>
      <c r="DE110" s="31"/>
      <c r="DF110" s="32" t="str">
        <f ca="1">IFERROR(DF111+DF112,"")</f>
        <v/>
      </c>
      <c r="DG110" s="31"/>
      <c r="DH110" s="32" t="str">
        <f ca="1">IFERROR(DH111+DH112,"")</f>
        <v/>
      </c>
      <c r="DI110" s="31"/>
      <c r="DJ110" s="32" t="str">
        <f ca="1">IFERROR(DJ111+DJ112,"")</f>
        <v/>
      </c>
      <c r="DK110" s="31"/>
      <c r="DL110" s="32" t="str">
        <f ca="1">IFERROR(DL111+DL112,"")</f>
        <v/>
      </c>
      <c r="DM110" s="31"/>
      <c r="DN110" s="32" t="str">
        <f ca="1">IFERROR(DN111+DN112,"")</f>
        <v/>
      </c>
      <c r="DO110" s="31"/>
      <c r="DP110" s="32" t="str">
        <f ca="1">IFERROR(DP111+DP112,"")</f>
        <v/>
      </c>
      <c r="DQ110" s="31"/>
      <c r="DR110" s="32" t="str">
        <f ca="1">IFERROR(DR111+DR112,"")</f>
        <v/>
      </c>
      <c r="DS110" s="31"/>
      <c r="DT110" s="32" t="str">
        <f ca="1">IFERROR(DT111+DT112,"")</f>
        <v/>
      </c>
      <c r="DU110" s="31"/>
      <c r="DV110" s="32" t="str">
        <f ca="1">IFERROR(DV111+DV112,"")</f>
        <v/>
      </c>
      <c r="DW110" s="31"/>
      <c r="DX110" s="32" t="str">
        <f ca="1">IFERROR(DX111+DX112,"")</f>
        <v/>
      </c>
      <c r="DY110" s="31"/>
      <c r="DZ110" s="32" t="str">
        <f ca="1">IFERROR(DZ111+DZ112,"")</f>
        <v/>
      </c>
      <c r="EA110" s="31"/>
      <c r="EB110" s="32" t="str">
        <f ca="1">IFERROR(EB111+EB112,"")</f>
        <v/>
      </c>
      <c r="EC110" s="26">
        <f ca="1">IFERROR(LARGE($G110:$CN110,1),0)+IFERROR(LARGE($G110:$CN110,2),0)+IFERROR(LARGE($G110:$CN110,3),0)+IFERROR(LARGE($G110:$CN110,4),0)+IFERROR(LARGE($G110:$CN110,5),0)+IFERROR(LARGE($G110:$CN110,6),0)+IFERROR(LARGE($G110:$CN110,7),0)+IFERROR(LARGE($G110:$CN110,8),0)+IFERROR(LARGE($G110:$CN110,9),0)+IFERROR(LARGE($G110:$CN110,10),0)</f>
        <v>0</v>
      </c>
      <c r="ED110" s="33">
        <f t="shared" ca="1" si="3"/>
        <v>0</v>
      </c>
    </row>
    <row r="111" spans="2:134" outlineLevel="1" x14ac:dyDescent="0.2">
      <c r="B111" s="113">
        <f>B109+0.023</f>
        <v>2.2264999999999997</v>
      </c>
      <c r="C111" s="109"/>
      <c r="D111" s="109" t="s">
        <v>180</v>
      </c>
      <c r="E111" s="114" t="s">
        <v>38</v>
      </c>
      <c r="F111" s="115"/>
      <c r="G111" s="35"/>
      <c r="H111" s="35" t="str">
        <f>IF(CS111=0,"",CS111)</f>
        <v/>
      </c>
      <c r="I111" s="35"/>
      <c r="J111" s="93" t="str">
        <f>IFERROR(RANK(H111,H$6:H$115,0),"")</f>
        <v/>
      </c>
      <c r="K111" s="35"/>
      <c r="L111" s="35"/>
      <c r="M111" s="35" t="str">
        <f>IF(CU111=0,"",CU111)</f>
        <v/>
      </c>
      <c r="N111" s="35"/>
      <c r="O111" s="93" t="str">
        <f>IFERROR(RANK(M111,M$6:M$115,0),"")</f>
        <v/>
      </c>
      <c r="P111" s="35"/>
      <c r="Q111" s="35"/>
      <c r="R111" s="35" t="str">
        <f>IF(CW111=0,"",CW111)</f>
        <v/>
      </c>
      <c r="S111" s="35"/>
      <c r="T111" s="93" t="str">
        <f>IFERROR(RANK(R111,R$6:R$115,0),"")</f>
        <v/>
      </c>
      <c r="U111" s="35"/>
      <c r="V111" s="35"/>
      <c r="W111" s="35" t="str">
        <f>IF(CY111=0,"",CY111)</f>
        <v/>
      </c>
      <c r="X111" s="35"/>
      <c r="Y111" s="93" t="str">
        <f>IFERROR(RANK(W111,W$6:W$115,0),"")</f>
        <v/>
      </c>
      <c r="Z111" s="35"/>
      <c r="AA111" s="35"/>
      <c r="AB111" s="35" t="str">
        <f>IF(DA111=0,"",DA111)</f>
        <v/>
      </c>
      <c r="AC111" s="35"/>
      <c r="AD111" s="93" t="str">
        <f>IFERROR(RANK(AB111,AB$6:AB$115,0),"")</f>
        <v/>
      </c>
      <c r="AE111" s="35"/>
      <c r="AF111" s="35"/>
      <c r="AG111" s="35" t="str">
        <f>IF(DC111=0,"",DC111)</f>
        <v/>
      </c>
      <c r="AH111" s="35"/>
      <c r="AI111" s="93" t="str">
        <f>IFERROR(RANK(AG111,AG$6:AG$115,0),"")</f>
        <v/>
      </c>
      <c r="AJ111" s="35"/>
      <c r="AK111" s="35"/>
      <c r="AL111" s="35" t="str">
        <f>IF(DE111=0,"",DE111)</f>
        <v/>
      </c>
      <c r="AM111" s="35"/>
      <c r="AN111" s="93" t="str">
        <f>IFERROR(RANK(AL111,AL$6:AL$115,0),"")</f>
        <v/>
      </c>
      <c r="AO111" s="35"/>
      <c r="AP111" s="35"/>
      <c r="AQ111" s="35" t="str">
        <f>IF(DG111=0,"",DG111)</f>
        <v/>
      </c>
      <c r="AR111" s="35"/>
      <c r="AS111" s="93" t="str">
        <f>IFERROR(RANK(AQ111,AQ$6:AQ$115,0),"")</f>
        <v/>
      </c>
      <c r="AT111" s="35"/>
      <c r="AU111" s="35"/>
      <c r="AV111" s="35" t="str">
        <f>IF(DI111=0,"",DI111)</f>
        <v/>
      </c>
      <c r="AW111" s="35"/>
      <c r="AX111" s="93" t="str">
        <f>IFERROR(RANK(AV111,AV$6:AV$115,0),"")</f>
        <v/>
      </c>
      <c r="AY111" s="35"/>
      <c r="AZ111" s="35"/>
      <c r="BA111" s="35" t="str">
        <f>IF(DK111=0,"",DK111)</f>
        <v/>
      </c>
      <c r="BB111" s="35"/>
      <c r="BC111" s="93" t="str">
        <f>IFERROR(RANK(BA111,BA$6:BA$115,0),"")</f>
        <v/>
      </c>
      <c r="BD111" s="35"/>
      <c r="BE111" s="35"/>
      <c r="BF111" s="35" t="str">
        <f>IF(DM111=0,"",DM111)</f>
        <v/>
      </c>
      <c r="BG111" s="35"/>
      <c r="BH111" s="93" t="str">
        <f>IFERROR(RANK(BF111,BF$6:BF$115,0),"")</f>
        <v/>
      </c>
      <c r="BI111" s="35"/>
      <c r="BJ111" s="35"/>
      <c r="BK111" s="35" t="str">
        <f>IF(DO111=0,"",DO111)</f>
        <v/>
      </c>
      <c r="BL111" s="35"/>
      <c r="BM111" s="93" t="str">
        <f>IFERROR(RANK(BK111,BK$6:BK$115,0),"")</f>
        <v/>
      </c>
      <c r="BN111" s="35"/>
      <c r="BO111" s="35"/>
      <c r="BP111" s="35" t="str">
        <f>IF(DQ111=0,"",DQ111)</f>
        <v/>
      </c>
      <c r="BQ111" s="35"/>
      <c r="BR111" s="93" t="str">
        <f>IFERROR(RANK(BP111,BP$6:BP$115,0),"")</f>
        <v/>
      </c>
      <c r="BS111" s="35"/>
      <c r="BT111" s="35"/>
      <c r="BU111" s="35" t="str">
        <f>IF(DS111=0,"",DS111)</f>
        <v/>
      </c>
      <c r="BV111" s="35"/>
      <c r="BW111" s="93" t="str">
        <f>IFERROR(RANK(BU111,BU$6:BU$115,0),"")</f>
        <v/>
      </c>
      <c r="BX111" s="35"/>
      <c r="BY111" s="35"/>
      <c r="BZ111" s="35" t="str">
        <f>IF(DU111=0,"",DU111)</f>
        <v/>
      </c>
      <c r="CA111" s="35"/>
      <c r="CB111" s="93" t="str">
        <f>IFERROR(RANK(BZ111,BZ$6:BZ$115,0),"")</f>
        <v/>
      </c>
      <c r="CC111" s="35"/>
      <c r="CD111" s="35"/>
      <c r="CE111" s="35" t="str">
        <f>IF(DW111=0,"",DW111)</f>
        <v/>
      </c>
      <c r="CF111" s="35"/>
      <c r="CG111" s="93" t="str">
        <f>IFERROR(RANK(CE111,CE$6:CE$115,0),"")</f>
        <v/>
      </c>
      <c r="CH111" s="35"/>
      <c r="CI111" s="35"/>
      <c r="CJ111" s="35" t="str">
        <f>IF(DY111=0,"",DY111)</f>
        <v/>
      </c>
      <c r="CK111" s="35"/>
      <c r="CL111" s="93" t="str">
        <f>IFERROR(RANK(CJ111,CJ$6:CJ$115,0),"")</f>
        <v/>
      </c>
      <c r="CM111" s="35"/>
      <c r="CN111" s="35"/>
      <c r="CO111" s="35" t="str">
        <f>IF(EA111=0,"",EA111)</f>
        <v/>
      </c>
      <c r="CP111" s="35"/>
      <c r="CQ111" s="93" t="str">
        <f>IFERROR(RANK(CO111,CO$6:CO$115,0),"")</f>
        <v/>
      </c>
      <c r="CR111" s="35"/>
      <c r="CS111" s="31"/>
      <c r="CT111" s="36" t="str">
        <f ca="1">IFERROR(AVERAGE(OFFSET('Data - For Rank'!B$2,J111,0,COUNTIF($J$7:J$115,J111)))+IFERROR(VLOOKUP((COUNT($H$6:$H$115)/4),$ER$8:$ES$12,2,FALSE()),0),"")</f>
        <v/>
      </c>
      <c r="CU111" s="31"/>
      <c r="CV111" s="36" t="str">
        <f ca="1">IFERROR(AVERAGE(OFFSET('Data - For Rank'!$C$2,O111,0,COUNTIF(O$7:O$115,O111)))+IFERROR(VLOOKUP((COUNT(M$6:M$115)/4),$ER$8:$ES$12,2,FALSE()),0),"")</f>
        <v/>
      </c>
      <c r="CW111" s="31"/>
      <c r="CX111" s="36" t="str">
        <f ca="1">IFERROR(AVERAGE(OFFSET('Data - For Rank'!D$2,T111,0,COUNTIF(T$7:T$115,T111)))+IFERROR(VLOOKUP((COUNT(R$6:R$115)/4),$ER$8:$ES$12,2,FALSE()),0),"")</f>
        <v/>
      </c>
      <c r="CY111" s="31"/>
      <c r="CZ111" s="36" t="str">
        <f ca="1">IFERROR(AVERAGE(OFFSET('Data - For Rank'!E$2,Y111,0,COUNTIF(Y$7:Y$115,Y111)))+IFERROR(VLOOKUP((COUNT(W$6:W$115)/4),$ER$8:$ES$12,2,FALSE()),0),"")</f>
        <v/>
      </c>
      <c r="DA111" s="31"/>
      <c r="DB111" s="36" t="str">
        <f ca="1">IFERROR(AVERAGE(OFFSET('Data - For Rank'!F$2,AD111,0,COUNTIF(AD$7:AD$115,AD111)))+IFERROR(VLOOKUP((COUNT(AB$6:AB$115)/4),$ER$8:$ES$12,2,FALSE()),0),"")</f>
        <v/>
      </c>
      <c r="DC111" s="31"/>
      <c r="DD111" s="36" t="str">
        <f ca="1">IFERROR(AVERAGE(OFFSET('Data - For Rank'!G$2,AI111,0,COUNTIF(AI$7:AI$115,AI111)))+IFERROR(VLOOKUP((COUNT(AG$6:AG$115)/4),$ER$8:$ES$12,2,FALSE()),0),"")</f>
        <v/>
      </c>
      <c r="DE111" s="31"/>
      <c r="DF111" s="36" t="str">
        <f ca="1">IFERROR(AVERAGE(OFFSET('Data - For Rank'!$H$2,AN111,0,COUNTIF(AN$7:AN$115,AN111)))+IFERROR(VLOOKUP((COUNT(AL$6:AL$115)/4),$ER$8:$ES$12,2,FALSE()),0),"")</f>
        <v/>
      </c>
      <c r="DG111" s="31"/>
      <c r="DH111" s="36" t="str">
        <f ca="1">IFERROR(AVERAGE(OFFSET('Data - For Rank'!$I$2,AS111,0,COUNTIF(AS$7:AS$115,AS111)))+IFERROR(VLOOKUP((COUNT(AQ$6:AQ$115)/4),$ER$8:$ES$12,2,FALSE()),0),"")</f>
        <v/>
      </c>
      <c r="DI111" s="31"/>
      <c r="DJ111" s="36" t="str">
        <f ca="1">IFERROR(AVERAGE(OFFSET('Data - For Rank'!$J$2,AX111,0,COUNTIF(AX$7:AX$115,AX111)))+IFERROR(VLOOKUP((COUNT(AV$6:AV$115)/4),$ER$8:$ES$12,2,FALSE()),0),"")</f>
        <v/>
      </c>
      <c r="DK111" s="31"/>
      <c r="DL111" s="36" t="str">
        <f ca="1">IFERROR(AVERAGE(OFFSET('Data - For Rank'!$K$2,BC111,0,COUNTIF(BC$7:BC$115,BC111)))+IFERROR(VLOOKUP((COUNT(BA$6:BA$115)/4),$ER$8:$ES$12,2,FALSE()),0),"")</f>
        <v/>
      </c>
      <c r="DM111" s="31"/>
      <c r="DN111" s="36" t="str">
        <f ca="1">IFERROR(AVERAGE(OFFSET('Data - For Rank'!$L$2,BH111,0,COUNTIF(BH$7:BH$115,BH111)))+IFERROR(VLOOKUP((COUNT(BF$6:BF$115)/4),$ER$8:$ES$12,2,FALSE()),0),"")</f>
        <v/>
      </c>
      <c r="DO111" s="31"/>
      <c r="DP111" s="36" t="str">
        <f ca="1">IFERROR(AVERAGE(OFFSET('Data - For Rank'!$M$2,BM111,0,COUNTIF(BM$7:BM$115,BM111)))+IFERROR(VLOOKUP((COUNT(BK$6:BK$115)/4),$ER$8:$ES$12,2,FALSE()),0),"")</f>
        <v/>
      </c>
      <c r="DQ111" s="31"/>
      <c r="DR111" s="36" t="str">
        <f ca="1">IFERROR(AVERAGE(OFFSET('Data - For Rank'!$N$2,BR111,0,COUNTIF(BR$7:BR$115,BR111)))+IFERROR(VLOOKUP((COUNT(BP$6:BP$115)/4),$ER$8:$ES$12,2,FALSE()),0),"")</f>
        <v/>
      </c>
      <c r="DS111" s="31"/>
      <c r="DT111" s="36" t="str">
        <f ca="1">IFERROR(AVERAGE(OFFSET('Data - For Rank'!$O$2,BW111,0,COUNTIF(BW$7:BW$115,BW111)))+IFERROR(VLOOKUP((COUNT(BU$6:BU$115)/4),$ER$8:$ES$12,2,FALSE()),0),"")</f>
        <v/>
      </c>
      <c r="DU111" s="31"/>
      <c r="DV111" s="36" t="str">
        <f ca="1">IFERROR(AVERAGE(OFFSET('Data - For Rank'!$P$2,CB111,0,COUNTIF(CB$7:CB$115,CB111)))+IFERROR(VLOOKUP((COUNT(BZ$6:BZ$115)/4),$ER$8:$ES$12,2,FALSE()),0),"")</f>
        <v/>
      </c>
      <c r="DW111" s="31"/>
      <c r="DX111" s="36" t="str">
        <f ca="1">IFERROR(AVERAGE(OFFSET('Data - For Rank'!$Q$2,CG111,0,COUNTIF(CG$7:CG$115,CG111)))+IFERROR(VLOOKUP((COUNT(CE$6:CE$115)/4),$ER$8:$ES$12,2,FALSE()),0),"")</f>
        <v/>
      </c>
      <c r="DY111" s="31"/>
      <c r="DZ111" s="36" t="str">
        <f ca="1">IFERROR(AVERAGE(OFFSET('Data - For Rank'!$R$2,CL111,0,COUNTIF(CL$7:CL$115,CL111)))+IFERROR(VLOOKUP((COUNT(CJ$6:CJ$115)/4),$ER$8:$ES$12,2,FALSE()),0),"")</f>
        <v/>
      </c>
      <c r="EA111" s="31"/>
      <c r="EB111" s="36" t="str">
        <f ca="1">IFERROR(AVERAGE(OFFSET('Data - For Rank'!$S$2,CQ111,0,COUNTIF(CQ$7:CQ$115,CQ111)))+IFERROR(VLOOKUP((COUNT(CO$6:CO$115)/4),$ER$8:$ES$12,2,FALSE()),0),"")</f>
        <v/>
      </c>
      <c r="EC111" s="37">
        <f>CS111+CU111+CW111+CY111+DA111+DC111+DE111+DG111+DI111+DK111+DM111+DO111+DQ111+DS111+DU111+DW111+DY111+EA111</f>
        <v>0</v>
      </c>
      <c r="ED111" s="33">
        <f t="shared" ca="1" si="3"/>
        <v>0</v>
      </c>
    </row>
    <row r="112" spans="2:134" outlineLevel="1" x14ac:dyDescent="0.2">
      <c r="B112" s="116">
        <f>B111+0.13</f>
        <v>2.3564999999999996</v>
      </c>
      <c r="C112" s="109"/>
      <c r="D112" s="109" t="s">
        <v>181</v>
      </c>
      <c r="E112" s="117" t="s">
        <v>39</v>
      </c>
      <c r="F112" s="118"/>
      <c r="G112" s="40"/>
      <c r="H112" s="40"/>
      <c r="I112" s="96" t="str">
        <f>IF(CS112=0,"",CS112)</f>
        <v/>
      </c>
      <c r="J112" s="96"/>
      <c r="K112" s="97" t="str">
        <f>IFERROR(_xlfn.RANK.EQ(I112,I$6:I$115,0),"")</f>
        <v/>
      </c>
      <c r="L112" s="40"/>
      <c r="M112" s="40"/>
      <c r="N112" s="96" t="str">
        <f>IF(CU112=0,"",CU112)</f>
        <v/>
      </c>
      <c r="O112" s="96"/>
      <c r="P112" s="97" t="str">
        <f>IFERROR(_xlfn.RANK.EQ(N112,N$6:N$115,0),"")</f>
        <v/>
      </c>
      <c r="Q112" s="40"/>
      <c r="R112" s="40"/>
      <c r="S112" s="96" t="str">
        <f>IF(CW112=0,"",CW112)</f>
        <v/>
      </c>
      <c r="T112" s="96"/>
      <c r="U112" s="97" t="str">
        <f>IFERROR(_xlfn.RANK.EQ(S112,S$6:S$115,0),"")</f>
        <v/>
      </c>
      <c r="V112" s="40"/>
      <c r="W112" s="40"/>
      <c r="X112" s="96" t="str">
        <f>IF(CY112=0,"",CY112)</f>
        <v/>
      </c>
      <c r="Y112" s="96"/>
      <c r="Z112" s="97" t="str">
        <f>IFERROR(_xlfn.RANK.EQ(X112,X$6:X$115,0),"")</f>
        <v/>
      </c>
      <c r="AA112" s="40"/>
      <c r="AB112" s="40"/>
      <c r="AC112" s="96" t="str">
        <f>IF(DA112=0,"",DA112)</f>
        <v/>
      </c>
      <c r="AD112" s="96"/>
      <c r="AE112" s="97" t="str">
        <f>IFERROR(_xlfn.RANK.EQ(AC112,AC$6:AC$115,0),"")</f>
        <v/>
      </c>
      <c r="AF112" s="40"/>
      <c r="AG112" s="40"/>
      <c r="AH112" s="96" t="str">
        <f>IF(DC112=0,"",DC112)</f>
        <v/>
      </c>
      <c r="AI112" s="96"/>
      <c r="AJ112" s="97" t="str">
        <f>IFERROR(_xlfn.RANK.EQ(AH112,AH$6:AH$115,0),"")</f>
        <v/>
      </c>
      <c r="AK112" s="40"/>
      <c r="AL112" s="40"/>
      <c r="AM112" s="96" t="str">
        <f>IF(DE112=0,"",DE112)</f>
        <v/>
      </c>
      <c r="AN112" s="96"/>
      <c r="AO112" s="97" t="str">
        <f>IFERROR(_xlfn.RANK.EQ(AM112,AM$6:AM$115,0),"")</f>
        <v/>
      </c>
      <c r="AP112" s="40"/>
      <c r="AQ112" s="40"/>
      <c r="AR112" s="96" t="str">
        <f>IF(DG112=0,"",DG112)</f>
        <v/>
      </c>
      <c r="AS112" s="96"/>
      <c r="AT112" s="97" t="str">
        <f>IFERROR(_xlfn.RANK.EQ(AR112,AR$6:AR$115,0),"")</f>
        <v/>
      </c>
      <c r="AU112" s="40"/>
      <c r="AV112" s="40"/>
      <c r="AW112" s="96" t="str">
        <f>IF(DI112=0,"",DI112)</f>
        <v/>
      </c>
      <c r="AX112" s="96"/>
      <c r="AY112" s="97" t="str">
        <f>IFERROR(_xlfn.RANK.EQ(AW112,AW$6:AW$115,0),"")</f>
        <v/>
      </c>
      <c r="AZ112" s="40"/>
      <c r="BA112" s="40"/>
      <c r="BB112" s="96" t="str">
        <f>IF(DK112=0,"",DK112)</f>
        <v/>
      </c>
      <c r="BC112" s="96"/>
      <c r="BD112" s="97" t="str">
        <f>IFERROR(_xlfn.RANK.EQ(BB112,BB$6:BB$115,0),"")</f>
        <v/>
      </c>
      <c r="BE112" s="40"/>
      <c r="BF112" s="40"/>
      <c r="BG112" s="96" t="str">
        <f>IF(DM112=0,"",DM112)</f>
        <v/>
      </c>
      <c r="BH112" s="96"/>
      <c r="BI112" s="97" t="str">
        <f>IFERROR(_xlfn.RANK.EQ(BG112,BG$6:BG$115,0),"")</f>
        <v/>
      </c>
      <c r="BJ112" s="40"/>
      <c r="BK112" s="40"/>
      <c r="BL112" s="96" t="str">
        <f>IF(DO112=0,"",DO112)</f>
        <v/>
      </c>
      <c r="BM112" s="96"/>
      <c r="BN112" s="97" t="str">
        <f>IFERROR(_xlfn.RANK.EQ(BL112,BL$6:BL$115,0),"")</f>
        <v/>
      </c>
      <c r="BO112" s="40"/>
      <c r="BP112" s="40"/>
      <c r="BQ112" s="96" t="str">
        <f>IF(DQ112=0,"",DQ112)</f>
        <v/>
      </c>
      <c r="BR112" s="96"/>
      <c r="BS112" s="97" t="str">
        <f>IFERROR(_xlfn.RANK.EQ(BQ112,BQ$6:BQ$115,0),"")</f>
        <v/>
      </c>
      <c r="BT112" s="40"/>
      <c r="BU112" s="40"/>
      <c r="BV112" s="96" t="str">
        <f>IF(DS112=0,"",DS112)</f>
        <v/>
      </c>
      <c r="BW112" s="96"/>
      <c r="BX112" s="97" t="str">
        <f>IFERROR(_xlfn.RANK.EQ(BV112,BV$6:BV$115,0),"")</f>
        <v/>
      </c>
      <c r="BY112" s="40"/>
      <c r="BZ112" s="40"/>
      <c r="CA112" s="96" t="str">
        <f>IF(DU112=0,"",DU112)</f>
        <v/>
      </c>
      <c r="CB112" s="96"/>
      <c r="CC112" s="97" t="str">
        <f>IFERROR(_xlfn.RANK.EQ(CA112,CA$6:CA$115,0),"")</f>
        <v/>
      </c>
      <c r="CD112" s="40"/>
      <c r="CE112" s="40"/>
      <c r="CF112" s="96" t="str">
        <f>IF(DW112=0,"",DW112)</f>
        <v/>
      </c>
      <c r="CG112" s="96"/>
      <c r="CH112" s="97" t="str">
        <f>IFERROR(_xlfn.RANK.EQ(CF112,CF$6:CF$115,0),"")</f>
        <v/>
      </c>
      <c r="CI112" s="40"/>
      <c r="CJ112" s="40"/>
      <c r="CK112" s="96" t="str">
        <f>IF(DY112=0,"",DY112)</f>
        <v/>
      </c>
      <c r="CL112" s="96"/>
      <c r="CM112" s="97" t="str">
        <f>IFERROR(_xlfn.RANK.EQ(CK112,CK$6:CK$115,0),"")</f>
        <v/>
      </c>
      <c r="CN112" s="40"/>
      <c r="CO112" s="40"/>
      <c r="CP112" s="96" t="str">
        <f>IF(EA112=0,"",EA112)</f>
        <v/>
      </c>
      <c r="CQ112" s="96"/>
      <c r="CR112" s="97" t="str">
        <f>IFERROR(_xlfn.RANK.EQ(CP112,CP$6:CP$115,0),"")</f>
        <v/>
      </c>
      <c r="CS112" s="41"/>
      <c r="CT112" s="42" t="str">
        <f ca="1">IFERROR(AVERAGE(OFFSET('Data - For Rank'!B$2,K112,0,COUNTIF(K$6:K$115,K112)))+IFERROR(VLOOKUP((COUNT($I$6:$I$115)/4),$ER$8:$ES$12,2,FALSE()),0),"")</f>
        <v/>
      </c>
      <c r="CU112" s="41"/>
      <c r="CV112" s="42" t="str">
        <f ca="1">IFERROR(AVERAGE(OFFSET('Data - For Rank'!$C$2,P112,0,COUNTIF(P$6:P$115,P112)))+IFERROR(VLOOKUP((COUNT(N$6:N$115)/4),$ER$8:$ES$12,2,FALSE()),0),"")</f>
        <v/>
      </c>
      <c r="CW112" s="41"/>
      <c r="CX112" s="42" t="str">
        <f ca="1">IFERROR(AVERAGE(OFFSET('Data - For Rank'!D$2,U112,0,COUNTIF(U$6:$U219,U112)))+IFERROR(VLOOKUP((COUNT(S$6:S$115)/4),$ER$8:$ES$12,2,FALSE()),0),"")</f>
        <v/>
      </c>
      <c r="CY112" s="41"/>
      <c r="CZ112" s="42" t="str">
        <f ca="1">IFERROR(AVERAGE(OFFSET('Data - For Rank'!E$2,Z112,0,COUNTIF(Z$6:Z$115,Z112)))+IFERROR(VLOOKUP((COUNT(W$6:W$115)/4),$ER$8:$ES$12,2,FALSE()),0),"")</f>
        <v/>
      </c>
      <c r="DA112" s="41"/>
      <c r="DB112" s="42" t="str">
        <f ca="1">IFERROR(AVERAGE(OFFSET('Data - For Rank'!F$2,AE112,0,COUNTIF(AE$6:AE$115,AE112)))+IFERROR(VLOOKUP((COUNT(AC$6:AC$115)/4),$ER$8:$ES$12,2,FALSE()),0),"")</f>
        <v/>
      </c>
      <c r="DC112" s="41"/>
      <c r="DD112" s="42" t="str">
        <f ca="1">IFERROR(AVERAGE(OFFSET('Data - For Rank'!G$2,AJ112,0,COUNTIF(AJ$6:AJ$115,AJ112)))+IFERROR(VLOOKUP((COUNT(AH$6:AH$115)/4),$ER$8:$ES$12,2,FALSE()),0),"")</f>
        <v/>
      </c>
      <c r="DE112" s="41"/>
      <c r="DF112" s="42" t="str">
        <f ca="1">IFERROR(AVERAGE(OFFSET('Data - For Rank'!$H$2,AO112,0,COUNTIF(AO$6:AO$115,AO112)))+IFERROR(VLOOKUP((COUNT(AM$6:AM$115)/4),$ER$8:$ES$12,2,FALSE()),0),"")</f>
        <v/>
      </c>
      <c r="DG112" s="41"/>
      <c r="DH112" s="42" t="str">
        <f ca="1">IFERROR(AVERAGE(OFFSET('Data - For Rank'!$I$2,AT112,0,COUNTIF(AT$6:AT$115,AT112)))+IFERROR(VLOOKUP((COUNT(AR$6:AR$115)/4),$ER$8:$ES$12,2,FALSE()),0),"")</f>
        <v/>
      </c>
      <c r="DI112" s="41"/>
      <c r="DJ112" s="42" t="str">
        <f ca="1">IFERROR(AVERAGE(OFFSET('Data - For Rank'!$J$2,AY112,0,COUNTIF(AY$6:AY$115,AY112)))+IFERROR(VLOOKUP((COUNT(AW$6:AW$115)/4),$ER$8:$ES$12,2,FALSE()),0),"")</f>
        <v/>
      </c>
      <c r="DK112" s="41"/>
      <c r="DL112" s="42" t="str">
        <f ca="1">IFERROR(AVERAGE(OFFSET('Data - For Rank'!$K$2,BD112,0,COUNTIF(BD$6:BD$115,BD112)))+IFERROR(VLOOKUP((COUNT(BB$6:BB$115)/4),$ER$8:$ES$12,2,FALSE()),0),"")</f>
        <v/>
      </c>
      <c r="DM112" s="41"/>
      <c r="DN112" s="42" t="str">
        <f ca="1">IFERROR(AVERAGE(OFFSET('Data - For Rank'!$L$2,BI112,0,COUNTIF(BI$6:BI$115,BI112)))+IFERROR(VLOOKUP((COUNT(BG$6:BG$115)/4),$ER$8:$ES$12,2,FALSE()),0),"")</f>
        <v/>
      </c>
      <c r="DO112" s="41"/>
      <c r="DP112" s="42" t="str">
        <f ca="1">IFERROR(AVERAGE(OFFSET('Data - For Rank'!$M$2,BN112,0,COUNTIF(BN$6:BN$115,BN112)))+IFERROR(VLOOKUP((COUNT(BL$6:BL$115)/4),$ER$8:$ES$12,2,FALSE()),0),"")</f>
        <v/>
      </c>
      <c r="DQ112" s="41"/>
      <c r="DR112" s="42" t="str">
        <f ca="1">IFERROR(AVERAGE(OFFSET('Data - For Rank'!$N$2,BS112,0,COUNTIF(BS$6:BS$115,BS112)))+IFERROR(VLOOKUP((COUNT(BQ$6:BQ$115)/4),$ER$8:$ES$12,2,FALSE()),0),"")</f>
        <v/>
      </c>
      <c r="DS112" s="41"/>
      <c r="DT112" s="42" t="str">
        <f ca="1">IFERROR(AVERAGE(OFFSET('Data - For Rank'!$O$2,BX112,0,COUNTIF(BX$6:BX$115,BX112)))+IFERROR(VLOOKUP((COUNT(BV$6:BV$115)/4),$ER$8:$ES$12,2,FALSE()),0),"")</f>
        <v/>
      </c>
      <c r="DU112" s="41"/>
      <c r="DV112" s="42" t="str">
        <f ca="1">IFERROR(AVERAGE(OFFSET('Data - For Rank'!$P$2,CC112,0,COUNTIF(CC$6:CC$115,CC112)))+IFERROR(VLOOKUP((COUNT(CA$6:CA$115)/4),$ER$8:$ES$12,2,FALSE()),0),"")</f>
        <v/>
      </c>
      <c r="DW112" s="41"/>
      <c r="DX112" s="42" t="str">
        <f ca="1">IFERROR(AVERAGE(OFFSET('Data - For Rank'!$Q$2,CH112,0,COUNTIF(CH$6:CH$115,CH112)))+IFERROR(VLOOKUP((COUNT(CF$6:CF$115)/4),$ER$8:$ES$12,2,FALSE()),0),"")</f>
        <v/>
      </c>
      <c r="DY112" s="41"/>
      <c r="DZ112" s="42" t="str">
        <f ca="1">IFERROR(AVERAGE(OFFSET('Data - For Rank'!$R$2,CM112,0,COUNTIF(CM$6:CM$115,CM112)))+IFERROR(VLOOKUP((COUNT(CK$6:CK$115)/4),$ER$8:$ES$12,2,FALSE()),0),"")</f>
        <v/>
      </c>
      <c r="EA112" s="41"/>
      <c r="EB112" s="42" t="str">
        <f ca="1">IFERROR(AVERAGE(OFFSET('Data - For Rank'!$S$2,CR112,0,COUNTIF(CR$6:CR$115,CR112)))+IFERROR(VLOOKUP((COUNT(CP$6:CP$115)/4),$ER$8:$ES$12,2,FALSE()),0),"")</f>
        <v/>
      </c>
      <c r="EC112" s="43">
        <f>IFERROR(AVERAGE(CS112,CU112,CW112,CY112,DA112,DC112,DE112,DG112,DI112,DK112,DM112,DO112,DQ112,DS112,DU112,DW112,DY112,EA112),0)</f>
        <v>0</v>
      </c>
      <c r="ED112" s="44">
        <f t="shared" ca="1" si="3"/>
        <v>0</v>
      </c>
    </row>
    <row r="113" spans="2:134" x14ac:dyDescent="0.2">
      <c r="B113" s="109">
        <f ca="1">_xlfn.RANK.EQ(C113,$C$72:$C$115,)</f>
        <v>2</v>
      </c>
      <c r="C113" s="110">
        <f ca="1">EC113</f>
        <v>0</v>
      </c>
      <c r="D113" s="110" t="s">
        <v>182</v>
      </c>
      <c r="E113" s="119" t="s">
        <v>182</v>
      </c>
      <c r="F113" s="112">
        <f ca="1">COUNT(CT113,CV113,CX113,CZ113,DB113,DD113,DF113,DH113,DJ113,DL113,DN113,DP113,DR113,DT113,DV113,DX113,DZ113,EB113)</f>
        <v>0</v>
      </c>
      <c r="G113" s="93" t="str">
        <f ca="1">IF(CT113=0,"",CT113)</f>
        <v/>
      </c>
      <c r="H113" s="93"/>
      <c r="I113" s="93"/>
      <c r="K113" s="93"/>
      <c r="L113" s="93" t="str">
        <f ca="1">IF(CV113=0,"",CV113)</f>
        <v/>
      </c>
      <c r="M113" s="93"/>
      <c r="N113" s="93"/>
      <c r="P113" s="93"/>
      <c r="Q113" s="93" t="str">
        <f ca="1">IF(CX113=0,"",CX113)</f>
        <v/>
      </c>
      <c r="R113" s="93"/>
      <c r="S113" s="93"/>
      <c r="U113" s="93"/>
      <c r="V113" s="93" t="str">
        <f ca="1">IF(CZ113=0,"",CZ113)</f>
        <v/>
      </c>
      <c r="W113" s="93"/>
      <c r="X113" s="93"/>
      <c r="Z113" s="93"/>
      <c r="AA113" s="93" t="str">
        <f ca="1">IF(DB113=0,"",DB113)</f>
        <v/>
      </c>
      <c r="AB113" s="93"/>
      <c r="AC113" s="93"/>
      <c r="AE113" s="93"/>
      <c r="AF113" s="93" t="str">
        <f ca="1">IF(DD113=0,"",DD113)</f>
        <v/>
      </c>
      <c r="AG113" s="93"/>
      <c r="AH113" s="93"/>
      <c r="AJ113" s="93"/>
      <c r="AK113" s="93" t="str">
        <f ca="1">IF(DF113=0,"",DF113)</f>
        <v/>
      </c>
      <c r="AL113" s="93"/>
      <c r="AM113" s="93"/>
      <c r="AO113" s="93"/>
      <c r="AP113" s="93" t="str">
        <f ca="1">IF(DH113=0,"",DH113)</f>
        <v/>
      </c>
      <c r="AQ113" s="93"/>
      <c r="AR113" s="93"/>
      <c r="AT113" s="93"/>
      <c r="AU113" s="93" t="str">
        <f ca="1">IF(DJ113=0,"",DJ113)</f>
        <v/>
      </c>
      <c r="AV113" s="93"/>
      <c r="AW113" s="93"/>
      <c r="AY113" s="93"/>
      <c r="AZ113" s="93" t="str">
        <f ca="1">IF(DL113=0,"",DL113)</f>
        <v/>
      </c>
      <c r="BA113" s="93"/>
      <c r="BB113" s="93"/>
      <c r="BD113" s="93"/>
      <c r="BE113" s="93" t="str">
        <f ca="1">IF(DN113=0,"",DN113)</f>
        <v/>
      </c>
      <c r="BF113" s="93"/>
      <c r="BG113" s="93"/>
      <c r="BI113" s="93"/>
      <c r="BJ113" s="93" t="str">
        <f ca="1">IF(DP113=0,"",DP113)</f>
        <v/>
      </c>
      <c r="BK113" s="93"/>
      <c r="BL113" s="93"/>
      <c r="BN113" s="93"/>
      <c r="BO113" s="93" t="str">
        <f ca="1">IF(DR113=0,"",DR113)</f>
        <v/>
      </c>
      <c r="BP113" s="93"/>
      <c r="BQ113" s="93"/>
      <c r="BS113" s="93"/>
      <c r="BT113" s="93" t="str">
        <f ca="1">IF(DT113=0,"",DT113)</f>
        <v/>
      </c>
      <c r="BU113" s="93"/>
      <c r="BV113" s="93"/>
      <c r="BX113" s="93"/>
      <c r="BY113" s="93" t="str">
        <f ca="1">IF(DV113=0,"",DV113)</f>
        <v/>
      </c>
      <c r="BZ113" s="93"/>
      <c r="CA113" s="93"/>
      <c r="CC113" s="93"/>
      <c r="CD113" s="93" t="str">
        <f ca="1">IF(DX113=0,"",DX113)</f>
        <v/>
      </c>
      <c r="CE113" s="93"/>
      <c r="CF113" s="93"/>
      <c r="CH113" s="93"/>
      <c r="CI113" s="93" t="str">
        <f ca="1">IF(DZ113=0,"",DZ113)</f>
        <v/>
      </c>
      <c r="CJ113" s="93"/>
      <c r="CK113" s="93"/>
      <c r="CM113" s="93"/>
      <c r="CN113" s="93" t="str">
        <f ca="1">IF(EB113=0,"",EB113)</f>
        <v/>
      </c>
      <c r="CO113" s="93"/>
      <c r="CP113" s="93"/>
      <c r="CR113" s="93"/>
      <c r="CS113" s="31"/>
      <c r="CT113" s="32" t="str">
        <f ca="1">IFERROR(CT114+CT115,"")</f>
        <v/>
      </c>
      <c r="CU113" s="31"/>
      <c r="CV113" s="32" t="str">
        <f ca="1">IFERROR(CV114+CV115,"")</f>
        <v/>
      </c>
      <c r="CW113" s="31"/>
      <c r="CX113" s="32" t="str">
        <f ca="1">IFERROR(CX114+CX115,"")</f>
        <v/>
      </c>
      <c r="CY113" s="31"/>
      <c r="CZ113" s="32" t="str">
        <f ca="1">IFERROR(CZ114+CZ115,"")</f>
        <v/>
      </c>
      <c r="DA113" s="31"/>
      <c r="DB113" s="32" t="str">
        <f ca="1">IFERROR(DB114+DB115,"")</f>
        <v/>
      </c>
      <c r="DC113" s="31"/>
      <c r="DD113" s="32" t="str">
        <f ca="1">IFERROR(DD114+DD115,"")</f>
        <v/>
      </c>
      <c r="DE113" s="31"/>
      <c r="DF113" s="32" t="str">
        <f ca="1">IFERROR(DF114+DF115,"")</f>
        <v/>
      </c>
      <c r="DG113" s="31"/>
      <c r="DH113" s="32" t="str">
        <f ca="1">IFERROR(DH114+DH115,"")</f>
        <v/>
      </c>
      <c r="DI113" s="31"/>
      <c r="DJ113" s="32" t="str">
        <f ca="1">IFERROR(DJ114+DJ115,"")</f>
        <v/>
      </c>
      <c r="DK113" s="31"/>
      <c r="DL113" s="32" t="str">
        <f ca="1">IFERROR(DL114+DL115,"")</f>
        <v/>
      </c>
      <c r="DM113" s="31"/>
      <c r="DN113" s="32" t="str">
        <f ca="1">IFERROR(DN114+DN115,"")</f>
        <v/>
      </c>
      <c r="DO113" s="31"/>
      <c r="DP113" s="32" t="str">
        <f ca="1">IFERROR(DP114+DP115,"")</f>
        <v/>
      </c>
      <c r="DQ113" s="31"/>
      <c r="DR113" s="32" t="str">
        <f ca="1">IFERROR(DR114+DR115,"")</f>
        <v/>
      </c>
      <c r="DS113" s="31"/>
      <c r="DT113" s="32" t="str">
        <f ca="1">IFERROR(DT114+DT115,"")</f>
        <v/>
      </c>
      <c r="DU113" s="31"/>
      <c r="DV113" s="32" t="str">
        <f ca="1">IFERROR(DV114+DV115,"")</f>
        <v/>
      </c>
      <c r="DW113" s="31"/>
      <c r="DX113" s="32" t="str">
        <f ca="1">IFERROR(DX114+DX115,"")</f>
        <v/>
      </c>
      <c r="DY113" s="31"/>
      <c r="DZ113" s="32" t="str">
        <f ca="1">IFERROR(DZ114+DZ115,"")</f>
        <v/>
      </c>
      <c r="EA113" s="31"/>
      <c r="EB113" s="32" t="str">
        <f ca="1">IFERROR(EB114+EB115,"")</f>
        <v/>
      </c>
      <c r="EC113" s="26">
        <f ca="1">IFERROR(LARGE($G113:$CN113,1),0)+IFERROR(LARGE($G113:$CN113,2),0)+IFERROR(LARGE($G113:$CN113,3),0)+IFERROR(LARGE($G113:$CN113,4),0)+IFERROR(LARGE($G113:$CN113,5),0)+IFERROR(LARGE($G113:$CN113,6),0)+IFERROR(LARGE($G113:$CN113,7),0)+IFERROR(LARGE($G113:$CN113,8),0)+IFERROR(LARGE($G113:$CN113,9),0)+IFERROR(LARGE($G113:$CN113,10),0)</f>
        <v>0</v>
      </c>
      <c r="ED113" s="33">
        <f t="shared" ca="1" si="3"/>
        <v>0</v>
      </c>
    </row>
    <row r="114" spans="2:134" outlineLevel="1" x14ac:dyDescent="0.2">
      <c r="B114" s="113">
        <f>B112+0.022</f>
        <v>2.3784999999999994</v>
      </c>
      <c r="C114" s="109"/>
      <c r="D114" s="109" t="s">
        <v>183</v>
      </c>
      <c r="E114" s="114" t="s">
        <v>38</v>
      </c>
      <c r="F114" s="115"/>
      <c r="G114" s="35"/>
      <c r="H114" s="35" t="str">
        <f>IF(CS114=0,"",CS114)</f>
        <v/>
      </c>
      <c r="I114" s="35"/>
      <c r="J114" s="93" t="str">
        <f>IFERROR(RANK(H114,H$6:H$115,0),"")</f>
        <v/>
      </c>
      <c r="K114" s="35"/>
      <c r="L114" s="35"/>
      <c r="M114" s="35" t="str">
        <f>IF(CU114=0,"",CU114)</f>
        <v/>
      </c>
      <c r="N114" s="35"/>
      <c r="O114" s="93" t="str">
        <f>IFERROR(RANK(M114,M$6:M$115,0),"")</f>
        <v/>
      </c>
      <c r="P114" s="35"/>
      <c r="Q114" s="35"/>
      <c r="R114" s="35" t="str">
        <f>IF(CW114=0,"",CW114)</f>
        <v/>
      </c>
      <c r="S114" s="35"/>
      <c r="T114" s="93" t="str">
        <f>IFERROR(RANK(R114,R$6:R$115,0),"")</f>
        <v/>
      </c>
      <c r="U114" s="35"/>
      <c r="V114" s="35"/>
      <c r="W114" s="35" t="str">
        <f>IF(CY114=0,"",CY114)</f>
        <v/>
      </c>
      <c r="X114" s="35"/>
      <c r="Y114" s="93" t="str">
        <f>IFERROR(RANK(W114,W$6:W$115,0),"")</f>
        <v/>
      </c>
      <c r="Z114" s="35"/>
      <c r="AA114" s="35"/>
      <c r="AB114" s="35" t="str">
        <f>IF(DA114=0,"",DA114)</f>
        <v/>
      </c>
      <c r="AC114" s="35"/>
      <c r="AD114" s="93" t="str">
        <f>IFERROR(RANK(AB114,AB$6:AB$115,0),"")</f>
        <v/>
      </c>
      <c r="AE114" s="35"/>
      <c r="AF114" s="35"/>
      <c r="AG114" s="35" t="str">
        <f>IF(DC114=0,"",DC114)</f>
        <v/>
      </c>
      <c r="AH114" s="35"/>
      <c r="AI114" s="93" t="str">
        <f>IFERROR(RANK(AG114,AG$6:AG$115,0),"")</f>
        <v/>
      </c>
      <c r="AJ114" s="35"/>
      <c r="AK114" s="35"/>
      <c r="AL114" s="35" t="str">
        <f>IF(DE114=0,"",DE114)</f>
        <v/>
      </c>
      <c r="AM114" s="35"/>
      <c r="AN114" s="93" t="str">
        <f>IFERROR(RANK(AL114,AL$6:AL$115,0),"")</f>
        <v/>
      </c>
      <c r="AO114" s="35"/>
      <c r="AP114" s="35"/>
      <c r="AQ114" s="35" t="str">
        <f>IF(DG114=0,"",DG114)</f>
        <v/>
      </c>
      <c r="AR114" s="35"/>
      <c r="AS114" s="93" t="str">
        <f>IFERROR(RANK(AQ114,AQ$6:AQ$115,0),"")</f>
        <v/>
      </c>
      <c r="AT114" s="35"/>
      <c r="AU114" s="35"/>
      <c r="AV114" s="35" t="str">
        <f>IF(DI114=0,"",DI114)</f>
        <v/>
      </c>
      <c r="AW114" s="35"/>
      <c r="AX114" s="93" t="str">
        <f>IFERROR(RANK(AV114,AV$6:AV$115,0),"")</f>
        <v/>
      </c>
      <c r="AY114" s="35"/>
      <c r="AZ114" s="35"/>
      <c r="BA114" s="35" t="str">
        <f>IF(DK114=0,"",DK114)</f>
        <v/>
      </c>
      <c r="BB114" s="35"/>
      <c r="BC114" s="93" t="str">
        <f>IFERROR(RANK(BA114,BA$6:BA$115,0),"")</f>
        <v/>
      </c>
      <c r="BD114" s="35"/>
      <c r="BE114" s="35"/>
      <c r="BF114" s="35" t="str">
        <f>IF(DM114=0,"",DM114)</f>
        <v/>
      </c>
      <c r="BG114" s="35"/>
      <c r="BH114" s="93" t="str">
        <f>IFERROR(RANK(BF114,BF$6:BF$115,0),"")</f>
        <v/>
      </c>
      <c r="BI114" s="35"/>
      <c r="BJ114" s="35"/>
      <c r="BK114" s="35" t="str">
        <f>IF(DO114=0,"",DO114)</f>
        <v/>
      </c>
      <c r="BL114" s="35"/>
      <c r="BM114" s="93" t="str">
        <f>IFERROR(RANK(BK114,BK$6:BK$115,0),"")</f>
        <v/>
      </c>
      <c r="BN114" s="35"/>
      <c r="BO114" s="35"/>
      <c r="BP114" s="35" t="str">
        <f>IF(DQ114=0,"",DQ114)</f>
        <v/>
      </c>
      <c r="BQ114" s="35"/>
      <c r="BR114" s="93" t="str">
        <f>IFERROR(RANK(BP114,BP$6:BP$115,0),"")</f>
        <v/>
      </c>
      <c r="BS114" s="35"/>
      <c r="BT114" s="35"/>
      <c r="BU114" s="35" t="str">
        <f>IF(DS114=0,"",DS114)</f>
        <v/>
      </c>
      <c r="BV114" s="35"/>
      <c r="BW114" s="93" t="str">
        <f>IFERROR(RANK(BU114,BU$6:BU$115,0),"")</f>
        <v/>
      </c>
      <c r="BX114" s="35"/>
      <c r="BY114" s="35"/>
      <c r="BZ114" s="35" t="str">
        <f>IF(DU114=0,"",DU114)</f>
        <v/>
      </c>
      <c r="CA114" s="35"/>
      <c r="CB114" s="93" t="str">
        <f>IFERROR(RANK(BZ114,BZ$6:BZ$115,0),"")</f>
        <v/>
      </c>
      <c r="CC114" s="35"/>
      <c r="CD114" s="35"/>
      <c r="CE114" s="35" t="str">
        <f>IF(DW114=0,"",DW114)</f>
        <v/>
      </c>
      <c r="CF114" s="35"/>
      <c r="CG114" s="93" t="str">
        <f>IFERROR(RANK(CE114,CE$6:CE$115,0),"")</f>
        <v/>
      </c>
      <c r="CH114" s="35"/>
      <c r="CI114" s="35"/>
      <c r="CJ114" s="35" t="str">
        <f>IF(DY114=0,"",DY114)</f>
        <v/>
      </c>
      <c r="CK114" s="35"/>
      <c r="CL114" s="93" t="str">
        <f>IFERROR(RANK(CJ114,CJ$6:CJ$115,0),"")</f>
        <v/>
      </c>
      <c r="CM114" s="35"/>
      <c r="CN114" s="35"/>
      <c r="CO114" s="35" t="str">
        <f>IF(EA114=0,"",EA114)</f>
        <v/>
      </c>
      <c r="CP114" s="35"/>
      <c r="CQ114" s="93" t="str">
        <f>IFERROR(RANK(CO114,CO$6:CO$115,0),"")</f>
        <v/>
      </c>
      <c r="CR114" s="35"/>
      <c r="CS114" s="31"/>
      <c r="CT114" s="36" t="str">
        <f ca="1">IFERROR(AVERAGE(OFFSET('Data - For Rank'!B$2,J114,0,COUNTIF($J$7:J$115,J114)))+IFERROR(VLOOKUP((COUNT($H$6:$H$115)/4),$ER$8:$ES$12,2,FALSE()),0),"")</f>
        <v/>
      </c>
      <c r="CU114" s="31"/>
      <c r="CV114" s="36" t="str">
        <f ca="1">IFERROR(AVERAGE(OFFSET('Data - For Rank'!$C$2,O114,0,COUNTIF(O$7:O$115,O114)))+IFERROR(VLOOKUP((COUNT(M$6:M$115)/4),$ER$8:$ES$12,2,FALSE()),0),"")</f>
        <v/>
      </c>
      <c r="CW114" s="31"/>
      <c r="CX114" s="36" t="str">
        <f ca="1">IFERROR(AVERAGE(OFFSET('Data - For Rank'!D$2,T114,0,COUNTIF(T$7:T$115,T114)))+IFERROR(VLOOKUP((COUNT(R$6:R$115)/4),$ER$8:$ES$12,2,FALSE()),0),"")</f>
        <v/>
      </c>
      <c r="CY114" s="31"/>
      <c r="CZ114" s="36" t="str">
        <f ca="1">IFERROR(AVERAGE(OFFSET('Data - For Rank'!E$2,Y114,0,COUNTIF(Y$7:Y$115,Y114)))+IFERROR(VLOOKUP((COUNT(W$6:W$115)/4),$ER$8:$ES$12,2,FALSE()),0),"")</f>
        <v/>
      </c>
      <c r="DA114" s="31"/>
      <c r="DB114" s="36" t="str">
        <f ca="1">IFERROR(AVERAGE(OFFSET('Data - For Rank'!F$2,AD114,0,COUNTIF(AD$7:AD$115,AD114)))+IFERROR(VLOOKUP((COUNT(AB$6:AB$115)/4),$ER$8:$ES$12,2,FALSE()),0),"")</f>
        <v/>
      </c>
      <c r="DC114" s="31"/>
      <c r="DD114" s="36" t="str">
        <f ca="1">IFERROR(AVERAGE(OFFSET('Data - For Rank'!G$2,AI114,0,COUNTIF(AI$7:AI$115,AI114)))+IFERROR(VLOOKUP((COUNT(AG$6:AG$115)/4),$ER$8:$ES$12,2,FALSE()),0),"")</f>
        <v/>
      </c>
      <c r="DE114" s="31"/>
      <c r="DF114" s="36" t="str">
        <f ca="1">IFERROR(AVERAGE(OFFSET('Data - For Rank'!$H$2,AN114,0,COUNTIF(AN$7:AN$115,AN114)))+IFERROR(VLOOKUP((COUNT(AL$6:AL$115)/4),$ER$8:$ES$12,2,FALSE()),0),"")</f>
        <v/>
      </c>
      <c r="DG114" s="31"/>
      <c r="DH114" s="36" t="str">
        <f ca="1">IFERROR(AVERAGE(OFFSET('Data - For Rank'!$I$2,AS114,0,COUNTIF(AS$7:AS$115,AS114)))+IFERROR(VLOOKUP((COUNT(AQ$6:AQ$115)/4),$ER$8:$ES$12,2,FALSE()),0),"")</f>
        <v/>
      </c>
      <c r="DI114" s="31"/>
      <c r="DJ114" s="36" t="str">
        <f ca="1">IFERROR(AVERAGE(OFFSET('Data - For Rank'!$J$2,AX114,0,COUNTIF(AX$7:AX$115,AX114)))+IFERROR(VLOOKUP((COUNT(AV$6:AV$115)/4),$ER$8:$ES$12,2,FALSE()),0),"")</f>
        <v/>
      </c>
      <c r="DK114" s="31"/>
      <c r="DL114" s="36" t="str">
        <f ca="1">IFERROR(AVERAGE(OFFSET('Data - For Rank'!$K$2,BC114,0,COUNTIF(BC$7:BC$115,BC114)))+IFERROR(VLOOKUP((COUNT(BA$6:BA$115)/4),$ER$8:$ES$12,2,FALSE()),0),"")</f>
        <v/>
      </c>
      <c r="DM114" s="31"/>
      <c r="DN114" s="36" t="str">
        <f ca="1">IFERROR(AVERAGE(OFFSET('Data - For Rank'!$L$2,BH114,0,COUNTIF(BH$7:BH$115,BH114)))+IFERROR(VLOOKUP((COUNT(BF$6:BF$115)/4),$ER$8:$ES$12,2,FALSE()),0),"")</f>
        <v/>
      </c>
      <c r="DO114" s="31"/>
      <c r="DP114" s="36" t="str">
        <f ca="1">IFERROR(AVERAGE(OFFSET('Data - For Rank'!$M$2,BM114,0,COUNTIF(BM$7:BM$115,BM114)))+IFERROR(VLOOKUP((COUNT(BK$6:BK$115)/4),$ER$8:$ES$12,2,FALSE()),0),"")</f>
        <v/>
      </c>
      <c r="DQ114" s="31"/>
      <c r="DR114" s="36" t="str">
        <f ca="1">IFERROR(AVERAGE(OFFSET('Data - For Rank'!$N$2,BR114,0,COUNTIF(BR$7:BR$115,BR114)))+IFERROR(VLOOKUP((COUNT(BP$6:BP$115)/4),$ER$8:$ES$12,2,FALSE()),0),"")</f>
        <v/>
      </c>
      <c r="DS114" s="31"/>
      <c r="DT114" s="36" t="str">
        <f ca="1">IFERROR(AVERAGE(OFFSET('Data - For Rank'!$O$2,BW114,0,COUNTIF(BW$7:BW$115,BW114)))+IFERROR(VLOOKUP((COUNT(BU$6:BU$115)/4),$ER$8:$ES$12,2,FALSE()),0),"")</f>
        <v/>
      </c>
      <c r="DU114" s="31"/>
      <c r="DV114" s="36" t="str">
        <f ca="1">IFERROR(AVERAGE(OFFSET('Data - For Rank'!$P$2,CB114,0,COUNTIF(CB$7:CB$115,CB114)))+IFERROR(VLOOKUP((COUNT(BZ$6:BZ$115)/4),$ER$8:$ES$12,2,FALSE()),0),"")</f>
        <v/>
      </c>
      <c r="DW114" s="31"/>
      <c r="DX114" s="36" t="str">
        <f ca="1">IFERROR(AVERAGE(OFFSET('Data - For Rank'!$Q$2,CG114,0,COUNTIF(CG$7:CG$115,CG114)))+IFERROR(VLOOKUP((COUNT(CE$6:CE$115)/4),$ER$8:$ES$12,2,FALSE()),0),"")</f>
        <v/>
      </c>
      <c r="DY114" s="31"/>
      <c r="DZ114" s="36" t="str">
        <f ca="1">IFERROR(AVERAGE(OFFSET('Data - For Rank'!$R$2,CL114,0,COUNTIF(CL$7:CL$115,CL114)))+IFERROR(VLOOKUP((COUNT(CJ$6:CJ$115)/4),$ER$8:$ES$12,2,FALSE()),0),"")</f>
        <v/>
      </c>
      <c r="EA114" s="31"/>
      <c r="EB114" s="36" t="str">
        <f ca="1">IFERROR(AVERAGE(OFFSET('Data - For Rank'!$S$2,CQ114,0,COUNTIF(CQ$7:CQ$115,CQ114)))+IFERROR(VLOOKUP((COUNT(CO$6:CO$115)/4),$ER$8:$ES$12,2,FALSE()),0),"")</f>
        <v/>
      </c>
      <c r="EC114" s="37">
        <f>CS114+CU114+CW114+CY114+DA114+DC114+DE114+DG114+DI114+DK114+DM114+DO114+DQ114+DS114+DU114+DW114+DY114+EA114</f>
        <v>0</v>
      </c>
      <c r="ED114" s="33">
        <f t="shared" ca="1" si="3"/>
        <v>0</v>
      </c>
    </row>
    <row r="115" spans="2:134" outlineLevel="1" x14ac:dyDescent="0.2">
      <c r="B115" s="116">
        <f>B114+0.12</f>
        <v>2.4984999999999995</v>
      </c>
      <c r="C115" s="109"/>
      <c r="D115" s="109" t="s">
        <v>184</v>
      </c>
      <c r="E115" s="117" t="s">
        <v>39</v>
      </c>
      <c r="F115" s="118"/>
      <c r="G115" s="40"/>
      <c r="H115" s="40"/>
      <c r="I115" s="96" t="str">
        <f>IF(CS115=0,"",CS115)</f>
        <v/>
      </c>
      <c r="J115" s="96"/>
      <c r="K115" s="97" t="str">
        <f>IFERROR(_xlfn.RANK.EQ(I115,I$6:I$115,0),"")</f>
        <v/>
      </c>
      <c r="L115" s="40"/>
      <c r="M115" s="40"/>
      <c r="N115" s="96" t="str">
        <f>IF(CU115=0,"",CU115)</f>
        <v/>
      </c>
      <c r="O115" s="96"/>
      <c r="P115" s="97" t="str">
        <f>IFERROR(_xlfn.RANK.EQ(N115,N$6:N$115,0),"")</f>
        <v/>
      </c>
      <c r="Q115" s="40"/>
      <c r="R115" s="40"/>
      <c r="S115" s="96" t="str">
        <f>IF(CW115=0,"",CW115)</f>
        <v/>
      </c>
      <c r="T115" s="96"/>
      <c r="U115" s="97" t="str">
        <f>IFERROR(_xlfn.RANK.EQ(S115,S$6:S$115,0),"")</f>
        <v/>
      </c>
      <c r="V115" s="40"/>
      <c r="W115" s="40"/>
      <c r="X115" s="96" t="str">
        <f>IF(CY115=0,"",CY115)</f>
        <v/>
      </c>
      <c r="Y115" s="96"/>
      <c r="Z115" s="97" t="str">
        <f>IFERROR(_xlfn.RANK.EQ(X115,X$6:X$115,0),"")</f>
        <v/>
      </c>
      <c r="AA115" s="40"/>
      <c r="AB115" s="40"/>
      <c r="AC115" s="96" t="str">
        <f>IF(DA115=0,"",DA115)</f>
        <v/>
      </c>
      <c r="AD115" s="96"/>
      <c r="AE115" s="97" t="str">
        <f>IFERROR(_xlfn.RANK.EQ(AC115,AC$6:AC$115,0),"")</f>
        <v/>
      </c>
      <c r="AF115" s="40"/>
      <c r="AG115" s="40"/>
      <c r="AH115" s="96" t="str">
        <f>IF(DC115=0,"",DC115)</f>
        <v/>
      </c>
      <c r="AI115" s="96"/>
      <c r="AJ115" s="97" t="str">
        <f>IFERROR(_xlfn.RANK.EQ(AH115,AH$6:AH$115,0),"")</f>
        <v/>
      </c>
      <c r="AK115" s="40"/>
      <c r="AL115" s="40"/>
      <c r="AM115" s="96" t="str">
        <f>IF(DE115=0,"",DE115)</f>
        <v/>
      </c>
      <c r="AN115" s="96"/>
      <c r="AO115" s="97" t="str">
        <f>IFERROR(_xlfn.RANK.EQ(AM115,AM$6:AM$115,0),"")</f>
        <v/>
      </c>
      <c r="AP115" s="40"/>
      <c r="AQ115" s="40"/>
      <c r="AR115" s="96" t="str">
        <f>IF(DG115=0,"",DG115)</f>
        <v/>
      </c>
      <c r="AS115" s="96"/>
      <c r="AT115" s="97" t="str">
        <f>IFERROR(_xlfn.RANK.EQ(AR115,AR$6:AR$115,0),"")</f>
        <v/>
      </c>
      <c r="AU115" s="40"/>
      <c r="AV115" s="40"/>
      <c r="AW115" s="96" t="str">
        <f>IF(DI115=0,"",DI115)</f>
        <v/>
      </c>
      <c r="AX115" s="96"/>
      <c r="AY115" s="97" t="str">
        <f>IFERROR(_xlfn.RANK.EQ(AW115,AW$6:AW$115,0),"")</f>
        <v/>
      </c>
      <c r="AZ115" s="40"/>
      <c r="BA115" s="40"/>
      <c r="BB115" s="96" t="str">
        <f>IF(DK115=0,"",DK115)</f>
        <v/>
      </c>
      <c r="BC115" s="96"/>
      <c r="BD115" s="97" t="str">
        <f>IFERROR(_xlfn.RANK.EQ(BB115,BB$6:BB$115,0),"")</f>
        <v/>
      </c>
      <c r="BE115" s="40"/>
      <c r="BF115" s="40"/>
      <c r="BG115" s="96" t="str">
        <f>IF(DM115=0,"",DM115)</f>
        <v/>
      </c>
      <c r="BH115" s="96"/>
      <c r="BI115" s="97" t="str">
        <f>IFERROR(_xlfn.RANK.EQ(BG115,BG$6:BG$115,0),"")</f>
        <v/>
      </c>
      <c r="BJ115" s="40"/>
      <c r="BK115" s="40"/>
      <c r="BL115" s="96" t="str">
        <f>IF(DO115=0,"",DO115)</f>
        <v/>
      </c>
      <c r="BM115" s="96"/>
      <c r="BN115" s="97" t="str">
        <f>IFERROR(_xlfn.RANK.EQ(BL115,BL$6:BL$115,0),"")</f>
        <v/>
      </c>
      <c r="BO115" s="40"/>
      <c r="BP115" s="40"/>
      <c r="BQ115" s="96" t="str">
        <f>IF(DQ115=0,"",DQ115)</f>
        <v/>
      </c>
      <c r="BR115" s="96"/>
      <c r="BS115" s="97" t="str">
        <f>IFERROR(_xlfn.RANK.EQ(BQ115,BQ$6:BQ$115,0),"")</f>
        <v/>
      </c>
      <c r="BT115" s="40"/>
      <c r="BU115" s="40"/>
      <c r="BV115" s="96" t="str">
        <f>IF(DS115=0,"",DS115)</f>
        <v/>
      </c>
      <c r="BW115" s="96"/>
      <c r="BX115" s="97" t="str">
        <f>IFERROR(_xlfn.RANK.EQ(BV115,BV$6:BV$115,0),"")</f>
        <v/>
      </c>
      <c r="BY115" s="40"/>
      <c r="BZ115" s="40"/>
      <c r="CA115" s="96" t="str">
        <f>IF(DU115=0,"",DU115)</f>
        <v/>
      </c>
      <c r="CB115" s="96"/>
      <c r="CC115" s="97" t="str">
        <f>IFERROR(_xlfn.RANK.EQ(CA115,CA$6:CA$115,0),"")</f>
        <v/>
      </c>
      <c r="CD115" s="40"/>
      <c r="CE115" s="40"/>
      <c r="CF115" s="96" t="str">
        <f>IF(DW115=0,"",DW115)</f>
        <v/>
      </c>
      <c r="CG115" s="96"/>
      <c r="CH115" s="97" t="str">
        <f>IFERROR(_xlfn.RANK.EQ(CF115,CF$6:CF$115,0),"")</f>
        <v/>
      </c>
      <c r="CI115" s="40"/>
      <c r="CJ115" s="40"/>
      <c r="CK115" s="96" t="str">
        <f>IF(DY115=0,"",DY115)</f>
        <v/>
      </c>
      <c r="CL115" s="96"/>
      <c r="CM115" s="97" t="str">
        <f>IFERROR(_xlfn.RANK.EQ(CK115,CK$6:CK$115,0),"")</f>
        <v/>
      </c>
      <c r="CN115" s="40"/>
      <c r="CO115" s="40"/>
      <c r="CP115" s="96" t="str">
        <f>IF(EA115=0,"",EA115)</f>
        <v/>
      </c>
      <c r="CQ115" s="96"/>
      <c r="CR115" s="97" t="str">
        <f>IFERROR(_xlfn.RANK.EQ(CP115,CP$6:CP$115,0),"")</f>
        <v/>
      </c>
      <c r="CS115" s="41"/>
      <c r="CT115" s="42" t="str">
        <f ca="1">IFERROR(AVERAGE(OFFSET('Data - For Rank'!B$2,K115,0,COUNTIF(K$6:K$115,K115)))+IFERROR(VLOOKUP((COUNT($I$6:$I$115)/4),$ER$8:$ES$12,2,FALSE()),0),"")</f>
        <v/>
      </c>
      <c r="CU115" s="41"/>
      <c r="CV115" s="42" t="str">
        <f ca="1">IFERROR(AVERAGE(OFFSET('Data - For Rank'!$C$2,P115,0,COUNTIF(P$6:P$115,P115)))+IFERROR(VLOOKUP((COUNT(N$6:N$115)/4),$ER$8:$ES$12,2,FALSE()),0),"")</f>
        <v/>
      </c>
      <c r="CW115" s="41"/>
      <c r="CX115" s="42" t="str">
        <f ca="1">IFERROR(AVERAGE(OFFSET('Data - For Rank'!D$2,U115,0,COUNTIF(U$6:$U222,U115)))+IFERROR(VLOOKUP((COUNT(S$6:S$115)/4),$ER$8:$ES$12,2,FALSE()),0),"")</f>
        <v/>
      </c>
      <c r="CY115" s="41"/>
      <c r="CZ115" s="42" t="str">
        <f ca="1">IFERROR(AVERAGE(OFFSET('Data - For Rank'!E$2,Z115,0,COUNTIF(Z$6:Z$115,Z115)))+IFERROR(VLOOKUP((COUNT(W$6:W$115)/4),$ER$8:$ES$12,2,FALSE()),0),"")</f>
        <v/>
      </c>
      <c r="DA115" s="41"/>
      <c r="DB115" s="42" t="str">
        <f ca="1">IFERROR(AVERAGE(OFFSET('Data - For Rank'!F$2,AE115,0,COUNTIF(AE$6:AE$115,AE115)))+IFERROR(VLOOKUP((COUNT(AC$6:AC$115)/4),$ER$8:$ES$12,2,FALSE()),0),"")</f>
        <v/>
      </c>
      <c r="DC115" s="41"/>
      <c r="DD115" s="42" t="str">
        <f ca="1">IFERROR(AVERAGE(OFFSET('Data - For Rank'!G$2,AJ115,0,COUNTIF(AJ$6:AJ$115,AJ115)))+IFERROR(VLOOKUP((COUNT(AH$6:AH$115)/4),$ER$8:$ES$12,2,FALSE()),0),"")</f>
        <v/>
      </c>
      <c r="DE115" s="41"/>
      <c r="DF115" s="42" t="str">
        <f ca="1">IFERROR(AVERAGE(OFFSET('Data - For Rank'!$H$2,AO115,0,COUNTIF(AO$6:AO$115,AO115)))+IFERROR(VLOOKUP((COUNT(AM$6:AM$115)/4),$ER$8:$ES$12,2,FALSE()),0),"")</f>
        <v/>
      </c>
      <c r="DG115" s="41"/>
      <c r="DH115" s="42" t="str">
        <f ca="1">IFERROR(AVERAGE(OFFSET('Data - For Rank'!$I$2,AT115,0,COUNTIF(AT$6:AT$115,AT115)))+IFERROR(VLOOKUP((COUNT(AR$6:AR$115)/4),$ER$8:$ES$12,2,FALSE()),0),"")</f>
        <v/>
      </c>
      <c r="DI115" s="41"/>
      <c r="DJ115" s="42" t="str">
        <f ca="1">IFERROR(AVERAGE(OFFSET('Data - For Rank'!$J$2,AY115,0,COUNTIF(AY$6:AY$115,AY115)))+IFERROR(VLOOKUP((COUNT(AW$6:AW$115)/4),$ER$8:$ES$12,2,FALSE()),0),"")</f>
        <v/>
      </c>
      <c r="DK115" s="41"/>
      <c r="DL115" s="42" t="str">
        <f ca="1">IFERROR(AVERAGE(OFFSET('Data - For Rank'!$K$2,BD115,0,COUNTIF(BD$6:BD$115,BD115)))+IFERROR(VLOOKUP((COUNT(BB$6:BB$115)/4),$ER$8:$ES$12,2,FALSE()),0),"")</f>
        <v/>
      </c>
      <c r="DM115" s="41"/>
      <c r="DN115" s="42" t="str">
        <f ca="1">IFERROR(AVERAGE(OFFSET('Data - For Rank'!$L$2,BI115,0,COUNTIF(BI$6:BI$115,BI115)))+IFERROR(VLOOKUP((COUNT(BG$6:BG$115)/4),$ER$8:$ES$12,2,FALSE()),0),"")</f>
        <v/>
      </c>
      <c r="DO115" s="41"/>
      <c r="DP115" s="42" t="str">
        <f ca="1">IFERROR(AVERAGE(OFFSET('Data - For Rank'!$M$2,BN115,0,COUNTIF(BN$6:BN$115,BN115)))+IFERROR(VLOOKUP((COUNT(BL$6:BL$115)/4),$ER$8:$ES$12,2,FALSE()),0),"")</f>
        <v/>
      </c>
      <c r="DQ115" s="41"/>
      <c r="DR115" s="42" t="str">
        <f ca="1">IFERROR(AVERAGE(OFFSET('Data - For Rank'!$N$2,BS115,0,COUNTIF(BS$6:BS$115,BS115)))+IFERROR(VLOOKUP((COUNT(BQ$6:BQ$115)/4),$ER$8:$ES$12,2,FALSE()),0),"")</f>
        <v/>
      </c>
      <c r="DS115" s="41"/>
      <c r="DT115" s="42" t="str">
        <f ca="1">IFERROR(AVERAGE(OFFSET('Data - For Rank'!$O$2,BX115,0,COUNTIF(BX$6:BX$115,BX115)))+IFERROR(VLOOKUP((COUNT(BV$6:BV$115)/4),$ER$8:$ES$12,2,FALSE()),0),"")</f>
        <v/>
      </c>
      <c r="DU115" s="41"/>
      <c r="DV115" s="42" t="str">
        <f ca="1">IFERROR(AVERAGE(OFFSET('Data - For Rank'!$P$2,CC115,0,COUNTIF(CC$6:CC$115,CC115)))+IFERROR(VLOOKUP((COUNT(CA$6:CA$115)/4),$ER$8:$ES$12,2,FALSE()),0),"")</f>
        <v/>
      </c>
      <c r="DW115" s="41"/>
      <c r="DX115" s="42" t="str">
        <f ca="1">IFERROR(AVERAGE(OFFSET('Data - For Rank'!$Q$2,CH115,0,COUNTIF(CH$6:CH$115,CH115)))+IFERROR(VLOOKUP((COUNT(CF$6:CF$115)/4),$ER$8:$ES$12,2,FALSE()),0),"")</f>
        <v/>
      </c>
      <c r="DY115" s="41"/>
      <c r="DZ115" s="42" t="str">
        <f ca="1">IFERROR(AVERAGE(OFFSET('Data - For Rank'!$R$2,CM115,0,COUNTIF(CM$6:CM$115,CM115)))+IFERROR(VLOOKUP((COUNT(CK$6:CK$115)/4),$ER$8:$ES$12,2,FALSE()),0),"")</f>
        <v/>
      </c>
      <c r="EA115" s="41"/>
      <c r="EB115" s="42" t="str">
        <f ca="1">IFERROR(AVERAGE(OFFSET('Data - For Rank'!$S$2,CR115,0,COUNTIF(CR$6:CR$115,CR115)))+IFERROR(VLOOKUP((COUNT(CP$6:CP$115)/4),$ER$8:$ES$12,2,FALSE()),0),"")</f>
        <v/>
      </c>
      <c r="EC115" s="43">
        <f>IFERROR(AVERAGE(CS115,CU115,CW115,CY115,DA115,DC115,DE115,DG115,DI115,DK115,DM115,DO115,DQ115,DS115,DU115,DW115,DY115,EA115),0)</f>
        <v>0</v>
      </c>
      <c r="ED115" s="44">
        <f t="shared" ca="1" si="3"/>
        <v>0</v>
      </c>
    </row>
    <row r="116" spans="2:134" x14ac:dyDescent="0.2">
      <c r="CU116" s="120"/>
    </row>
    <row r="119" spans="2:134" x14ac:dyDescent="0.2">
      <c r="E119" s="101"/>
    </row>
    <row r="120" spans="2:134" x14ac:dyDescent="0.2">
      <c r="E120" s="35"/>
    </row>
  </sheetData>
  <sheetProtection sheet="1" objects="1" scenarios="1" selectLockedCells="1"/>
  <mergeCells count="98">
    <mergeCell ref="DU72:DV72"/>
    <mergeCell ref="DW72:DX72"/>
    <mergeCell ref="DY72:DZ72"/>
    <mergeCell ref="EA72:EB72"/>
    <mergeCell ref="CS73:CT73"/>
    <mergeCell ref="CW73:CX73"/>
    <mergeCell ref="DK72:DL72"/>
    <mergeCell ref="DM72:DN72"/>
    <mergeCell ref="DO72:DP72"/>
    <mergeCell ref="DQ72:DR72"/>
    <mergeCell ref="DS72:DT72"/>
    <mergeCell ref="DA72:DB72"/>
    <mergeCell ref="DC72:DD72"/>
    <mergeCell ref="DE72:DF72"/>
    <mergeCell ref="DG72:DH72"/>
    <mergeCell ref="DI72:DJ72"/>
    <mergeCell ref="F69:F72"/>
    <mergeCell ref="CS72:CT72"/>
    <mergeCell ref="CU72:CV72"/>
    <mergeCell ref="CW72:CX72"/>
    <mergeCell ref="CY72:CZ72"/>
    <mergeCell ref="DU4:DV4"/>
    <mergeCell ref="DW4:DX4"/>
    <mergeCell ref="DY4:DZ4"/>
    <mergeCell ref="EA4:EB4"/>
    <mergeCell ref="CS5:CT5"/>
    <mergeCell ref="CW5:CX5"/>
    <mergeCell ref="DK4:DL4"/>
    <mergeCell ref="DM4:DN4"/>
    <mergeCell ref="DO4:DP4"/>
    <mergeCell ref="DQ4:DR4"/>
    <mergeCell ref="DS4:DT4"/>
    <mergeCell ref="DA4:DB4"/>
    <mergeCell ref="DC4:DD4"/>
    <mergeCell ref="DE4:DF4"/>
    <mergeCell ref="DG4:DH4"/>
    <mergeCell ref="DI4:DJ4"/>
    <mergeCell ref="DW3:DX3"/>
    <mergeCell ref="DY3:DZ3"/>
    <mergeCell ref="EA3:EB3"/>
    <mergeCell ref="EC3:ED3"/>
    <mergeCell ref="EE3:EF3"/>
    <mergeCell ref="EA2:EB2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Q2:DR2"/>
    <mergeCell ref="DS2:DT2"/>
    <mergeCell ref="DU2:DV2"/>
    <mergeCell ref="DW2:DX2"/>
    <mergeCell ref="DY2:DZ2"/>
    <mergeCell ref="DU1:DV1"/>
    <mergeCell ref="DW1:DX1"/>
    <mergeCell ref="DY1:DZ1"/>
    <mergeCell ref="EA1:EB1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K1:DL1"/>
    <mergeCell ref="DM1:DN1"/>
    <mergeCell ref="DO1:DP1"/>
    <mergeCell ref="DQ1:DR1"/>
    <mergeCell ref="DS1:DT1"/>
    <mergeCell ref="DA1:DB1"/>
    <mergeCell ref="DC1:DD1"/>
    <mergeCell ref="DE1:DF1"/>
    <mergeCell ref="DG1:DH1"/>
    <mergeCell ref="DI1:DJ1"/>
    <mergeCell ref="F1:F4"/>
    <mergeCell ref="CS1:CT1"/>
    <mergeCell ref="CU1:CV1"/>
    <mergeCell ref="CW1:CX1"/>
    <mergeCell ref="CY1:CZ1"/>
    <mergeCell ref="CS4:CT4"/>
    <mergeCell ref="CU4:CV4"/>
    <mergeCell ref="CW4:CX4"/>
    <mergeCell ref="CY4:CZ4"/>
  </mergeCells>
  <conditionalFormatting sqref="F65:ED65">
    <cfRule type="cellIs" dxfId="0" priority="2" operator="notEqual">
      <formula>0</formula>
    </cfRule>
  </conditionalFormatting>
  <pageMargins left="0.8" right="0.55000000000000004" top="0.25" bottom="0.25" header="0.511811023622047" footer="0.511811023622047"/>
  <pageSetup scale="82" pageOrder="overThenDown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shape_0">
              <controlPr defaultSize="0" autoPict="0" macro="Module3.Button1_Click">
                <anchor moveWithCells="1" sizeWithCells="1">
                  <from>
                    <xdr:col>0</xdr:col>
                    <xdr:colOff>0</xdr:colOff>
                    <xdr:row>3</xdr:row>
                    <xdr:rowOff>28575</xdr:rowOff>
                  </from>
                  <to>
                    <xdr:col>4</xdr:col>
                    <xdr:colOff>923925</xdr:colOff>
                    <xdr:row>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4" name="shape_0">
              <controlPr defaultSize="0" autoPict="0" macro="Module6.SubSort">
                <anchor moveWithCells="1" sizeWithCells="1">
                  <from>
                    <xdr:col>1</xdr:col>
                    <xdr:colOff>38100</xdr:colOff>
                    <xdr:row>69</xdr:row>
                    <xdr:rowOff>9525</xdr:rowOff>
                  </from>
                  <to>
                    <xdr:col>4</xdr:col>
                    <xdr:colOff>419100</xdr:colOff>
                    <xdr:row>71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1" r:id="rId5" name="Button 2">
              <controlPr defaultSize="0" print="0" autoFill="0" autoPict="0" macro="Module3.Button1_Click" altText="Sort and Paste">
                <anchor moveWithCells="1">
                  <from>
                    <xdr:col>0</xdr:col>
                    <xdr:colOff>0</xdr:colOff>
                    <xdr:row>3</xdr:row>
                    <xdr:rowOff>28575</xdr:rowOff>
                  </from>
                  <to>
                    <xdr:col>4</xdr:col>
                    <xdr:colOff>923925</xdr:colOff>
                    <xdr:row>4</xdr:row>
                    <xdr:rowOff>-247650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6" name="Button 3">
              <controlPr defaultSize="0" print="0" autoFill="0" autoPict="0" macro="Module6.SubSort" altText="Sort Subs">
                <anchor moveWithCells="1">
                  <from>
                    <xdr:col>1</xdr:col>
                    <xdr:colOff>38100</xdr:colOff>
                    <xdr:row>69</xdr:row>
                    <xdr:rowOff>9525</xdr:rowOff>
                  </from>
                  <to>
                    <xdr:col>4</xdr:col>
                    <xdr:colOff>419100</xdr:colOff>
                    <xdr:row>71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"/>
  <sheetViews>
    <sheetView zoomScaleNormal="100" zoomScalePageLayoutView="60" workbookViewId="0"/>
  </sheetViews>
  <sheetFormatPr defaultColWidth="8.5546875" defaultRowHeight="14.25" x14ac:dyDescent="0.2"/>
  <sheetData>
    <row r="1" spans="1:20" x14ac:dyDescent="0.2">
      <c r="A1" t="s">
        <v>185</v>
      </c>
      <c r="B1" s="121">
        <v>44680</v>
      </c>
      <c r="C1" s="121">
        <v>44687</v>
      </c>
      <c r="D1" s="121">
        <v>44694</v>
      </c>
      <c r="E1" s="121">
        <v>44701</v>
      </c>
      <c r="F1" s="121">
        <v>44708</v>
      </c>
      <c r="G1" s="121">
        <v>44715</v>
      </c>
      <c r="H1" s="121">
        <v>44729</v>
      </c>
      <c r="I1" s="121">
        <v>44736</v>
      </c>
      <c r="J1" s="121">
        <v>44743</v>
      </c>
      <c r="K1" s="121">
        <v>44750</v>
      </c>
      <c r="L1" s="121">
        <v>44757</v>
      </c>
      <c r="M1" s="121">
        <v>44764</v>
      </c>
      <c r="N1" s="121">
        <v>44771</v>
      </c>
      <c r="O1" s="121">
        <v>44778</v>
      </c>
      <c r="P1" s="121">
        <v>44785</v>
      </c>
      <c r="Q1" s="121">
        <v>44792</v>
      </c>
      <c r="R1" s="121">
        <v>44799</v>
      </c>
      <c r="S1" s="121">
        <v>44806</v>
      </c>
      <c r="T1" s="121"/>
    </row>
    <row r="2" spans="1:20" x14ac:dyDescent="0.2">
      <c r="B2">
        <f>COUNT(Standings!H$6:H$115)</f>
        <v>16</v>
      </c>
      <c r="C2">
        <f>COUNT(Standings!M$6:M$115)</f>
        <v>0</v>
      </c>
      <c r="D2">
        <f>COUNT(Standings!R$6:R$115)</f>
        <v>12</v>
      </c>
      <c r="E2">
        <f>COUNT(Standings!W$6:W$115)</f>
        <v>8</v>
      </c>
      <c r="F2">
        <f>COUNT(Standings!$AB$6:$AB$115)</f>
        <v>16</v>
      </c>
      <c r="G2">
        <f>COUNT(Standings!$AG$6:$AG$115)</f>
        <v>0</v>
      </c>
      <c r="H2">
        <f>COUNT(Standings!$AL$6:$AL$115)</f>
        <v>0</v>
      </c>
      <c r="I2">
        <f>COUNT(Standings!$AQ$6:$AQ$115)</f>
        <v>0</v>
      </c>
      <c r="J2">
        <f>COUNT(Standings!$AV$6:$AV$115)</f>
        <v>0</v>
      </c>
      <c r="K2">
        <f>COUNT(Standings!$BA$6:$BA$115)</f>
        <v>0</v>
      </c>
      <c r="L2">
        <f>COUNT(Standings!$BF$6:$BF$115)</f>
        <v>0</v>
      </c>
      <c r="M2">
        <f>COUNT(Standings!$BK$6:$BK$115)</f>
        <v>0</v>
      </c>
      <c r="N2">
        <f>COUNT(Standings!$BP$6:$BP$115)</f>
        <v>0</v>
      </c>
      <c r="O2">
        <f>COUNT(Standings!$BU$6:$BU$115)</f>
        <v>0</v>
      </c>
      <c r="P2">
        <f>COUNT(Standings!$BZ$6:$BZ$115)</f>
        <v>0</v>
      </c>
      <c r="Q2">
        <f>COUNT(Standings!$CE$6:$CE$115)</f>
        <v>0</v>
      </c>
      <c r="R2">
        <f>COUNT(Standings!$CJ$6:$CJ$115)</f>
        <v>0</v>
      </c>
      <c r="S2">
        <f>COUNT(Standings!$CO$6:$CO$115)</f>
        <v>0</v>
      </c>
    </row>
    <row r="3" spans="1:20" x14ac:dyDescent="0.2">
      <c r="A3">
        <v>1</v>
      </c>
      <c r="B3" s="122">
        <f t="shared" ref="B3:S3" ca="1" si="0">OFFSET(B$2,0,0)</f>
        <v>16</v>
      </c>
      <c r="C3" s="122">
        <f t="shared" ca="1" si="0"/>
        <v>0</v>
      </c>
      <c r="D3" s="122">
        <f t="shared" ca="1" si="0"/>
        <v>12</v>
      </c>
      <c r="E3" s="122">
        <f t="shared" ca="1" si="0"/>
        <v>8</v>
      </c>
      <c r="F3" s="122">
        <f t="shared" ca="1" si="0"/>
        <v>16</v>
      </c>
      <c r="G3" s="122">
        <f t="shared" ca="1" si="0"/>
        <v>0</v>
      </c>
      <c r="H3" s="122">
        <f t="shared" ca="1" si="0"/>
        <v>0</v>
      </c>
      <c r="I3" s="122">
        <f t="shared" ca="1" si="0"/>
        <v>0</v>
      </c>
      <c r="J3" s="122">
        <f t="shared" ca="1" si="0"/>
        <v>0</v>
      </c>
      <c r="K3" s="122">
        <f t="shared" ca="1" si="0"/>
        <v>0</v>
      </c>
      <c r="L3" s="122">
        <f t="shared" ca="1" si="0"/>
        <v>0</v>
      </c>
      <c r="M3" s="122">
        <f t="shared" ca="1" si="0"/>
        <v>0</v>
      </c>
      <c r="N3" s="122">
        <f t="shared" ca="1" si="0"/>
        <v>0</v>
      </c>
      <c r="O3" s="122">
        <f t="shared" ca="1" si="0"/>
        <v>0</v>
      </c>
      <c r="P3" s="122">
        <f t="shared" ca="1" si="0"/>
        <v>0</v>
      </c>
      <c r="Q3" s="122">
        <f t="shared" ca="1" si="0"/>
        <v>0</v>
      </c>
      <c r="R3" s="122">
        <f t="shared" ca="1" si="0"/>
        <v>0</v>
      </c>
      <c r="S3" s="122">
        <f t="shared" ca="1" si="0"/>
        <v>0</v>
      </c>
      <c r="T3" s="122"/>
    </row>
    <row r="4" spans="1:20" x14ac:dyDescent="0.2">
      <c r="A4">
        <v>2</v>
      </c>
      <c r="B4" s="122">
        <f t="shared" ref="B4:S4" ca="1" si="1">OFFSET(B$2,0,0)-1</f>
        <v>15</v>
      </c>
      <c r="C4" s="122">
        <f t="shared" ca="1" si="1"/>
        <v>-1</v>
      </c>
      <c r="D4" s="122">
        <f t="shared" ca="1" si="1"/>
        <v>11</v>
      </c>
      <c r="E4" s="122">
        <f t="shared" ca="1" si="1"/>
        <v>7</v>
      </c>
      <c r="F4" s="122">
        <f t="shared" ca="1" si="1"/>
        <v>15</v>
      </c>
      <c r="G4" s="122">
        <f t="shared" ca="1" si="1"/>
        <v>-1</v>
      </c>
      <c r="H4" s="122">
        <f t="shared" ca="1" si="1"/>
        <v>-1</v>
      </c>
      <c r="I4" s="122">
        <f t="shared" ca="1" si="1"/>
        <v>-1</v>
      </c>
      <c r="J4" s="122">
        <f t="shared" ca="1" si="1"/>
        <v>-1</v>
      </c>
      <c r="K4" s="122">
        <f t="shared" ca="1" si="1"/>
        <v>-1</v>
      </c>
      <c r="L4" s="122">
        <f t="shared" ca="1" si="1"/>
        <v>-1</v>
      </c>
      <c r="M4" s="122">
        <f t="shared" ca="1" si="1"/>
        <v>-1</v>
      </c>
      <c r="N4" s="122">
        <f t="shared" ca="1" si="1"/>
        <v>-1</v>
      </c>
      <c r="O4" s="122">
        <f t="shared" ca="1" si="1"/>
        <v>-1</v>
      </c>
      <c r="P4" s="122">
        <f t="shared" ca="1" si="1"/>
        <v>-1</v>
      </c>
      <c r="Q4" s="122">
        <f t="shared" ca="1" si="1"/>
        <v>-1</v>
      </c>
      <c r="R4" s="122">
        <f t="shared" ca="1" si="1"/>
        <v>-1</v>
      </c>
      <c r="S4" s="122">
        <f t="shared" ca="1" si="1"/>
        <v>-1</v>
      </c>
      <c r="T4" s="122"/>
    </row>
    <row r="5" spans="1:20" x14ac:dyDescent="0.2">
      <c r="A5">
        <v>3</v>
      </c>
      <c r="B5" s="122">
        <f t="shared" ref="B5:S5" ca="1" si="2">OFFSET(B$2,0,0)-2</f>
        <v>14</v>
      </c>
      <c r="C5" s="122">
        <f t="shared" ca="1" si="2"/>
        <v>-2</v>
      </c>
      <c r="D5" s="122">
        <f t="shared" ca="1" si="2"/>
        <v>10</v>
      </c>
      <c r="E5" s="122">
        <f t="shared" ca="1" si="2"/>
        <v>6</v>
      </c>
      <c r="F5" s="122">
        <f t="shared" ca="1" si="2"/>
        <v>14</v>
      </c>
      <c r="G5" s="122">
        <f t="shared" ca="1" si="2"/>
        <v>-2</v>
      </c>
      <c r="H5" s="122">
        <f t="shared" ca="1" si="2"/>
        <v>-2</v>
      </c>
      <c r="I5" s="122">
        <f t="shared" ca="1" si="2"/>
        <v>-2</v>
      </c>
      <c r="J5" s="122">
        <f t="shared" ca="1" si="2"/>
        <v>-2</v>
      </c>
      <c r="K5" s="122">
        <f t="shared" ca="1" si="2"/>
        <v>-2</v>
      </c>
      <c r="L5" s="122">
        <f t="shared" ca="1" si="2"/>
        <v>-2</v>
      </c>
      <c r="M5" s="122">
        <f t="shared" ca="1" si="2"/>
        <v>-2</v>
      </c>
      <c r="N5" s="122">
        <f t="shared" ca="1" si="2"/>
        <v>-2</v>
      </c>
      <c r="O5" s="122">
        <f t="shared" ca="1" si="2"/>
        <v>-2</v>
      </c>
      <c r="P5" s="122">
        <f t="shared" ca="1" si="2"/>
        <v>-2</v>
      </c>
      <c r="Q5" s="122">
        <f t="shared" ca="1" si="2"/>
        <v>-2</v>
      </c>
      <c r="R5" s="122">
        <f t="shared" ca="1" si="2"/>
        <v>-2</v>
      </c>
      <c r="S5" s="122">
        <f t="shared" ca="1" si="2"/>
        <v>-2</v>
      </c>
      <c r="T5" s="122"/>
    </row>
    <row r="6" spans="1:20" x14ac:dyDescent="0.2">
      <c r="A6">
        <v>4</v>
      </c>
      <c r="B6" s="122">
        <f t="shared" ref="B6:S6" ca="1" si="3">OFFSET(B$2,0,0)-3</f>
        <v>13</v>
      </c>
      <c r="C6" s="122">
        <f t="shared" ca="1" si="3"/>
        <v>-3</v>
      </c>
      <c r="D6" s="122">
        <f t="shared" ca="1" si="3"/>
        <v>9</v>
      </c>
      <c r="E6" s="122">
        <f t="shared" ca="1" si="3"/>
        <v>5</v>
      </c>
      <c r="F6" s="122">
        <f t="shared" ca="1" si="3"/>
        <v>13</v>
      </c>
      <c r="G6" s="122">
        <f t="shared" ca="1" si="3"/>
        <v>-3</v>
      </c>
      <c r="H6" s="122">
        <f t="shared" ca="1" si="3"/>
        <v>-3</v>
      </c>
      <c r="I6" s="122">
        <f t="shared" ca="1" si="3"/>
        <v>-3</v>
      </c>
      <c r="J6" s="122">
        <f t="shared" ca="1" si="3"/>
        <v>-3</v>
      </c>
      <c r="K6" s="122">
        <f t="shared" ca="1" si="3"/>
        <v>-3</v>
      </c>
      <c r="L6" s="122">
        <f t="shared" ca="1" si="3"/>
        <v>-3</v>
      </c>
      <c r="M6" s="122">
        <f t="shared" ca="1" si="3"/>
        <v>-3</v>
      </c>
      <c r="N6" s="122">
        <f t="shared" ca="1" si="3"/>
        <v>-3</v>
      </c>
      <c r="O6" s="122">
        <f t="shared" ca="1" si="3"/>
        <v>-3</v>
      </c>
      <c r="P6" s="122">
        <f t="shared" ca="1" si="3"/>
        <v>-3</v>
      </c>
      <c r="Q6" s="122">
        <f t="shared" ca="1" si="3"/>
        <v>-3</v>
      </c>
      <c r="R6" s="122">
        <f t="shared" ca="1" si="3"/>
        <v>-3</v>
      </c>
      <c r="S6" s="122">
        <f t="shared" ca="1" si="3"/>
        <v>-3</v>
      </c>
      <c r="T6" s="122"/>
    </row>
    <row r="7" spans="1:20" x14ac:dyDescent="0.2">
      <c r="A7">
        <v>5</v>
      </c>
      <c r="B7" s="122">
        <f t="shared" ref="B7:S7" ca="1" si="4">OFFSET(B$2,0,0)-4</f>
        <v>12</v>
      </c>
      <c r="C7" s="122">
        <f t="shared" ca="1" si="4"/>
        <v>-4</v>
      </c>
      <c r="D7" s="122">
        <f t="shared" ca="1" si="4"/>
        <v>8</v>
      </c>
      <c r="E7" s="122">
        <f t="shared" ca="1" si="4"/>
        <v>4</v>
      </c>
      <c r="F7" s="122">
        <f t="shared" ca="1" si="4"/>
        <v>12</v>
      </c>
      <c r="G7" s="122">
        <f t="shared" ca="1" si="4"/>
        <v>-4</v>
      </c>
      <c r="H7" s="122">
        <f t="shared" ca="1" si="4"/>
        <v>-4</v>
      </c>
      <c r="I7" s="122">
        <f t="shared" ca="1" si="4"/>
        <v>-4</v>
      </c>
      <c r="J7" s="122">
        <f t="shared" ca="1" si="4"/>
        <v>-4</v>
      </c>
      <c r="K7" s="122">
        <f t="shared" ca="1" si="4"/>
        <v>-4</v>
      </c>
      <c r="L7" s="122">
        <f t="shared" ca="1" si="4"/>
        <v>-4</v>
      </c>
      <c r="M7" s="122">
        <f t="shared" ca="1" si="4"/>
        <v>-4</v>
      </c>
      <c r="N7" s="122">
        <f t="shared" ca="1" si="4"/>
        <v>-4</v>
      </c>
      <c r="O7" s="122">
        <f t="shared" ca="1" si="4"/>
        <v>-4</v>
      </c>
      <c r="P7" s="122">
        <f t="shared" ca="1" si="4"/>
        <v>-4</v>
      </c>
      <c r="Q7" s="122">
        <f t="shared" ca="1" si="4"/>
        <v>-4</v>
      </c>
      <c r="R7" s="122">
        <f t="shared" ca="1" si="4"/>
        <v>-4</v>
      </c>
      <c r="S7" s="122">
        <f t="shared" ca="1" si="4"/>
        <v>-4</v>
      </c>
      <c r="T7" s="122"/>
    </row>
    <row r="8" spans="1:20" x14ac:dyDescent="0.2">
      <c r="A8">
        <v>6</v>
      </c>
      <c r="B8" s="122">
        <f t="shared" ref="B8:S8" ca="1" si="5">OFFSET(B$2,0,0)-5</f>
        <v>11</v>
      </c>
      <c r="C8" s="122">
        <f t="shared" ca="1" si="5"/>
        <v>-5</v>
      </c>
      <c r="D8" s="122">
        <f t="shared" ca="1" si="5"/>
        <v>7</v>
      </c>
      <c r="E8" s="122">
        <f t="shared" ca="1" si="5"/>
        <v>3</v>
      </c>
      <c r="F8" s="122">
        <f t="shared" ca="1" si="5"/>
        <v>11</v>
      </c>
      <c r="G8" s="122">
        <f t="shared" ca="1" si="5"/>
        <v>-5</v>
      </c>
      <c r="H8" s="122">
        <f t="shared" ca="1" si="5"/>
        <v>-5</v>
      </c>
      <c r="I8" s="122">
        <f t="shared" ca="1" si="5"/>
        <v>-5</v>
      </c>
      <c r="J8" s="122">
        <f t="shared" ca="1" si="5"/>
        <v>-5</v>
      </c>
      <c r="K8" s="122">
        <f t="shared" ca="1" si="5"/>
        <v>-5</v>
      </c>
      <c r="L8" s="122">
        <f t="shared" ca="1" si="5"/>
        <v>-5</v>
      </c>
      <c r="M8" s="122">
        <f t="shared" ca="1" si="5"/>
        <v>-5</v>
      </c>
      <c r="N8" s="122">
        <f t="shared" ca="1" si="5"/>
        <v>-5</v>
      </c>
      <c r="O8" s="122">
        <f t="shared" ca="1" si="5"/>
        <v>-5</v>
      </c>
      <c r="P8" s="122">
        <f t="shared" ca="1" si="5"/>
        <v>-5</v>
      </c>
      <c r="Q8" s="122">
        <f t="shared" ca="1" si="5"/>
        <v>-5</v>
      </c>
      <c r="R8" s="122">
        <f t="shared" ca="1" si="5"/>
        <v>-5</v>
      </c>
      <c r="S8" s="122">
        <f t="shared" ca="1" si="5"/>
        <v>-5</v>
      </c>
      <c r="T8" s="122"/>
    </row>
    <row r="9" spans="1:20" x14ac:dyDescent="0.2">
      <c r="A9">
        <v>7</v>
      </c>
      <c r="B9" s="122">
        <f t="shared" ref="B9:S9" ca="1" si="6">OFFSET(B$2,0,0)-6</f>
        <v>10</v>
      </c>
      <c r="C9" s="122">
        <f t="shared" ca="1" si="6"/>
        <v>-6</v>
      </c>
      <c r="D9" s="122">
        <f t="shared" ca="1" si="6"/>
        <v>6</v>
      </c>
      <c r="E9" s="122">
        <f t="shared" ca="1" si="6"/>
        <v>2</v>
      </c>
      <c r="F9" s="122">
        <f t="shared" ca="1" si="6"/>
        <v>10</v>
      </c>
      <c r="G9" s="122">
        <f t="shared" ca="1" si="6"/>
        <v>-6</v>
      </c>
      <c r="H9" s="122">
        <f t="shared" ca="1" si="6"/>
        <v>-6</v>
      </c>
      <c r="I9" s="122">
        <f t="shared" ca="1" si="6"/>
        <v>-6</v>
      </c>
      <c r="J9" s="122">
        <f t="shared" ca="1" si="6"/>
        <v>-6</v>
      </c>
      <c r="K9" s="122">
        <f t="shared" ca="1" si="6"/>
        <v>-6</v>
      </c>
      <c r="L9" s="122">
        <f t="shared" ca="1" si="6"/>
        <v>-6</v>
      </c>
      <c r="M9" s="122">
        <f t="shared" ca="1" si="6"/>
        <v>-6</v>
      </c>
      <c r="N9" s="122">
        <f t="shared" ca="1" si="6"/>
        <v>-6</v>
      </c>
      <c r="O9" s="122">
        <f t="shared" ca="1" si="6"/>
        <v>-6</v>
      </c>
      <c r="P9" s="122">
        <f t="shared" ca="1" si="6"/>
        <v>-6</v>
      </c>
      <c r="Q9" s="122">
        <f t="shared" ca="1" si="6"/>
        <v>-6</v>
      </c>
      <c r="R9" s="122">
        <f t="shared" ca="1" si="6"/>
        <v>-6</v>
      </c>
      <c r="S9" s="122">
        <f t="shared" ca="1" si="6"/>
        <v>-6</v>
      </c>
      <c r="T9" s="122"/>
    </row>
    <row r="10" spans="1:20" x14ac:dyDescent="0.2">
      <c r="A10">
        <v>8</v>
      </c>
      <c r="B10" s="122">
        <f t="shared" ref="B10:S10" ca="1" si="7">OFFSET(B$2,0,0)-7</f>
        <v>9</v>
      </c>
      <c r="C10" s="122">
        <f t="shared" ca="1" si="7"/>
        <v>-7</v>
      </c>
      <c r="D10" s="122">
        <f t="shared" ca="1" si="7"/>
        <v>5</v>
      </c>
      <c r="E10" s="122">
        <f t="shared" ca="1" si="7"/>
        <v>1</v>
      </c>
      <c r="F10" s="122">
        <f t="shared" ca="1" si="7"/>
        <v>9</v>
      </c>
      <c r="G10" s="122">
        <f t="shared" ca="1" si="7"/>
        <v>-7</v>
      </c>
      <c r="H10" s="122">
        <f t="shared" ca="1" si="7"/>
        <v>-7</v>
      </c>
      <c r="I10" s="122">
        <f t="shared" ca="1" si="7"/>
        <v>-7</v>
      </c>
      <c r="J10" s="122">
        <f t="shared" ca="1" si="7"/>
        <v>-7</v>
      </c>
      <c r="K10" s="122">
        <f t="shared" ca="1" si="7"/>
        <v>-7</v>
      </c>
      <c r="L10" s="122">
        <f t="shared" ca="1" si="7"/>
        <v>-7</v>
      </c>
      <c r="M10" s="122">
        <f t="shared" ca="1" si="7"/>
        <v>-7</v>
      </c>
      <c r="N10" s="122">
        <f t="shared" ca="1" si="7"/>
        <v>-7</v>
      </c>
      <c r="O10" s="122">
        <f t="shared" ca="1" si="7"/>
        <v>-7</v>
      </c>
      <c r="P10" s="122">
        <f t="shared" ca="1" si="7"/>
        <v>-7</v>
      </c>
      <c r="Q10" s="122">
        <f t="shared" ca="1" si="7"/>
        <v>-7</v>
      </c>
      <c r="R10" s="122">
        <f t="shared" ca="1" si="7"/>
        <v>-7</v>
      </c>
      <c r="S10" s="122">
        <f t="shared" ca="1" si="7"/>
        <v>-7</v>
      </c>
      <c r="T10" s="122"/>
    </row>
    <row r="11" spans="1:20" x14ac:dyDescent="0.2">
      <c r="A11">
        <v>9</v>
      </c>
      <c r="B11" s="122">
        <f t="shared" ref="B11:S11" ca="1" si="8">OFFSET(B$2,0,0)-8</f>
        <v>8</v>
      </c>
      <c r="C11" s="122">
        <f t="shared" ca="1" si="8"/>
        <v>-8</v>
      </c>
      <c r="D11" s="122">
        <f t="shared" ca="1" si="8"/>
        <v>4</v>
      </c>
      <c r="E11" s="122">
        <f t="shared" ca="1" si="8"/>
        <v>0</v>
      </c>
      <c r="F11" s="122">
        <f t="shared" ca="1" si="8"/>
        <v>8</v>
      </c>
      <c r="G11" s="122">
        <f t="shared" ca="1" si="8"/>
        <v>-8</v>
      </c>
      <c r="H11" s="122">
        <f t="shared" ca="1" si="8"/>
        <v>-8</v>
      </c>
      <c r="I11" s="122">
        <f t="shared" ca="1" si="8"/>
        <v>-8</v>
      </c>
      <c r="J11" s="122">
        <f t="shared" ca="1" si="8"/>
        <v>-8</v>
      </c>
      <c r="K11" s="122">
        <f t="shared" ca="1" si="8"/>
        <v>-8</v>
      </c>
      <c r="L11" s="122">
        <f t="shared" ca="1" si="8"/>
        <v>-8</v>
      </c>
      <c r="M11" s="122">
        <f t="shared" ca="1" si="8"/>
        <v>-8</v>
      </c>
      <c r="N11" s="122">
        <f t="shared" ca="1" si="8"/>
        <v>-8</v>
      </c>
      <c r="O11" s="122">
        <f t="shared" ca="1" si="8"/>
        <v>-8</v>
      </c>
      <c r="P11" s="122">
        <f t="shared" ca="1" si="8"/>
        <v>-8</v>
      </c>
      <c r="Q11" s="122">
        <f t="shared" ca="1" si="8"/>
        <v>-8</v>
      </c>
      <c r="R11" s="122">
        <f t="shared" ca="1" si="8"/>
        <v>-8</v>
      </c>
      <c r="S11" s="122">
        <f t="shared" ca="1" si="8"/>
        <v>-8</v>
      </c>
      <c r="T11" s="122"/>
    </row>
    <row r="12" spans="1:20" x14ac:dyDescent="0.2">
      <c r="A12">
        <v>10</v>
      </c>
      <c r="B12" s="122">
        <f t="shared" ref="B12:S12" ca="1" si="9">OFFSET(B$2,0,0)-9</f>
        <v>7</v>
      </c>
      <c r="C12" s="122">
        <f t="shared" ca="1" si="9"/>
        <v>-9</v>
      </c>
      <c r="D12" s="122">
        <f t="shared" ca="1" si="9"/>
        <v>3</v>
      </c>
      <c r="E12" s="122">
        <f t="shared" ca="1" si="9"/>
        <v>-1</v>
      </c>
      <c r="F12" s="122">
        <f t="shared" ca="1" si="9"/>
        <v>7</v>
      </c>
      <c r="G12" s="122">
        <f t="shared" ca="1" si="9"/>
        <v>-9</v>
      </c>
      <c r="H12" s="122">
        <f t="shared" ca="1" si="9"/>
        <v>-9</v>
      </c>
      <c r="I12" s="122">
        <f t="shared" ca="1" si="9"/>
        <v>-9</v>
      </c>
      <c r="J12" s="122">
        <f t="shared" ca="1" si="9"/>
        <v>-9</v>
      </c>
      <c r="K12" s="122">
        <f t="shared" ca="1" si="9"/>
        <v>-9</v>
      </c>
      <c r="L12" s="122">
        <f t="shared" ca="1" si="9"/>
        <v>-9</v>
      </c>
      <c r="M12" s="122">
        <f t="shared" ca="1" si="9"/>
        <v>-9</v>
      </c>
      <c r="N12" s="122">
        <f t="shared" ca="1" si="9"/>
        <v>-9</v>
      </c>
      <c r="O12" s="122">
        <f t="shared" ca="1" si="9"/>
        <v>-9</v>
      </c>
      <c r="P12" s="122">
        <f t="shared" ca="1" si="9"/>
        <v>-9</v>
      </c>
      <c r="Q12" s="122">
        <f t="shared" ca="1" si="9"/>
        <v>-9</v>
      </c>
      <c r="R12" s="122">
        <f t="shared" ca="1" si="9"/>
        <v>-9</v>
      </c>
      <c r="S12" s="122">
        <f t="shared" ca="1" si="9"/>
        <v>-9</v>
      </c>
      <c r="T12" s="122"/>
    </row>
    <row r="13" spans="1:20" x14ac:dyDescent="0.2">
      <c r="A13">
        <v>11</v>
      </c>
      <c r="B13" s="122">
        <f t="shared" ref="B13:S13" ca="1" si="10">OFFSET(B$2,0,0)-10</f>
        <v>6</v>
      </c>
      <c r="C13" s="122">
        <f t="shared" ca="1" si="10"/>
        <v>-10</v>
      </c>
      <c r="D13" s="122">
        <f t="shared" ca="1" si="10"/>
        <v>2</v>
      </c>
      <c r="E13" s="122">
        <f t="shared" ca="1" si="10"/>
        <v>-2</v>
      </c>
      <c r="F13" s="122">
        <f t="shared" ca="1" si="10"/>
        <v>6</v>
      </c>
      <c r="G13" s="122">
        <f t="shared" ca="1" si="10"/>
        <v>-10</v>
      </c>
      <c r="H13" s="122">
        <f t="shared" ca="1" si="10"/>
        <v>-10</v>
      </c>
      <c r="I13" s="122">
        <f t="shared" ca="1" si="10"/>
        <v>-10</v>
      </c>
      <c r="J13" s="122">
        <f t="shared" ca="1" si="10"/>
        <v>-10</v>
      </c>
      <c r="K13" s="122">
        <f t="shared" ca="1" si="10"/>
        <v>-10</v>
      </c>
      <c r="L13" s="122">
        <f t="shared" ca="1" si="10"/>
        <v>-10</v>
      </c>
      <c r="M13" s="122">
        <f t="shared" ca="1" si="10"/>
        <v>-10</v>
      </c>
      <c r="N13" s="122">
        <f t="shared" ca="1" si="10"/>
        <v>-10</v>
      </c>
      <c r="O13" s="122">
        <f t="shared" ca="1" si="10"/>
        <v>-10</v>
      </c>
      <c r="P13" s="122">
        <f t="shared" ca="1" si="10"/>
        <v>-10</v>
      </c>
      <c r="Q13" s="122">
        <f t="shared" ca="1" si="10"/>
        <v>-10</v>
      </c>
      <c r="R13" s="122">
        <f t="shared" ca="1" si="10"/>
        <v>-10</v>
      </c>
      <c r="S13" s="122">
        <f t="shared" ca="1" si="10"/>
        <v>-10</v>
      </c>
      <c r="T13" s="122"/>
    </row>
    <row r="14" spans="1:20" x14ac:dyDescent="0.2">
      <c r="A14">
        <v>12</v>
      </c>
      <c r="B14" s="122">
        <f t="shared" ref="B14:S14" ca="1" si="11">OFFSET(B$2,0,0)-11</f>
        <v>5</v>
      </c>
      <c r="C14" s="122">
        <f t="shared" ca="1" si="11"/>
        <v>-11</v>
      </c>
      <c r="D14" s="122">
        <f t="shared" ca="1" si="11"/>
        <v>1</v>
      </c>
      <c r="E14" s="122">
        <f t="shared" ca="1" si="11"/>
        <v>-3</v>
      </c>
      <c r="F14" s="122">
        <f t="shared" ca="1" si="11"/>
        <v>5</v>
      </c>
      <c r="G14" s="122">
        <f t="shared" ca="1" si="11"/>
        <v>-11</v>
      </c>
      <c r="H14" s="122">
        <f t="shared" ca="1" si="11"/>
        <v>-11</v>
      </c>
      <c r="I14" s="122">
        <f t="shared" ca="1" si="11"/>
        <v>-11</v>
      </c>
      <c r="J14" s="122">
        <f t="shared" ca="1" si="11"/>
        <v>-11</v>
      </c>
      <c r="K14" s="122">
        <f t="shared" ca="1" si="11"/>
        <v>-11</v>
      </c>
      <c r="L14" s="122">
        <f t="shared" ca="1" si="11"/>
        <v>-11</v>
      </c>
      <c r="M14" s="122">
        <f t="shared" ca="1" si="11"/>
        <v>-11</v>
      </c>
      <c r="N14" s="122">
        <f t="shared" ca="1" si="11"/>
        <v>-11</v>
      </c>
      <c r="O14" s="122">
        <f t="shared" ca="1" si="11"/>
        <v>-11</v>
      </c>
      <c r="P14" s="122">
        <f t="shared" ca="1" si="11"/>
        <v>-11</v>
      </c>
      <c r="Q14" s="122">
        <f t="shared" ca="1" si="11"/>
        <v>-11</v>
      </c>
      <c r="R14" s="122">
        <f t="shared" ca="1" si="11"/>
        <v>-11</v>
      </c>
      <c r="S14" s="122">
        <f t="shared" ca="1" si="11"/>
        <v>-11</v>
      </c>
      <c r="T14" s="122"/>
    </row>
    <row r="15" spans="1:20" x14ac:dyDescent="0.2">
      <c r="A15">
        <v>13</v>
      </c>
      <c r="B15" s="122">
        <f t="shared" ref="B15:S15" ca="1" si="12">OFFSET(B$2,0,0)-12</f>
        <v>4</v>
      </c>
      <c r="C15" s="122">
        <f t="shared" ca="1" si="12"/>
        <v>-12</v>
      </c>
      <c r="D15" s="122">
        <f t="shared" ca="1" si="12"/>
        <v>0</v>
      </c>
      <c r="E15" s="122">
        <f t="shared" ca="1" si="12"/>
        <v>-4</v>
      </c>
      <c r="F15" s="122">
        <f t="shared" ca="1" si="12"/>
        <v>4</v>
      </c>
      <c r="G15" s="122">
        <f t="shared" ca="1" si="12"/>
        <v>-12</v>
      </c>
      <c r="H15" s="122">
        <f t="shared" ca="1" si="12"/>
        <v>-12</v>
      </c>
      <c r="I15" s="122">
        <f t="shared" ca="1" si="12"/>
        <v>-12</v>
      </c>
      <c r="J15" s="122">
        <f t="shared" ca="1" si="12"/>
        <v>-12</v>
      </c>
      <c r="K15" s="122">
        <f t="shared" ca="1" si="12"/>
        <v>-12</v>
      </c>
      <c r="L15" s="122">
        <f t="shared" ca="1" si="12"/>
        <v>-12</v>
      </c>
      <c r="M15" s="122">
        <f t="shared" ca="1" si="12"/>
        <v>-12</v>
      </c>
      <c r="N15" s="122">
        <f t="shared" ca="1" si="12"/>
        <v>-12</v>
      </c>
      <c r="O15" s="122">
        <f t="shared" ca="1" si="12"/>
        <v>-12</v>
      </c>
      <c r="P15" s="122">
        <f t="shared" ca="1" si="12"/>
        <v>-12</v>
      </c>
      <c r="Q15" s="122">
        <f t="shared" ca="1" si="12"/>
        <v>-12</v>
      </c>
      <c r="R15" s="122">
        <f t="shared" ca="1" si="12"/>
        <v>-12</v>
      </c>
      <c r="S15" s="122">
        <f t="shared" ca="1" si="12"/>
        <v>-12</v>
      </c>
      <c r="T15" s="122"/>
    </row>
    <row r="16" spans="1:20" x14ac:dyDescent="0.2">
      <c r="A16">
        <v>14</v>
      </c>
      <c r="B16" s="122">
        <f t="shared" ref="B16:S16" ca="1" si="13">OFFSET(B$2,0,0)-13</f>
        <v>3</v>
      </c>
      <c r="C16" s="122">
        <f t="shared" ca="1" si="13"/>
        <v>-13</v>
      </c>
      <c r="D16" s="122">
        <f t="shared" ca="1" si="13"/>
        <v>-1</v>
      </c>
      <c r="E16" s="122">
        <f t="shared" ca="1" si="13"/>
        <v>-5</v>
      </c>
      <c r="F16" s="122">
        <f t="shared" ca="1" si="13"/>
        <v>3</v>
      </c>
      <c r="G16" s="122">
        <f t="shared" ca="1" si="13"/>
        <v>-13</v>
      </c>
      <c r="H16" s="122">
        <f t="shared" ca="1" si="13"/>
        <v>-13</v>
      </c>
      <c r="I16" s="122">
        <f t="shared" ca="1" si="13"/>
        <v>-13</v>
      </c>
      <c r="J16" s="122">
        <f t="shared" ca="1" si="13"/>
        <v>-13</v>
      </c>
      <c r="K16" s="122">
        <f t="shared" ca="1" si="13"/>
        <v>-13</v>
      </c>
      <c r="L16" s="122">
        <f t="shared" ca="1" si="13"/>
        <v>-13</v>
      </c>
      <c r="M16" s="122">
        <f t="shared" ca="1" si="13"/>
        <v>-13</v>
      </c>
      <c r="N16" s="122">
        <f t="shared" ca="1" si="13"/>
        <v>-13</v>
      </c>
      <c r="O16" s="122">
        <f t="shared" ca="1" si="13"/>
        <v>-13</v>
      </c>
      <c r="P16" s="122">
        <f t="shared" ca="1" si="13"/>
        <v>-13</v>
      </c>
      <c r="Q16" s="122">
        <f t="shared" ca="1" si="13"/>
        <v>-13</v>
      </c>
      <c r="R16" s="122">
        <f t="shared" ca="1" si="13"/>
        <v>-13</v>
      </c>
      <c r="S16" s="122">
        <f t="shared" ca="1" si="13"/>
        <v>-13</v>
      </c>
      <c r="T16" s="122"/>
    </row>
    <row r="17" spans="1:20" x14ac:dyDescent="0.2">
      <c r="A17">
        <v>15</v>
      </c>
      <c r="B17" s="122">
        <f t="shared" ref="B17:S17" ca="1" si="14">OFFSET(B$2,0,0)-14</f>
        <v>2</v>
      </c>
      <c r="C17" s="122">
        <f t="shared" ca="1" si="14"/>
        <v>-14</v>
      </c>
      <c r="D17" s="122">
        <f t="shared" ca="1" si="14"/>
        <v>-2</v>
      </c>
      <c r="E17" s="122">
        <f t="shared" ca="1" si="14"/>
        <v>-6</v>
      </c>
      <c r="F17" s="122">
        <f t="shared" ca="1" si="14"/>
        <v>2</v>
      </c>
      <c r="G17" s="122">
        <f t="shared" ca="1" si="14"/>
        <v>-14</v>
      </c>
      <c r="H17" s="122">
        <f t="shared" ca="1" si="14"/>
        <v>-14</v>
      </c>
      <c r="I17" s="122">
        <f t="shared" ca="1" si="14"/>
        <v>-14</v>
      </c>
      <c r="J17" s="122">
        <f t="shared" ca="1" si="14"/>
        <v>-14</v>
      </c>
      <c r="K17" s="122">
        <f t="shared" ca="1" si="14"/>
        <v>-14</v>
      </c>
      <c r="L17" s="122">
        <f t="shared" ca="1" si="14"/>
        <v>-14</v>
      </c>
      <c r="M17" s="122">
        <f t="shared" ca="1" si="14"/>
        <v>-14</v>
      </c>
      <c r="N17" s="122">
        <f t="shared" ca="1" si="14"/>
        <v>-14</v>
      </c>
      <c r="O17" s="122">
        <f t="shared" ca="1" si="14"/>
        <v>-14</v>
      </c>
      <c r="P17" s="122">
        <f t="shared" ca="1" si="14"/>
        <v>-14</v>
      </c>
      <c r="Q17" s="122">
        <f t="shared" ca="1" si="14"/>
        <v>-14</v>
      </c>
      <c r="R17" s="122">
        <f t="shared" ca="1" si="14"/>
        <v>-14</v>
      </c>
      <c r="S17" s="122">
        <f t="shared" ca="1" si="14"/>
        <v>-14</v>
      </c>
      <c r="T17" s="122"/>
    </row>
    <row r="18" spans="1:20" x14ac:dyDescent="0.2">
      <c r="A18">
        <v>16</v>
      </c>
      <c r="B18" s="122">
        <f t="shared" ref="B18:S18" ca="1" si="15">OFFSET(B$2,0,0)-15</f>
        <v>1</v>
      </c>
      <c r="C18" s="122">
        <f t="shared" ca="1" si="15"/>
        <v>-15</v>
      </c>
      <c r="D18" s="122">
        <f t="shared" ca="1" si="15"/>
        <v>-3</v>
      </c>
      <c r="E18" s="122">
        <f t="shared" ca="1" si="15"/>
        <v>-7</v>
      </c>
      <c r="F18" s="122">
        <f t="shared" ca="1" si="15"/>
        <v>1</v>
      </c>
      <c r="G18" s="122">
        <f t="shared" ca="1" si="15"/>
        <v>-15</v>
      </c>
      <c r="H18" s="122">
        <f t="shared" ca="1" si="15"/>
        <v>-15</v>
      </c>
      <c r="I18" s="122">
        <f t="shared" ca="1" si="15"/>
        <v>-15</v>
      </c>
      <c r="J18" s="122">
        <f t="shared" ca="1" si="15"/>
        <v>-15</v>
      </c>
      <c r="K18" s="122">
        <f t="shared" ca="1" si="15"/>
        <v>-15</v>
      </c>
      <c r="L18" s="122">
        <f t="shared" ca="1" si="15"/>
        <v>-15</v>
      </c>
      <c r="M18" s="122">
        <f t="shared" ca="1" si="15"/>
        <v>-15</v>
      </c>
      <c r="N18" s="122">
        <f t="shared" ca="1" si="15"/>
        <v>-15</v>
      </c>
      <c r="O18" s="122">
        <f t="shared" ca="1" si="15"/>
        <v>-15</v>
      </c>
      <c r="P18" s="122">
        <f t="shared" ca="1" si="15"/>
        <v>-15</v>
      </c>
      <c r="Q18" s="122">
        <f t="shared" ca="1" si="15"/>
        <v>-15</v>
      </c>
      <c r="R18" s="122">
        <f t="shared" ca="1" si="15"/>
        <v>-15</v>
      </c>
      <c r="S18" s="122">
        <f t="shared" ca="1" si="15"/>
        <v>-15</v>
      </c>
      <c r="T18" s="122"/>
    </row>
    <row r="19" spans="1:20" x14ac:dyDescent="0.2">
      <c r="A19">
        <v>17</v>
      </c>
      <c r="B19" s="122">
        <f t="shared" ref="B19:S19" ca="1" si="16">OFFSET(B$2,0,0)-16</f>
        <v>0</v>
      </c>
      <c r="C19" s="122">
        <f t="shared" ca="1" si="16"/>
        <v>-16</v>
      </c>
      <c r="D19" s="122">
        <f t="shared" ca="1" si="16"/>
        <v>-4</v>
      </c>
      <c r="E19" s="122">
        <f t="shared" ca="1" si="16"/>
        <v>-8</v>
      </c>
      <c r="F19" s="122">
        <f t="shared" ca="1" si="16"/>
        <v>0</v>
      </c>
      <c r="G19" s="122">
        <f t="shared" ca="1" si="16"/>
        <v>-16</v>
      </c>
      <c r="H19" s="122">
        <f t="shared" ca="1" si="16"/>
        <v>-16</v>
      </c>
      <c r="I19" s="122">
        <f t="shared" ca="1" si="16"/>
        <v>-16</v>
      </c>
      <c r="J19" s="122">
        <f t="shared" ca="1" si="16"/>
        <v>-16</v>
      </c>
      <c r="K19" s="122">
        <f t="shared" ca="1" si="16"/>
        <v>-16</v>
      </c>
      <c r="L19" s="122">
        <f t="shared" ca="1" si="16"/>
        <v>-16</v>
      </c>
      <c r="M19" s="122">
        <f t="shared" ca="1" si="16"/>
        <v>-16</v>
      </c>
      <c r="N19" s="122">
        <f t="shared" ca="1" si="16"/>
        <v>-16</v>
      </c>
      <c r="O19" s="122">
        <f t="shared" ca="1" si="16"/>
        <v>-16</v>
      </c>
      <c r="P19" s="122">
        <f t="shared" ca="1" si="16"/>
        <v>-16</v>
      </c>
      <c r="Q19" s="122">
        <f t="shared" ca="1" si="16"/>
        <v>-16</v>
      </c>
      <c r="R19" s="122">
        <f t="shared" ca="1" si="16"/>
        <v>-16</v>
      </c>
      <c r="S19" s="122">
        <f t="shared" ca="1" si="16"/>
        <v>-16</v>
      </c>
      <c r="T19" s="122"/>
    </row>
    <row r="20" spans="1:20" x14ac:dyDescent="0.2">
      <c r="A20">
        <v>18</v>
      </c>
      <c r="B20" s="122">
        <f t="shared" ref="B20:S20" ca="1" si="17">OFFSET(B$2,0,0)-17</f>
        <v>-1</v>
      </c>
      <c r="C20" s="122">
        <f t="shared" ca="1" si="17"/>
        <v>-17</v>
      </c>
      <c r="D20" s="122">
        <f t="shared" ca="1" si="17"/>
        <v>-5</v>
      </c>
      <c r="E20" s="122">
        <f t="shared" ca="1" si="17"/>
        <v>-9</v>
      </c>
      <c r="F20" s="122">
        <f t="shared" ca="1" si="17"/>
        <v>-1</v>
      </c>
      <c r="G20" s="122">
        <f t="shared" ca="1" si="17"/>
        <v>-17</v>
      </c>
      <c r="H20" s="122">
        <f t="shared" ca="1" si="17"/>
        <v>-17</v>
      </c>
      <c r="I20" s="122">
        <f t="shared" ca="1" si="17"/>
        <v>-17</v>
      </c>
      <c r="J20" s="122">
        <f t="shared" ca="1" si="17"/>
        <v>-17</v>
      </c>
      <c r="K20" s="122">
        <f t="shared" ca="1" si="17"/>
        <v>-17</v>
      </c>
      <c r="L20" s="122">
        <f t="shared" ca="1" si="17"/>
        <v>-17</v>
      </c>
      <c r="M20" s="122">
        <f t="shared" ca="1" si="17"/>
        <v>-17</v>
      </c>
      <c r="N20" s="122">
        <f t="shared" ca="1" si="17"/>
        <v>-17</v>
      </c>
      <c r="O20" s="122">
        <f t="shared" ca="1" si="17"/>
        <v>-17</v>
      </c>
      <c r="P20" s="122">
        <f t="shared" ca="1" si="17"/>
        <v>-17</v>
      </c>
      <c r="Q20" s="122">
        <f t="shared" ca="1" si="17"/>
        <v>-17</v>
      </c>
      <c r="R20" s="122">
        <f t="shared" ca="1" si="17"/>
        <v>-17</v>
      </c>
      <c r="S20" s="122">
        <f t="shared" ca="1" si="17"/>
        <v>-17</v>
      </c>
      <c r="T20" s="122"/>
    </row>
    <row r="21" spans="1:20" x14ac:dyDescent="0.2">
      <c r="A21">
        <v>19</v>
      </c>
      <c r="B21" s="122">
        <f t="shared" ref="B21:S21" ca="1" si="18">OFFSET(B$2,0,0)-18</f>
        <v>-2</v>
      </c>
      <c r="C21" s="122">
        <f t="shared" ca="1" si="18"/>
        <v>-18</v>
      </c>
      <c r="D21" s="122">
        <f t="shared" ca="1" si="18"/>
        <v>-6</v>
      </c>
      <c r="E21" s="122">
        <f t="shared" ca="1" si="18"/>
        <v>-10</v>
      </c>
      <c r="F21" s="122">
        <f t="shared" ca="1" si="18"/>
        <v>-2</v>
      </c>
      <c r="G21" s="122">
        <f t="shared" ca="1" si="18"/>
        <v>-18</v>
      </c>
      <c r="H21" s="122">
        <f t="shared" ca="1" si="18"/>
        <v>-18</v>
      </c>
      <c r="I21" s="122">
        <f t="shared" ca="1" si="18"/>
        <v>-18</v>
      </c>
      <c r="J21" s="122">
        <f t="shared" ca="1" si="18"/>
        <v>-18</v>
      </c>
      <c r="K21" s="122">
        <f t="shared" ca="1" si="18"/>
        <v>-18</v>
      </c>
      <c r="L21" s="122">
        <f t="shared" ca="1" si="18"/>
        <v>-18</v>
      </c>
      <c r="M21" s="122">
        <f t="shared" ca="1" si="18"/>
        <v>-18</v>
      </c>
      <c r="N21" s="122">
        <f t="shared" ca="1" si="18"/>
        <v>-18</v>
      </c>
      <c r="O21" s="122">
        <f t="shared" ca="1" si="18"/>
        <v>-18</v>
      </c>
      <c r="P21" s="122">
        <f t="shared" ca="1" si="18"/>
        <v>-18</v>
      </c>
      <c r="Q21" s="122">
        <f t="shared" ca="1" si="18"/>
        <v>-18</v>
      </c>
      <c r="R21" s="122">
        <f t="shared" ca="1" si="18"/>
        <v>-18</v>
      </c>
      <c r="S21" s="122">
        <f t="shared" ca="1" si="18"/>
        <v>-18</v>
      </c>
      <c r="T21" s="122"/>
    </row>
    <row r="22" spans="1:20" x14ac:dyDescent="0.2">
      <c r="A22">
        <v>20</v>
      </c>
      <c r="B22" s="122">
        <f t="shared" ref="B22:S22" ca="1" si="19">OFFSET(B$2,0,0)-19</f>
        <v>-3</v>
      </c>
      <c r="C22" s="122">
        <f t="shared" ca="1" si="19"/>
        <v>-19</v>
      </c>
      <c r="D22" s="122">
        <f t="shared" ca="1" si="19"/>
        <v>-7</v>
      </c>
      <c r="E22" s="122">
        <f t="shared" ca="1" si="19"/>
        <v>-11</v>
      </c>
      <c r="F22" s="122">
        <f t="shared" ca="1" si="19"/>
        <v>-3</v>
      </c>
      <c r="G22" s="122">
        <f t="shared" ca="1" si="19"/>
        <v>-19</v>
      </c>
      <c r="H22" s="122">
        <f t="shared" ca="1" si="19"/>
        <v>-19</v>
      </c>
      <c r="I22" s="122">
        <f t="shared" ca="1" si="19"/>
        <v>-19</v>
      </c>
      <c r="J22" s="122">
        <f t="shared" ca="1" si="19"/>
        <v>-19</v>
      </c>
      <c r="K22" s="122">
        <f t="shared" ca="1" si="19"/>
        <v>-19</v>
      </c>
      <c r="L22" s="122">
        <f t="shared" ca="1" si="19"/>
        <v>-19</v>
      </c>
      <c r="M22" s="122">
        <f t="shared" ca="1" si="19"/>
        <v>-19</v>
      </c>
      <c r="N22" s="122">
        <f t="shared" ca="1" si="19"/>
        <v>-19</v>
      </c>
      <c r="O22" s="122">
        <f t="shared" ca="1" si="19"/>
        <v>-19</v>
      </c>
      <c r="P22" s="122">
        <f t="shared" ca="1" si="19"/>
        <v>-19</v>
      </c>
      <c r="Q22" s="122">
        <f t="shared" ca="1" si="19"/>
        <v>-19</v>
      </c>
      <c r="R22" s="122">
        <f t="shared" ca="1" si="19"/>
        <v>-19</v>
      </c>
      <c r="S22" s="122">
        <f t="shared" ca="1" si="19"/>
        <v>-19</v>
      </c>
      <c r="T22" s="122"/>
    </row>
    <row r="23" spans="1:20" x14ac:dyDescent="0.2">
      <c r="A23">
        <v>21</v>
      </c>
      <c r="B23" s="122">
        <f t="shared" ref="B23:S23" ca="1" si="20">OFFSET(B$2,0,0)-20</f>
        <v>-4</v>
      </c>
      <c r="C23" s="122">
        <f t="shared" ca="1" si="20"/>
        <v>-20</v>
      </c>
      <c r="D23" s="122">
        <f t="shared" ca="1" si="20"/>
        <v>-8</v>
      </c>
      <c r="E23" s="122">
        <f t="shared" ca="1" si="20"/>
        <v>-12</v>
      </c>
      <c r="F23" s="122">
        <f t="shared" ca="1" si="20"/>
        <v>-4</v>
      </c>
      <c r="G23" s="122">
        <f t="shared" ca="1" si="20"/>
        <v>-20</v>
      </c>
      <c r="H23" s="122">
        <f t="shared" ca="1" si="20"/>
        <v>-20</v>
      </c>
      <c r="I23" s="122">
        <f t="shared" ca="1" si="20"/>
        <v>-20</v>
      </c>
      <c r="J23" s="122">
        <f t="shared" ca="1" si="20"/>
        <v>-20</v>
      </c>
      <c r="K23" s="122">
        <f t="shared" ca="1" si="20"/>
        <v>-20</v>
      </c>
      <c r="L23" s="122">
        <f t="shared" ca="1" si="20"/>
        <v>-20</v>
      </c>
      <c r="M23" s="122">
        <f t="shared" ca="1" si="20"/>
        <v>-20</v>
      </c>
      <c r="N23" s="122">
        <f t="shared" ca="1" si="20"/>
        <v>-20</v>
      </c>
      <c r="O23" s="122">
        <f t="shared" ca="1" si="20"/>
        <v>-20</v>
      </c>
      <c r="P23" s="122">
        <f t="shared" ca="1" si="20"/>
        <v>-20</v>
      </c>
      <c r="Q23" s="122">
        <f t="shared" ca="1" si="20"/>
        <v>-20</v>
      </c>
      <c r="R23" s="122">
        <f t="shared" ca="1" si="20"/>
        <v>-20</v>
      </c>
      <c r="S23" s="122">
        <f t="shared" ca="1" si="20"/>
        <v>-20</v>
      </c>
      <c r="T23" s="122"/>
    </row>
    <row r="24" spans="1:20" x14ac:dyDescent="0.2">
      <c r="A24">
        <v>22</v>
      </c>
      <c r="B24" s="122">
        <f t="shared" ref="B24:S24" ca="1" si="21">OFFSET(B$2,0,0)-21</f>
        <v>-5</v>
      </c>
      <c r="C24" s="122">
        <f t="shared" ca="1" si="21"/>
        <v>-21</v>
      </c>
      <c r="D24" s="122">
        <f t="shared" ca="1" si="21"/>
        <v>-9</v>
      </c>
      <c r="E24" s="122">
        <f t="shared" ca="1" si="21"/>
        <v>-13</v>
      </c>
      <c r="F24" s="122">
        <f t="shared" ca="1" si="21"/>
        <v>-5</v>
      </c>
      <c r="G24" s="122">
        <f t="shared" ca="1" si="21"/>
        <v>-21</v>
      </c>
      <c r="H24" s="122">
        <f t="shared" ca="1" si="21"/>
        <v>-21</v>
      </c>
      <c r="I24" s="122">
        <f t="shared" ca="1" si="21"/>
        <v>-21</v>
      </c>
      <c r="J24" s="122">
        <f t="shared" ca="1" si="21"/>
        <v>-21</v>
      </c>
      <c r="K24" s="122">
        <f t="shared" ca="1" si="21"/>
        <v>-21</v>
      </c>
      <c r="L24" s="122">
        <f t="shared" ca="1" si="21"/>
        <v>-21</v>
      </c>
      <c r="M24" s="122">
        <f t="shared" ca="1" si="21"/>
        <v>-21</v>
      </c>
      <c r="N24" s="122">
        <f t="shared" ca="1" si="21"/>
        <v>-21</v>
      </c>
      <c r="O24" s="122">
        <f t="shared" ca="1" si="21"/>
        <v>-21</v>
      </c>
      <c r="P24" s="122">
        <f t="shared" ca="1" si="21"/>
        <v>-21</v>
      </c>
      <c r="Q24" s="122">
        <f t="shared" ca="1" si="21"/>
        <v>-21</v>
      </c>
      <c r="R24" s="122">
        <f t="shared" ca="1" si="21"/>
        <v>-21</v>
      </c>
      <c r="S24" s="122">
        <f t="shared" ca="1" si="21"/>
        <v>-21</v>
      </c>
      <c r="T24" s="122"/>
    </row>
    <row r="25" spans="1:20" x14ac:dyDescent="0.2">
      <c r="A25">
        <v>23</v>
      </c>
      <c r="B25" s="122">
        <f t="shared" ref="B25:S25" ca="1" si="22">OFFSET(B$2,0,0)-22</f>
        <v>-6</v>
      </c>
      <c r="C25" s="122">
        <f t="shared" ca="1" si="22"/>
        <v>-22</v>
      </c>
      <c r="D25" s="122">
        <f t="shared" ca="1" si="22"/>
        <v>-10</v>
      </c>
      <c r="E25" s="122">
        <f t="shared" ca="1" si="22"/>
        <v>-14</v>
      </c>
      <c r="F25" s="122">
        <f t="shared" ca="1" si="22"/>
        <v>-6</v>
      </c>
      <c r="G25" s="122">
        <f t="shared" ca="1" si="22"/>
        <v>-22</v>
      </c>
      <c r="H25" s="122">
        <f t="shared" ca="1" si="22"/>
        <v>-22</v>
      </c>
      <c r="I25" s="122">
        <f t="shared" ca="1" si="22"/>
        <v>-22</v>
      </c>
      <c r="J25" s="122">
        <f t="shared" ca="1" si="22"/>
        <v>-22</v>
      </c>
      <c r="K25" s="122">
        <f t="shared" ca="1" si="22"/>
        <v>-22</v>
      </c>
      <c r="L25" s="122">
        <f t="shared" ca="1" si="22"/>
        <v>-22</v>
      </c>
      <c r="M25" s="122">
        <f t="shared" ca="1" si="22"/>
        <v>-22</v>
      </c>
      <c r="N25" s="122">
        <f t="shared" ca="1" si="22"/>
        <v>-22</v>
      </c>
      <c r="O25" s="122">
        <f t="shared" ca="1" si="22"/>
        <v>-22</v>
      </c>
      <c r="P25" s="122">
        <f t="shared" ca="1" si="22"/>
        <v>-22</v>
      </c>
      <c r="Q25" s="122">
        <f t="shared" ca="1" si="22"/>
        <v>-22</v>
      </c>
      <c r="R25" s="122">
        <f t="shared" ca="1" si="22"/>
        <v>-22</v>
      </c>
      <c r="S25" s="122">
        <f t="shared" ca="1" si="22"/>
        <v>-22</v>
      </c>
      <c r="T25" s="122"/>
    </row>
    <row r="26" spans="1:20" x14ac:dyDescent="0.2">
      <c r="A26">
        <v>24</v>
      </c>
      <c r="B26" s="122">
        <f t="shared" ref="B26:S26" ca="1" si="23">OFFSET(B$2,0,0)-23</f>
        <v>-7</v>
      </c>
      <c r="C26" s="122">
        <f t="shared" ca="1" si="23"/>
        <v>-23</v>
      </c>
      <c r="D26" s="122">
        <f t="shared" ca="1" si="23"/>
        <v>-11</v>
      </c>
      <c r="E26" s="122">
        <f t="shared" ca="1" si="23"/>
        <v>-15</v>
      </c>
      <c r="F26" s="122">
        <f t="shared" ca="1" si="23"/>
        <v>-7</v>
      </c>
      <c r="G26" s="122">
        <f t="shared" ca="1" si="23"/>
        <v>-23</v>
      </c>
      <c r="H26" s="122">
        <f t="shared" ca="1" si="23"/>
        <v>-23</v>
      </c>
      <c r="I26" s="122">
        <f t="shared" ca="1" si="23"/>
        <v>-23</v>
      </c>
      <c r="J26" s="122">
        <f t="shared" ca="1" si="23"/>
        <v>-23</v>
      </c>
      <c r="K26" s="122">
        <f t="shared" ca="1" si="23"/>
        <v>-23</v>
      </c>
      <c r="L26" s="122">
        <f t="shared" ca="1" si="23"/>
        <v>-23</v>
      </c>
      <c r="M26" s="122">
        <f t="shared" ca="1" si="23"/>
        <v>-23</v>
      </c>
      <c r="N26" s="122">
        <f t="shared" ca="1" si="23"/>
        <v>-23</v>
      </c>
      <c r="O26" s="122">
        <f t="shared" ca="1" si="23"/>
        <v>-23</v>
      </c>
      <c r="P26" s="122">
        <f t="shared" ca="1" si="23"/>
        <v>-23</v>
      </c>
      <c r="Q26" s="122">
        <f t="shared" ca="1" si="23"/>
        <v>-23</v>
      </c>
      <c r="R26" s="122">
        <f t="shared" ca="1" si="23"/>
        <v>-23</v>
      </c>
      <c r="S26" s="122">
        <f t="shared" ca="1" si="23"/>
        <v>-23</v>
      </c>
      <c r="T26" s="122"/>
    </row>
    <row r="27" spans="1:20" x14ac:dyDescent="0.2">
      <c r="A27">
        <v>25</v>
      </c>
      <c r="B27" s="122">
        <f t="shared" ref="B27:S27" ca="1" si="24">OFFSET(B$2,0,0)-24</f>
        <v>-8</v>
      </c>
      <c r="C27" s="122">
        <f t="shared" ca="1" si="24"/>
        <v>-24</v>
      </c>
      <c r="D27" s="122">
        <f t="shared" ca="1" si="24"/>
        <v>-12</v>
      </c>
      <c r="E27" s="122">
        <f t="shared" ca="1" si="24"/>
        <v>-16</v>
      </c>
      <c r="F27" s="122">
        <f t="shared" ca="1" si="24"/>
        <v>-8</v>
      </c>
      <c r="G27" s="122">
        <f t="shared" ca="1" si="24"/>
        <v>-24</v>
      </c>
      <c r="H27" s="122">
        <f t="shared" ca="1" si="24"/>
        <v>-24</v>
      </c>
      <c r="I27" s="122">
        <f t="shared" ca="1" si="24"/>
        <v>-24</v>
      </c>
      <c r="J27" s="122">
        <f t="shared" ca="1" si="24"/>
        <v>-24</v>
      </c>
      <c r="K27" s="122">
        <f t="shared" ca="1" si="24"/>
        <v>-24</v>
      </c>
      <c r="L27" s="122">
        <f t="shared" ca="1" si="24"/>
        <v>-24</v>
      </c>
      <c r="M27" s="122">
        <f t="shared" ca="1" si="24"/>
        <v>-24</v>
      </c>
      <c r="N27" s="122">
        <f t="shared" ca="1" si="24"/>
        <v>-24</v>
      </c>
      <c r="O27" s="122">
        <f t="shared" ca="1" si="24"/>
        <v>-24</v>
      </c>
      <c r="P27" s="122">
        <f t="shared" ca="1" si="24"/>
        <v>-24</v>
      </c>
      <c r="Q27" s="122">
        <f t="shared" ca="1" si="24"/>
        <v>-24</v>
      </c>
      <c r="R27" s="122">
        <f t="shared" ca="1" si="24"/>
        <v>-24</v>
      </c>
      <c r="S27" s="122">
        <f t="shared" ca="1" si="24"/>
        <v>-24</v>
      </c>
      <c r="T27" s="122"/>
    </row>
    <row r="28" spans="1:20" x14ac:dyDescent="0.2">
      <c r="A28">
        <v>26</v>
      </c>
      <c r="B28" s="122">
        <f t="shared" ref="B28:S28" ca="1" si="25">OFFSET(B$2,0,0)-25</f>
        <v>-9</v>
      </c>
      <c r="C28" s="122">
        <f t="shared" ca="1" si="25"/>
        <v>-25</v>
      </c>
      <c r="D28" s="122">
        <f t="shared" ca="1" si="25"/>
        <v>-13</v>
      </c>
      <c r="E28" s="122">
        <f t="shared" ca="1" si="25"/>
        <v>-17</v>
      </c>
      <c r="F28" s="122">
        <f t="shared" ca="1" si="25"/>
        <v>-9</v>
      </c>
      <c r="G28" s="122">
        <f t="shared" ca="1" si="25"/>
        <v>-25</v>
      </c>
      <c r="H28" s="122">
        <f t="shared" ca="1" si="25"/>
        <v>-25</v>
      </c>
      <c r="I28" s="122">
        <f t="shared" ca="1" si="25"/>
        <v>-25</v>
      </c>
      <c r="J28" s="122">
        <f t="shared" ca="1" si="25"/>
        <v>-25</v>
      </c>
      <c r="K28" s="122">
        <f t="shared" ca="1" si="25"/>
        <v>-25</v>
      </c>
      <c r="L28" s="122">
        <f t="shared" ca="1" si="25"/>
        <v>-25</v>
      </c>
      <c r="M28" s="122">
        <f t="shared" ca="1" si="25"/>
        <v>-25</v>
      </c>
      <c r="N28" s="122">
        <f t="shared" ca="1" si="25"/>
        <v>-25</v>
      </c>
      <c r="O28" s="122">
        <f t="shared" ca="1" si="25"/>
        <v>-25</v>
      </c>
      <c r="P28" s="122">
        <f t="shared" ca="1" si="25"/>
        <v>-25</v>
      </c>
      <c r="Q28" s="122">
        <f t="shared" ca="1" si="25"/>
        <v>-25</v>
      </c>
      <c r="R28" s="122">
        <f t="shared" ca="1" si="25"/>
        <v>-25</v>
      </c>
      <c r="S28" s="122">
        <f t="shared" ca="1" si="25"/>
        <v>-25</v>
      </c>
      <c r="T28" s="122"/>
    </row>
    <row r="29" spans="1:20" x14ac:dyDescent="0.2">
      <c r="A29">
        <v>27</v>
      </c>
      <c r="B29" s="122">
        <f t="shared" ref="B29:S29" ca="1" si="26">OFFSET(B$2,0,0)-26</f>
        <v>-10</v>
      </c>
      <c r="C29" s="122">
        <f t="shared" ca="1" si="26"/>
        <v>-26</v>
      </c>
      <c r="D29" s="122">
        <f t="shared" ca="1" si="26"/>
        <v>-14</v>
      </c>
      <c r="E29" s="122">
        <f t="shared" ca="1" si="26"/>
        <v>-18</v>
      </c>
      <c r="F29" s="122">
        <f t="shared" ca="1" si="26"/>
        <v>-10</v>
      </c>
      <c r="G29" s="122">
        <f t="shared" ca="1" si="26"/>
        <v>-26</v>
      </c>
      <c r="H29" s="122">
        <f t="shared" ca="1" si="26"/>
        <v>-26</v>
      </c>
      <c r="I29" s="122">
        <f t="shared" ca="1" si="26"/>
        <v>-26</v>
      </c>
      <c r="J29" s="122">
        <f t="shared" ca="1" si="26"/>
        <v>-26</v>
      </c>
      <c r="K29" s="122">
        <f t="shared" ca="1" si="26"/>
        <v>-26</v>
      </c>
      <c r="L29" s="122">
        <f t="shared" ca="1" si="26"/>
        <v>-26</v>
      </c>
      <c r="M29" s="122">
        <f t="shared" ca="1" si="26"/>
        <v>-26</v>
      </c>
      <c r="N29" s="122">
        <f t="shared" ca="1" si="26"/>
        <v>-26</v>
      </c>
      <c r="O29" s="122">
        <f t="shared" ca="1" si="26"/>
        <v>-26</v>
      </c>
      <c r="P29" s="122">
        <f t="shared" ca="1" si="26"/>
        <v>-26</v>
      </c>
      <c r="Q29" s="122">
        <f t="shared" ca="1" si="26"/>
        <v>-26</v>
      </c>
      <c r="R29" s="122">
        <f t="shared" ca="1" si="26"/>
        <v>-26</v>
      </c>
      <c r="S29" s="122">
        <f t="shared" ca="1" si="26"/>
        <v>-26</v>
      </c>
      <c r="T29" s="122"/>
    </row>
    <row r="30" spans="1:20" x14ac:dyDescent="0.2">
      <c r="A30">
        <v>28</v>
      </c>
      <c r="B30" s="122">
        <f t="shared" ref="B30:S30" ca="1" si="27">OFFSET(B$2,0,0)-27</f>
        <v>-11</v>
      </c>
      <c r="C30" s="122">
        <f t="shared" ca="1" si="27"/>
        <v>-27</v>
      </c>
      <c r="D30" s="122">
        <f t="shared" ca="1" si="27"/>
        <v>-15</v>
      </c>
      <c r="E30" s="122">
        <f t="shared" ca="1" si="27"/>
        <v>-19</v>
      </c>
      <c r="F30" s="122">
        <f t="shared" ca="1" si="27"/>
        <v>-11</v>
      </c>
      <c r="G30" s="122">
        <f t="shared" ca="1" si="27"/>
        <v>-27</v>
      </c>
      <c r="H30" s="122">
        <f t="shared" ca="1" si="27"/>
        <v>-27</v>
      </c>
      <c r="I30" s="122">
        <f t="shared" ca="1" si="27"/>
        <v>-27</v>
      </c>
      <c r="J30" s="122">
        <f t="shared" ca="1" si="27"/>
        <v>-27</v>
      </c>
      <c r="K30" s="122">
        <f t="shared" ca="1" si="27"/>
        <v>-27</v>
      </c>
      <c r="L30" s="122">
        <f t="shared" ca="1" si="27"/>
        <v>-27</v>
      </c>
      <c r="M30" s="122">
        <f t="shared" ca="1" si="27"/>
        <v>-27</v>
      </c>
      <c r="N30" s="122">
        <f t="shared" ca="1" si="27"/>
        <v>-27</v>
      </c>
      <c r="O30" s="122">
        <f t="shared" ca="1" si="27"/>
        <v>-27</v>
      </c>
      <c r="P30" s="122">
        <f t="shared" ca="1" si="27"/>
        <v>-27</v>
      </c>
      <c r="Q30" s="122">
        <f t="shared" ca="1" si="27"/>
        <v>-27</v>
      </c>
      <c r="R30" s="122">
        <f t="shared" ca="1" si="27"/>
        <v>-27</v>
      </c>
      <c r="S30" s="122">
        <f t="shared" ca="1" si="27"/>
        <v>-27</v>
      </c>
      <c r="T30" s="1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29"/>
  <sheetViews>
    <sheetView zoomScaleNormal="100" zoomScalePageLayoutView="60" workbookViewId="0"/>
  </sheetViews>
  <sheetFormatPr defaultColWidth="8.5546875" defaultRowHeight="14.25" x14ac:dyDescent="0.2"/>
  <cols>
    <col min="1" max="1" width="13.109375" customWidth="1"/>
    <col min="2" max="2" width="15.5546875" customWidth="1"/>
    <col min="3" max="3" width="17.109375" customWidth="1"/>
    <col min="4" max="6" width="17.5546875" customWidth="1"/>
    <col min="7" max="7" width="20.77734375" customWidth="1"/>
    <col min="8" max="12" width="17.5546875" customWidth="1"/>
    <col min="14" max="14" width="9.77734375" customWidth="1"/>
    <col min="15" max="19" width="9.5546875" customWidth="1"/>
    <col min="26" max="26" width="9.109375" customWidth="1"/>
  </cols>
  <sheetData>
    <row r="1" spans="1:26" ht="18" x14ac:dyDescent="0.25">
      <c r="A1" s="123" t="s">
        <v>186</v>
      </c>
      <c r="B1" s="124">
        <v>2022</v>
      </c>
    </row>
    <row r="3" spans="1:26" x14ac:dyDescent="0.2">
      <c r="A3" s="125" t="s">
        <v>187</v>
      </c>
      <c r="B3" s="126" t="s">
        <v>188</v>
      </c>
      <c r="T3" t="s">
        <v>189</v>
      </c>
    </row>
    <row r="5" spans="1:26" x14ac:dyDescent="0.2">
      <c r="B5" s="127" t="s">
        <v>190</v>
      </c>
      <c r="C5" s="127" t="s">
        <v>191</v>
      </c>
      <c r="D5" s="127" t="s">
        <v>191</v>
      </c>
      <c r="E5" s="127" t="s">
        <v>192</v>
      </c>
      <c r="F5" s="128">
        <v>44676</v>
      </c>
      <c r="G5" s="128"/>
      <c r="H5" s="127"/>
      <c r="I5" s="127"/>
      <c r="J5" s="127"/>
      <c r="K5" s="127"/>
      <c r="L5" s="127" t="s">
        <v>193</v>
      </c>
      <c r="T5" t="s">
        <v>194</v>
      </c>
      <c r="W5">
        <v>2021</v>
      </c>
      <c r="X5">
        <v>2020</v>
      </c>
      <c r="Y5">
        <v>2019</v>
      </c>
      <c r="Z5" t="s">
        <v>195</v>
      </c>
    </row>
    <row r="6" spans="1:26" x14ac:dyDescent="0.2">
      <c r="A6" s="126" t="s">
        <v>196</v>
      </c>
      <c r="B6" s="129" t="s">
        <v>197</v>
      </c>
      <c r="C6" s="129" t="s">
        <v>198</v>
      </c>
      <c r="D6" s="129" t="s">
        <v>199</v>
      </c>
      <c r="E6" s="129" t="s">
        <v>200</v>
      </c>
      <c r="F6" s="129" t="s">
        <v>201</v>
      </c>
      <c r="G6" s="129" t="s">
        <v>202</v>
      </c>
      <c r="H6" s="129" t="s">
        <v>203</v>
      </c>
      <c r="I6" s="129" t="s">
        <v>204</v>
      </c>
      <c r="J6" s="129"/>
      <c r="K6" s="129" t="s">
        <v>196</v>
      </c>
      <c r="L6" s="130">
        <v>44676</v>
      </c>
      <c r="M6" t="s">
        <v>205</v>
      </c>
      <c r="N6" t="s">
        <v>206</v>
      </c>
      <c r="O6" t="s">
        <v>207</v>
      </c>
      <c r="P6" t="s">
        <v>208</v>
      </c>
      <c r="Q6" t="s">
        <v>209</v>
      </c>
      <c r="R6" t="s">
        <v>210</v>
      </c>
      <c r="S6" t="s">
        <v>211</v>
      </c>
      <c r="T6">
        <v>2021</v>
      </c>
      <c r="U6">
        <v>2020</v>
      </c>
      <c r="V6">
        <v>2019</v>
      </c>
      <c r="W6" t="s">
        <v>199</v>
      </c>
      <c r="X6" t="s">
        <v>199</v>
      </c>
      <c r="Y6" t="s">
        <v>199</v>
      </c>
    </row>
    <row r="7" spans="1:26" x14ac:dyDescent="0.2">
      <c r="A7" t="s">
        <v>41</v>
      </c>
      <c r="B7" s="55">
        <f t="shared" ref="B7:B25" si="0">MIN(M7:S7)</f>
        <v>1</v>
      </c>
      <c r="C7" s="131">
        <f t="shared" ref="C7:C22" si="1">AVERAGE(T7:V7)</f>
        <v>13.333333333333334</v>
      </c>
      <c r="D7" s="132">
        <f t="shared" ref="D7:D22" si="2">AVERAGE(W7:Y7)</f>
        <v>16.166666666666668</v>
      </c>
      <c r="E7" s="132">
        <v>8.1999999999999993</v>
      </c>
      <c r="F7" s="132">
        <v>9.6</v>
      </c>
      <c r="G7" s="132">
        <f>Table1[[#This Row],[Current Hdcp]]-Table1[[#This Row],[Lowest Hdcp]]</f>
        <v>1.4000000000000004</v>
      </c>
      <c r="H7" s="133" t="s">
        <v>212</v>
      </c>
      <c r="I7" s="132"/>
      <c r="J7" s="132"/>
      <c r="K7" s="134" t="s">
        <v>41</v>
      </c>
      <c r="L7" s="135">
        <v>9.6</v>
      </c>
      <c r="M7">
        <v>1</v>
      </c>
      <c r="N7">
        <v>7</v>
      </c>
      <c r="O7">
        <v>6</v>
      </c>
      <c r="P7">
        <v>2</v>
      </c>
      <c r="Q7">
        <v>8</v>
      </c>
      <c r="R7">
        <v>5</v>
      </c>
      <c r="T7">
        <v>15</v>
      </c>
      <c r="U7">
        <v>14</v>
      </c>
      <c r="V7">
        <v>11</v>
      </c>
      <c r="W7">
        <v>19</v>
      </c>
      <c r="X7">
        <v>14.3</v>
      </c>
      <c r="Y7">
        <v>15.2</v>
      </c>
      <c r="Z7" s="136">
        <f t="shared" ref="Z7:Z22" si="3">AVERAGE(W7:Y7)</f>
        <v>16.166666666666668</v>
      </c>
    </row>
    <row r="8" spans="1:26" x14ac:dyDescent="0.2">
      <c r="A8" t="s">
        <v>213</v>
      </c>
      <c r="B8" s="55">
        <f t="shared" si="0"/>
        <v>1</v>
      </c>
      <c r="C8" s="131">
        <f t="shared" si="1"/>
        <v>13.666666666666666</v>
      </c>
      <c r="D8" s="132">
        <f t="shared" si="2"/>
        <v>15.966666666666669</v>
      </c>
      <c r="E8" s="132">
        <v>4.0999999999999996</v>
      </c>
      <c r="F8" s="132">
        <v>4.0999999999999996</v>
      </c>
      <c r="G8" s="132">
        <f>Table1[[#This Row],[Current Hdcp]]-Table1[[#This Row],[Lowest Hdcp]]</f>
        <v>0</v>
      </c>
      <c r="H8" s="137" t="s">
        <v>214</v>
      </c>
      <c r="I8" s="132"/>
      <c r="J8" s="132"/>
      <c r="K8" s="138" t="s">
        <v>213</v>
      </c>
      <c r="L8" s="139">
        <v>4.0999999999999996</v>
      </c>
      <c r="M8">
        <v>2</v>
      </c>
      <c r="O8">
        <v>3</v>
      </c>
      <c r="P8">
        <v>7</v>
      </c>
      <c r="Q8">
        <v>7</v>
      </c>
      <c r="R8">
        <v>1</v>
      </c>
      <c r="S8">
        <v>2</v>
      </c>
      <c r="T8">
        <v>16</v>
      </c>
      <c r="U8">
        <v>13</v>
      </c>
      <c r="V8">
        <v>12</v>
      </c>
      <c r="W8">
        <v>20.7</v>
      </c>
      <c r="X8">
        <v>11.5</v>
      </c>
      <c r="Y8">
        <v>15.7</v>
      </c>
      <c r="Z8" s="136">
        <f t="shared" si="3"/>
        <v>15.966666666666669</v>
      </c>
    </row>
    <row r="9" spans="1:26" x14ac:dyDescent="0.2">
      <c r="A9" t="s">
        <v>52</v>
      </c>
      <c r="B9" s="55">
        <f t="shared" si="0"/>
        <v>2</v>
      </c>
      <c r="C9" s="131">
        <f t="shared" si="1"/>
        <v>16</v>
      </c>
      <c r="D9" s="132">
        <f t="shared" si="2"/>
        <v>13.766666666666666</v>
      </c>
      <c r="E9" s="132">
        <v>8.1999999999999993</v>
      </c>
      <c r="F9" s="132">
        <v>8.5</v>
      </c>
      <c r="G9" s="132">
        <f>Table1[[#This Row],[Current Hdcp]]-Table1[[#This Row],[Lowest Hdcp]]</f>
        <v>0.30000000000000071</v>
      </c>
      <c r="H9" s="133" t="s">
        <v>215</v>
      </c>
      <c r="I9" s="132"/>
      <c r="J9" s="132"/>
      <c r="K9" s="134" t="s">
        <v>52</v>
      </c>
      <c r="L9" s="135">
        <v>8.5</v>
      </c>
      <c r="M9">
        <v>3</v>
      </c>
      <c r="N9">
        <v>4</v>
      </c>
      <c r="O9">
        <v>2</v>
      </c>
      <c r="P9">
        <v>5</v>
      </c>
      <c r="Q9">
        <v>6</v>
      </c>
      <c r="T9">
        <v>17</v>
      </c>
      <c r="U9">
        <v>18</v>
      </c>
      <c r="V9">
        <v>13</v>
      </c>
      <c r="W9">
        <v>16.5</v>
      </c>
      <c r="X9">
        <v>11.7</v>
      </c>
      <c r="Y9">
        <v>13.1</v>
      </c>
      <c r="Z9" s="136">
        <f t="shared" si="3"/>
        <v>13.766666666666666</v>
      </c>
    </row>
    <row r="10" spans="1:26" x14ac:dyDescent="0.2">
      <c r="A10" t="s">
        <v>40</v>
      </c>
      <c r="B10" s="55">
        <f t="shared" si="0"/>
        <v>1</v>
      </c>
      <c r="C10" s="131">
        <f t="shared" si="1"/>
        <v>13.666666666666666</v>
      </c>
      <c r="D10" s="132">
        <f t="shared" si="2"/>
        <v>16.433333333333334</v>
      </c>
      <c r="E10" s="132">
        <v>2.6</v>
      </c>
      <c r="F10" s="132">
        <v>5</v>
      </c>
      <c r="G10" s="132">
        <f>Table1[[#This Row],[Current Hdcp]]-Table1[[#This Row],[Lowest Hdcp]]</f>
        <v>2.4</v>
      </c>
      <c r="H10" s="133" t="s">
        <v>212</v>
      </c>
      <c r="I10" s="132"/>
      <c r="J10" s="132"/>
      <c r="K10" s="138" t="s">
        <v>40</v>
      </c>
      <c r="L10" s="139">
        <v>5</v>
      </c>
      <c r="M10">
        <v>4</v>
      </c>
      <c r="N10">
        <v>1</v>
      </c>
      <c r="O10">
        <v>5</v>
      </c>
      <c r="P10">
        <v>1</v>
      </c>
      <c r="Q10">
        <v>1</v>
      </c>
      <c r="R10">
        <v>4</v>
      </c>
      <c r="S10">
        <v>5</v>
      </c>
      <c r="T10">
        <v>14</v>
      </c>
      <c r="U10">
        <v>15</v>
      </c>
      <c r="V10">
        <v>12</v>
      </c>
      <c r="W10">
        <v>20.7</v>
      </c>
      <c r="X10">
        <v>14.6</v>
      </c>
      <c r="Y10">
        <v>14</v>
      </c>
      <c r="Z10" s="136">
        <f t="shared" si="3"/>
        <v>16.433333333333334</v>
      </c>
    </row>
    <row r="11" spans="1:26" x14ac:dyDescent="0.2">
      <c r="A11" t="s">
        <v>216</v>
      </c>
      <c r="B11" s="55">
        <f t="shared" si="0"/>
        <v>5</v>
      </c>
      <c r="C11" s="131">
        <f t="shared" si="1"/>
        <v>9.6666666666666661</v>
      </c>
      <c r="D11" s="132">
        <f t="shared" si="2"/>
        <v>15.866666666666665</v>
      </c>
      <c r="E11" s="132">
        <v>5.7</v>
      </c>
      <c r="F11" s="132">
        <v>9.8000000000000007</v>
      </c>
      <c r="G11" s="132">
        <f>Table1[[#This Row],[Current Hdcp]]-Table1[[#This Row],[Lowest Hdcp]]</f>
        <v>4.1000000000000005</v>
      </c>
      <c r="H11" s="133" t="s">
        <v>217</v>
      </c>
      <c r="I11" s="132"/>
      <c r="J11" s="132"/>
      <c r="K11" s="134" t="s">
        <v>216</v>
      </c>
      <c r="L11" s="135">
        <v>9.8000000000000007</v>
      </c>
      <c r="M11">
        <v>5</v>
      </c>
      <c r="N11">
        <v>5</v>
      </c>
      <c r="P11">
        <v>6</v>
      </c>
      <c r="T11">
        <v>14</v>
      </c>
      <c r="U11">
        <v>12</v>
      </c>
      <c r="V11">
        <v>3</v>
      </c>
      <c r="W11">
        <v>16.8</v>
      </c>
      <c r="X11">
        <v>17</v>
      </c>
      <c r="Y11">
        <v>13.8</v>
      </c>
      <c r="Z11" s="136">
        <f t="shared" si="3"/>
        <v>15.866666666666665</v>
      </c>
    </row>
    <row r="12" spans="1:26" x14ac:dyDescent="0.2">
      <c r="A12" t="s">
        <v>47</v>
      </c>
      <c r="B12" s="55">
        <f t="shared" si="0"/>
        <v>1</v>
      </c>
      <c r="C12" s="131">
        <f t="shared" si="1"/>
        <v>12.333333333333334</v>
      </c>
      <c r="D12" s="132">
        <f t="shared" si="2"/>
        <v>16.7</v>
      </c>
      <c r="E12" s="132">
        <v>13.5</v>
      </c>
      <c r="F12" s="132">
        <v>17.600000000000001</v>
      </c>
      <c r="G12" s="132">
        <f>Table1[[#This Row],[Current Hdcp]]-Table1[[#This Row],[Lowest Hdcp]]</f>
        <v>4.1000000000000014</v>
      </c>
      <c r="H12" s="137" t="s">
        <v>218</v>
      </c>
      <c r="I12" s="132"/>
      <c r="J12" s="132"/>
      <c r="K12" s="138" t="s">
        <v>47</v>
      </c>
      <c r="L12" s="139">
        <v>17.600000000000001</v>
      </c>
      <c r="M12">
        <v>6</v>
      </c>
      <c r="O12">
        <v>1</v>
      </c>
      <c r="R12">
        <v>8</v>
      </c>
      <c r="S12">
        <v>7</v>
      </c>
      <c r="T12">
        <v>14</v>
      </c>
      <c r="U12">
        <v>13</v>
      </c>
      <c r="V12">
        <v>10</v>
      </c>
      <c r="W12">
        <v>19.7</v>
      </c>
      <c r="X12">
        <v>13</v>
      </c>
      <c r="Y12">
        <v>17.399999999999999</v>
      </c>
      <c r="Z12" s="136">
        <f t="shared" si="3"/>
        <v>16.7</v>
      </c>
    </row>
    <row r="13" spans="1:26" x14ac:dyDescent="0.2">
      <c r="A13" t="s">
        <v>56</v>
      </c>
      <c r="B13" s="55">
        <f t="shared" si="0"/>
        <v>2</v>
      </c>
      <c r="C13" s="131">
        <f t="shared" si="1"/>
        <v>11.666666666666666</v>
      </c>
      <c r="D13" s="132">
        <f t="shared" si="2"/>
        <v>15.566666666666665</v>
      </c>
      <c r="E13" s="132">
        <v>15.9</v>
      </c>
      <c r="F13" s="132">
        <v>15.9</v>
      </c>
      <c r="G13" s="132">
        <f>Table1[[#This Row],[Current Hdcp]]-Table1[[#This Row],[Lowest Hdcp]]</f>
        <v>0</v>
      </c>
      <c r="H13" s="137" t="s">
        <v>212</v>
      </c>
      <c r="I13" s="132"/>
      <c r="J13" s="132"/>
      <c r="K13" s="134" t="s">
        <v>56</v>
      </c>
      <c r="L13" s="135">
        <v>15.9</v>
      </c>
      <c r="M13">
        <v>7</v>
      </c>
      <c r="N13">
        <v>2</v>
      </c>
      <c r="O13">
        <v>7</v>
      </c>
      <c r="T13">
        <v>10</v>
      </c>
      <c r="U13">
        <v>14</v>
      </c>
      <c r="V13">
        <v>11</v>
      </c>
      <c r="W13">
        <v>21.4</v>
      </c>
      <c r="X13">
        <v>12.9</v>
      </c>
      <c r="Y13">
        <v>12.4</v>
      </c>
      <c r="Z13" s="136">
        <f t="shared" si="3"/>
        <v>15.566666666666665</v>
      </c>
    </row>
    <row r="14" spans="1:26" x14ac:dyDescent="0.2">
      <c r="A14" t="s">
        <v>42</v>
      </c>
      <c r="B14" s="55">
        <f t="shared" si="0"/>
        <v>8</v>
      </c>
      <c r="C14" s="131">
        <f t="shared" si="1"/>
        <v>14.5</v>
      </c>
      <c r="D14" s="132">
        <f t="shared" si="2"/>
        <v>15.5</v>
      </c>
      <c r="E14" s="132">
        <v>7.1</v>
      </c>
      <c r="F14" s="132">
        <v>9.1999999999999993</v>
      </c>
      <c r="G14" s="132">
        <f>Table1[[#This Row],[Current Hdcp]]-Table1[[#This Row],[Lowest Hdcp]]</f>
        <v>2.0999999999999996</v>
      </c>
      <c r="H14" s="133" t="s">
        <v>219</v>
      </c>
      <c r="I14" s="132"/>
      <c r="J14" s="132"/>
      <c r="K14" s="138" t="s">
        <v>42</v>
      </c>
      <c r="L14" s="139">
        <v>9.1999999999999993</v>
      </c>
      <c r="M14">
        <v>8</v>
      </c>
      <c r="N14">
        <v>8</v>
      </c>
      <c r="T14">
        <v>15</v>
      </c>
      <c r="U14">
        <v>14</v>
      </c>
      <c r="W14">
        <v>17.8</v>
      </c>
      <c r="X14">
        <v>13.2</v>
      </c>
      <c r="Z14" s="136">
        <f t="shared" si="3"/>
        <v>15.5</v>
      </c>
    </row>
    <row r="15" spans="1:26" x14ac:dyDescent="0.2">
      <c r="A15" t="s">
        <v>49</v>
      </c>
      <c r="B15" s="55">
        <f t="shared" si="0"/>
        <v>9</v>
      </c>
      <c r="C15" s="131">
        <f t="shared" si="1"/>
        <v>12</v>
      </c>
      <c r="D15" s="132">
        <f t="shared" si="2"/>
        <v>18</v>
      </c>
      <c r="E15" s="132">
        <v>11.7</v>
      </c>
      <c r="F15" s="132">
        <v>14.9</v>
      </c>
      <c r="G15" s="132">
        <f>Table1[[#This Row],[Current Hdcp]]-Table1[[#This Row],[Lowest Hdcp]]</f>
        <v>3.2000000000000011</v>
      </c>
      <c r="H15" s="137" t="s">
        <v>218</v>
      </c>
      <c r="I15" s="132"/>
      <c r="J15" s="132"/>
      <c r="K15" s="134" t="s">
        <v>49</v>
      </c>
      <c r="L15" s="135">
        <v>14.9</v>
      </c>
      <c r="M15">
        <v>9</v>
      </c>
      <c r="T15">
        <v>12</v>
      </c>
      <c r="W15">
        <v>18</v>
      </c>
      <c r="Z15" s="136">
        <f t="shared" si="3"/>
        <v>18</v>
      </c>
    </row>
    <row r="16" spans="1:26" x14ac:dyDescent="0.2">
      <c r="A16" t="s">
        <v>50</v>
      </c>
      <c r="B16" s="55">
        <f t="shared" si="0"/>
        <v>4</v>
      </c>
      <c r="C16" s="131">
        <f t="shared" si="1"/>
        <v>14.5</v>
      </c>
      <c r="D16" s="132">
        <f t="shared" si="2"/>
        <v>14.9</v>
      </c>
      <c r="E16" s="132">
        <v>11.2</v>
      </c>
      <c r="F16" s="132">
        <v>16.100000000000001</v>
      </c>
      <c r="G16" s="132">
        <f>Table1[[#This Row],[Current Hdcp]]-Table1[[#This Row],[Lowest Hdcp]]</f>
        <v>4.9000000000000021</v>
      </c>
      <c r="H16" s="137" t="s">
        <v>220</v>
      </c>
      <c r="I16" s="132"/>
      <c r="J16" s="132"/>
      <c r="K16" s="138" t="s">
        <v>50</v>
      </c>
      <c r="L16" s="139">
        <v>16.100000000000001</v>
      </c>
      <c r="M16">
        <v>10</v>
      </c>
      <c r="N16">
        <v>6</v>
      </c>
      <c r="O16">
        <v>4</v>
      </c>
      <c r="P16">
        <v>4</v>
      </c>
      <c r="S16">
        <v>8</v>
      </c>
      <c r="T16">
        <v>13</v>
      </c>
      <c r="U16">
        <v>16</v>
      </c>
      <c r="W16">
        <v>16.5</v>
      </c>
      <c r="X16">
        <v>12.6</v>
      </c>
      <c r="Y16">
        <v>15.6</v>
      </c>
      <c r="Z16" s="136">
        <f t="shared" si="3"/>
        <v>14.9</v>
      </c>
    </row>
    <row r="17" spans="1:26" x14ac:dyDescent="0.2">
      <c r="A17" t="s">
        <v>54</v>
      </c>
      <c r="B17" s="55">
        <f t="shared" si="0"/>
        <v>3</v>
      </c>
      <c r="C17" s="131">
        <f t="shared" si="1"/>
        <v>10</v>
      </c>
      <c r="D17" s="132">
        <f t="shared" si="2"/>
        <v>14.733333333333334</v>
      </c>
      <c r="E17" s="132">
        <v>18.2</v>
      </c>
      <c r="F17" s="132">
        <v>18.2</v>
      </c>
      <c r="G17" s="132">
        <f>Table1[[#This Row],[Current Hdcp]]-Table1[[#This Row],[Lowest Hdcp]]</f>
        <v>0</v>
      </c>
      <c r="H17" s="137" t="s">
        <v>221</v>
      </c>
      <c r="I17" s="132"/>
      <c r="J17" s="132"/>
      <c r="K17" s="134" t="s">
        <v>54</v>
      </c>
      <c r="L17" s="135">
        <v>18.2</v>
      </c>
      <c r="M17">
        <v>11</v>
      </c>
      <c r="N17">
        <v>3</v>
      </c>
      <c r="Q17">
        <v>3</v>
      </c>
      <c r="T17">
        <v>12</v>
      </c>
      <c r="U17">
        <v>13</v>
      </c>
      <c r="V17">
        <v>5</v>
      </c>
      <c r="W17">
        <v>15.2</v>
      </c>
      <c r="X17">
        <v>16</v>
      </c>
      <c r="Y17">
        <v>13</v>
      </c>
      <c r="Z17" s="136">
        <f t="shared" si="3"/>
        <v>14.733333333333334</v>
      </c>
    </row>
    <row r="18" spans="1:26" x14ac:dyDescent="0.2">
      <c r="A18" t="s">
        <v>48</v>
      </c>
      <c r="B18" s="55">
        <f t="shared" si="0"/>
        <v>12</v>
      </c>
      <c r="C18" s="131">
        <f t="shared" si="1"/>
        <v>11</v>
      </c>
      <c r="D18" s="132">
        <f t="shared" si="2"/>
        <v>14.9</v>
      </c>
      <c r="E18" s="132">
        <v>7.1</v>
      </c>
      <c r="F18" s="132">
        <v>10.1</v>
      </c>
      <c r="G18" s="132">
        <f>Table1[[#This Row],[Current Hdcp]]-Table1[[#This Row],[Lowest Hdcp]]</f>
        <v>3</v>
      </c>
      <c r="H18" s="137" t="s">
        <v>220</v>
      </c>
      <c r="I18" s="132"/>
      <c r="J18" s="132"/>
      <c r="K18" s="138" t="s">
        <v>48</v>
      </c>
      <c r="L18" s="139">
        <v>10.1</v>
      </c>
      <c r="M18">
        <v>12</v>
      </c>
      <c r="T18">
        <v>11</v>
      </c>
      <c r="W18">
        <v>14.9</v>
      </c>
      <c r="Z18" s="136">
        <f t="shared" si="3"/>
        <v>14.9</v>
      </c>
    </row>
    <row r="19" spans="1:26" x14ac:dyDescent="0.2">
      <c r="A19" t="s">
        <v>46</v>
      </c>
      <c r="B19" s="55">
        <f t="shared" si="0"/>
        <v>13</v>
      </c>
      <c r="C19" s="131">
        <f t="shared" si="1"/>
        <v>10</v>
      </c>
      <c r="D19" s="132">
        <f t="shared" si="2"/>
        <v>15.4</v>
      </c>
      <c r="E19" s="132">
        <v>14.7</v>
      </c>
      <c r="F19" s="132">
        <v>14.7</v>
      </c>
      <c r="G19" s="132">
        <f>Table1[[#This Row],[Current Hdcp]]-Table1[[#This Row],[Lowest Hdcp]]</f>
        <v>0</v>
      </c>
      <c r="H19" s="137" t="s">
        <v>222</v>
      </c>
      <c r="I19" s="132"/>
      <c r="J19" s="132"/>
      <c r="K19" s="134" t="s">
        <v>223</v>
      </c>
      <c r="L19" s="135">
        <v>14.7</v>
      </c>
      <c r="M19">
        <v>13</v>
      </c>
      <c r="T19">
        <v>10</v>
      </c>
      <c r="W19">
        <v>15.4</v>
      </c>
      <c r="Z19" s="136">
        <f t="shared" si="3"/>
        <v>15.4</v>
      </c>
    </row>
    <row r="20" spans="1:26" x14ac:dyDescent="0.2">
      <c r="A20" t="s">
        <v>53</v>
      </c>
      <c r="B20" s="55">
        <f t="shared" si="0"/>
        <v>14</v>
      </c>
      <c r="C20" s="131">
        <f t="shared" si="1"/>
        <v>9</v>
      </c>
      <c r="D20" s="132">
        <f t="shared" si="2"/>
        <v>12.9</v>
      </c>
      <c r="E20" s="132">
        <v>15.9</v>
      </c>
      <c r="F20" s="132">
        <v>15.9</v>
      </c>
      <c r="G20" s="132">
        <f>Table1[[#This Row],[Current Hdcp]]-Table1[[#This Row],[Lowest Hdcp]]</f>
        <v>0</v>
      </c>
      <c r="H20" s="137" t="s">
        <v>222</v>
      </c>
      <c r="I20" s="132"/>
      <c r="J20" s="132"/>
      <c r="K20" s="138" t="s">
        <v>53</v>
      </c>
      <c r="L20" s="139">
        <v>15.9</v>
      </c>
      <c r="M20">
        <v>14</v>
      </c>
      <c r="T20">
        <v>9</v>
      </c>
      <c r="W20">
        <v>12.9</v>
      </c>
      <c r="Z20" s="136">
        <f t="shared" si="3"/>
        <v>12.9</v>
      </c>
    </row>
    <row r="21" spans="1:26" x14ac:dyDescent="0.2">
      <c r="A21" t="s">
        <v>37</v>
      </c>
      <c r="B21" s="55">
        <f t="shared" si="0"/>
        <v>3</v>
      </c>
      <c r="C21" s="131">
        <f t="shared" si="1"/>
        <v>7.333333333333333</v>
      </c>
      <c r="D21" s="132">
        <f t="shared" si="2"/>
        <v>11.966666666666667</v>
      </c>
      <c r="E21" s="132">
        <v>9</v>
      </c>
      <c r="F21" s="132">
        <v>10</v>
      </c>
      <c r="G21" s="132">
        <f>Table1[[#This Row],[Current Hdcp]]-Table1[[#This Row],[Lowest Hdcp]]</f>
        <v>1</v>
      </c>
      <c r="H21" s="137" t="s">
        <v>222</v>
      </c>
      <c r="I21" s="132"/>
      <c r="J21" s="132"/>
      <c r="K21" s="134" t="s">
        <v>37</v>
      </c>
      <c r="L21" s="135">
        <v>10</v>
      </c>
      <c r="M21">
        <v>15</v>
      </c>
      <c r="Q21">
        <v>4</v>
      </c>
      <c r="R21">
        <v>3</v>
      </c>
      <c r="S21">
        <v>3</v>
      </c>
      <c r="T21">
        <v>6</v>
      </c>
      <c r="U21">
        <v>9</v>
      </c>
      <c r="V21">
        <v>7</v>
      </c>
      <c r="W21">
        <v>13</v>
      </c>
      <c r="X21">
        <v>9.8000000000000007</v>
      </c>
      <c r="Y21">
        <v>13.1</v>
      </c>
      <c r="Z21" s="136">
        <f t="shared" si="3"/>
        <v>11.966666666666667</v>
      </c>
    </row>
    <row r="22" spans="1:26" x14ac:dyDescent="0.2">
      <c r="A22" t="s">
        <v>51</v>
      </c>
      <c r="B22" s="55">
        <f t="shared" si="0"/>
        <v>3</v>
      </c>
      <c r="C22" s="131">
        <f t="shared" si="1"/>
        <v>12.333333333333334</v>
      </c>
      <c r="D22" s="132">
        <f t="shared" si="2"/>
        <v>8.7333333333333343</v>
      </c>
      <c r="E22" s="132">
        <v>20.2</v>
      </c>
      <c r="F22" s="132">
        <v>20.3</v>
      </c>
      <c r="G22" s="132">
        <f>Table1[[#This Row],[Current Hdcp]]-Table1[[#This Row],[Lowest Hdcp]]</f>
        <v>0.10000000000000142</v>
      </c>
      <c r="H22" s="137" t="s">
        <v>224</v>
      </c>
      <c r="I22" s="132"/>
      <c r="J22" s="132"/>
      <c r="K22" s="138" t="s">
        <v>51</v>
      </c>
      <c r="L22" s="139">
        <v>20.3</v>
      </c>
      <c r="M22">
        <v>16</v>
      </c>
      <c r="P22">
        <v>3</v>
      </c>
      <c r="S22">
        <v>6</v>
      </c>
      <c r="T22">
        <v>10</v>
      </c>
      <c r="U22">
        <v>15</v>
      </c>
      <c r="V22">
        <v>12</v>
      </c>
      <c r="W22">
        <v>7.5</v>
      </c>
      <c r="X22">
        <v>9.8000000000000007</v>
      </c>
      <c r="Y22">
        <v>8.9</v>
      </c>
      <c r="Z22" s="136">
        <f t="shared" si="3"/>
        <v>8.7333333333333343</v>
      </c>
    </row>
    <row r="23" spans="1:26" x14ac:dyDescent="0.2">
      <c r="A23" t="s">
        <v>55</v>
      </c>
      <c r="B23" s="55">
        <f t="shared" si="0"/>
        <v>1</v>
      </c>
      <c r="C23" s="131" t="s">
        <v>225</v>
      </c>
      <c r="D23" s="132" t="s">
        <v>225</v>
      </c>
      <c r="E23" s="132"/>
      <c r="F23" s="132">
        <v>9.5</v>
      </c>
      <c r="G23" s="132">
        <f>Table1[[#This Row],[Current Hdcp]]-Table1[[#This Row],[Lowest Hdcp]]</f>
        <v>9.5</v>
      </c>
      <c r="H23" s="137" t="s">
        <v>224</v>
      </c>
      <c r="I23" s="132"/>
      <c r="J23" s="132"/>
      <c r="K23" s="134" t="s">
        <v>55</v>
      </c>
      <c r="L23" s="135">
        <v>9.5</v>
      </c>
      <c r="P23">
        <v>8</v>
      </c>
      <c r="Q23">
        <v>2</v>
      </c>
      <c r="R23">
        <v>2</v>
      </c>
      <c r="S23">
        <v>1</v>
      </c>
    </row>
    <row r="24" spans="1:26" x14ac:dyDescent="0.2">
      <c r="A24" t="s">
        <v>226</v>
      </c>
      <c r="B24" s="55">
        <f t="shared" si="0"/>
        <v>0</v>
      </c>
      <c r="C24" s="131" t="s">
        <v>225</v>
      </c>
      <c r="D24" s="132" t="s">
        <v>225</v>
      </c>
      <c r="E24" s="132">
        <v>14.9</v>
      </c>
      <c r="F24" s="132">
        <v>19.899999999999999</v>
      </c>
      <c r="G24" s="132">
        <f>Table1[[#This Row],[Current Hdcp]]-Table1[[#This Row],[Lowest Hdcp]]</f>
        <v>4.9999999999999982</v>
      </c>
      <c r="H24" s="137" t="s">
        <v>220</v>
      </c>
      <c r="K24" s="140" t="s">
        <v>227</v>
      </c>
      <c r="L24" s="139">
        <v>19.899999999999999</v>
      </c>
    </row>
    <row r="25" spans="1:26" x14ac:dyDescent="0.2">
      <c r="A25" t="s">
        <v>43</v>
      </c>
      <c r="B25" s="55">
        <f t="shared" si="0"/>
        <v>0</v>
      </c>
      <c r="C25" s="131" t="s">
        <v>225</v>
      </c>
      <c r="D25" s="132" t="s">
        <v>225</v>
      </c>
      <c r="E25" s="132">
        <v>5.5</v>
      </c>
      <c r="F25" s="132">
        <v>7.3</v>
      </c>
      <c r="G25" s="132">
        <f>Table1[[#This Row],[Current Hdcp]]-Table1[[#This Row],[Lowest Hdcp]]</f>
        <v>1.7999999999999998</v>
      </c>
      <c r="H25" s="137" t="s">
        <v>222</v>
      </c>
      <c r="K25" s="141" t="s">
        <v>43</v>
      </c>
      <c r="L25" s="135">
        <v>7.3</v>
      </c>
    </row>
    <row r="26" spans="1:26" x14ac:dyDescent="0.2">
      <c r="H26" s="122"/>
    </row>
    <row r="27" spans="1:26" x14ac:dyDescent="0.2">
      <c r="H27" s="122"/>
    </row>
    <row r="28" spans="1:26" x14ac:dyDescent="0.2">
      <c r="H28" s="122"/>
    </row>
    <row r="29" spans="1:26" x14ac:dyDescent="0.2">
      <c r="H29" s="122"/>
    </row>
  </sheetData>
  <pageMargins left="0.7" right="0.7" top="0.75" bottom="0.75" header="0.511811023622047" footer="0.511811023622047"/>
  <pageSetup fitToHeight="0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V42"/>
  <sheetViews>
    <sheetView zoomScaleNormal="100" zoomScalePageLayoutView="60" workbookViewId="0"/>
  </sheetViews>
  <sheetFormatPr defaultColWidth="8.5546875" defaultRowHeight="14.25" x14ac:dyDescent="0.2"/>
  <cols>
    <col min="1" max="1" width="11.88671875" customWidth="1"/>
    <col min="2" max="2" width="5.21875" customWidth="1"/>
    <col min="3" max="3" width="3.77734375" style="142" customWidth="1"/>
    <col min="4" max="4" width="4.33203125" style="142" customWidth="1"/>
    <col min="5" max="5" width="2.77734375" style="142" customWidth="1"/>
    <col min="6" max="6" width="3.77734375" style="142" customWidth="1"/>
    <col min="7" max="7" width="4.44140625" style="142" customWidth="1"/>
    <col min="8" max="9" width="3.77734375" style="142" customWidth="1"/>
    <col min="10" max="10" width="4.33203125" style="142" customWidth="1"/>
    <col min="11" max="12" width="3.77734375" style="142" customWidth="1"/>
    <col min="13" max="13" width="4.44140625" style="142" customWidth="1"/>
    <col min="14" max="16" width="3.77734375" style="142" customWidth="1"/>
    <col min="17" max="17" width="4.33203125" style="142" customWidth="1"/>
    <col min="18" max="19" width="3.77734375" style="142" customWidth="1"/>
    <col min="20" max="20" width="4.44140625" style="142" customWidth="1"/>
    <col min="21" max="21" width="4.33203125" style="142" customWidth="1"/>
    <col min="22" max="22" width="3.77734375" style="142" customWidth="1"/>
    <col min="23" max="23" width="4.44140625" style="142" customWidth="1"/>
    <col min="24" max="24" width="4.33203125" style="142" customWidth="1"/>
    <col min="25" max="25" width="3.77734375" style="142" customWidth="1"/>
    <col min="26" max="26" width="5" style="142" customWidth="1"/>
    <col min="27" max="27" width="4.33203125" style="142" customWidth="1"/>
    <col min="28" max="28" width="2.5546875" customWidth="1"/>
    <col min="29" max="29" width="3.77734375" style="142" customWidth="1"/>
    <col min="30" max="30" width="5" style="142" customWidth="1"/>
    <col min="31" max="32" width="3.77734375" style="142" customWidth="1"/>
    <col min="33" max="34" width="4.33203125" style="142" customWidth="1"/>
    <col min="35" max="35" width="3.77734375" style="142" customWidth="1"/>
    <col min="36" max="37" width="4.33203125" style="142" customWidth="1"/>
    <col min="38" max="38" width="3.77734375" style="142" customWidth="1"/>
    <col min="39" max="41" width="4.33203125" style="142" customWidth="1"/>
    <col min="42" max="42" width="3.77734375" style="142" customWidth="1"/>
    <col min="43" max="43" width="4.44140625" style="142" customWidth="1"/>
    <col min="44" max="45" width="3.77734375" style="142" customWidth="1"/>
    <col min="46" max="47" width="4.33203125" style="142" customWidth="1"/>
    <col min="48" max="48" width="3.77734375" style="142" customWidth="1"/>
    <col min="49" max="50" width="4.33203125" style="142" customWidth="1"/>
    <col min="51" max="51" width="3.77734375" style="142" customWidth="1"/>
    <col min="52" max="54" width="4.33203125" style="142" customWidth="1"/>
    <col min="55" max="55" width="6.44140625" customWidth="1"/>
    <col min="56" max="56" width="3.33203125" customWidth="1"/>
    <col min="57" max="57" width="4.21875" customWidth="1"/>
    <col min="58" max="58" width="5" customWidth="1"/>
    <col min="59" max="59" width="4.88671875" customWidth="1"/>
    <col min="60" max="60" width="3.109375" customWidth="1"/>
    <col min="61" max="61" width="6.21875" customWidth="1"/>
    <col min="62" max="62" width="3.33203125" customWidth="1"/>
    <col min="63" max="63" width="2.77734375" customWidth="1"/>
    <col min="64" max="64" width="3.21875" customWidth="1"/>
    <col min="65" max="65" width="4.21875" customWidth="1"/>
    <col min="66" max="66" width="3.5546875" style="55" customWidth="1"/>
    <col min="67" max="67" width="5.21875" customWidth="1"/>
    <col min="68" max="68" width="3.77734375" customWidth="1"/>
    <col min="69" max="69" width="3" style="55" customWidth="1"/>
    <col min="70" max="70" width="5.21875" customWidth="1"/>
    <col min="71" max="71" width="6.6640625" customWidth="1"/>
    <col min="72" max="72" width="6.88671875" customWidth="1"/>
    <col min="73" max="73" width="6" customWidth="1"/>
    <col min="74" max="74" width="3.88671875" customWidth="1"/>
  </cols>
  <sheetData>
    <row r="1" spans="1:74" x14ac:dyDescent="0.2">
      <c r="B1" t="s">
        <v>138</v>
      </c>
      <c r="C1" s="212" t="s">
        <v>228</v>
      </c>
      <c r="D1" s="212"/>
      <c r="E1" s="212"/>
      <c r="F1" s="212"/>
      <c r="G1" s="212"/>
      <c r="H1" s="212"/>
      <c r="I1" s="212"/>
      <c r="J1" s="212"/>
      <c r="K1" s="212"/>
      <c r="L1" s="212"/>
      <c r="M1" s="144"/>
      <c r="N1" s="144"/>
      <c r="O1" s="145"/>
      <c r="P1" s="212" t="s">
        <v>229</v>
      </c>
      <c r="Q1" s="212"/>
      <c r="R1" s="212"/>
      <c r="S1" s="212"/>
      <c r="T1" s="212"/>
      <c r="U1" s="212"/>
      <c r="V1" s="212"/>
      <c r="W1" s="212"/>
      <c r="X1" s="212"/>
      <c r="Y1" s="212"/>
      <c r="Z1" s="145"/>
      <c r="AA1" s="145"/>
      <c r="AB1" s="51"/>
      <c r="AC1" s="212" t="s">
        <v>230</v>
      </c>
      <c r="AD1" s="212"/>
      <c r="AE1" s="212"/>
      <c r="AF1" s="212"/>
      <c r="AG1" s="212"/>
      <c r="AH1" s="212"/>
      <c r="AI1" s="212"/>
      <c r="AJ1" s="212"/>
      <c r="AK1" s="212"/>
      <c r="AL1" s="212"/>
      <c r="AM1" s="145"/>
      <c r="AN1" s="145"/>
      <c r="AO1" s="145"/>
      <c r="AP1" s="212" t="s">
        <v>231</v>
      </c>
      <c r="AQ1" s="212"/>
      <c r="AR1" s="212"/>
      <c r="AS1" s="212"/>
      <c r="AT1" s="212"/>
      <c r="AU1" s="212"/>
      <c r="AV1" s="212"/>
      <c r="AW1" s="212"/>
      <c r="AX1" s="212"/>
      <c r="AY1" s="212"/>
      <c r="AZ1" s="145"/>
      <c r="BA1" s="145"/>
    </row>
    <row r="2" spans="1:74" ht="12" customHeight="1" x14ac:dyDescent="0.2">
      <c r="A2" s="146"/>
      <c r="B2" s="16">
        <v>1</v>
      </c>
      <c r="C2" s="213" t="s">
        <v>232</v>
      </c>
      <c r="D2" s="213"/>
      <c r="E2" s="213"/>
      <c r="F2" s="213" t="s">
        <v>37</v>
      </c>
      <c r="G2" s="213"/>
      <c r="H2" s="213"/>
      <c r="I2" s="213" t="s">
        <v>53</v>
      </c>
      <c r="J2" s="213"/>
      <c r="K2" s="213"/>
      <c r="L2" s="213" t="s">
        <v>49</v>
      </c>
      <c r="M2" s="213"/>
      <c r="N2" s="213"/>
      <c r="O2" s="145"/>
      <c r="P2" s="213" t="s">
        <v>233</v>
      </c>
      <c r="Q2" s="213"/>
      <c r="R2" s="213"/>
      <c r="S2" s="213" t="s">
        <v>234</v>
      </c>
      <c r="T2" s="213"/>
      <c r="U2" s="213"/>
      <c r="V2" s="213" t="s">
        <v>235</v>
      </c>
      <c r="W2" s="213"/>
      <c r="X2" s="213"/>
      <c r="Y2" s="213" t="s">
        <v>236</v>
      </c>
      <c r="Z2" s="213"/>
      <c r="AA2" s="213"/>
      <c r="AB2" s="51"/>
      <c r="AC2" s="213" t="s">
        <v>237</v>
      </c>
      <c r="AD2" s="213"/>
      <c r="AE2" s="213"/>
      <c r="AF2" s="213" t="s">
        <v>238</v>
      </c>
      <c r="AG2" s="213"/>
      <c r="AH2" s="213"/>
      <c r="AI2" s="213" t="s">
        <v>239</v>
      </c>
      <c r="AJ2" s="213"/>
      <c r="AK2" s="213"/>
      <c r="AL2" s="213" t="s">
        <v>240</v>
      </c>
      <c r="AM2" s="213"/>
      <c r="AN2" s="213"/>
      <c r="AO2" s="143"/>
      <c r="AP2" s="213" t="s">
        <v>241</v>
      </c>
      <c r="AQ2" s="213"/>
      <c r="AR2" s="213"/>
      <c r="AS2" s="213" t="s">
        <v>242</v>
      </c>
      <c r="AT2" s="213"/>
      <c r="AU2" s="213"/>
      <c r="AV2" s="213" t="s">
        <v>243</v>
      </c>
      <c r="AW2" s="213"/>
      <c r="AX2" s="213"/>
      <c r="AY2" s="213" t="s">
        <v>244</v>
      </c>
      <c r="AZ2" s="213"/>
      <c r="BA2" s="213"/>
      <c r="BB2" s="147"/>
    </row>
    <row r="3" spans="1:74" ht="12" customHeight="1" x14ac:dyDescent="0.2">
      <c r="A3" s="214" t="s">
        <v>245</v>
      </c>
      <c r="B3" s="214"/>
      <c r="C3" s="148">
        <v>77</v>
      </c>
      <c r="D3" s="149">
        <v>35</v>
      </c>
      <c r="E3" s="148">
        <v>40</v>
      </c>
      <c r="F3" s="148">
        <v>84</v>
      </c>
      <c r="G3" s="149">
        <v>-9</v>
      </c>
      <c r="H3" s="148">
        <v>32</v>
      </c>
      <c r="I3" s="148">
        <v>97</v>
      </c>
      <c r="J3" s="149">
        <v>-11</v>
      </c>
      <c r="K3" s="148">
        <v>26</v>
      </c>
      <c r="L3" s="148">
        <v>89</v>
      </c>
      <c r="M3" s="149">
        <v>-15</v>
      </c>
      <c r="N3" s="148">
        <v>33</v>
      </c>
      <c r="O3" s="145"/>
      <c r="P3" s="148">
        <v>96</v>
      </c>
      <c r="Q3" s="149">
        <v>10</v>
      </c>
      <c r="R3" s="148">
        <v>31</v>
      </c>
      <c r="S3" s="148">
        <v>99</v>
      </c>
      <c r="T3" s="149">
        <v>-8</v>
      </c>
      <c r="U3" s="148">
        <v>30</v>
      </c>
      <c r="V3" s="148">
        <v>77</v>
      </c>
      <c r="W3" s="149">
        <v>10</v>
      </c>
      <c r="X3" s="148">
        <v>39</v>
      </c>
      <c r="Y3" s="148">
        <v>87</v>
      </c>
      <c r="Z3" s="149">
        <v>-12</v>
      </c>
      <c r="AA3" s="148">
        <v>28</v>
      </c>
      <c r="AB3" s="51"/>
      <c r="AC3" s="148">
        <v>99</v>
      </c>
      <c r="AD3" s="149">
        <v>-5</v>
      </c>
      <c r="AE3" s="148">
        <v>28</v>
      </c>
      <c r="AF3" s="148">
        <v>93</v>
      </c>
      <c r="AG3" s="149">
        <v>-27</v>
      </c>
      <c r="AH3" s="148">
        <v>30</v>
      </c>
      <c r="AI3" s="148">
        <v>83</v>
      </c>
      <c r="AJ3" s="149">
        <v>5</v>
      </c>
      <c r="AK3" s="148">
        <v>33</v>
      </c>
      <c r="AL3" s="148">
        <v>96</v>
      </c>
      <c r="AM3" s="149">
        <v>27</v>
      </c>
      <c r="AN3" s="148">
        <v>31</v>
      </c>
      <c r="AO3" s="150"/>
      <c r="AP3" s="148">
        <v>85</v>
      </c>
      <c r="AQ3" s="149">
        <v>-8</v>
      </c>
      <c r="AR3" s="148">
        <v>32</v>
      </c>
      <c r="AS3" s="148">
        <v>90</v>
      </c>
      <c r="AT3" s="149">
        <v>6</v>
      </c>
      <c r="AU3" s="148">
        <v>31</v>
      </c>
      <c r="AV3" s="148">
        <v>82</v>
      </c>
      <c r="AW3" s="149">
        <v>12</v>
      </c>
      <c r="AX3" s="148">
        <v>29</v>
      </c>
      <c r="AY3" s="148">
        <v>80</v>
      </c>
      <c r="AZ3" s="149">
        <v>-10</v>
      </c>
      <c r="BA3" s="148">
        <v>34</v>
      </c>
      <c r="BB3" s="53"/>
      <c r="BC3" s="151"/>
      <c r="BD3" s="151" t="s">
        <v>97</v>
      </c>
      <c r="BE3" s="151" t="s">
        <v>69</v>
      </c>
      <c r="BF3" s="151" t="s">
        <v>246</v>
      </c>
      <c r="BG3" s="151" t="s">
        <v>247</v>
      </c>
      <c r="BH3" s="151" t="s">
        <v>31</v>
      </c>
      <c r="BI3" s="151" t="s">
        <v>233</v>
      </c>
      <c r="BJ3" s="151" t="s">
        <v>125</v>
      </c>
      <c r="BK3" s="151" t="s">
        <v>113</v>
      </c>
      <c r="BL3" s="151" t="s">
        <v>116</v>
      </c>
      <c r="BM3" s="151" t="s">
        <v>248</v>
      </c>
      <c r="BN3" s="151" t="s">
        <v>131</v>
      </c>
      <c r="BO3" s="151" t="s">
        <v>249</v>
      </c>
      <c r="BP3" s="151" t="s">
        <v>122</v>
      </c>
      <c r="BQ3" s="151" t="s">
        <v>101</v>
      </c>
      <c r="BR3" s="151" t="s">
        <v>241</v>
      </c>
      <c r="BS3" s="151" t="s">
        <v>250</v>
      </c>
      <c r="BT3" s="151" t="s">
        <v>251</v>
      </c>
      <c r="BU3" s="151" t="s">
        <v>252</v>
      </c>
      <c r="BV3" s="151" t="s">
        <v>244</v>
      </c>
    </row>
    <row r="4" spans="1:74" ht="12" customHeight="1" x14ac:dyDescent="0.2">
      <c r="A4" s="146"/>
      <c r="B4" s="16">
        <v>2</v>
      </c>
      <c r="C4" s="213" t="s">
        <v>253</v>
      </c>
      <c r="D4" s="213"/>
      <c r="E4" s="213"/>
      <c r="F4" s="213" t="s">
        <v>237</v>
      </c>
      <c r="G4" s="213"/>
      <c r="H4" s="213"/>
      <c r="I4" s="213" t="s">
        <v>243</v>
      </c>
      <c r="J4" s="213"/>
      <c r="K4" s="213"/>
      <c r="L4" s="213" t="s">
        <v>37</v>
      </c>
      <c r="M4" s="213"/>
      <c r="N4" s="213"/>
      <c r="O4" s="145"/>
      <c r="P4" s="213" t="s">
        <v>232</v>
      </c>
      <c r="Q4" s="213"/>
      <c r="R4" s="213"/>
      <c r="S4" s="213" t="s">
        <v>250</v>
      </c>
      <c r="T4" s="213"/>
      <c r="U4" s="213"/>
      <c r="V4" s="213" t="s">
        <v>233</v>
      </c>
      <c r="W4" s="213"/>
      <c r="X4" s="213"/>
      <c r="Y4" s="213" t="s">
        <v>254</v>
      </c>
      <c r="Z4" s="213"/>
      <c r="AA4" s="213"/>
      <c r="AB4" s="51"/>
      <c r="AC4" s="213" t="s">
        <v>255</v>
      </c>
      <c r="AD4" s="213"/>
      <c r="AE4" s="213"/>
      <c r="AF4" s="213" t="s">
        <v>256</v>
      </c>
      <c r="AG4" s="213"/>
      <c r="AH4" s="213"/>
      <c r="AI4" s="213" t="s">
        <v>251</v>
      </c>
      <c r="AJ4" s="213"/>
      <c r="AK4" s="213"/>
      <c r="AL4" s="213" t="s">
        <v>234</v>
      </c>
      <c r="AM4" s="213"/>
      <c r="AN4" s="213"/>
      <c r="AO4" s="143"/>
      <c r="AP4" s="213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147"/>
      <c r="BC4" s="152" t="s">
        <v>97</v>
      </c>
      <c r="BD4" s="153" t="s">
        <v>257</v>
      </c>
      <c r="BE4" s="153">
        <f>BD5</f>
        <v>1</v>
      </c>
      <c r="BF4" s="153">
        <f>BD6</f>
        <v>0</v>
      </c>
      <c r="BG4" s="153">
        <f>BD7</f>
        <v>0</v>
      </c>
      <c r="BH4" s="153">
        <f>BD8</f>
        <v>1</v>
      </c>
      <c r="BI4" s="153">
        <f>BD9</f>
        <v>1</v>
      </c>
      <c r="BJ4" s="153">
        <f>BD10</f>
        <v>1</v>
      </c>
      <c r="BK4" s="153">
        <f>BD11</f>
        <v>0</v>
      </c>
      <c r="BL4" s="153">
        <f>BD12</f>
        <v>1</v>
      </c>
      <c r="BM4" s="153">
        <f>BD13</f>
        <v>1</v>
      </c>
      <c r="BN4" s="153">
        <f>BD14</f>
        <v>0</v>
      </c>
      <c r="BO4" s="153">
        <f>BD15</f>
        <v>0</v>
      </c>
      <c r="BP4" s="153">
        <f>BD16</f>
        <v>0</v>
      </c>
      <c r="BQ4" s="153">
        <f>BD17</f>
        <v>0</v>
      </c>
      <c r="BR4" s="153">
        <f>BD18</f>
        <v>0</v>
      </c>
      <c r="BS4" s="153">
        <f>BD19</f>
        <v>0</v>
      </c>
      <c r="BT4" s="153">
        <f>BD20</f>
        <v>0</v>
      </c>
      <c r="BU4" s="153">
        <f>BD21</f>
        <v>1</v>
      </c>
      <c r="BV4" s="153">
        <f>BD22</f>
        <v>1</v>
      </c>
    </row>
    <row r="5" spans="1:74" ht="12" customHeight="1" x14ac:dyDescent="0.2">
      <c r="A5" s="214" t="s">
        <v>245</v>
      </c>
      <c r="B5" s="214"/>
      <c r="C5" s="148">
        <v>86</v>
      </c>
      <c r="D5" s="149">
        <v>-32</v>
      </c>
      <c r="E5" s="148">
        <v>31</v>
      </c>
      <c r="F5" s="148">
        <v>103</v>
      </c>
      <c r="G5" s="149">
        <v>-2</v>
      </c>
      <c r="H5" s="148">
        <v>26</v>
      </c>
      <c r="I5" s="148">
        <v>81</v>
      </c>
      <c r="J5" s="149">
        <v>4</v>
      </c>
      <c r="K5" s="148">
        <v>32</v>
      </c>
      <c r="L5" s="148">
        <v>79</v>
      </c>
      <c r="M5" s="149">
        <v>30</v>
      </c>
      <c r="N5" s="148">
        <v>39</v>
      </c>
      <c r="O5" s="145"/>
      <c r="P5" s="148">
        <v>83</v>
      </c>
      <c r="Q5" s="149">
        <v>4</v>
      </c>
      <c r="R5" s="148">
        <v>37</v>
      </c>
      <c r="S5" s="148">
        <v>91</v>
      </c>
      <c r="T5" s="149">
        <v>-12</v>
      </c>
      <c r="U5" s="148">
        <v>33</v>
      </c>
      <c r="V5" s="148">
        <v>93</v>
      </c>
      <c r="W5" s="149">
        <v>17</v>
      </c>
      <c r="X5" s="148">
        <v>35</v>
      </c>
      <c r="Y5" s="148">
        <v>101</v>
      </c>
      <c r="Z5" s="149">
        <v>-9</v>
      </c>
      <c r="AA5" s="148">
        <v>24</v>
      </c>
      <c r="AB5" s="51"/>
      <c r="AC5" s="148">
        <v>125</v>
      </c>
      <c r="AD5" s="149">
        <v>-15</v>
      </c>
      <c r="AE5" s="148">
        <v>8</v>
      </c>
      <c r="AF5" s="148">
        <v>89</v>
      </c>
      <c r="AG5" s="149">
        <v>21</v>
      </c>
      <c r="AH5" s="148">
        <v>40</v>
      </c>
      <c r="AI5" s="148">
        <v>101</v>
      </c>
      <c r="AJ5" s="149">
        <v>3</v>
      </c>
      <c r="AK5" s="148">
        <v>25</v>
      </c>
      <c r="AL5" s="148">
        <v>103</v>
      </c>
      <c r="AM5" s="149">
        <v>-9</v>
      </c>
      <c r="AN5" s="148">
        <v>27</v>
      </c>
      <c r="AO5" s="150"/>
      <c r="AP5" s="148"/>
      <c r="AQ5" s="149"/>
      <c r="AR5" s="148"/>
      <c r="AS5" s="148"/>
      <c r="AT5" s="149"/>
      <c r="AU5" s="148"/>
      <c r="AV5" s="148"/>
      <c r="AW5" s="149"/>
      <c r="AX5" s="148"/>
      <c r="AY5" s="148"/>
      <c r="AZ5" s="149"/>
      <c r="BA5" s="148"/>
      <c r="BB5" s="53"/>
      <c r="BC5" s="151" t="s">
        <v>69</v>
      </c>
      <c r="BD5" s="55">
        <v>1</v>
      </c>
      <c r="BE5" s="55" t="s">
        <v>257</v>
      </c>
      <c r="BF5" s="55">
        <f>BE6</f>
        <v>1</v>
      </c>
      <c r="BG5" s="55">
        <f>BE7</f>
        <v>0</v>
      </c>
      <c r="BH5" s="55">
        <f>BE8</f>
        <v>1</v>
      </c>
      <c r="BI5" s="55">
        <f>BE9</f>
        <v>1</v>
      </c>
      <c r="BJ5" s="55">
        <f>BE10</f>
        <v>1</v>
      </c>
      <c r="BK5" s="55">
        <f>BE11</f>
        <v>0</v>
      </c>
      <c r="BL5" s="55">
        <f>BE12</f>
        <v>0</v>
      </c>
      <c r="BM5" s="55">
        <f>BE13</f>
        <v>1</v>
      </c>
      <c r="BN5" s="55">
        <f>BE14</f>
        <v>0</v>
      </c>
      <c r="BO5" s="55">
        <f>BE15</f>
        <v>0</v>
      </c>
      <c r="BP5" s="55">
        <f>BE16</f>
        <v>2</v>
      </c>
      <c r="BQ5" s="55">
        <f>BE17</f>
        <v>1</v>
      </c>
      <c r="BR5" s="55">
        <f>BE18</f>
        <v>1</v>
      </c>
      <c r="BS5" s="55">
        <f>BE19</f>
        <v>1</v>
      </c>
      <c r="BT5" s="55">
        <f>BE20</f>
        <v>0</v>
      </c>
      <c r="BU5" s="55">
        <f>BE21</f>
        <v>0</v>
      </c>
      <c r="BV5" s="55">
        <f>BE22</f>
        <v>1</v>
      </c>
    </row>
    <row r="6" spans="1:74" ht="12" customHeight="1" x14ac:dyDescent="0.2">
      <c r="A6" s="146"/>
      <c r="B6" s="16">
        <v>3</v>
      </c>
      <c r="C6" s="213" t="s">
        <v>37</v>
      </c>
      <c r="D6" s="213"/>
      <c r="E6" s="213"/>
      <c r="F6" s="213" t="s">
        <v>52</v>
      </c>
      <c r="G6" s="213"/>
      <c r="H6" s="213"/>
      <c r="I6" s="213" t="s">
        <v>46</v>
      </c>
      <c r="J6" s="213"/>
      <c r="K6" s="213"/>
      <c r="L6" s="213" t="s">
        <v>43</v>
      </c>
      <c r="M6" s="213"/>
      <c r="N6" s="213"/>
      <c r="O6" s="145"/>
      <c r="P6" s="213" t="s">
        <v>42</v>
      </c>
      <c r="Q6" s="213"/>
      <c r="R6" s="213"/>
      <c r="S6" s="213" t="s">
        <v>56</v>
      </c>
      <c r="T6" s="213"/>
      <c r="U6" s="213"/>
      <c r="V6" s="213" t="s">
        <v>49</v>
      </c>
      <c r="W6" s="213"/>
      <c r="X6" s="213"/>
      <c r="Y6" s="213" t="s">
        <v>40</v>
      </c>
      <c r="Z6" s="213"/>
      <c r="AA6" s="213"/>
      <c r="AB6" s="51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14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147"/>
      <c r="BC6" s="152" t="s">
        <v>246</v>
      </c>
      <c r="BD6" s="153"/>
      <c r="BE6" s="153">
        <v>1</v>
      </c>
      <c r="BF6" s="153" t="s">
        <v>257</v>
      </c>
      <c r="BG6" s="153">
        <f>BF7</f>
        <v>0</v>
      </c>
      <c r="BH6" s="153">
        <f>BF8</f>
        <v>0</v>
      </c>
      <c r="BI6" s="153">
        <f>BF9</f>
        <v>1</v>
      </c>
      <c r="BJ6" s="153">
        <f>BF10</f>
        <v>0</v>
      </c>
      <c r="BK6" s="153">
        <f>BF11</f>
        <v>1</v>
      </c>
      <c r="BL6" s="153">
        <f>BF12</f>
        <v>1</v>
      </c>
      <c r="BM6" s="153">
        <f>BF13</f>
        <v>0</v>
      </c>
      <c r="BN6" s="153">
        <f>BF14</f>
        <v>0</v>
      </c>
      <c r="BO6" s="153">
        <f>BF15</f>
        <v>2</v>
      </c>
      <c r="BP6" s="153">
        <f>BF16</f>
        <v>1</v>
      </c>
      <c r="BQ6" s="153">
        <f>BF17</f>
        <v>1</v>
      </c>
      <c r="BR6" s="153">
        <f>BF18</f>
        <v>0</v>
      </c>
      <c r="BS6" s="153">
        <f>BF19</f>
        <v>2</v>
      </c>
      <c r="BT6" s="153">
        <f>BF20</f>
        <v>0</v>
      </c>
      <c r="BU6" s="153">
        <f>BF21</f>
        <v>0</v>
      </c>
      <c r="BV6" s="153">
        <f>BF22</f>
        <v>0</v>
      </c>
    </row>
    <row r="7" spans="1:74" ht="12" customHeight="1" x14ac:dyDescent="0.2">
      <c r="A7" s="214" t="s">
        <v>245</v>
      </c>
      <c r="B7" s="214"/>
      <c r="C7" s="148">
        <v>82</v>
      </c>
      <c r="D7" s="149">
        <v>43</v>
      </c>
      <c r="E7" s="148">
        <v>32</v>
      </c>
      <c r="F7" s="148">
        <v>84</v>
      </c>
      <c r="G7" s="149">
        <v>-17</v>
      </c>
      <c r="H7" s="148">
        <v>28</v>
      </c>
      <c r="I7" s="148">
        <v>91</v>
      </c>
      <c r="J7" s="149">
        <v>-11</v>
      </c>
      <c r="K7" s="148">
        <v>28</v>
      </c>
      <c r="L7" s="148">
        <v>81</v>
      </c>
      <c r="M7" s="149">
        <v>-15</v>
      </c>
      <c r="N7" s="148">
        <v>32</v>
      </c>
      <c r="O7" s="145"/>
      <c r="P7" s="148">
        <v>84</v>
      </c>
      <c r="Q7" s="149">
        <v>41</v>
      </c>
      <c r="R7" s="148">
        <v>30</v>
      </c>
      <c r="S7" s="148">
        <v>91</v>
      </c>
      <c r="T7" s="149">
        <v>-41</v>
      </c>
      <c r="U7" s="148">
        <v>29</v>
      </c>
      <c r="V7" s="148">
        <v>93</v>
      </c>
      <c r="W7" s="149">
        <v>-13</v>
      </c>
      <c r="X7" s="148">
        <v>26</v>
      </c>
      <c r="Y7" s="148">
        <v>76</v>
      </c>
      <c r="Z7" s="149">
        <v>13</v>
      </c>
      <c r="AA7" s="148">
        <v>33</v>
      </c>
      <c r="AB7" s="51"/>
      <c r="AC7" s="148"/>
      <c r="AD7" s="149"/>
      <c r="AE7" s="148"/>
      <c r="AF7" s="148"/>
      <c r="AG7" s="149"/>
      <c r="AH7" s="148"/>
      <c r="AI7" s="148"/>
      <c r="AJ7" s="149"/>
      <c r="AK7" s="148"/>
      <c r="AL7" s="148"/>
      <c r="AM7" s="149"/>
      <c r="AN7" s="148"/>
      <c r="AO7" s="150"/>
      <c r="AP7" s="148"/>
      <c r="AQ7" s="149"/>
      <c r="AR7" s="148"/>
      <c r="AS7" s="148"/>
      <c r="AT7" s="149"/>
      <c r="AU7" s="148"/>
      <c r="AV7" s="148"/>
      <c r="AW7" s="149"/>
      <c r="AX7" s="148"/>
      <c r="AY7" s="148"/>
      <c r="AZ7" s="149"/>
      <c r="BA7" s="148"/>
      <c r="BB7" s="53"/>
      <c r="BC7" s="151" t="s">
        <v>247</v>
      </c>
      <c r="BD7" s="55"/>
      <c r="BE7" s="55"/>
      <c r="BF7" s="55"/>
      <c r="BG7" s="55" t="s">
        <v>257</v>
      </c>
      <c r="BH7" s="55">
        <f>BG8</f>
        <v>0</v>
      </c>
      <c r="BI7" s="55">
        <f>BG9</f>
        <v>0</v>
      </c>
      <c r="BJ7" s="55">
        <f>BG10</f>
        <v>0</v>
      </c>
      <c r="BK7" s="55">
        <f>BG11</f>
        <v>0</v>
      </c>
      <c r="BL7" s="55">
        <f>BG12</f>
        <v>0</v>
      </c>
      <c r="BM7" s="55">
        <f>BG13</f>
        <v>0</v>
      </c>
      <c r="BN7" s="55">
        <f>BG14</f>
        <v>0</v>
      </c>
      <c r="BO7" s="55">
        <f>BG15</f>
        <v>0</v>
      </c>
      <c r="BP7" s="55">
        <f>BG16</f>
        <v>0</v>
      </c>
      <c r="BQ7" s="55">
        <f>BG17</f>
        <v>0</v>
      </c>
      <c r="BR7" s="55">
        <f>BG18</f>
        <v>0</v>
      </c>
      <c r="BS7" s="55">
        <f>BG19</f>
        <v>0</v>
      </c>
      <c r="BT7" s="55">
        <f>BG20</f>
        <v>0</v>
      </c>
      <c r="BU7" s="55">
        <f>BG21</f>
        <v>0</v>
      </c>
      <c r="BV7" s="55">
        <f>BG22</f>
        <v>0</v>
      </c>
    </row>
    <row r="8" spans="1:74" ht="12" customHeight="1" x14ac:dyDescent="0.2">
      <c r="A8" s="146"/>
      <c r="B8" s="16">
        <v>4</v>
      </c>
      <c r="C8" s="213" t="s">
        <v>241</v>
      </c>
      <c r="D8" s="213"/>
      <c r="E8" s="213"/>
      <c r="F8" s="213" t="s">
        <v>255</v>
      </c>
      <c r="G8" s="213"/>
      <c r="H8" s="213"/>
      <c r="I8" s="213" t="s">
        <v>37</v>
      </c>
      <c r="J8" s="213"/>
      <c r="K8" s="213"/>
      <c r="L8" s="213" t="s">
        <v>233</v>
      </c>
      <c r="M8" s="213"/>
      <c r="N8" s="213"/>
      <c r="O8" s="145"/>
      <c r="P8" s="213" t="s">
        <v>235</v>
      </c>
      <c r="Q8" s="213"/>
      <c r="R8" s="213"/>
      <c r="S8" s="213" t="s">
        <v>258</v>
      </c>
      <c r="T8" s="213"/>
      <c r="U8" s="213"/>
      <c r="V8" s="213" t="s">
        <v>256</v>
      </c>
      <c r="W8" s="213"/>
      <c r="X8" s="213"/>
      <c r="Y8" s="213" t="s">
        <v>259</v>
      </c>
      <c r="Z8" s="213"/>
      <c r="AA8" s="213"/>
      <c r="AB8" s="51"/>
      <c r="AC8" s="213" t="s">
        <v>260</v>
      </c>
      <c r="AD8" s="213"/>
      <c r="AE8" s="213"/>
      <c r="AF8" s="213" t="s">
        <v>243</v>
      </c>
      <c r="AG8" s="213"/>
      <c r="AH8" s="213"/>
      <c r="AI8" s="213" t="s">
        <v>251</v>
      </c>
      <c r="AJ8" s="213"/>
      <c r="AK8" s="213"/>
      <c r="AL8" s="213" t="s">
        <v>254</v>
      </c>
      <c r="AM8" s="213"/>
      <c r="AN8" s="213"/>
      <c r="AO8" s="143"/>
      <c r="AP8" s="213" t="s">
        <v>234</v>
      </c>
      <c r="AQ8" s="213"/>
      <c r="AR8" s="213"/>
      <c r="AS8" s="213" t="s">
        <v>261</v>
      </c>
      <c r="AT8" s="213"/>
      <c r="AU8" s="213"/>
      <c r="AV8" s="213" t="s">
        <v>242</v>
      </c>
      <c r="AW8" s="213"/>
      <c r="AX8" s="213"/>
      <c r="AY8" s="213" t="s">
        <v>232</v>
      </c>
      <c r="AZ8" s="213"/>
      <c r="BA8" s="213"/>
      <c r="BB8" s="147"/>
      <c r="BC8" s="152" t="s">
        <v>31</v>
      </c>
      <c r="BD8" s="153">
        <v>1</v>
      </c>
      <c r="BE8" s="153">
        <v>1</v>
      </c>
      <c r="BF8" s="153"/>
      <c r="BG8" s="153"/>
      <c r="BH8" s="153" t="s">
        <v>257</v>
      </c>
      <c r="BI8" s="153">
        <f>BH9</f>
        <v>0</v>
      </c>
      <c r="BJ8" s="153">
        <f>BH10</f>
        <v>1</v>
      </c>
      <c r="BK8" s="153">
        <f>BH11</f>
        <v>1</v>
      </c>
      <c r="BL8" s="153">
        <f>BH12</f>
        <v>0</v>
      </c>
      <c r="BM8" s="153">
        <f>BH13</f>
        <v>1</v>
      </c>
      <c r="BN8" s="153">
        <f>BH14</f>
        <v>1</v>
      </c>
      <c r="BO8" s="153">
        <f>BH15</f>
        <v>1</v>
      </c>
      <c r="BP8" s="153">
        <f>BH16</f>
        <v>0</v>
      </c>
      <c r="BQ8" s="153">
        <f>BH17</f>
        <v>1</v>
      </c>
      <c r="BR8" s="153">
        <f>BH18</f>
        <v>1</v>
      </c>
      <c r="BS8" s="153">
        <f>BH19</f>
        <v>1</v>
      </c>
      <c r="BT8" s="153">
        <f>BH20</f>
        <v>1</v>
      </c>
      <c r="BU8" s="153">
        <f>BH21</f>
        <v>0</v>
      </c>
      <c r="BV8" s="153">
        <f>BH22</f>
        <v>1</v>
      </c>
    </row>
    <row r="9" spans="1:74" ht="12" customHeight="1" x14ac:dyDescent="0.2">
      <c r="A9" s="214" t="s">
        <v>245</v>
      </c>
      <c r="B9" s="214"/>
      <c r="C9" s="148">
        <v>80</v>
      </c>
      <c r="D9" s="149">
        <v>28</v>
      </c>
      <c r="E9" s="148">
        <v>37</v>
      </c>
      <c r="F9" s="148">
        <v>107</v>
      </c>
      <c r="G9" s="149">
        <v>6</v>
      </c>
      <c r="H9" s="148">
        <v>19</v>
      </c>
      <c r="I9" s="148">
        <v>86</v>
      </c>
      <c r="J9" s="149">
        <v>40</v>
      </c>
      <c r="K9" s="148">
        <v>30</v>
      </c>
      <c r="L9" s="148">
        <v>102</v>
      </c>
      <c r="M9" s="149">
        <v>-74</v>
      </c>
      <c r="N9" s="148">
        <v>23</v>
      </c>
      <c r="O9" s="145"/>
      <c r="P9" s="148">
        <v>81</v>
      </c>
      <c r="Q9" s="149">
        <v>-8</v>
      </c>
      <c r="R9" s="148">
        <v>34</v>
      </c>
      <c r="S9" s="148">
        <v>83</v>
      </c>
      <c r="T9" s="149">
        <v>20</v>
      </c>
      <c r="U9" s="148">
        <v>33</v>
      </c>
      <c r="V9" s="148">
        <v>100</v>
      </c>
      <c r="W9" s="149">
        <v>-20</v>
      </c>
      <c r="X9" s="148">
        <v>27</v>
      </c>
      <c r="Y9" s="148">
        <v>91</v>
      </c>
      <c r="Z9" s="149">
        <v>8</v>
      </c>
      <c r="AA9" s="148">
        <v>34</v>
      </c>
      <c r="AB9" s="51"/>
      <c r="AC9" s="148">
        <v>85</v>
      </c>
      <c r="AD9" s="149">
        <v>4</v>
      </c>
      <c r="AE9" s="148">
        <v>30</v>
      </c>
      <c r="AF9" s="148">
        <v>80</v>
      </c>
      <c r="AG9" s="149">
        <v>-6</v>
      </c>
      <c r="AH9" s="148">
        <v>33</v>
      </c>
      <c r="AI9" s="148">
        <v>107</v>
      </c>
      <c r="AJ9" s="149">
        <v>-16</v>
      </c>
      <c r="AK9" s="148">
        <v>17</v>
      </c>
      <c r="AL9" s="148">
        <v>92</v>
      </c>
      <c r="AM9" s="149">
        <v>18</v>
      </c>
      <c r="AN9" s="148">
        <v>31</v>
      </c>
      <c r="AO9" s="150"/>
      <c r="AP9" s="148">
        <v>107</v>
      </c>
      <c r="AQ9" s="149">
        <v>-54</v>
      </c>
      <c r="AR9" s="148">
        <v>21</v>
      </c>
      <c r="AS9" s="148">
        <v>87</v>
      </c>
      <c r="AT9" s="149">
        <v>8</v>
      </c>
      <c r="AU9" s="148">
        <v>31</v>
      </c>
      <c r="AV9" s="148">
        <v>94</v>
      </c>
      <c r="AW9" s="149">
        <v>8</v>
      </c>
      <c r="AX9" s="148">
        <v>31</v>
      </c>
      <c r="AY9" s="148">
        <v>85</v>
      </c>
      <c r="AZ9" s="149">
        <v>38</v>
      </c>
      <c r="BA9" s="148">
        <v>33</v>
      </c>
      <c r="BB9" s="53"/>
      <c r="BC9" s="151" t="s">
        <v>233</v>
      </c>
      <c r="BD9" s="55">
        <v>1</v>
      </c>
      <c r="BE9" s="55">
        <v>1</v>
      </c>
      <c r="BF9" s="55">
        <v>1</v>
      </c>
      <c r="BG9" s="55"/>
      <c r="BH9" s="55"/>
      <c r="BI9" s="55" t="s">
        <v>257</v>
      </c>
      <c r="BJ9" s="55">
        <f>BI10</f>
        <v>0</v>
      </c>
      <c r="BK9" s="55">
        <f>BI11</f>
        <v>1</v>
      </c>
      <c r="BL9" s="55">
        <f>BI12</f>
        <v>1</v>
      </c>
      <c r="BM9" s="55">
        <f>BI13</f>
        <v>1</v>
      </c>
      <c r="BN9" s="55">
        <f>BI14</f>
        <v>0</v>
      </c>
      <c r="BO9" s="55">
        <f>BI15</f>
        <v>0</v>
      </c>
      <c r="BP9" s="55">
        <f>BI16</f>
        <v>1</v>
      </c>
      <c r="BQ9" s="55">
        <f>BI17</f>
        <v>0</v>
      </c>
      <c r="BR9" s="55">
        <f>BI18</f>
        <v>1</v>
      </c>
      <c r="BS9" s="55">
        <f>BI19</f>
        <v>1</v>
      </c>
      <c r="BT9" s="55">
        <f>BI20</f>
        <v>0</v>
      </c>
      <c r="BU9" s="55">
        <f>BI21</f>
        <v>0</v>
      </c>
      <c r="BV9" s="55">
        <f>BI22</f>
        <v>0</v>
      </c>
    </row>
    <row r="10" spans="1:74" ht="12" customHeight="1" x14ac:dyDescent="0.2">
      <c r="A10" s="146"/>
      <c r="B10" s="16">
        <v>5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145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51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14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143"/>
      <c r="BC10" s="152" t="s">
        <v>125</v>
      </c>
      <c r="BD10" s="153">
        <v>1</v>
      </c>
      <c r="BE10" s="153">
        <v>1</v>
      </c>
      <c r="BF10" s="153"/>
      <c r="BG10" s="153"/>
      <c r="BH10" s="153">
        <v>1</v>
      </c>
      <c r="BI10" s="153"/>
      <c r="BJ10" s="153" t="s">
        <v>257</v>
      </c>
      <c r="BK10" s="153">
        <f>BJ11</f>
        <v>1</v>
      </c>
      <c r="BL10" s="153">
        <f>BJ12</f>
        <v>0</v>
      </c>
      <c r="BM10" s="153">
        <f>BJ13</f>
        <v>0</v>
      </c>
      <c r="BN10" s="153">
        <f>BJ14</f>
        <v>0</v>
      </c>
      <c r="BO10" s="153">
        <f>BJ15</f>
        <v>1</v>
      </c>
      <c r="BP10" s="153">
        <f>BJ16</f>
        <v>0</v>
      </c>
      <c r="BQ10" s="153">
        <f>BJ17</f>
        <v>0</v>
      </c>
      <c r="BR10" s="153">
        <f>BJ18</f>
        <v>0</v>
      </c>
      <c r="BS10" s="153">
        <f>BJ19</f>
        <v>0</v>
      </c>
      <c r="BT10" s="153">
        <f>BJ20</f>
        <v>0</v>
      </c>
      <c r="BU10" s="153">
        <f>BJ21</f>
        <v>1</v>
      </c>
      <c r="BV10" s="153">
        <f>BJ22</f>
        <v>0</v>
      </c>
    </row>
    <row r="11" spans="1:74" ht="12" customHeight="1" x14ac:dyDescent="0.2">
      <c r="A11" s="214" t="s">
        <v>245</v>
      </c>
      <c r="B11" s="214"/>
      <c r="C11" s="148"/>
      <c r="D11" s="149"/>
      <c r="E11" s="148"/>
      <c r="F11" s="148"/>
      <c r="G11" s="149"/>
      <c r="H11" s="148"/>
      <c r="I11" s="148"/>
      <c r="J11" s="149"/>
      <c r="K11" s="148"/>
      <c r="L11" s="148"/>
      <c r="M11" s="149"/>
      <c r="N11" s="148"/>
      <c r="O11" s="145"/>
      <c r="P11" s="148"/>
      <c r="Q11" s="149"/>
      <c r="R11" s="148"/>
      <c r="S11" s="148"/>
      <c r="T11" s="149"/>
      <c r="U11" s="148"/>
      <c r="V11" s="148"/>
      <c r="W11" s="154"/>
      <c r="X11" s="148"/>
      <c r="Y11" s="148"/>
      <c r="Z11" s="149"/>
      <c r="AA11" s="148"/>
      <c r="AB11" s="51"/>
      <c r="AC11" s="148"/>
      <c r="AD11" s="149"/>
      <c r="AE11" s="148"/>
      <c r="AF11" s="148"/>
      <c r="AG11" s="149"/>
      <c r="AH11" s="148"/>
      <c r="AI11" s="148"/>
      <c r="AJ11" s="149"/>
      <c r="AK11" s="148"/>
      <c r="AL11" s="148"/>
      <c r="AM11" s="149"/>
      <c r="AN11" s="148"/>
      <c r="AO11" s="150"/>
      <c r="AP11" s="148"/>
      <c r="AQ11" s="149"/>
      <c r="AR11" s="148"/>
      <c r="AS11" s="148"/>
      <c r="AT11" s="149"/>
      <c r="AU11" s="148"/>
      <c r="AV11" s="148"/>
      <c r="AW11" s="149"/>
      <c r="AX11" s="148"/>
      <c r="AY11" s="148"/>
      <c r="AZ11" s="149"/>
      <c r="BA11" s="148"/>
      <c r="BB11" s="53"/>
      <c r="BC11" s="155" t="s">
        <v>113</v>
      </c>
      <c r="BD11" s="55"/>
      <c r="BE11" s="55"/>
      <c r="BF11" s="55">
        <v>1</v>
      </c>
      <c r="BG11" s="55"/>
      <c r="BH11" s="55">
        <v>1</v>
      </c>
      <c r="BI11" s="55">
        <v>1</v>
      </c>
      <c r="BJ11" s="55">
        <v>1</v>
      </c>
      <c r="BK11" s="55" t="s">
        <v>257</v>
      </c>
      <c r="BL11" s="55">
        <f>BK12</f>
        <v>0</v>
      </c>
      <c r="BM11" s="55">
        <f>BK13</f>
        <v>1</v>
      </c>
      <c r="BN11" s="55">
        <f>BK14</f>
        <v>0</v>
      </c>
      <c r="BO11" s="55">
        <f>BK15</f>
        <v>1</v>
      </c>
      <c r="BP11" s="55">
        <f>BK16</f>
        <v>0</v>
      </c>
      <c r="BQ11" s="55">
        <f>BK17</f>
        <v>0</v>
      </c>
      <c r="BR11" s="55">
        <f>BK18</f>
        <v>0</v>
      </c>
      <c r="BS11" s="55">
        <f>BK19</f>
        <v>1</v>
      </c>
      <c r="BT11" s="55">
        <f>BK20</f>
        <v>1</v>
      </c>
      <c r="BU11" s="55">
        <f>BK21</f>
        <v>1</v>
      </c>
      <c r="BV11" s="55">
        <f>BK22</f>
        <v>0</v>
      </c>
    </row>
    <row r="12" spans="1:74" ht="12" customHeight="1" x14ac:dyDescent="0.2">
      <c r="A12" s="146"/>
      <c r="B12" s="16">
        <v>6</v>
      </c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145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51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14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143"/>
      <c r="BC12" s="152" t="s">
        <v>116</v>
      </c>
      <c r="BD12" s="153">
        <v>1</v>
      </c>
      <c r="BE12" s="153"/>
      <c r="BF12" s="153">
        <v>1</v>
      </c>
      <c r="BG12" s="153"/>
      <c r="BH12" s="153"/>
      <c r="BI12" s="153">
        <v>1</v>
      </c>
      <c r="BJ12" s="153"/>
      <c r="BK12" s="153"/>
      <c r="BL12" s="153" t="s">
        <v>257</v>
      </c>
      <c r="BM12" s="153">
        <f>BL13</f>
        <v>1</v>
      </c>
      <c r="BN12" s="153">
        <f>BL14</f>
        <v>0</v>
      </c>
      <c r="BO12" s="153">
        <f>BL15</f>
        <v>1</v>
      </c>
      <c r="BP12" s="153">
        <f>BL16</f>
        <v>1</v>
      </c>
      <c r="BQ12" s="153">
        <f>BL17</f>
        <v>1</v>
      </c>
      <c r="BR12" s="153">
        <f>BL18</f>
        <v>0</v>
      </c>
      <c r="BS12" s="153">
        <f>BL19</f>
        <v>0</v>
      </c>
      <c r="BT12" s="153">
        <f>BL20</f>
        <v>1</v>
      </c>
      <c r="BU12" s="153">
        <f>BL21</f>
        <v>1</v>
      </c>
      <c r="BV12" s="153">
        <f>BL22</f>
        <v>0</v>
      </c>
    </row>
    <row r="13" spans="1:74" ht="12" customHeight="1" x14ac:dyDescent="0.2">
      <c r="A13" s="214" t="s">
        <v>245</v>
      </c>
      <c r="B13" s="214"/>
      <c r="C13" s="148"/>
      <c r="D13" s="149"/>
      <c r="E13" s="148"/>
      <c r="F13" s="148"/>
      <c r="G13" s="149"/>
      <c r="H13" s="148"/>
      <c r="I13" s="148"/>
      <c r="J13" s="149"/>
      <c r="K13" s="148"/>
      <c r="L13" s="148"/>
      <c r="M13" s="149"/>
      <c r="N13" s="148"/>
      <c r="O13" s="145"/>
      <c r="P13" s="148"/>
      <c r="Q13" s="149"/>
      <c r="R13" s="148"/>
      <c r="S13" s="148"/>
      <c r="T13" s="149"/>
      <c r="U13" s="148"/>
      <c r="V13" s="148"/>
      <c r="W13" s="149"/>
      <c r="X13" s="148"/>
      <c r="Y13" s="148"/>
      <c r="Z13" s="149"/>
      <c r="AA13" s="148"/>
      <c r="AB13" s="51"/>
      <c r="AC13" s="148"/>
      <c r="AD13" s="149"/>
      <c r="AE13" s="148"/>
      <c r="AF13" s="148"/>
      <c r="AG13" s="149"/>
      <c r="AH13" s="148"/>
      <c r="AI13" s="148"/>
      <c r="AJ13" s="149"/>
      <c r="AK13" s="148"/>
      <c r="AL13" s="148"/>
      <c r="AM13" s="149"/>
      <c r="AN13" s="148"/>
      <c r="AO13" s="150"/>
      <c r="AP13" s="148"/>
      <c r="AQ13" s="149"/>
      <c r="AR13" s="148"/>
      <c r="AS13" s="148"/>
      <c r="AT13" s="149"/>
      <c r="AU13" s="148"/>
      <c r="AV13" s="148"/>
      <c r="AW13" s="149"/>
      <c r="AX13" s="148"/>
      <c r="AY13" s="148"/>
      <c r="AZ13" s="149"/>
      <c r="BA13" s="148"/>
      <c r="BB13" s="53"/>
      <c r="BC13" s="151" t="s">
        <v>248</v>
      </c>
      <c r="BD13" s="55">
        <v>1</v>
      </c>
      <c r="BE13" s="55">
        <v>1</v>
      </c>
      <c r="BF13" s="55"/>
      <c r="BG13" s="55"/>
      <c r="BH13" s="55">
        <v>1</v>
      </c>
      <c r="BI13" s="55">
        <v>1</v>
      </c>
      <c r="BJ13" s="55"/>
      <c r="BK13" s="55">
        <v>1</v>
      </c>
      <c r="BL13" s="55">
        <v>1</v>
      </c>
      <c r="BM13" s="55" t="s">
        <v>257</v>
      </c>
      <c r="BN13" s="55">
        <f>BM14</f>
        <v>0</v>
      </c>
      <c r="BO13" s="55">
        <f>BM15</f>
        <v>0</v>
      </c>
      <c r="BP13" s="55">
        <f>BM16</f>
        <v>0</v>
      </c>
      <c r="BQ13" s="55">
        <f>BM17</f>
        <v>1</v>
      </c>
      <c r="BR13" s="55">
        <f>BM18</f>
        <v>0</v>
      </c>
      <c r="BS13" s="55">
        <f>BM19</f>
        <v>0</v>
      </c>
      <c r="BT13" s="55">
        <f>BM20</f>
        <v>1</v>
      </c>
      <c r="BU13" s="55">
        <f>BM21</f>
        <v>0</v>
      </c>
      <c r="BV13" s="55">
        <f>BM22</f>
        <v>1</v>
      </c>
    </row>
    <row r="14" spans="1:74" ht="12" customHeight="1" x14ac:dyDescent="0.2">
      <c r="A14" s="146"/>
      <c r="B14" s="16">
        <v>7</v>
      </c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145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51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14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143"/>
      <c r="BC14" s="152" t="s">
        <v>131</v>
      </c>
      <c r="BD14" s="156"/>
      <c r="BE14" s="156"/>
      <c r="BF14" s="156"/>
      <c r="BG14" s="156"/>
      <c r="BH14" s="153">
        <v>1</v>
      </c>
      <c r="BI14" s="153"/>
      <c r="BJ14" s="153"/>
      <c r="BK14" s="153"/>
      <c r="BL14" s="153"/>
      <c r="BM14" s="153"/>
      <c r="BN14" s="153" t="s">
        <v>257</v>
      </c>
      <c r="BO14" s="153">
        <f>BN15</f>
        <v>1</v>
      </c>
      <c r="BP14" s="153">
        <f>BN16</f>
        <v>0</v>
      </c>
      <c r="BQ14" s="153">
        <f>BN17</f>
        <v>0</v>
      </c>
      <c r="BR14" s="153">
        <f>BN18</f>
        <v>0</v>
      </c>
      <c r="BS14" s="153">
        <f>BN19</f>
        <v>1</v>
      </c>
      <c r="BT14" s="153">
        <f>BN20</f>
        <v>0</v>
      </c>
      <c r="BU14" s="153">
        <f>BN21</f>
        <v>0</v>
      </c>
      <c r="BV14" s="153">
        <f>BN22</f>
        <v>0</v>
      </c>
    </row>
    <row r="15" spans="1:74" ht="12" customHeight="1" x14ac:dyDescent="0.2">
      <c r="A15" s="214" t="s">
        <v>245</v>
      </c>
      <c r="B15" s="214"/>
      <c r="C15" s="148"/>
      <c r="D15" s="149"/>
      <c r="E15" s="148"/>
      <c r="F15" s="148"/>
      <c r="G15" s="149"/>
      <c r="H15" s="148"/>
      <c r="I15" s="148"/>
      <c r="J15" s="149"/>
      <c r="K15" s="148"/>
      <c r="L15" s="148"/>
      <c r="M15" s="149"/>
      <c r="N15" s="148"/>
      <c r="O15" s="145"/>
      <c r="P15" s="148"/>
      <c r="Q15" s="149"/>
      <c r="R15" s="148"/>
      <c r="S15" s="148"/>
      <c r="T15" s="149"/>
      <c r="U15" s="148"/>
      <c r="V15" s="148"/>
      <c r="W15" s="149"/>
      <c r="X15" s="148"/>
      <c r="Y15" s="148"/>
      <c r="Z15" s="149"/>
      <c r="AA15" s="148"/>
      <c r="AB15" s="51"/>
      <c r="AC15" s="148"/>
      <c r="AD15" s="149"/>
      <c r="AE15" s="148"/>
      <c r="AF15" s="148"/>
      <c r="AG15" s="149"/>
      <c r="AH15" s="148"/>
      <c r="AI15" s="148"/>
      <c r="AJ15" s="149"/>
      <c r="AK15" s="148"/>
      <c r="AL15" s="148"/>
      <c r="AM15" s="149"/>
      <c r="AN15" s="148"/>
      <c r="AO15" s="53"/>
      <c r="AP15" s="157"/>
      <c r="AQ15" s="158"/>
      <c r="AR15" s="157"/>
      <c r="AS15" s="157"/>
      <c r="AT15" s="158"/>
      <c r="AU15" s="157"/>
      <c r="AV15" s="157"/>
      <c r="AW15" s="158"/>
      <c r="AX15" s="157"/>
      <c r="AY15" s="157"/>
      <c r="AZ15" s="158"/>
      <c r="BA15" s="157"/>
      <c r="BB15" s="53"/>
      <c r="BC15" s="151" t="s">
        <v>249</v>
      </c>
      <c r="BD15" s="55"/>
      <c r="BE15" s="55"/>
      <c r="BF15" s="55">
        <v>2</v>
      </c>
      <c r="BG15" s="55"/>
      <c r="BH15" s="55">
        <v>1</v>
      </c>
      <c r="BI15" s="55"/>
      <c r="BJ15" s="55">
        <v>1</v>
      </c>
      <c r="BK15" s="55">
        <v>1</v>
      </c>
      <c r="BL15" s="55">
        <v>1</v>
      </c>
      <c r="BM15" s="55"/>
      <c r="BN15" s="55">
        <v>1</v>
      </c>
      <c r="BO15" s="55" t="s">
        <v>257</v>
      </c>
      <c r="BP15" s="55">
        <f>BO16</f>
        <v>0</v>
      </c>
      <c r="BQ15" s="55">
        <f>BO17</f>
        <v>1</v>
      </c>
      <c r="BR15" s="55">
        <f>BO18</f>
        <v>0</v>
      </c>
      <c r="BS15" s="55">
        <f>BO19</f>
        <v>1</v>
      </c>
      <c r="BT15" s="55">
        <f>BO20</f>
        <v>0</v>
      </c>
      <c r="BU15" s="55">
        <f>BO21</f>
        <v>1</v>
      </c>
      <c r="BV15" s="55">
        <f>BO22</f>
        <v>0</v>
      </c>
    </row>
    <row r="16" spans="1:74" ht="12" customHeight="1" x14ac:dyDescent="0.2">
      <c r="A16" s="146"/>
      <c r="B16" s="16">
        <v>8</v>
      </c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145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51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14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143"/>
      <c r="BC16" s="152" t="s">
        <v>122</v>
      </c>
      <c r="BD16" s="153"/>
      <c r="BE16" s="153">
        <v>2</v>
      </c>
      <c r="BF16" s="153">
        <v>1</v>
      </c>
      <c r="BG16" s="153"/>
      <c r="BH16" s="153"/>
      <c r="BI16" s="153">
        <v>1</v>
      </c>
      <c r="BJ16" s="153"/>
      <c r="BK16" s="153"/>
      <c r="BL16" s="153">
        <v>1</v>
      </c>
      <c r="BM16" s="153"/>
      <c r="BN16" s="153"/>
      <c r="BO16" s="153"/>
      <c r="BP16" s="153" t="s">
        <v>257</v>
      </c>
      <c r="BQ16" s="153">
        <f>BP17</f>
        <v>0</v>
      </c>
      <c r="BR16" s="153">
        <f>BP18</f>
        <v>1</v>
      </c>
      <c r="BS16" s="153">
        <f>BP19</f>
        <v>1</v>
      </c>
      <c r="BT16" s="153">
        <f>BP20</f>
        <v>1</v>
      </c>
      <c r="BU16" s="153">
        <f>BP21</f>
        <v>1</v>
      </c>
      <c r="BV16" s="153">
        <f>BP22</f>
        <v>0</v>
      </c>
    </row>
    <row r="17" spans="1:74" ht="12" customHeight="1" x14ac:dyDescent="0.2">
      <c r="A17" s="214" t="s">
        <v>245</v>
      </c>
      <c r="B17" s="214"/>
      <c r="C17" s="148"/>
      <c r="D17" s="149"/>
      <c r="E17" s="148"/>
      <c r="F17" s="148"/>
      <c r="G17" s="149"/>
      <c r="H17" s="148"/>
      <c r="I17" s="148"/>
      <c r="J17" s="149"/>
      <c r="K17" s="148"/>
      <c r="L17" s="148"/>
      <c r="M17" s="149"/>
      <c r="N17" s="148"/>
      <c r="O17" s="145"/>
      <c r="P17" s="148"/>
      <c r="Q17" s="149"/>
      <c r="R17" s="148"/>
      <c r="S17" s="148"/>
      <c r="T17" s="149"/>
      <c r="U17" s="148"/>
      <c r="V17" s="148"/>
      <c r="W17" s="149"/>
      <c r="X17" s="148"/>
      <c r="Y17" s="148"/>
      <c r="Z17" s="149"/>
      <c r="AA17" s="148"/>
      <c r="AB17" s="51"/>
      <c r="AC17" s="148"/>
      <c r="AD17" s="149"/>
      <c r="AE17" s="148"/>
      <c r="AF17" s="148"/>
      <c r="AG17" s="149"/>
      <c r="AH17" s="148"/>
      <c r="AI17" s="148"/>
      <c r="AJ17" s="149"/>
      <c r="AK17" s="148"/>
      <c r="AL17" s="148"/>
      <c r="AM17" s="149"/>
      <c r="AN17" s="148"/>
      <c r="AO17" s="53"/>
      <c r="AP17" s="157"/>
      <c r="AQ17" s="158"/>
      <c r="AR17" s="157"/>
      <c r="AS17" s="157"/>
      <c r="AT17" s="158"/>
      <c r="AU17" s="157"/>
      <c r="AV17" s="157"/>
      <c r="AW17" s="158"/>
      <c r="AX17" s="157"/>
      <c r="AY17" s="157"/>
      <c r="AZ17" s="158"/>
      <c r="BA17" s="157"/>
      <c r="BB17" s="53"/>
      <c r="BC17" s="151" t="s">
        <v>101</v>
      </c>
      <c r="BD17" s="55"/>
      <c r="BE17" s="55">
        <v>1</v>
      </c>
      <c r="BF17" s="55">
        <v>1</v>
      </c>
      <c r="BG17" s="55"/>
      <c r="BH17" s="55">
        <v>1</v>
      </c>
      <c r="BI17" s="55"/>
      <c r="BJ17" s="55"/>
      <c r="BK17" s="55"/>
      <c r="BL17" s="55">
        <v>1</v>
      </c>
      <c r="BM17" s="55">
        <v>1</v>
      </c>
      <c r="BO17" s="55">
        <v>1</v>
      </c>
      <c r="BP17" s="55"/>
      <c r="BQ17" s="55" t="s">
        <v>257</v>
      </c>
      <c r="BR17" s="55">
        <f>BQ18</f>
        <v>1</v>
      </c>
      <c r="BS17" s="55">
        <f>BQ19</f>
        <v>0</v>
      </c>
      <c r="BT17" s="55">
        <f>BQ20</f>
        <v>0</v>
      </c>
      <c r="BU17" s="55">
        <f>BQ21</f>
        <v>0</v>
      </c>
      <c r="BV17" s="55">
        <f>BQ22</f>
        <v>2</v>
      </c>
    </row>
    <row r="18" spans="1:74" ht="12" customHeight="1" x14ac:dyDescent="0.2">
      <c r="A18" s="146"/>
      <c r="B18" s="16">
        <v>9</v>
      </c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145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51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147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143"/>
      <c r="BC18" s="159" t="s">
        <v>241</v>
      </c>
      <c r="BD18" s="153"/>
      <c r="BE18" s="153">
        <v>1</v>
      </c>
      <c r="BF18" s="153"/>
      <c r="BG18" s="153"/>
      <c r="BH18" s="153">
        <v>1</v>
      </c>
      <c r="BI18" s="153">
        <v>1</v>
      </c>
      <c r="BJ18" s="153"/>
      <c r="BK18" s="153"/>
      <c r="BL18" s="153"/>
      <c r="BM18" s="153"/>
      <c r="BN18" s="153"/>
      <c r="BO18" s="153"/>
      <c r="BP18" s="153">
        <v>1</v>
      </c>
      <c r="BQ18" s="153">
        <v>1</v>
      </c>
      <c r="BR18" s="153" t="s">
        <v>257</v>
      </c>
      <c r="BS18" s="153">
        <f>BR19</f>
        <v>0</v>
      </c>
      <c r="BT18" s="153">
        <f>BR20</f>
        <v>0</v>
      </c>
      <c r="BU18" s="153">
        <f>BR21</f>
        <v>0</v>
      </c>
      <c r="BV18" s="153">
        <f>BR22</f>
        <v>1</v>
      </c>
    </row>
    <row r="19" spans="1:74" ht="12" customHeight="1" x14ac:dyDescent="0.2">
      <c r="A19" s="214" t="s">
        <v>245</v>
      </c>
      <c r="B19" s="214"/>
      <c r="C19" s="148"/>
      <c r="D19" s="149"/>
      <c r="E19" s="148"/>
      <c r="F19" s="148"/>
      <c r="G19" s="149"/>
      <c r="H19" s="148"/>
      <c r="I19" s="148"/>
      <c r="J19" s="149"/>
      <c r="K19" s="148"/>
      <c r="L19" s="148"/>
      <c r="M19" s="149"/>
      <c r="N19" s="148"/>
      <c r="O19" s="145"/>
      <c r="P19" s="148"/>
      <c r="Q19" s="149"/>
      <c r="R19" s="148"/>
      <c r="S19" s="148"/>
      <c r="T19" s="149"/>
      <c r="U19" s="148"/>
      <c r="V19" s="148"/>
      <c r="W19" s="149"/>
      <c r="X19" s="148"/>
      <c r="Y19" s="148"/>
      <c r="Z19" s="149"/>
      <c r="AA19" s="148"/>
      <c r="AB19" s="51"/>
      <c r="AC19" s="148"/>
      <c r="AD19" s="149"/>
      <c r="AE19" s="148"/>
      <c r="AF19" s="148"/>
      <c r="AG19" s="149"/>
      <c r="AH19" s="148"/>
      <c r="AI19" s="148"/>
      <c r="AJ19" s="149"/>
      <c r="AK19" s="148"/>
      <c r="AL19" s="148"/>
      <c r="AM19" s="149"/>
      <c r="AN19" s="148"/>
      <c r="AO19" s="53"/>
      <c r="AP19" s="157"/>
      <c r="AQ19" s="158"/>
      <c r="AR19" s="157"/>
      <c r="AS19" s="157"/>
      <c r="AT19" s="158"/>
      <c r="AU19" s="157"/>
      <c r="AV19" s="157"/>
      <c r="AW19" s="158"/>
      <c r="AX19" s="157"/>
      <c r="AY19" s="157"/>
      <c r="AZ19" s="158"/>
      <c r="BA19" s="157"/>
      <c r="BB19" s="53"/>
      <c r="BC19" s="151" t="s">
        <v>250</v>
      </c>
      <c r="BD19" s="55"/>
      <c r="BE19" s="55">
        <v>1</v>
      </c>
      <c r="BF19" s="55">
        <v>2</v>
      </c>
      <c r="BG19" s="55"/>
      <c r="BH19" s="55">
        <v>1</v>
      </c>
      <c r="BI19" s="55">
        <v>1</v>
      </c>
      <c r="BJ19" s="55"/>
      <c r="BK19" s="55">
        <v>1</v>
      </c>
      <c r="BL19" s="55"/>
      <c r="BM19" s="55"/>
      <c r="BN19" s="55">
        <v>1</v>
      </c>
      <c r="BO19" s="55">
        <v>1</v>
      </c>
      <c r="BP19" s="55">
        <v>1</v>
      </c>
      <c r="BR19" s="55"/>
      <c r="BS19" s="55" t="s">
        <v>257</v>
      </c>
      <c r="BT19" s="55">
        <f>BS20</f>
        <v>0</v>
      </c>
      <c r="BU19" s="55">
        <f>BS21</f>
        <v>0</v>
      </c>
      <c r="BV19" s="55">
        <f>BS22</f>
        <v>0</v>
      </c>
    </row>
    <row r="20" spans="1:74" ht="12" customHeight="1" x14ac:dyDescent="0.2">
      <c r="A20" s="146"/>
      <c r="B20" s="16">
        <v>10</v>
      </c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145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51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14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143"/>
      <c r="BC20" s="152" t="s">
        <v>251</v>
      </c>
      <c r="BD20" s="160"/>
      <c r="BE20" s="160"/>
      <c r="BF20" s="160"/>
      <c r="BG20" s="160"/>
      <c r="BH20" s="153">
        <v>1</v>
      </c>
      <c r="BI20" s="160"/>
      <c r="BJ20" s="160"/>
      <c r="BK20" s="160">
        <v>1</v>
      </c>
      <c r="BL20" s="160">
        <v>1</v>
      </c>
      <c r="BM20" s="160">
        <v>1</v>
      </c>
      <c r="BN20" s="153"/>
      <c r="BO20" s="160"/>
      <c r="BP20" s="153">
        <v>1</v>
      </c>
      <c r="BQ20" s="153"/>
      <c r="BR20" s="160"/>
      <c r="BS20" s="160"/>
      <c r="BT20" s="153" t="s">
        <v>257</v>
      </c>
      <c r="BU20" s="153">
        <f>BT21</f>
        <v>1</v>
      </c>
      <c r="BV20" s="153">
        <f>BT22</f>
        <v>0</v>
      </c>
    </row>
    <row r="21" spans="1:74" ht="12" customHeight="1" x14ac:dyDescent="0.2">
      <c r="A21" s="214" t="s">
        <v>245</v>
      </c>
      <c r="B21" s="214"/>
      <c r="C21" s="148"/>
      <c r="D21" s="149"/>
      <c r="E21" s="148"/>
      <c r="F21" s="148"/>
      <c r="G21" s="149"/>
      <c r="H21" s="148"/>
      <c r="I21" s="148"/>
      <c r="J21" s="149"/>
      <c r="K21" s="148"/>
      <c r="L21" s="148"/>
      <c r="M21" s="149"/>
      <c r="N21" s="148"/>
      <c r="O21" s="145"/>
      <c r="P21" s="148"/>
      <c r="Q21" s="149"/>
      <c r="R21" s="148"/>
      <c r="S21" s="148"/>
      <c r="T21" s="149"/>
      <c r="U21" s="148"/>
      <c r="V21" s="148"/>
      <c r="W21" s="149"/>
      <c r="X21" s="148"/>
      <c r="Y21" s="148"/>
      <c r="Z21" s="149"/>
      <c r="AA21" s="148"/>
      <c r="AB21" s="51"/>
      <c r="AC21" s="148"/>
      <c r="AD21" s="149"/>
      <c r="AE21" s="148"/>
      <c r="AF21" s="148"/>
      <c r="AG21" s="149"/>
      <c r="AH21" s="148"/>
      <c r="AI21" s="148"/>
      <c r="AJ21" s="149"/>
      <c r="AK21" s="148"/>
      <c r="AL21" s="148"/>
      <c r="AM21" s="149"/>
      <c r="AN21" s="148"/>
      <c r="AO21" s="53"/>
      <c r="AP21" s="157"/>
      <c r="AQ21" s="158"/>
      <c r="AR21" s="157"/>
      <c r="AS21" s="157"/>
      <c r="AT21" s="158"/>
      <c r="AU21" s="157"/>
      <c r="AV21" s="157"/>
      <c r="AW21" s="158"/>
      <c r="AX21" s="157"/>
      <c r="AY21" s="157"/>
      <c r="AZ21" s="158"/>
      <c r="BA21" s="157"/>
      <c r="BB21" s="53"/>
      <c r="BC21" s="151" t="s">
        <v>252</v>
      </c>
      <c r="BD21" s="55">
        <v>1</v>
      </c>
      <c r="BE21" s="55"/>
      <c r="BF21" s="55"/>
      <c r="BG21" s="55"/>
      <c r="BH21" s="55"/>
      <c r="BI21" s="55"/>
      <c r="BJ21" s="55">
        <v>1</v>
      </c>
      <c r="BK21" s="55">
        <v>1</v>
      </c>
      <c r="BL21" s="55">
        <v>1</v>
      </c>
      <c r="BM21" s="55"/>
      <c r="BO21" s="55">
        <v>1</v>
      </c>
      <c r="BP21" s="55">
        <v>1</v>
      </c>
      <c r="BT21" s="55">
        <v>1</v>
      </c>
      <c r="BU21" s="55" t="s">
        <v>257</v>
      </c>
      <c r="BV21" s="55">
        <f>BU22</f>
        <v>1</v>
      </c>
    </row>
    <row r="22" spans="1:74" ht="12" customHeight="1" x14ac:dyDescent="0.2">
      <c r="A22" s="146"/>
      <c r="B22" s="16">
        <v>11</v>
      </c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145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51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  <c r="AN22" s="213"/>
      <c r="AO22" s="14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143"/>
      <c r="BC22" s="152" t="s">
        <v>244</v>
      </c>
      <c r="BD22" s="160">
        <v>1</v>
      </c>
      <c r="BE22" s="160">
        <v>1</v>
      </c>
      <c r="BF22" s="160"/>
      <c r="BG22" s="160"/>
      <c r="BH22" s="160">
        <v>1</v>
      </c>
      <c r="BI22" s="160"/>
      <c r="BJ22" s="160"/>
      <c r="BK22" s="160"/>
      <c r="BL22" s="160"/>
      <c r="BM22" s="160">
        <v>1</v>
      </c>
      <c r="BN22" s="153"/>
      <c r="BO22" s="160"/>
      <c r="BP22" s="160"/>
      <c r="BQ22" s="153">
        <v>2</v>
      </c>
      <c r="BR22" s="160">
        <v>1</v>
      </c>
      <c r="BS22" s="160"/>
      <c r="BT22" s="153"/>
      <c r="BU22" s="153">
        <v>1</v>
      </c>
      <c r="BV22" s="153" t="s">
        <v>257</v>
      </c>
    </row>
    <row r="23" spans="1:74" ht="12" customHeight="1" x14ac:dyDescent="0.2">
      <c r="A23" s="214" t="s">
        <v>245</v>
      </c>
      <c r="B23" s="214"/>
      <c r="C23" s="148"/>
      <c r="D23" s="149"/>
      <c r="E23" s="148"/>
      <c r="F23" s="148"/>
      <c r="G23" s="149"/>
      <c r="H23" s="148"/>
      <c r="I23" s="148"/>
      <c r="J23" s="149"/>
      <c r="K23" s="148"/>
      <c r="L23" s="148"/>
      <c r="M23" s="149"/>
      <c r="N23" s="148"/>
      <c r="O23" s="145"/>
      <c r="P23" s="148"/>
      <c r="Q23" s="149"/>
      <c r="R23" s="148"/>
      <c r="S23" s="148"/>
      <c r="T23" s="149"/>
      <c r="U23" s="148"/>
      <c r="V23" s="148"/>
      <c r="W23" s="149"/>
      <c r="X23" s="148"/>
      <c r="Y23" s="148"/>
      <c r="Z23" s="149"/>
      <c r="AA23" s="148"/>
      <c r="AB23" s="51"/>
      <c r="AC23" s="148"/>
      <c r="AD23" s="149"/>
      <c r="AE23" s="148"/>
      <c r="AF23" s="148"/>
      <c r="AG23" s="149"/>
      <c r="AH23" s="148"/>
      <c r="AI23" s="148"/>
      <c r="AJ23" s="149"/>
      <c r="AK23" s="148"/>
      <c r="AL23" s="148"/>
      <c r="AM23" s="149"/>
      <c r="AN23" s="148"/>
      <c r="AO23" s="53"/>
      <c r="AP23" s="157"/>
      <c r="AQ23" s="158"/>
      <c r="AR23" s="157"/>
      <c r="AS23" s="157"/>
      <c r="AT23" s="158"/>
      <c r="AU23" s="157"/>
      <c r="AV23" s="157"/>
      <c r="AW23" s="158"/>
      <c r="AX23" s="157"/>
      <c r="AY23" s="157"/>
      <c r="AZ23" s="158"/>
      <c r="BA23" s="157"/>
      <c r="BB23" s="53"/>
      <c r="BC23" s="151" t="s">
        <v>20</v>
      </c>
      <c r="BD23" s="55">
        <f t="shared" ref="BD23:BV23" si="0">SUM(BD4:BD22)</f>
        <v>8</v>
      </c>
      <c r="BE23" s="55">
        <f t="shared" si="0"/>
        <v>12</v>
      </c>
      <c r="BF23" s="55">
        <f t="shared" si="0"/>
        <v>10</v>
      </c>
      <c r="BG23" s="55">
        <f t="shared" si="0"/>
        <v>0</v>
      </c>
      <c r="BH23" s="55">
        <f t="shared" si="0"/>
        <v>12</v>
      </c>
      <c r="BI23" s="55">
        <f t="shared" si="0"/>
        <v>9</v>
      </c>
      <c r="BJ23" s="55">
        <f t="shared" si="0"/>
        <v>6</v>
      </c>
      <c r="BK23" s="55">
        <f t="shared" si="0"/>
        <v>9</v>
      </c>
      <c r="BL23" s="55">
        <f t="shared" si="0"/>
        <v>9</v>
      </c>
      <c r="BM23" s="55">
        <f t="shared" si="0"/>
        <v>9</v>
      </c>
      <c r="BN23" s="55">
        <f t="shared" si="0"/>
        <v>3</v>
      </c>
      <c r="BO23" s="55">
        <f t="shared" si="0"/>
        <v>10</v>
      </c>
      <c r="BP23" s="55">
        <f t="shared" si="0"/>
        <v>9</v>
      </c>
      <c r="BQ23" s="55">
        <f t="shared" si="0"/>
        <v>9</v>
      </c>
      <c r="BR23" s="55">
        <f t="shared" si="0"/>
        <v>6</v>
      </c>
      <c r="BS23" s="55">
        <f t="shared" si="0"/>
        <v>9</v>
      </c>
      <c r="BT23" s="55">
        <f t="shared" si="0"/>
        <v>6</v>
      </c>
      <c r="BU23" s="55">
        <f t="shared" si="0"/>
        <v>8</v>
      </c>
      <c r="BV23" s="55">
        <f t="shared" si="0"/>
        <v>8</v>
      </c>
    </row>
    <row r="24" spans="1:74" ht="12" customHeight="1" x14ac:dyDescent="0.2">
      <c r="A24" s="146"/>
      <c r="B24" s="16">
        <v>12</v>
      </c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145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51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14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143"/>
    </row>
    <row r="25" spans="1:74" ht="12" customHeight="1" x14ac:dyDescent="0.2">
      <c r="A25" s="214" t="s">
        <v>245</v>
      </c>
      <c r="B25" s="214"/>
      <c r="C25" s="148"/>
      <c r="D25" s="149"/>
      <c r="E25" s="148"/>
      <c r="F25" s="148"/>
      <c r="G25" s="149"/>
      <c r="H25" s="148"/>
      <c r="I25" s="148"/>
      <c r="J25" s="149"/>
      <c r="K25" s="148"/>
      <c r="L25" s="148"/>
      <c r="M25" s="149"/>
      <c r="N25" s="148"/>
      <c r="O25" s="145"/>
      <c r="P25" s="148"/>
      <c r="Q25" s="149"/>
      <c r="R25" s="148"/>
      <c r="S25" s="148"/>
      <c r="T25" s="149"/>
      <c r="U25" s="148"/>
      <c r="V25" s="148"/>
      <c r="W25" s="149"/>
      <c r="X25" s="148"/>
      <c r="Y25" s="148"/>
      <c r="Z25" s="149"/>
      <c r="AA25" s="148"/>
      <c r="AB25" s="51"/>
      <c r="AC25" s="148"/>
      <c r="AD25" s="149"/>
      <c r="AE25" s="148"/>
      <c r="AF25" s="148"/>
      <c r="AG25" s="149"/>
      <c r="AH25" s="148"/>
      <c r="AI25" s="148"/>
      <c r="AJ25" s="149"/>
      <c r="AK25" s="148"/>
      <c r="AL25" s="148"/>
      <c r="AM25" s="149"/>
      <c r="AN25" s="148"/>
      <c r="AO25" s="53"/>
      <c r="AP25" s="157"/>
      <c r="AQ25" s="158"/>
      <c r="AR25" s="157"/>
      <c r="AS25" s="157"/>
      <c r="AT25" s="158"/>
      <c r="AU25" s="157"/>
      <c r="AV25" s="157"/>
      <c r="AW25" s="158"/>
      <c r="AX25" s="157"/>
      <c r="AY25" s="157"/>
      <c r="AZ25" s="158"/>
      <c r="BA25" s="157"/>
      <c r="BB25" s="53"/>
    </row>
    <row r="26" spans="1:74" ht="12" customHeight="1" x14ac:dyDescent="0.2">
      <c r="A26" s="146"/>
      <c r="B26" s="16">
        <v>13</v>
      </c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145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51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14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143"/>
    </row>
    <row r="27" spans="1:74" ht="12" customHeight="1" x14ac:dyDescent="0.2">
      <c r="A27" s="214" t="s">
        <v>245</v>
      </c>
      <c r="B27" s="214"/>
      <c r="C27" s="148"/>
      <c r="D27" s="149"/>
      <c r="E27" s="148"/>
      <c r="F27" s="148"/>
      <c r="G27" s="149"/>
      <c r="H27" s="148"/>
      <c r="I27" s="148"/>
      <c r="J27" s="149"/>
      <c r="K27" s="148"/>
      <c r="L27" s="148"/>
      <c r="M27" s="149"/>
      <c r="N27" s="148"/>
      <c r="O27" s="145"/>
      <c r="P27" s="148"/>
      <c r="Q27" s="149"/>
      <c r="R27" s="148"/>
      <c r="S27" s="148"/>
      <c r="T27" s="149"/>
      <c r="U27" s="148"/>
      <c r="V27" s="148"/>
      <c r="W27" s="149"/>
      <c r="X27" s="148"/>
      <c r="Y27" s="148"/>
      <c r="Z27" s="149"/>
      <c r="AA27" s="148"/>
      <c r="AB27" s="51"/>
      <c r="AC27" s="148"/>
      <c r="AD27" s="149"/>
      <c r="AE27" s="148"/>
      <c r="AF27" s="148"/>
      <c r="AG27" s="149"/>
      <c r="AH27" s="148"/>
      <c r="AI27" s="148"/>
      <c r="AJ27" s="149"/>
      <c r="AK27" s="148"/>
      <c r="AL27" s="148"/>
      <c r="AM27" s="149"/>
      <c r="AN27" s="148"/>
      <c r="AO27" s="53"/>
      <c r="AP27" s="157"/>
      <c r="AQ27" s="158"/>
      <c r="AR27" s="157"/>
      <c r="AS27" s="157"/>
      <c r="AT27" s="158"/>
      <c r="AU27" s="157"/>
      <c r="AV27" s="157"/>
      <c r="AW27" s="158"/>
      <c r="AX27" s="157"/>
      <c r="AY27" s="157"/>
      <c r="AZ27" s="158"/>
      <c r="BA27" s="157"/>
      <c r="BB27" s="53"/>
    </row>
    <row r="28" spans="1:74" ht="12" customHeight="1" x14ac:dyDescent="0.2">
      <c r="A28" s="146"/>
      <c r="B28" s="16">
        <v>14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145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51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14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143"/>
    </row>
    <row r="29" spans="1:74" ht="12" customHeight="1" x14ac:dyDescent="0.2">
      <c r="A29" s="214" t="s">
        <v>245</v>
      </c>
      <c r="B29" s="214"/>
      <c r="C29" s="148"/>
      <c r="D29" s="149"/>
      <c r="E29" s="148"/>
      <c r="F29" s="148"/>
      <c r="G29" s="149"/>
      <c r="H29" s="148"/>
      <c r="I29" s="148"/>
      <c r="J29" s="149"/>
      <c r="K29" s="148"/>
      <c r="L29" s="148"/>
      <c r="M29" s="149"/>
      <c r="N29" s="148"/>
      <c r="O29" s="145"/>
      <c r="P29" s="148"/>
      <c r="Q29" s="149"/>
      <c r="R29" s="148"/>
      <c r="S29" s="148"/>
      <c r="T29" s="149"/>
      <c r="U29" s="148"/>
      <c r="V29" s="148"/>
      <c r="W29" s="149"/>
      <c r="X29" s="148"/>
      <c r="Y29" s="148"/>
      <c r="Z29" s="149"/>
      <c r="AA29" s="148"/>
      <c r="AB29" s="51"/>
      <c r="AC29" s="148"/>
      <c r="AD29" s="149"/>
      <c r="AE29" s="148"/>
      <c r="AF29" s="148"/>
      <c r="AG29" s="149"/>
      <c r="AH29" s="148"/>
      <c r="AI29" s="148"/>
      <c r="AJ29" s="149"/>
      <c r="AK29" s="148"/>
      <c r="AL29" s="148"/>
      <c r="AM29" s="149"/>
      <c r="AN29" s="148"/>
      <c r="AO29" s="53"/>
      <c r="AP29" s="157"/>
      <c r="AQ29" s="158"/>
      <c r="AR29" s="157"/>
      <c r="AS29" s="157"/>
      <c r="AT29" s="158"/>
      <c r="AU29" s="157"/>
      <c r="AV29" s="157"/>
      <c r="AW29" s="158"/>
      <c r="AX29" s="157"/>
      <c r="AY29" s="157"/>
      <c r="AZ29" s="158"/>
      <c r="BA29" s="157"/>
      <c r="BB29" s="53"/>
    </row>
    <row r="30" spans="1:74" ht="12" customHeight="1" x14ac:dyDescent="0.2">
      <c r="A30" s="146"/>
      <c r="B30" s="16">
        <v>15</v>
      </c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145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51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  <c r="AN30" s="213"/>
      <c r="AO30" s="147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147"/>
    </row>
    <row r="31" spans="1:74" ht="12" customHeight="1" x14ac:dyDescent="0.2">
      <c r="A31" s="214" t="s">
        <v>245</v>
      </c>
      <c r="B31" s="214"/>
      <c r="C31" s="148"/>
      <c r="D31" s="149"/>
      <c r="E31" s="148"/>
      <c r="F31" s="148"/>
      <c r="G31" s="149"/>
      <c r="H31" s="148"/>
      <c r="I31" s="148"/>
      <c r="J31" s="149"/>
      <c r="K31" s="148"/>
      <c r="L31" s="148"/>
      <c r="M31" s="149"/>
      <c r="N31" s="148"/>
      <c r="O31" s="145"/>
      <c r="P31" s="148"/>
      <c r="Q31" s="149"/>
      <c r="R31" s="148"/>
      <c r="S31" s="148"/>
      <c r="T31" s="149"/>
      <c r="U31" s="148"/>
      <c r="V31" s="148"/>
      <c r="W31" s="149"/>
      <c r="X31" s="148"/>
      <c r="Y31" s="148"/>
      <c r="Z31" s="149"/>
      <c r="AA31" s="148"/>
      <c r="AB31" s="51"/>
      <c r="AC31" s="148"/>
      <c r="AD31" s="149"/>
      <c r="AE31" s="148"/>
      <c r="AF31" s="148"/>
      <c r="AG31" s="149"/>
      <c r="AH31" s="148"/>
      <c r="AI31" s="148"/>
      <c r="AJ31" s="149"/>
      <c r="AK31" s="148"/>
      <c r="AL31" s="148"/>
      <c r="AM31" s="149"/>
      <c r="AN31" s="148"/>
      <c r="AO31" s="53"/>
      <c r="AP31" s="157"/>
      <c r="AQ31" s="158"/>
      <c r="AR31" s="157"/>
      <c r="AS31" s="157"/>
      <c r="AT31" s="158"/>
      <c r="AU31" s="157"/>
      <c r="AV31" s="157"/>
      <c r="AW31" s="158"/>
      <c r="AX31" s="157"/>
      <c r="AY31" s="157"/>
      <c r="AZ31" s="158"/>
      <c r="BA31" s="157"/>
      <c r="BB31" s="53"/>
    </row>
    <row r="32" spans="1:74" ht="12" customHeight="1" x14ac:dyDescent="0.2">
      <c r="A32" s="146"/>
      <c r="B32" s="16">
        <v>16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145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51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147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147"/>
    </row>
    <row r="33" spans="1:54" ht="12" customHeight="1" x14ac:dyDescent="0.2">
      <c r="A33" s="214" t="s">
        <v>245</v>
      </c>
      <c r="B33" s="214"/>
      <c r="C33" s="148"/>
      <c r="D33" s="149"/>
      <c r="E33" s="148"/>
      <c r="F33" s="148"/>
      <c r="G33" s="149"/>
      <c r="H33" s="148"/>
      <c r="I33" s="148"/>
      <c r="J33" s="149"/>
      <c r="K33" s="148"/>
      <c r="L33" s="148"/>
      <c r="M33" s="149"/>
      <c r="N33" s="148"/>
      <c r="O33" s="145"/>
      <c r="P33" s="148"/>
      <c r="Q33" s="149"/>
      <c r="R33" s="148"/>
      <c r="S33" s="148"/>
      <c r="T33" s="149"/>
      <c r="U33" s="148"/>
      <c r="V33" s="148"/>
      <c r="W33" s="149"/>
      <c r="X33" s="148"/>
      <c r="Y33" s="148"/>
      <c r="Z33" s="149"/>
      <c r="AA33" s="148"/>
      <c r="AB33" s="51"/>
      <c r="AC33" s="148"/>
      <c r="AD33" s="149"/>
      <c r="AE33" s="148"/>
      <c r="AF33" s="148"/>
      <c r="AG33" s="149"/>
      <c r="AH33" s="148"/>
      <c r="AI33" s="148"/>
      <c r="AJ33" s="149"/>
      <c r="AK33" s="148"/>
      <c r="AL33" s="148"/>
      <c r="AM33" s="149"/>
      <c r="AN33" s="148"/>
      <c r="AO33" s="53"/>
      <c r="AP33" s="157"/>
      <c r="AQ33" s="158"/>
      <c r="AR33" s="157"/>
      <c r="AS33" s="157"/>
      <c r="AT33" s="158"/>
      <c r="AU33" s="157"/>
      <c r="AV33" s="157"/>
      <c r="AW33" s="158"/>
      <c r="AX33" s="157"/>
      <c r="AY33" s="157"/>
      <c r="AZ33" s="158"/>
      <c r="BA33" s="157"/>
      <c r="BB33" s="53"/>
    </row>
    <row r="34" spans="1:54" ht="12" customHeight="1" x14ac:dyDescent="0.2">
      <c r="A34" s="146"/>
      <c r="B34" s="16">
        <v>17</v>
      </c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145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51"/>
      <c r="AC34" s="213"/>
      <c r="AD34" s="213"/>
      <c r="AE34" s="213"/>
      <c r="AF34" s="213"/>
      <c r="AG34" s="213"/>
      <c r="AH34" s="213"/>
      <c r="AI34" s="213"/>
      <c r="AJ34" s="213"/>
      <c r="AK34" s="213"/>
      <c r="AL34" s="213"/>
      <c r="AM34" s="213"/>
      <c r="AN34" s="213"/>
      <c r="AO34" s="147"/>
      <c r="AP34" s="213"/>
      <c r="AQ34" s="213"/>
      <c r="AR34" s="213"/>
      <c r="AS34" s="213"/>
      <c r="AT34" s="213"/>
      <c r="AU34" s="213"/>
      <c r="AV34" s="213"/>
      <c r="AW34" s="213"/>
      <c r="AX34" s="213"/>
      <c r="AY34" s="213"/>
      <c r="AZ34" s="213"/>
      <c r="BA34" s="213"/>
      <c r="BB34" s="147"/>
    </row>
    <row r="35" spans="1:54" ht="12" customHeight="1" x14ac:dyDescent="0.2">
      <c r="A35" s="214" t="s">
        <v>245</v>
      </c>
      <c r="B35" s="214"/>
      <c r="C35" s="148"/>
      <c r="D35" s="149"/>
      <c r="E35" s="148"/>
      <c r="F35" s="148"/>
      <c r="G35" s="149"/>
      <c r="H35" s="148"/>
      <c r="I35" s="148"/>
      <c r="J35" s="149"/>
      <c r="K35" s="148"/>
      <c r="L35" s="148"/>
      <c r="M35" s="149"/>
      <c r="N35" s="148"/>
      <c r="O35" s="161"/>
      <c r="P35" s="148"/>
      <c r="Q35" s="149"/>
      <c r="R35" s="148"/>
      <c r="S35" s="148"/>
      <c r="T35" s="149"/>
      <c r="U35" s="148"/>
      <c r="V35" s="148"/>
      <c r="W35" s="149"/>
      <c r="X35" s="148"/>
      <c r="Y35" s="148"/>
      <c r="Z35" s="149"/>
      <c r="AA35" s="148"/>
      <c r="AB35" s="162"/>
      <c r="AC35" s="148"/>
      <c r="AD35" s="149"/>
      <c r="AE35" s="148"/>
      <c r="AF35" s="148"/>
      <c r="AG35" s="149"/>
      <c r="AH35" s="148"/>
      <c r="AI35" s="148"/>
      <c r="AJ35" s="149"/>
      <c r="AK35" s="148"/>
      <c r="AL35" s="148"/>
      <c r="AM35" s="149"/>
      <c r="AN35" s="148"/>
      <c r="AO35" s="53"/>
      <c r="AP35" s="157"/>
      <c r="AQ35" s="158"/>
      <c r="AR35" s="157"/>
      <c r="AS35" s="157"/>
      <c r="AT35" s="158"/>
      <c r="AU35" s="157"/>
      <c r="AV35" s="157"/>
      <c r="AW35" s="158"/>
      <c r="AX35" s="157"/>
      <c r="AY35" s="157"/>
      <c r="AZ35" s="158"/>
      <c r="BA35" s="157"/>
      <c r="BB35" s="53"/>
    </row>
    <row r="36" spans="1:54" ht="12" customHeight="1" x14ac:dyDescent="0.2">
      <c r="A36" s="146"/>
      <c r="B36" s="16">
        <v>18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145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51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147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147"/>
    </row>
    <row r="37" spans="1:54" ht="12" customHeight="1" x14ac:dyDescent="0.2">
      <c r="A37" s="214" t="s">
        <v>245</v>
      </c>
      <c r="B37" s="214"/>
      <c r="C37" s="148"/>
      <c r="D37" s="149"/>
      <c r="E37" s="148"/>
      <c r="F37" s="148"/>
      <c r="G37" s="149"/>
      <c r="H37" s="148"/>
      <c r="I37" s="148"/>
      <c r="J37" s="149"/>
      <c r="K37" s="148"/>
      <c r="L37" s="148"/>
      <c r="M37" s="149"/>
      <c r="N37" s="148"/>
      <c r="O37" s="161"/>
      <c r="P37" s="148"/>
      <c r="Q37" s="149"/>
      <c r="R37" s="148"/>
      <c r="S37" s="148"/>
      <c r="T37" s="149"/>
      <c r="U37" s="148"/>
      <c r="V37" s="148"/>
      <c r="W37" s="149"/>
      <c r="X37" s="148"/>
      <c r="Y37" s="148"/>
      <c r="Z37" s="149"/>
      <c r="AA37" s="148"/>
      <c r="AB37" s="162"/>
      <c r="AC37" s="148"/>
      <c r="AD37" s="149"/>
      <c r="AE37" s="148"/>
      <c r="AF37" s="148"/>
      <c r="AG37" s="149"/>
      <c r="AH37" s="148"/>
      <c r="AI37" s="148"/>
      <c r="AJ37" s="149"/>
      <c r="AK37" s="148"/>
      <c r="AL37" s="148"/>
      <c r="AM37" s="149"/>
      <c r="AN37" s="148"/>
      <c r="AO37" s="53"/>
      <c r="AP37" s="157"/>
      <c r="AQ37" s="158"/>
      <c r="AR37" s="157"/>
      <c r="AS37" s="157"/>
      <c r="AT37" s="158"/>
      <c r="AU37" s="157"/>
      <c r="AV37" s="157"/>
      <c r="AW37" s="158"/>
      <c r="AX37" s="157"/>
      <c r="AY37" s="157"/>
      <c r="AZ37" s="158"/>
      <c r="BA37" s="157"/>
      <c r="BB37" s="53"/>
    </row>
    <row r="38" spans="1:54" x14ac:dyDescent="0.2"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</row>
    <row r="42" spans="1:54" x14ac:dyDescent="0.2">
      <c r="A42" t="s">
        <v>262</v>
      </c>
    </row>
  </sheetData>
  <mergeCells count="310">
    <mergeCell ref="AF36:AH36"/>
    <mergeCell ref="AI36:AK36"/>
    <mergeCell ref="AL36:AN36"/>
    <mergeCell ref="AP36:AR36"/>
    <mergeCell ref="AS36:AU36"/>
    <mergeCell ref="AV36:AX36"/>
    <mergeCell ref="AY36:BA36"/>
    <mergeCell ref="A37:B37"/>
    <mergeCell ref="C36:E36"/>
    <mergeCell ref="F36:H36"/>
    <mergeCell ref="I36:K36"/>
    <mergeCell ref="L36:N36"/>
    <mergeCell ref="P36:R36"/>
    <mergeCell ref="S36:U36"/>
    <mergeCell ref="V36:X36"/>
    <mergeCell ref="Y36:AA36"/>
    <mergeCell ref="AC36:AE36"/>
    <mergeCell ref="AC34:AE34"/>
    <mergeCell ref="AF34:AH34"/>
    <mergeCell ref="AI34:AK34"/>
    <mergeCell ref="AL34:AN34"/>
    <mergeCell ref="AP34:AR34"/>
    <mergeCell ref="AS34:AU34"/>
    <mergeCell ref="AV34:AX34"/>
    <mergeCell ref="AY34:BA34"/>
    <mergeCell ref="A35:B35"/>
    <mergeCell ref="A33:B33"/>
    <mergeCell ref="C34:E34"/>
    <mergeCell ref="F34:H34"/>
    <mergeCell ref="I34:K34"/>
    <mergeCell ref="L34:N34"/>
    <mergeCell ref="P34:R34"/>
    <mergeCell ref="S34:U34"/>
    <mergeCell ref="V34:X34"/>
    <mergeCell ref="Y34:AA34"/>
    <mergeCell ref="AF30:AH30"/>
    <mergeCell ref="AI30:AK30"/>
    <mergeCell ref="AL30:AN30"/>
    <mergeCell ref="AP30:AR30"/>
    <mergeCell ref="AS30:AU30"/>
    <mergeCell ref="AV30:AX30"/>
    <mergeCell ref="AY30:BA30"/>
    <mergeCell ref="A31:B31"/>
    <mergeCell ref="C32:E32"/>
    <mergeCell ref="F32:H32"/>
    <mergeCell ref="I32:K32"/>
    <mergeCell ref="L32:N32"/>
    <mergeCell ref="P32:R32"/>
    <mergeCell ref="S32:U32"/>
    <mergeCell ref="V32:X32"/>
    <mergeCell ref="Y32:AA32"/>
    <mergeCell ref="AC32:AE32"/>
    <mergeCell ref="AF32:AH32"/>
    <mergeCell ref="AI32:AK32"/>
    <mergeCell ref="AL32:AN32"/>
    <mergeCell ref="AP32:AR32"/>
    <mergeCell ref="AS32:AU32"/>
    <mergeCell ref="AV32:AX32"/>
    <mergeCell ref="AY32:BA32"/>
    <mergeCell ref="C30:E30"/>
    <mergeCell ref="F30:H30"/>
    <mergeCell ref="I30:K30"/>
    <mergeCell ref="L30:N30"/>
    <mergeCell ref="P30:R30"/>
    <mergeCell ref="S30:U30"/>
    <mergeCell ref="V30:X30"/>
    <mergeCell ref="Y30:AA30"/>
    <mergeCell ref="AC30:AE30"/>
    <mergeCell ref="AC28:AE28"/>
    <mergeCell ref="AF28:AH28"/>
    <mergeCell ref="AI28:AK28"/>
    <mergeCell ref="AL28:AN28"/>
    <mergeCell ref="AP28:AR28"/>
    <mergeCell ref="AS28:AU28"/>
    <mergeCell ref="AV28:AX28"/>
    <mergeCell ref="AY28:BA28"/>
    <mergeCell ref="A29:B29"/>
    <mergeCell ref="A27:B27"/>
    <mergeCell ref="C28:E28"/>
    <mergeCell ref="F28:H28"/>
    <mergeCell ref="I28:K28"/>
    <mergeCell ref="L28:N28"/>
    <mergeCell ref="P28:R28"/>
    <mergeCell ref="S28:U28"/>
    <mergeCell ref="V28:X28"/>
    <mergeCell ref="Y28:AA28"/>
    <mergeCell ref="AF24:AH24"/>
    <mergeCell ref="AI24:AK24"/>
    <mergeCell ref="AL24:AN24"/>
    <mergeCell ref="AP24:AR24"/>
    <mergeCell ref="AS24:AU24"/>
    <mergeCell ref="AV24:AX24"/>
    <mergeCell ref="AY24:BA24"/>
    <mergeCell ref="A25:B25"/>
    <mergeCell ref="C26:E26"/>
    <mergeCell ref="F26:H26"/>
    <mergeCell ref="I26:K26"/>
    <mergeCell ref="L26:N26"/>
    <mergeCell ref="P26:R26"/>
    <mergeCell ref="S26:U26"/>
    <mergeCell ref="V26:X26"/>
    <mergeCell ref="Y26:AA26"/>
    <mergeCell ref="AC26:AE26"/>
    <mergeCell ref="AF26:AH26"/>
    <mergeCell ref="AI26:AK26"/>
    <mergeCell ref="AL26:AN26"/>
    <mergeCell ref="AP26:AR26"/>
    <mergeCell ref="AS26:AU26"/>
    <mergeCell ref="AV26:AX26"/>
    <mergeCell ref="AY26:BA26"/>
    <mergeCell ref="C24:E24"/>
    <mergeCell ref="F24:H24"/>
    <mergeCell ref="I24:K24"/>
    <mergeCell ref="L24:N24"/>
    <mergeCell ref="P24:R24"/>
    <mergeCell ref="S24:U24"/>
    <mergeCell ref="V24:X24"/>
    <mergeCell ref="Y24:AA24"/>
    <mergeCell ref="AC24:AE24"/>
    <mergeCell ref="AC22:AE22"/>
    <mergeCell ref="AF22:AH22"/>
    <mergeCell ref="AI22:AK22"/>
    <mergeCell ref="AL22:AN22"/>
    <mergeCell ref="AP22:AR22"/>
    <mergeCell ref="AS22:AU22"/>
    <mergeCell ref="AV22:AX22"/>
    <mergeCell ref="AY22:BA22"/>
    <mergeCell ref="A23:B23"/>
    <mergeCell ref="A21:B21"/>
    <mergeCell ref="C22:E22"/>
    <mergeCell ref="F22:H22"/>
    <mergeCell ref="I22:K22"/>
    <mergeCell ref="L22:N22"/>
    <mergeCell ref="P22:R22"/>
    <mergeCell ref="S22:U22"/>
    <mergeCell ref="V22:X22"/>
    <mergeCell ref="Y22:AA22"/>
    <mergeCell ref="AF18:AH18"/>
    <mergeCell ref="AI18:AK18"/>
    <mergeCell ref="AL18:AN18"/>
    <mergeCell ref="AP18:AR18"/>
    <mergeCell ref="AS18:AU18"/>
    <mergeCell ref="AV18:AX18"/>
    <mergeCell ref="AY18:BA18"/>
    <mergeCell ref="A19:B19"/>
    <mergeCell ref="C20:E20"/>
    <mergeCell ref="F20:H20"/>
    <mergeCell ref="I20:K20"/>
    <mergeCell ref="L20:N20"/>
    <mergeCell ref="P20:R20"/>
    <mergeCell ref="S20:U20"/>
    <mergeCell ref="V20:X20"/>
    <mergeCell ref="Y20:AA20"/>
    <mergeCell ref="AC20:AE20"/>
    <mergeCell ref="AF20:AH20"/>
    <mergeCell ref="AI20:AK20"/>
    <mergeCell ref="AL20:AN20"/>
    <mergeCell ref="AP20:AR20"/>
    <mergeCell ref="AS20:AU20"/>
    <mergeCell ref="AV20:AX20"/>
    <mergeCell ref="AY20:BA20"/>
    <mergeCell ref="C18:E18"/>
    <mergeCell ref="F18:H18"/>
    <mergeCell ref="I18:K18"/>
    <mergeCell ref="L18:N18"/>
    <mergeCell ref="P18:R18"/>
    <mergeCell ref="S18:U18"/>
    <mergeCell ref="V18:X18"/>
    <mergeCell ref="Y18:AA18"/>
    <mergeCell ref="AC18:AE18"/>
    <mergeCell ref="AC16:AE16"/>
    <mergeCell ref="AF16:AH16"/>
    <mergeCell ref="AI16:AK16"/>
    <mergeCell ref="AL16:AN16"/>
    <mergeCell ref="AP16:AR16"/>
    <mergeCell ref="AS16:AU16"/>
    <mergeCell ref="AV16:AX16"/>
    <mergeCell ref="AY16:BA16"/>
    <mergeCell ref="A17:B17"/>
    <mergeCell ref="A15:B15"/>
    <mergeCell ref="C16:E16"/>
    <mergeCell ref="F16:H16"/>
    <mergeCell ref="I16:K16"/>
    <mergeCell ref="L16:N16"/>
    <mergeCell ref="P16:R16"/>
    <mergeCell ref="S16:U16"/>
    <mergeCell ref="V16:X16"/>
    <mergeCell ref="Y16:AA16"/>
    <mergeCell ref="AF12:AH12"/>
    <mergeCell ref="AI12:AK12"/>
    <mergeCell ref="AL12:AN12"/>
    <mergeCell ref="AP12:AR12"/>
    <mergeCell ref="AS12:AU12"/>
    <mergeCell ref="AV12:AX12"/>
    <mergeCell ref="AY12:BA12"/>
    <mergeCell ref="A13:B13"/>
    <mergeCell ref="C14:E14"/>
    <mergeCell ref="F14:H14"/>
    <mergeCell ref="I14:K14"/>
    <mergeCell ref="L14:N14"/>
    <mergeCell ref="P14:R14"/>
    <mergeCell ref="S14:U14"/>
    <mergeCell ref="V14:X14"/>
    <mergeCell ref="Y14:AA14"/>
    <mergeCell ref="AC14:AE14"/>
    <mergeCell ref="AF14:AH14"/>
    <mergeCell ref="AI14:AK14"/>
    <mergeCell ref="AL14:AN14"/>
    <mergeCell ref="AP14:AR14"/>
    <mergeCell ref="AS14:AU14"/>
    <mergeCell ref="AV14:AX14"/>
    <mergeCell ref="AY14:BA14"/>
    <mergeCell ref="C12:E12"/>
    <mergeCell ref="F12:H12"/>
    <mergeCell ref="I12:K12"/>
    <mergeCell ref="L12:N12"/>
    <mergeCell ref="P12:R12"/>
    <mergeCell ref="S12:U12"/>
    <mergeCell ref="V12:X12"/>
    <mergeCell ref="Y12:AA12"/>
    <mergeCell ref="AC12:AE12"/>
    <mergeCell ref="AC10:AE10"/>
    <mergeCell ref="AF10:AH10"/>
    <mergeCell ref="AI10:AK10"/>
    <mergeCell ref="AL10:AN10"/>
    <mergeCell ref="AP10:AR10"/>
    <mergeCell ref="AS10:AU10"/>
    <mergeCell ref="AV10:AX10"/>
    <mergeCell ref="AY10:BA10"/>
    <mergeCell ref="A11:B11"/>
    <mergeCell ref="A9:B9"/>
    <mergeCell ref="C10:E10"/>
    <mergeCell ref="F10:H10"/>
    <mergeCell ref="I10:K10"/>
    <mergeCell ref="L10:N10"/>
    <mergeCell ref="P10:R10"/>
    <mergeCell ref="S10:U10"/>
    <mergeCell ref="V10:X10"/>
    <mergeCell ref="Y10:AA10"/>
    <mergeCell ref="AF6:AH6"/>
    <mergeCell ref="AI6:AK6"/>
    <mergeCell ref="AL6:AN6"/>
    <mergeCell ref="AP6:AR6"/>
    <mergeCell ref="AS6:AU6"/>
    <mergeCell ref="AV6:AX6"/>
    <mergeCell ref="AY6:BA6"/>
    <mergeCell ref="A7:B7"/>
    <mergeCell ref="C8:E8"/>
    <mergeCell ref="F8:H8"/>
    <mergeCell ref="I8:K8"/>
    <mergeCell ref="L8:N8"/>
    <mergeCell ref="P8:R8"/>
    <mergeCell ref="S8:U8"/>
    <mergeCell ref="V8:X8"/>
    <mergeCell ref="Y8:AA8"/>
    <mergeCell ref="AC8:AE8"/>
    <mergeCell ref="AF8:AH8"/>
    <mergeCell ref="AI8:AK8"/>
    <mergeCell ref="AL8:AN8"/>
    <mergeCell ref="AP8:AR8"/>
    <mergeCell ref="AS8:AU8"/>
    <mergeCell ref="AV8:AX8"/>
    <mergeCell ref="AY8:BA8"/>
    <mergeCell ref="C6:E6"/>
    <mergeCell ref="F6:H6"/>
    <mergeCell ref="I6:K6"/>
    <mergeCell ref="L6:N6"/>
    <mergeCell ref="P6:R6"/>
    <mergeCell ref="S6:U6"/>
    <mergeCell ref="V6:X6"/>
    <mergeCell ref="Y6:AA6"/>
    <mergeCell ref="AC6:AE6"/>
    <mergeCell ref="AC4:AE4"/>
    <mergeCell ref="AF4:AH4"/>
    <mergeCell ref="AI4:AK4"/>
    <mergeCell ref="AL4:AN4"/>
    <mergeCell ref="AP4:AR4"/>
    <mergeCell ref="AS4:AU4"/>
    <mergeCell ref="AV4:AX4"/>
    <mergeCell ref="AY4:BA4"/>
    <mergeCell ref="A5:B5"/>
    <mergeCell ref="A3:B3"/>
    <mergeCell ref="C4:E4"/>
    <mergeCell ref="F4:H4"/>
    <mergeCell ref="I4:K4"/>
    <mergeCell ref="L4:N4"/>
    <mergeCell ref="P4:R4"/>
    <mergeCell ref="S4:U4"/>
    <mergeCell ref="V4:X4"/>
    <mergeCell ref="Y4:AA4"/>
    <mergeCell ref="C1:L1"/>
    <mergeCell ref="P1:Y1"/>
    <mergeCell ref="AC1:AL1"/>
    <mergeCell ref="AP1:AY1"/>
    <mergeCell ref="C2:E2"/>
    <mergeCell ref="F2:H2"/>
    <mergeCell ref="I2:K2"/>
    <mergeCell ref="L2:N2"/>
    <mergeCell ref="P2:R2"/>
    <mergeCell ref="S2:U2"/>
    <mergeCell ref="V2:X2"/>
    <mergeCell ref="Y2:AA2"/>
    <mergeCell ref="AC2:AE2"/>
    <mergeCell ref="AF2:AH2"/>
    <mergeCell ref="AI2:AK2"/>
    <mergeCell ref="AL2:AN2"/>
    <mergeCell ref="AP2:AR2"/>
    <mergeCell ref="AS2:AU2"/>
    <mergeCell ref="AV2:AX2"/>
    <mergeCell ref="AY2:BA2"/>
  </mergeCells>
  <pageMargins left="0.2" right="0.2" top="0.25" bottom="0.2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B42"/>
  <sheetViews>
    <sheetView zoomScaleNormal="100" zoomScalePageLayoutView="60" workbookViewId="0"/>
  </sheetViews>
  <sheetFormatPr defaultColWidth="8.5546875" defaultRowHeight="14.25" x14ac:dyDescent="0.2"/>
  <cols>
    <col min="1" max="1" width="7.109375" customWidth="1"/>
    <col min="2" max="2" width="8.109375" customWidth="1"/>
    <col min="3" max="6" width="13.21875" customWidth="1"/>
    <col min="7" max="8" width="3.6640625" customWidth="1"/>
    <col min="9" max="9" width="6.44140625" customWidth="1"/>
    <col min="10" max="12" width="4.21875" customWidth="1"/>
    <col min="13" max="13" width="4.88671875" customWidth="1"/>
    <col min="14" max="14" width="4.44140625" customWidth="1"/>
    <col min="15" max="18" width="4.21875" customWidth="1"/>
    <col min="19" max="19" width="3.6640625" customWidth="1"/>
    <col min="20" max="20" width="4.5546875" customWidth="1"/>
    <col min="21" max="21" width="4.44140625" customWidth="1"/>
    <col min="22" max="22" width="4.21875" customWidth="1"/>
    <col min="23" max="23" width="4.109375" customWidth="1"/>
    <col min="24" max="24" width="5.21875" customWidth="1"/>
    <col min="25" max="25" width="6.44140625" customWidth="1"/>
    <col min="26" max="26" width="6.88671875" customWidth="1"/>
    <col min="27" max="27" width="5.77734375" customWidth="1"/>
    <col min="28" max="28" width="3.88671875" customWidth="1"/>
  </cols>
  <sheetData>
    <row r="2" spans="1:28" ht="14.25" customHeight="1" x14ac:dyDescent="0.2">
      <c r="A2" s="215" t="s">
        <v>263</v>
      </c>
      <c r="B2" s="163" t="s">
        <v>264</v>
      </c>
      <c r="C2" s="164"/>
      <c r="D2" s="165"/>
      <c r="E2" s="165"/>
      <c r="F2" s="165"/>
      <c r="G2" s="166"/>
      <c r="H2" s="166"/>
    </row>
    <row r="3" spans="1:28" x14ac:dyDescent="0.2">
      <c r="A3" s="215"/>
      <c r="B3" s="163" t="s">
        <v>193</v>
      </c>
      <c r="C3" s="167"/>
      <c r="D3" s="165"/>
      <c r="E3" s="165"/>
      <c r="F3" s="165"/>
      <c r="G3" s="166"/>
      <c r="H3" s="166"/>
    </row>
    <row r="4" spans="1:28" x14ac:dyDescent="0.2">
      <c r="C4" s="168"/>
      <c r="D4" s="168"/>
      <c r="E4" s="55"/>
      <c r="F4" s="55"/>
      <c r="S4" s="55"/>
      <c r="T4" s="55"/>
      <c r="U4" s="55"/>
      <c r="V4" s="55"/>
      <c r="W4" s="55"/>
    </row>
    <row r="5" spans="1:28" x14ac:dyDescent="0.2">
      <c r="C5" s="168"/>
      <c r="D5" s="168"/>
      <c r="E5" s="55"/>
      <c r="F5" s="55"/>
      <c r="J5" s="51"/>
      <c r="K5" s="169"/>
      <c r="L5" s="51"/>
      <c r="M5" s="51"/>
      <c r="N5" s="51"/>
      <c r="O5" s="51"/>
      <c r="P5" s="169"/>
      <c r="Q5" s="51"/>
      <c r="R5" s="51"/>
      <c r="S5" s="51"/>
      <c r="T5" s="168"/>
      <c r="U5" s="168"/>
      <c r="V5" s="169"/>
      <c r="W5" s="169"/>
      <c r="X5" s="169"/>
    </row>
    <row r="6" spans="1:28" ht="14.25" customHeight="1" x14ac:dyDescent="0.2">
      <c r="A6" s="216" t="s">
        <v>265</v>
      </c>
      <c r="B6" s="170" t="s">
        <v>264</v>
      </c>
      <c r="C6" s="167"/>
      <c r="D6" s="165"/>
      <c r="E6" s="165"/>
      <c r="F6" s="165"/>
      <c r="J6" t="s">
        <v>97</v>
      </c>
      <c r="K6" t="s">
        <v>69</v>
      </c>
      <c r="L6" t="s">
        <v>246</v>
      </c>
      <c r="M6" t="s">
        <v>247</v>
      </c>
      <c r="N6" t="s">
        <v>31</v>
      </c>
      <c r="O6" t="s">
        <v>233</v>
      </c>
      <c r="P6" t="s">
        <v>125</v>
      </c>
      <c r="Q6" t="s">
        <v>113</v>
      </c>
      <c r="R6" t="s">
        <v>116</v>
      </c>
      <c r="S6" t="s">
        <v>248</v>
      </c>
      <c r="T6" t="s">
        <v>131</v>
      </c>
      <c r="U6" t="s">
        <v>249</v>
      </c>
      <c r="V6" t="s">
        <v>122</v>
      </c>
      <c r="W6" t="s">
        <v>101</v>
      </c>
      <c r="X6" t="s">
        <v>241</v>
      </c>
      <c r="Y6" t="s">
        <v>250</v>
      </c>
      <c r="Z6" t="s">
        <v>251</v>
      </c>
      <c r="AA6" t="s">
        <v>252</v>
      </c>
      <c r="AB6" t="s">
        <v>244</v>
      </c>
    </row>
    <row r="7" spans="1:28" x14ac:dyDescent="0.2">
      <c r="A7" s="216"/>
      <c r="B7" s="170" t="s">
        <v>193</v>
      </c>
      <c r="C7" s="165"/>
      <c r="D7" s="165"/>
      <c r="E7" s="165"/>
      <c r="F7" s="165"/>
      <c r="I7" s="160" t="s">
        <v>97</v>
      </c>
      <c r="J7" s="153" t="s">
        <v>257</v>
      </c>
      <c r="K7" s="153">
        <f>J8</f>
        <v>1</v>
      </c>
      <c r="L7" s="153">
        <f>J9</f>
        <v>0</v>
      </c>
      <c r="M7" s="153">
        <f>J10</f>
        <v>0</v>
      </c>
      <c r="N7" s="153">
        <f>J11</f>
        <v>1</v>
      </c>
      <c r="O7" s="153">
        <f>J12</f>
        <v>1</v>
      </c>
      <c r="P7" s="153">
        <f>J13</f>
        <v>1</v>
      </c>
      <c r="Q7" s="153">
        <f>J14</f>
        <v>0</v>
      </c>
      <c r="R7" s="153">
        <f>J15</f>
        <v>1</v>
      </c>
      <c r="S7" s="153">
        <f>J16</f>
        <v>1</v>
      </c>
      <c r="T7" s="153">
        <f>J17</f>
        <v>0</v>
      </c>
      <c r="U7" s="153">
        <f>J18</f>
        <v>0</v>
      </c>
      <c r="V7" s="153">
        <f>J19</f>
        <v>0</v>
      </c>
      <c r="W7" s="153">
        <f>J20</f>
        <v>0</v>
      </c>
      <c r="X7" s="153">
        <f>J21</f>
        <v>0</v>
      </c>
      <c r="Y7" s="153">
        <f>J22</f>
        <v>0</v>
      </c>
      <c r="Z7" s="153">
        <f>J23</f>
        <v>0</v>
      </c>
      <c r="AA7" s="153">
        <f>J24</f>
        <v>1</v>
      </c>
      <c r="AB7" s="153">
        <f>J25</f>
        <v>1</v>
      </c>
    </row>
    <row r="8" spans="1:28" x14ac:dyDescent="0.2">
      <c r="C8" s="55"/>
      <c r="D8" s="55"/>
      <c r="E8" s="55"/>
      <c r="F8" s="55"/>
      <c r="I8" t="s">
        <v>69</v>
      </c>
      <c r="J8" s="55">
        <v>1</v>
      </c>
      <c r="K8" s="55" t="s">
        <v>257</v>
      </c>
      <c r="L8" s="55">
        <f>K9</f>
        <v>1</v>
      </c>
      <c r="M8" s="55">
        <f>K10</f>
        <v>0</v>
      </c>
      <c r="N8" s="55">
        <f>K11</f>
        <v>1</v>
      </c>
      <c r="O8" s="55">
        <f>K12</f>
        <v>1</v>
      </c>
      <c r="P8" s="55">
        <f>K13</f>
        <v>1</v>
      </c>
      <c r="Q8" s="55">
        <f>K14</f>
        <v>0</v>
      </c>
      <c r="R8" s="55">
        <f>K15</f>
        <v>0</v>
      </c>
      <c r="S8" s="55">
        <f>K16</f>
        <v>1</v>
      </c>
      <c r="T8" s="55">
        <f>K17</f>
        <v>0</v>
      </c>
      <c r="U8" s="55">
        <f>K18</f>
        <v>0</v>
      </c>
      <c r="V8" s="55">
        <f>K19</f>
        <v>2</v>
      </c>
      <c r="W8" s="55">
        <f>K20</f>
        <v>1</v>
      </c>
      <c r="X8" s="55">
        <f>K21</f>
        <v>1</v>
      </c>
      <c r="Y8" s="55">
        <f>K22</f>
        <v>1</v>
      </c>
      <c r="Z8" s="55">
        <f>K23</f>
        <v>0</v>
      </c>
      <c r="AA8" s="55">
        <f>K24</f>
        <v>0</v>
      </c>
      <c r="AB8" s="55">
        <f>K25</f>
        <v>1</v>
      </c>
    </row>
    <row r="9" spans="1:28" x14ac:dyDescent="0.2">
      <c r="C9" s="55"/>
      <c r="D9" s="55"/>
      <c r="E9" s="55"/>
      <c r="F9" s="55"/>
      <c r="I9" s="160" t="s">
        <v>246</v>
      </c>
      <c r="J9" s="153"/>
      <c r="K9" s="153">
        <v>1</v>
      </c>
      <c r="L9" s="153" t="s">
        <v>257</v>
      </c>
      <c r="M9" s="153">
        <f>L10</f>
        <v>0</v>
      </c>
      <c r="N9" s="153">
        <f>L11</f>
        <v>0</v>
      </c>
      <c r="O9" s="153">
        <f>L12</f>
        <v>1</v>
      </c>
      <c r="P9" s="153">
        <f>L13</f>
        <v>0</v>
      </c>
      <c r="Q9" s="153">
        <f>L14</f>
        <v>1</v>
      </c>
      <c r="R9" s="153">
        <f>L15</f>
        <v>1</v>
      </c>
      <c r="S9" s="153">
        <f>L16</f>
        <v>0</v>
      </c>
      <c r="T9" s="153">
        <f>L17</f>
        <v>0</v>
      </c>
      <c r="U9" s="153">
        <f>L18</f>
        <v>1</v>
      </c>
      <c r="V9" s="153">
        <f>L19</f>
        <v>1</v>
      </c>
      <c r="W9" s="153">
        <f>L20</f>
        <v>1</v>
      </c>
      <c r="X9" s="153">
        <f>L21</f>
        <v>0</v>
      </c>
      <c r="Y9" s="153">
        <f>L22</f>
        <v>2</v>
      </c>
      <c r="Z9" s="153">
        <f>L23</f>
        <v>0</v>
      </c>
      <c r="AA9" s="153">
        <f>L24</f>
        <v>0</v>
      </c>
      <c r="AB9" s="153">
        <f>L25</f>
        <v>0</v>
      </c>
    </row>
    <row r="10" spans="1:28" ht="14.25" customHeight="1" x14ac:dyDescent="0.2">
      <c r="A10" s="215" t="s">
        <v>266</v>
      </c>
      <c r="B10" s="170" t="s">
        <v>264</v>
      </c>
      <c r="C10" s="167"/>
      <c r="D10" s="164"/>
      <c r="E10" s="165"/>
      <c r="F10" s="165"/>
      <c r="I10" t="s">
        <v>247</v>
      </c>
      <c r="J10" s="55"/>
      <c r="K10" s="55"/>
      <c r="L10" s="55"/>
      <c r="M10" s="55" t="s">
        <v>257</v>
      </c>
      <c r="N10" s="55">
        <f>M11</f>
        <v>0</v>
      </c>
      <c r="O10" s="55">
        <f>M12</f>
        <v>0</v>
      </c>
      <c r="P10" s="55">
        <f>M13</f>
        <v>0</v>
      </c>
      <c r="Q10" s="55">
        <f>M14</f>
        <v>0</v>
      </c>
      <c r="R10" s="55">
        <f>M15</f>
        <v>0</v>
      </c>
      <c r="S10" s="55">
        <f>M16</f>
        <v>0</v>
      </c>
      <c r="T10" s="55">
        <f>M17</f>
        <v>0</v>
      </c>
      <c r="U10" s="55">
        <f>M18</f>
        <v>0</v>
      </c>
      <c r="V10" s="55">
        <f>M19</f>
        <v>0</v>
      </c>
      <c r="W10" s="55">
        <f>M20</f>
        <v>0</v>
      </c>
      <c r="X10" s="55">
        <f>M21</f>
        <v>0</v>
      </c>
      <c r="Y10" s="55">
        <f>M22</f>
        <v>0</v>
      </c>
      <c r="Z10" s="55">
        <f>M23</f>
        <v>0</v>
      </c>
      <c r="AA10" s="55">
        <f>M24</f>
        <v>0</v>
      </c>
      <c r="AB10" s="55">
        <f>M25</f>
        <v>0</v>
      </c>
    </row>
    <row r="11" spans="1:28" x14ac:dyDescent="0.2">
      <c r="A11" s="215"/>
      <c r="B11" s="170" t="s">
        <v>193</v>
      </c>
      <c r="C11" s="165"/>
      <c r="D11" s="165"/>
      <c r="E11" s="165"/>
      <c r="F11" s="165"/>
      <c r="I11" s="160" t="s">
        <v>31</v>
      </c>
      <c r="J11" s="153">
        <v>1</v>
      </c>
      <c r="K11" s="153">
        <v>1</v>
      </c>
      <c r="L11" s="153"/>
      <c r="M11" s="153"/>
      <c r="N11" s="153" t="s">
        <v>257</v>
      </c>
      <c r="O11" s="153">
        <f>N12</f>
        <v>0</v>
      </c>
      <c r="P11" s="153">
        <f>N13</f>
        <v>1</v>
      </c>
      <c r="Q11" s="153">
        <f>N14</f>
        <v>1</v>
      </c>
      <c r="R11" s="153">
        <f>N15</f>
        <v>0</v>
      </c>
      <c r="S11" s="153">
        <f>N16</f>
        <v>1</v>
      </c>
      <c r="T11" s="153">
        <f>N17</f>
        <v>1</v>
      </c>
      <c r="U11" s="153">
        <f>N18</f>
        <v>1</v>
      </c>
      <c r="V11" s="153">
        <f>N19</f>
        <v>0</v>
      </c>
      <c r="W11" s="153">
        <f>N20</f>
        <v>1</v>
      </c>
      <c r="X11" s="153">
        <f>N21</f>
        <v>1</v>
      </c>
      <c r="Y11" s="153">
        <f>N22</f>
        <v>1</v>
      </c>
      <c r="Z11" s="153">
        <f>N23</f>
        <v>1</v>
      </c>
      <c r="AA11" s="153">
        <f>N24</f>
        <v>0</v>
      </c>
      <c r="AB11" s="153">
        <f>N25</f>
        <v>1</v>
      </c>
    </row>
    <row r="12" spans="1:28" x14ac:dyDescent="0.2">
      <c r="C12" s="55"/>
      <c r="D12" s="55"/>
      <c r="E12" s="55"/>
      <c r="F12" s="55"/>
      <c r="I12" t="s">
        <v>233</v>
      </c>
      <c r="J12" s="55">
        <v>1</v>
      </c>
      <c r="K12" s="55">
        <v>1</v>
      </c>
      <c r="L12" s="55">
        <v>1</v>
      </c>
      <c r="M12" s="55"/>
      <c r="N12" s="55"/>
      <c r="O12" s="55" t="s">
        <v>257</v>
      </c>
      <c r="P12" s="55">
        <f>O13</f>
        <v>0</v>
      </c>
      <c r="Q12" s="55">
        <f>O14</f>
        <v>1</v>
      </c>
      <c r="R12" s="55">
        <f>O15</f>
        <v>1</v>
      </c>
      <c r="S12" s="55">
        <f>O16</f>
        <v>1</v>
      </c>
      <c r="T12" s="55">
        <f>O17</f>
        <v>0</v>
      </c>
      <c r="U12" s="55">
        <f>O18</f>
        <v>0</v>
      </c>
      <c r="V12" s="55">
        <f>O19</f>
        <v>1</v>
      </c>
      <c r="W12" s="55">
        <f>O20</f>
        <v>0</v>
      </c>
      <c r="X12" s="55">
        <f>O21</f>
        <v>1</v>
      </c>
      <c r="Y12" s="55">
        <f>O22</f>
        <v>1</v>
      </c>
      <c r="Z12" s="55">
        <f>O23</f>
        <v>0</v>
      </c>
      <c r="AA12" s="55">
        <f>O24</f>
        <v>0</v>
      </c>
      <c r="AB12" s="55">
        <f>O25</f>
        <v>0</v>
      </c>
    </row>
    <row r="13" spans="1:28" ht="14.25" customHeight="1" x14ac:dyDescent="0.2">
      <c r="A13" s="215" t="s">
        <v>267</v>
      </c>
      <c r="B13" s="170" t="s">
        <v>264</v>
      </c>
      <c r="C13" s="164"/>
      <c r="D13" s="164"/>
      <c r="E13" s="164"/>
      <c r="F13" s="164"/>
      <c r="I13" s="160" t="s">
        <v>125</v>
      </c>
      <c r="J13" s="153">
        <v>1</v>
      </c>
      <c r="K13" s="153">
        <v>1</v>
      </c>
      <c r="L13" s="153"/>
      <c r="M13" s="153"/>
      <c r="N13" s="153">
        <v>1</v>
      </c>
      <c r="O13" s="153"/>
      <c r="P13" s="153" t="s">
        <v>257</v>
      </c>
      <c r="Q13" s="153">
        <f>P14</f>
        <v>1</v>
      </c>
      <c r="R13" s="153">
        <f>P15</f>
        <v>0</v>
      </c>
      <c r="S13" s="153">
        <f>P16</f>
        <v>0</v>
      </c>
      <c r="T13" s="153">
        <f>P17</f>
        <v>0</v>
      </c>
      <c r="U13" s="153">
        <f>P18</f>
        <v>1</v>
      </c>
      <c r="V13" s="153">
        <f>P19</f>
        <v>0</v>
      </c>
      <c r="W13" s="153">
        <f>P20</f>
        <v>0</v>
      </c>
      <c r="X13" s="153">
        <f>P21</f>
        <v>0</v>
      </c>
      <c r="Y13" s="153">
        <f>P22</f>
        <v>0</v>
      </c>
      <c r="Z13" s="153">
        <f>P23</f>
        <v>0</v>
      </c>
      <c r="AA13" s="153">
        <f>P24</f>
        <v>1</v>
      </c>
      <c r="AB13" s="153">
        <f>P25</f>
        <v>0</v>
      </c>
    </row>
    <row r="14" spans="1:28" ht="14.25" customHeight="1" x14ac:dyDescent="0.2">
      <c r="A14" s="215"/>
      <c r="B14" s="170" t="s">
        <v>193</v>
      </c>
      <c r="C14" s="165"/>
      <c r="D14" s="165"/>
      <c r="E14" s="165"/>
      <c r="F14" s="165"/>
      <c r="I14" t="s">
        <v>113</v>
      </c>
      <c r="J14" s="55"/>
      <c r="K14" s="55"/>
      <c r="L14" s="55">
        <v>1</v>
      </c>
      <c r="M14" s="55"/>
      <c r="N14" s="55">
        <v>1</v>
      </c>
      <c r="O14" s="55">
        <v>1</v>
      </c>
      <c r="P14" s="55">
        <v>1</v>
      </c>
      <c r="Q14" s="55" t="s">
        <v>257</v>
      </c>
      <c r="R14" s="55">
        <f>Q15</f>
        <v>0</v>
      </c>
      <c r="S14" s="55">
        <f>Q16</f>
        <v>1</v>
      </c>
      <c r="T14" s="55">
        <f>Q17</f>
        <v>0</v>
      </c>
      <c r="U14" s="55">
        <f>Q18</f>
        <v>1</v>
      </c>
      <c r="V14" s="55">
        <f>Q19</f>
        <v>0</v>
      </c>
      <c r="W14" s="55">
        <f>Q20</f>
        <v>0</v>
      </c>
      <c r="X14" s="55">
        <f>Q21</f>
        <v>0</v>
      </c>
      <c r="Y14" s="55">
        <f>Q22</f>
        <v>1</v>
      </c>
      <c r="Z14" s="55">
        <f>Q23</f>
        <v>1</v>
      </c>
      <c r="AA14" s="55">
        <f>Q24</f>
        <v>1</v>
      </c>
      <c r="AB14" s="55">
        <f>Q25</f>
        <v>0</v>
      </c>
    </row>
    <row r="15" spans="1:28" x14ac:dyDescent="0.2">
      <c r="I15" s="160" t="s">
        <v>116</v>
      </c>
      <c r="J15" s="153">
        <v>1</v>
      </c>
      <c r="K15" s="153"/>
      <c r="L15" s="153">
        <v>1</v>
      </c>
      <c r="M15" s="153"/>
      <c r="N15" s="153"/>
      <c r="O15" s="153">
        <v>1</v>
      </c>
      <c r="P15" s="153"/>
      <c r="Q15" s="153"/>
      <c r="R15" s="153" t="s">
        <v>257</v>
      </c>
      <c r="S15" s="153">
        <f>R16</f>
        <v>1</v>
      </c>
      <c r="T15" s="153">
        <f>R17</f>
        <v>0</v>
      </c>
      <c r="U15" s="153">
        <f>R18</f>
        <v>1</v>
      </c>
      <c r="V15" s="153">
        <f>R19</f>
        <v>1</v>
      </c>
      <c r="W15" s="153">
        <f>R20</f>
        <v>1</v>
      </c>
      <c r="X15" s="153">
        <f>R21</f>
        <v>0</v>
      </c>
      <c r="Y15" s="153">
        <f>R22</f>
        <v>0</v>
      </c>
      <c r="Z15" s="153">
        <f>R23</f>
        <v>1</v>
      </c>
      <c r="AA15" s="153">
        <f>R24</f>
        <v>1</v>
      </c>
      <c r="AB15" s="153">
        <f>R25</f>
        <v>0</v>
      </c>
    </row>
    <row r="16" spans="1:28" ht="14.25" customHeight="1" x14ac:dyDescent="0.2">
      <c r="A16" s="215" t="s">
        <v>268</v>
      </c>
      <c r="B16" s="170" t="s">
        <v>264</v>
      </c>
      <c r="C16" s="164"/>
      <c r="D16" s="164"/>
      <c r="E16" s="164"/>
      <c r="F16" s="164"/>
      <c r="I16" t="s">
        <v>248</v>
      </c>
      <c r="J16" s="55">
        <v>1</v>
      </c>
      <c r="K16" s="55">
        <v>1</v>
      </c>
      <c r="L16" s="55"/>
      <c r="M16" s="55"/>
      <c r="N16" s="55">
        <v>1</v>
      </c>
      <c r="O16" s="55">
        <v>1</v>
      </c>
      <c r="P16" s="55"/>
      <c r="Q16" s="55">
        <v>1</v>
      </c>
      <c r="R16" s="55">
        <v>1</v>
      </c>
      <c r="S16" s="55" t="s">
        <v>257</v>
      </c>
      <c r="T16" s="55">
        <f>S17</f>
        <v>0</v>
      </c>
      <c r="U16" s="55">
        <f>S18</f>
        <v>0</v>
      </c>
      <c r="V16" s="55">
        <f>S19</f>
        <v>0</v>
      </c>
      <c r="W16" s="55">
        <f>S20</f>
        <v>1</v>
      </c>
      <c r="X16" s="55">
        <f>S21</f>
        <v>0</v>
      </c>
      <c r="Y16" s="55">
        <f>S22</f>
        <v>0</v>
      </c>
      <c r="Z16" s="55">
        <f>S23</f>
        <v>1</v>
      </c>
      <c r="AA16" s="55">
        <f>S24</f>
        <v>0</v>
      </c>
      <c r="AB16" s="55">
        <f>S25</f>
        <v>1</v>
      </c>
    </row>
    <row r="17" spans="1:28" x14ac:dyDescent="0.2">
      <c r="A17" s="215"/>
      <c r="B17" s="170" t="s">
        <v>193</v>
      </c>
      <c r="C17" s="165"/>
      <c r="D17" s="165"/>
      <c r="E17" s="165"/>
      <c r="F17" s="165"/>
      <c r="I17" s="160" t="s">
        <v>131</v>
      </c>
      <c r="J17" s="153"/>
      <c r="K17" s="153"/>
      <c r="L17" s="153"/>
      <c r="M17" s="153"/>
      <c r="N17" s="153">
        <v>1</v>
      </c>
      <c r="O17" s="153"/>
      <c r="P17" s="153"/>
      <c r="Q17" s="153"/>
      <c r="R17" s="153"/>
      <c r="S17" s="153"/>
      <c r="T17" s="153" t="s">
        <v>257</v>
      </c>
      <c r="U17" s="153">
        <f>T18</f>
        <v>1</v>
      </c>
      <c r="V17" s="153">
        <f>T19</f>
        <v>0</v>
      </c>
      <c r="W17" s="153">
        <f>T20</f>
        <v>0</v>
      </c>
      <c r="X17" s="153">
        <f>T21</f>
        <v>0</v>
      </c>
      <c r="Y17" s="153">
        <f>T22</f>
        <v>1</v>
      </c>
      <c r="Z17" s="153">
        <f>T23</f>
        <v>0</v>
      </c>
      <c r="AA17" s="153">
        <f>T24</f>
        <v>0</v>
      </c>
      <c r="AB17" s="153">
        <f>T25</f>
        <v>0</v>
      </c>
    </row>
    <row r="18" spans="1:28" x14ac:dyDescent="0.2">
      <c r="C18" s="51"/>
      <c r="D18" s="51"/>
      <c r="E18" s="51"/>
      <c r="F18" s="51"/>
      <c r="I18" t="s">
        <v>249</v>
      </c>
      <c r="J18" s="55"/>
      <c r="K18" s="55"/>
      <c r="L18" s="55">
        <v>1</v>
      </c>
      <c r="M18" s="55"/>
      <c r="N18" s="55">
        <v>1</v>
      </c>
      <c r="O18" s="55"/>
      <c r="P18" s="55">
        <v>1</v>
      </c>
      <c r="Q18" s="55">
        <v>1</v>
      </c>
      <c r="R18" s="55">
        <v>1</v>
      </c>
      <c r="S18" s="55"/>
      <c r="T18" s="55">
        <v>1</v>
      </c>
      <c r="U18" s="55" t="s">
        <v>257</v>
      </c>
      <c r="V18" s="55">
        <f>U19</f>
        <v>0</v>
      </c>
      <c r="W18" s="55">
        <f>U20</f>
        <v>1</v>
      </c>
      <c r="X18" s="55">
        <f>U21</f>
        <v>0</v>
      </c>
      <c r="Y18" s="55">
        <f>U22</f>
        <v>1</v>
      </c>
      <c r="Z18" s="55">
        <f>U23</f>
        <v>0</v>
      </c>
      <c r="AA18" s="55">
        <f>U24</f>
        <v>1</v>
      </c>
      <c r="AB18" s="55">
        <f>U25</f>
        <v>0</v>
      </c>
    </row>
    <row r="19" spans="1:28" x14ac:dyDescent="0.2">
      <c r="G19" s="51"/>
      <c r="I19" s="160" t="s">
        <v>122</v>
      </c>
      <c r="J19" s="153"/>
      <c r="K19" s="153">
        <v>2</v>
      </c>
      <c r="L19" s="153">
        <v>1</v>
      </c>
      <c r="M19" s="153"/>
      <c r="N19" s="153"/>
      <c r="O19" s="153">
        <v>1</v>
      </c>
      <c r="P19" s="153"/>
      <c r="Q19" s="153"/>
      <c r="R19" s="153">
        <v>1</v>
      </c>
      <c r="S19" s="153"/>
      <c r="T19" s="153"/>
      <c r="U19" s="153"/>
      <c r="V19" s="153" t="s">
        <v>257</v>
      </c>
      <c r="W19" s="153">
        <f>V20</f>
        <v>0</v>
      </c>
      <c r="X19" s="153">
        <f>V21</f>
        <v>1</v>
      </c>
      <c r="Y19" s="153">
        <f>V22</f>
        <v>1</v>
      </c>
      <c r="Z19" s="153">
        <f>V23</f>
        <v>1</v>
      </c>
      <c r="AA19" s="153">
        <f>V24</f>
        <v>1</v>
      </c>
      <c r="AB19" s="153">
        <f>V25</f>
        <v>0</v>
      </c>
    </row>
    <row r="20" spans="1:28" x14ac:dyDescent="0.2">
      <c r="G20" s="51"/>
      <c r="I20" t="s">
        <v>101</v>
      </c>
      <c r="J20" s="55"/>
      <c r="K20" s="55">
        <v>1</v>
      </c>
      <c r="L20" s="55">
        <v>1</v>
      </c>
      <c r="M20" s="55"/>
      <c r="N20" s="55">
        <v>1</v>
      </c>
      <c r="O20" s="55"/>
      <c r="P20" s="55"/>
      <c r="Q20" s="55"/>
      <c r="R20" s="55">
        <v>1</v>
      </c>
      <c r="S20" s="55">
        <v>1</v>
      </c>
      <c r="T20" s="55"/>
      <c r="U20" s="55">
        <v>1</v>
      </c>
      <c r="V20" s="55"/>
      <c r="W20" s="55" t="s">
        <v>257</v>
      </c>
      <c r="X20" s="55">
        <f>W21</f>
        <v>1</v>
      </c>
      <c r="Y20" s="55">
        <f>W22</f>
        <v>0</v>
      </c>
      <c r="Z20" s="55">
        <f>W23</f>
        <v>0</v>
      </c>
      <c r="AA20" s="55">
        <f>W24</f>
        <v>0</v>
      </c>
      <c r="AB20" s="55">
        <f>W25</f>
        <v>2</v>
      </c>
    </row>
    <row r="21" spans="1:28" x14ac:dyDescent="0.2">
      <c r="C21" s="171" t="s">
        <v>57</v>
      </c>
      <c r="D21" s="171" t="s">
        <v>269</v>
      </c>
      <c r="E21" s="167" t="s">
        <v>40</v>
      </c>
      <c r="F21" s="167" t="s">
        <v>47</v>
      </c>
      <c r="G21" s="51"/>
      <c r="I21" s="160" t="s">
        <v>241</v>
      </c>
      <c r="J21" s="153"/>
      <c r="K21" s="153">
        <v>1</v>
      </c>
      <c r="L21" s="153"/>
      <c r="M21" s="153"/>
      <c r="N21" s="153">
        <v>1</v>
      </c>
      <c r="O21" s="153">
        <v>1</v>
      </c>
      <c r="P21" s="153"/>
      <c r="Q21" s="153"/>
      <c r="R21" s="153"/>
      <c r="S21" s="153"/>
      <c r="T21" s="153"/>
      <c r="U21" s="153"/>
      <c r="V21" s="153">
        <v>1</v>
      </c>
      <c r="W21" s="153">
        <v>1</v>
      </c>
      <c r="X21" s="153" t="s">
        <v>257</v>
      </c>
      <c r="Y21" s="153">
        <f>X22</f>
        <v>0</v>
      </c>
      <c r="Z21" s="153">
        <f>X23</f>
        <v>0</v>
      </c>
      <c r="AA21" s="153">
        <f>X24</f>
        <v>0</v>
      </c>
      <c r="AB21" s="153">
        <f>X25</f>
        <v>1</v>
      </c>
    </row>
    <row r="22" spans="1:28" x14ac:dyDescent="0.2">
      <c r="C22" s="168"/>
      <c r="D22" s="168"/>
      <c r="E22" s="168"/>
      <c r="F22" s="168"/>
      <c r="G22" s="51"/>
      <c r="I22" t="s">
        <v>250</v>
      </c>
      <c r="J22" s="55"/>
      <c r="K22" s="55">
        <v>1</v>
      </c>
      <c r="L22" s="55">
        <v>2</v>
      </c>
      <c r="M22" s="55"/>
      <c r="N22" s="55">
        <v>1</v>
      </c>
      <c r="O22" s="55">
        <v>1</v>
      </c>
      <c r="P22" s="55"/>
      <c r="Q22" s="55">
        <v>1</v>
      </c>
      <c r="R22" s="55"/>
      <c r="S22" s="55"/>
      <c r="T22" s="55">
        <v>1</v>
      </c>
      <c r="U22" s="55">
        <v>1</v>
      </c>
      <c r="V22" s="55">
        <v>1</v>
      </c>
      <c r="W22" s="55"/>
      <c r="X22" s="55"/>
      <c r="Y22" s="55" t="s">
        <v>257</v>
      </c>
      <c r="Z22" s="55">
        <f>Y23</f>
        <v>0</v>
      </c>
      <c r="AA22" s="55">
        <f>Y24</f>
        <v>0</v>
      </c>
      <c r="AB22" s="55">
        <f>Y25</f>
        <v>0</v>
      </c>
    </row>
    <row r="23" spans="1:28" x14ac:dyDescent="0.2">
      <c r="C23" s="171" t="s">
        <v>51</v>
      </c>
      <c r="D23" s="171" t="s">
        <v>50</v>
      </c>
      <c r="E23" s="171" t="s">
        <v>52</v>
      </c>
      <c r="F23" s="171" t="s">
        <v>54</v>
      </c>
      <c r="G23" s="51"/>
      <c r="I23" s="160" t="s">
        <v>251</v>
      </c>
      <c r="J23" s="160"/>
      <c r="K23" s="160"/>
      <c r="L23" s="160"/>
      <c r="M23" s="160"/>
      <c r="N23" s="153">
        <v>1</v>
      </c>
      <c r="O23" s="160"/>
      <c r="P23" s="160"/>
      <c r="Q23" s="160">
        <v>1</v>
      </c>
      <c r="R23" s="160">
        <v>1</v>
      </c>
      <c r="S23" s="160">
        <v>1</v>
      </c>
      <c r="T23" s="153"/>
      <c r="U23" s="160"/>
      <c r="V23" s="153">
        <v>1</v>
      </c>
      <c r="W23" s="153"/>
      <c r="X23" s="160"/>
      <c r="Y23" s="160"/>
      <c r="Z23" s="153" t="s">
        <v>257</v>
      </c>
      <c r="AA23" s="153">
        <f>Z24</f>
        <v>1</v>
      </c>
      <c r="AB23" s="153">
        <f>Z25</f>
        <v>0</v>
      </c>
    </row>
    <row r="24" spans="1:28" x14ac:dyDescent="0.2">
      <c r="C24" s="51"/>
      <c r="D24" s="51"/>
      <c r="E24" s="51"/>
      <c r="F24" s="51"/>
      <c r="G24" s="51"/>
      <c r="I24" t="s">
        <v>252</v>
      </c>
      <c r="J24" s="55">
        <v>1</v>
      </c>
      <c r="K24" s="55"/>
      <c r="L24" s="55"/>
      <c r="M24" s="55"/>
      <c r="N24" s="55"/>
      <c r="O24" s="55"/>
      <c r="P24" s="55">
        <v>1</v>
      </c>
      <c r="Q24" s="55">
        <v>1</v>
      </c>
      <c r="R24" s="55">
        <v>1</v>
      </c>
      <c r="S24" s="55"/>
      <c r="T24" s="55"/>
      <c r="U24" s="55">
        <v>1</v>
      </c>
      <c r="V24" s="55">
        <v>1</v>
      </c>
      <c r="W24" s="55"/>
      <c r="Z24" s="55">
        <v>1</v>
      </c>
      <c r="AA24" s="55" t="s">
        <v>257</v>
      </c>
      <c r="AB24" s="55">
        <f>AA25</f>
        <v>1</v>
      </c>
    </row>
    <row r="25" spans="1:28" x14ac:dyDescent="0.2">
      <c r="C25" s="171" t="s">
        <v>41</v>
      </c>
      <c r="D25" s="171" t="s">
        <v>216</v>
      </c>
      <c r="E25" s="171" t="s">
        <v>56</v>
      </c>
      <c r="F25" s="171" t="s">
        <v>42</v>
      </c>
      <c r="G25" s="51"/>
      <c r="I25" s="160" t="s">
        <v>244</v>
      </c>
      <c r="J25" s="160">
        <v>1</v>
      </c>
      <c r="K25" s="160">
        <v>1</v>
      </c>
      <c r="L25" s="160"/>
      <c r="M25" s="160"/>
      <c r="N25" s="160">
        <v>1</v>
      </c>
      <c r="O25" s="160"/>
      <c r="P25" s="160"/>
      <c r="Q25" s="160"/>
      <c r="R25" s="160"/>
      <c r="S25" s="160">
        <v>1</v>
      </c>
      <c r="T25" s="153"/>
      <c r="U25" s="160"/>
      <c r="V25" s="160"/>
      <c r="W25" s="153">
        <v>2</v>
      </c>
      <c r="X25" s="160">
        <v>1</v>
      </c>
      <c r="Y25" s="160"/>
      <c r="Z25" s="153"/>
      <c r="AA25" s="153">
        <v>1</v>
      </c>
      <c r="AB25" s="153" t="s">
        <v>257</v>
      </c>
    </row>
    <row r="26" spans="1:28" x14ac:dyDescent="0.2">
      <c r="C26" s="168"/>
      <c r="D26" s="168"/>
      <c r="E26" s="168"/>
      <c r="F26" s="172"/>
      <c r="G26" s="51"/>
      <c r="I26" t="s">
        <v>20</v>
      </c>
      <c r="J26" s="55">
        <f t="shared" ref="J26:AB26" si="0">SUM(J7:J25)</f>
        <v>8</v>
      </c>
      <c r="K26" s="55">
        <f t="shared" si="0"/>
        <v>12</v>
      </c>
      <c r="L26" s="55">
        <f t="shared" si="0"/>
        <v>9</v>
      </c>
      <c r="M26" s="55">
        <f t="shared" si="0"/>
        <v>0</v>
      </c>
      <c r="N26" s="55">
        <f t="shared" si="0"/>
        <v>12</v>
      </c>
      <c r="O26" s="55">
        <f t="shared" si="0"/>
        <v>9</v>
      </c>
      <c r="P26" s="55">
        <f t="shared" si="0"/>
        <v>6</v>
      </c>
      <c r="Q26" s="55">
        <f t="shared" si="0"/>
        <v>9</v>
      </c>
      <c r="R26" s="55">
        <f t="shared" si="0"/>
        <v>9</v>
      </c>
      <c r="S26" s="55">
        <f t="shared" si="0"/>
        <v>9</v>
      </c>
      <c r="T26" s="55">
        <f t="shared" si="0"/>
        <v>3</v>
      </c>
      <c r="U26" s="55">
        <f t="shared" si="0"/>
        <v>9</v>
      </c>
      <c r="V26" s="55">
        <f t="shared" si="0"/>
        <v>9</v>
      </c>
      <c r="W26" s="55">
        <f t="shared" si="0"/>
        <v>9</v>
      </c>
      <c r="X26" s="55">
        <f t="shared" si="0"/>
        <v>6</v>
      </c>
      <c r="Y26" s="55">
        <f t="shared" si="0"/>
        <v>9</v>
      </c>
      <c r="Z26" s="55">
        <f t="shared" si="0"/>
        <v>6</v>
      </c>
      <c r="AA26" s="55">
        <f t="shared" si="0"/>
        <v>8</v>
      </c>
      <c r="AB26" s="55">
        <f t="shared" si="0"/>
        <v>8</v>
      </c>
    </row>
    <row r="27" spans="1:28" x14ac:dyDescent="0.2">
      <c r="C27" s="173" t="s">
        <v>46</v>
      </c>
      <c r="D27" s="173" t="s">
        <v>53</v>
      </c>
      <c r="E27" s="174" t="s">
        <v>48</v>
      </c>
      <c r="F27" s="174" t="s">
        <v>49</v>
      </c>
      <c r="G27" s="51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1:28" x14ac:dyDescent="0.2">
      <c r="C28" s="175"/>
      <c r="D28" s="175"/>
      <c r="E28" s="168"/>
      <c r="F28" s="172"/>
      <c r="I28" t="s">
        <v>270</v>
      </c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spans="1:28" x14ac:dyDescent="0.2">
      <c r="C29" s="173" t="s">
        <v>55</v>
      </c>
      <c r="D29" s="173" t="s">
        <v>44</v>
      </c>
      <c r="E29" s="174" t="s">
        <v>43</v>
      </c>
      <c r="F29" s="174"/>
      <c r="I29" t="s">
        <v>271</v>
      </c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spans="1:28" x14ac:dyDescent="0.2">
      <c r="A30" s="217"/>
      <c r="B30" s="176"/>
      <c r="D30" s="51"/>
      <c r="E30" s="51"/>
      <c r="F30" s="51"/>
      <c r="H30" s="177"/>
      <c r="I30" t="s">
        <v>272</v>
      </c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Z30" s="55"/>
      <c r="AA30" s="55"/>
      <c r="AB30" s="55"/>
    </row>
    <row r="31" spans="1:28" x14ac:dyDescent="0.2">
      <c r="A31" s="217"/>
      <c r="B31" s="176"/>
      <c r="C31" s="178"/>
      <c r="D31" s="177"/>
      <c r="E31" s="177"/>
      <c r="F31" s="177"/>
      <c r="I31" t="s">
        <v>273</v>
      </c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Z31" s="55"/>
      <c r="AA31" s="55"/>
      <c r="AB31" s="55"/>
    </row>
    <row r="32" spans="1:28" x14ac:dyDescent="0.2">
      <c r="A32" s="15"/>
      <c r="B32" s="15"/>
      <c r="C32" s="51" t="s">
        <v>274</v>
      </c>
      <c r="D32" s="177"/>
      <c r="E32" s="177"/>
      <c r="F32" s="177"/>
      <c r="I32" t="s">
        <v>275</v>
      </c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</row>
    <row r="33" spans="1:24" x14ac:dyDescent="0.2">
      <c r="A33" s="15"/>
      <c r="B33" s="15"/>
      <c r="D33" s="15"/>
      <c r="E33" s="15"/>
      <c r="F33" s="1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</row>
    <row r="34" spans="1:24" ht="14.25" customHeight="1" x14ac:dyDescent="0.2">
      <c r="A34" s="217"/>
      <c r="B34" s="179"/>
      <c r="D34" s="179"/>
      <c r="E34" s="179"/>
      <c r="F34" s="179"/>
      <c r="I34" s="177" t="s">
        <v>276</v>
      </c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</row>
    <row r="35" spans="1:24" x14ac:dyDescent="0.2">
      <c r="A35" s="217"/>
      <c r="B35" s="179"/>
      <c r="D35" s="179"/>
      <c r="E35" s="179"/>
      <c r="F35" s="179"/>
      <c r="I35" t="s">
        <v>270</v>
      </c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</row>
    <row r="36" spans="1:24" x14ac:dyDescent="0.2">
      <c r="I36" t="s">
        <v>271</v>
      </c>
      <c r="J36" s="16"/>
      <c r="K36" s="16"/>
      <c r="L36" s="16"/>
      <c r="M36" s="16"/>
      <c r="N36" s="16"/>
      <c r="O36" s="55"/>
      <c r="P36" s="55"/>
      <c r="Q36" s="55"/>
      <c r="R36" s="55"/>
      <c r="S36" s="16"/>
      <c r="T36" s="16"/>
      <c r="U36" s="55"/>
      <c r="V36" s="55"/>
      <c r="W36" s="16"/>
      <c r="X36" s="16"/>
    </row>
    <row r="37" spans="1:24" x14ac:dyDescent="0.2">
      <c r="I37" t="s">
        <v>272</v>
      </c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</row>
    <row r="38" spans="1:24" x14ac:dyDescent="0.2"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 spans="1:24" x14ac:dyDescent="0.2">
      <c r="I39" t="s">
        <v>277</v>
      </c>
      <c r="J39" s="55"/>
      <c r="K39" s="55"/>
      <c r="L39" s="55"/>
      <c r="M39" s="55"/>
      <c r="N39" s="55"/>
      <c r="O39" s="55"/>
      <c r="P39" s="55"/>
      <c r="S39" s="55"/>
      <c r="T39" s="55"/>
      <c r="W39" s="55"/>
    </row>
    <row r="40" spans="1:24" x14ac:dyDescent="0.2">
      <c r="I40" t="s">
        <v>270</v>
      </c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</row>
    <row r="41" spans="1:24" x14ac:dyDescent="0.2">
      <c r="I41" t="s">
        <v>271</v>
      </c>
    </row>
    <row r="42" spans="1:24" x14ac:dyDescent="0.2">
      <c r="I42" t="s">
        <v>272</v>
      </c>
    </row>
  </sheetData>
  <mergeCells count="7">
    <mergeCell ref="A30:A31"/>
    <mergeCell ref="A34:A35"/>
    <mergeCell ref="A2:A3"/>
    <mergeCell ref="A6:A7"/>
    <mergeCell ref="A10:A11"/>
    <mergeCell ref="A13:A14"/>
    <mergeCell ref="A16:A17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5:V15"/>
  <sheetViews>
    <sheetView zoomScaleNormal="100" zoomScalePageLayoutView="60" workbookViewId="0"/>
  </sheetViews>
  <sheetFormatPr defaultColWidth="8.5546875" defaultRowHeight="14.25" x14ac:dyDescent="0.2"/>
  <cols>
    <col min="1" max="1" width="1" customWidth="1"/>
    <col min="2" max="2" width="6.77734375" customWidth="1"/>
    <col min="3" max="20" width="4.44140625" customWidth="1"/>
    <col min="21" max="21" width="2.109375" customWidth="1"/>
  </cols>
  <sheetData>
    <row r="5" spans="2:22" x14ac:dyDescent="0.2">
      <c r="B5" t="s">
        <v>278</v>
      </c>
      <c r="C5" s="129">
        <v>1</v>
      </c>
      <c r="D5" s="129">
        <v>2</v>
      </c>
      <c r="E5" s="129">
        <v>3</v>
      </c>
      <c r="F5" s="129">
        <v>4</v>
      </c>
      <c r="G5" s="129">
        <v>5</v>
      </c>
      <c r="H5" s="129">
        <v>6</v>
      </c>
      <c r="I5" s="129">
        <v>7</v>
      </c>
      <c r="J5" s="129">
        <v>8</v>
      </c>
      <c r="K5" s="129">
        <v>9</v>
      </c>
      <c r="L5" s="129">
        <v>10</v>
      </c>
      <c r="M5" s="129">
        <v>11</v>
      </c>
      <c r="N5" s="129">
        <v>12</v>
      </c>
      <c r="O5" s="129">
        <v>13</v>
      </c>
      <c r="P5" s="129">
        <v>14</v>
      </c>
      <c r="Q5" s="129">
        <v>15</v>
      </c>
      <c r="R5" s="129">
        <v>16</v>
      </c>
      <c r="S5" s="129">
        <v>17</v>
      </c>
      <c r="T5" s="129">
        <v>18</v>
      </c>
    </row>
    <row r="6" spans="2:22" x14ac:dyDescent="0.2">
      <c r="B6" t="s">
        <v>279</v>
      </c>
      <c r="C6" s="180">
        <v>5</v>
      </c>
      <c r="D6" s="180">
        <v>4</v>
      </c>
      <c r="E6" s="180">
        <v>4</v>
      </c>
      <c r="F6" s="180">
        <v>4</v>
      </c>
      <c r="G6" s="180">
        <v>4</v>
      </c>
      <c r="H6" s="180">
        <v>3</v>
      </c>
      <c r="I6" s="180">
        <v>3</v>
      </c>
      <c r="J6" s="180">
        <v>5</v>
      </c>
      <c r="K6" s="180">
        <v>4</v>
      </c>
      <c r="L6" s="180">
        <v>4</v>
      </c>
      <c r="M6" s="180">
        <v>5</v>
      </c>
      <c r="N6" s="180">
        <v>3</v>
      </c>
      <c r="O6" s="180">
        <v>4</v>
      </c>
      <c r="P6" s="180">
        <v>4</v>
      </c>
      <c r="Q6" s="180">
        <v>3</v>
      </c>
      <c r="R6" s="180">
        <v>4</v>
      </c>
      <c r="S6" s="180">
        <v>4</v>
      </c>
      <c r="T6" s="180">
        <v>4</v>
      </c>
    </row>
    <row r="8" spans="2:22" x14ac:dyDescent="0.2">
      <c r="B8" t="s">
        <v>235</v>
      </c>
      <c r="C8">
        <v>-4</v>
      </c>
      <c r="D8">
        <v>2</v>
      </c>
      <c r="E8">
        <v>3</v>
      </c>
      <c r="F8">
        <v>2</v>
      </c>
      <c r="G8">
        <v>0</v>
      </c>
      <c r="H8">
        <v>8</v>
      </c>
      <c r="I8">
        <v>6.7</v>
      </c>
      <c r="J8">
        <v>6</v>
      </c>
      <c r="K8">
        <v>-1.3</v>
      </c>
      <c r="L8">
        <v>-5.3</v>
      </c>
      <c r="M8">
        <v>1</v>
      </c>
      <c r="N8">
        <v>2</v>
      </c>
      <c r="O8">
        <v>-4</v>
      </c>
      <c r="P8">
        <v>0</v>
      </c>
      <c r="Q8">
        <v>9.3000000000000007</v>
      </c>
      <c r="R8">
        <v>-5</v>
      </c>
      <c r="S8">
        <v>1</v>
      </c>
      <c r="T8">
        <v>0</v>
      </c>
      <c r="V8">
        <f t="shared" ref="V8:V14" si="0">SUM(C8:U8)</f>
        <v>21.4</v>
      </c>
    </row>
    <row r="9" spans="2:22" x14ac:dyDescent="0.2">
      <c r="B9" t="s">
        <v>232</v>
      </c>
      <c r="C9">
        <v>3</v>
      </c>
      <c r="D9">
        <v>-5</v>
      </c>
      <c r="E9">
        <v>3</v>
      </c>
      <c r="F9">
        <v>2</v>
      </c>
      <c r="G9">
        <v>0</v>
      </c>
      <c r="H9">
        <v>-6</v>
      </c>
      <c r="I9">
        <v>6.7</v>
      </c>
      <c r="J9">
        <v>6</v>
      </c>
      <c r="K9">
        <v>-1.3</v>
      </c>
      <c r="L9">
        <v>-5.3</v>
      </c>
      <c r="M9">
        <v>-1.3</v>
      </c>
      <c r="N9">
        <v>2</v>
      </c>
      <c r="O9">
        <v>-4</v>
      </c>
      <c r="P9">
        <v>0</v>
      </c>
      <c r="Q9">
        <v>-7</v>
      </c>
      <c r="R9">
        <v>-5</v>
      </c>
      <c r="S9">
        <v>1</v>
      </c>
      <c r="T9">
        <v>0</v>
      </c>
      <c r="V9">
        <f t="shared" si="0"/>
        <v>-11.200000000000001</v>
      </c>
    </row>
    <row r="10" spans="2:22" x14ac:dyDescent="0.2">
      <c r="B10" t="s">
        <v>280</v>
      </c>
      <c r="C10">
        <v>-4</v>
      </c>
      <c r="D10">
        <v>2</v>
      </c>
      <c r="E10">
        <v>-4</v>
      </c>
      <c r="F10">
        <v>2</v>
      </c>
      <c r="G10">
        <v>0</v>
      </c>
      <c r="H10">
        <v>-6</v>
      </c>
      <c r="I10">
        <v>6.7</v>
      </c>
      <c r="J10">
        <v>6</v>
      </c>
      <c r="K10">
        <v>1</v>
      </c>
      <c r="L10">
        <v>-5.3</v>
      </c>
      <c r="M10">
        <v>-1.3</v>
      </c>
      <c r="N10">
        <v>2</v>
      </c>
      <c r="O10">
        <v>5.3</v>
      </c>
      <c r="P10">
        <v>0</v>
      </c>
      <c r="Q10">
        <v>-7</v>
      </c>
      <c r="R10">
        <v>6.7</v>
      </c>
      <c r="S10">
        <v>1</v>
      </c>
      <c r="T10">
        <v>0</v>
      </c>
      <c r="V10">
        <f t="shared" si="0"/>
        <v>5.1000000000000005</v>
      </c>
    </row>
    <row r="11" spans="2:22" x14ac:dyDescent="0.2">
      <c r="B11" t="s">
        <v>57</v>
      </c>
      <c r="C11">
        <v>-4</v>
      </c>
      <c r="D11">
        <v>2</v>
      </c>
      <c r="E11">
        <v>-4</v>
      </c>
      <c r="F11">
        <v>-2.7</v>
      </c>
      <c r="G11">
        <v>0</v>
      </c>
      <c r="H11">
        <v>8</v>
      </c>
      <c r="I11">
        <v>-5</v>
      </c>
      <c r="J11">
        <v>6</v>
      </c>
      <c r="K11">
        <v>1</v>
      </c>
      <c r="L11">
        <v>4</v>
      </c>
      <c r="M11">
        <v>1</v>
      </c>
      <c r="N11">
        <v>-2.7</v>
      </c>
      <c r="O11">
        <v>-4</v>
      </c>
      <c r="P11">
        <v>0</v>
      </c>
      <c r="Q11">
        <v>-7</v>
      </c>
      <c r="R11">
        <v>-5</v>
      </c>
      <c r="S11">
        <v>1</v>
      </c>
      <c r="T11">
        <v>0</v>
      </c>
      <c r="V11">
        <f t="shared" si="0"/>
        <v>-11.399999999999999</v>
      </c>
    </row>
    <row r="12" spans="2:22" x14ac:dyDescent="0.2">
      <c r="B12" t="s">
        <v>234</v>
      </c>
      <c r="C12">
        <v>3</v>
      </c>
      <c r="D12">
        <v>2</v>
      </c>
      <c r="E12">
        <v>-4</v>
      </c>
      <c r="F12">
        <v>-2.7</v>
      </c>
      <c r="G12">
        <v>0</v>
      </c>
      <c r="H12">
        <v>-6</v>
      </c>
      <c r="I12">
        <v>-5</v>
      </c>
      <c r="J12">
        <v>6</v>
      </c>
      <c r="K12">
        <v>1</v>
      </c>
      <c r="L12">
        <v>4</v>
      </c>
      <c r="M12">
        <v>1</v>
      </c>
      <c r="N12">
        <v>-2.7</v>
      </c>
      <c r="O12">
        <v>5.3</v>
      </c>
      <c r="P12">
        <v>0</v>
      </c>
      <c r="Q12">
        <v>-7</v>
      </c>
      <c r="R12">
        <v>6.7</v>
      </c>
      <c r="S12">
        <v>-1.3</v>
      </c>
      <c r="T12">
        <v>0</v>
      </c>
      <c r="V12">
        <f t="shared" si="0"/>
        <v>0.30000000000000049</v>
      </c>
    </row>
    <row r="13" spans="2:22" x14ac:dyDescent="0.2">
      <c r="B13" t="s">
        <v>238</v>
      </c>
      <c r="C13">
        <v>3</v>
      </c>
      <c r="D13">
        <v>-5</v>
      </c>
      <c r="E13">
        <v>3</v>
      </c>
      <c r="F13">
        <v>-2.7</v>
      </c>
      <c r="G13">
        <v>0</v>
      </c>
      <c r="H13">
        <v>-6</v>
      </c>
      <c r="I13">
        <v>-5</v>
      </c>
      <c r="J13">
        <v>-36</v>
      </c>
      <c r="K13">
        <v>1</v>
      </c>
      <c r="L13">
        <v>4</v>
      </c>
      <c r="M13">
        <v>-1.3</v>
      </c>
      <c r="N13">
        <v>-2.7</v>
      </c>
      <c r="O13">
        <v>-4</v>
      </c>
      <c r="P13">
        <v>0</v>
      </c>
      <c r="Q13">
        <v>9.3000000000000007</v>
      </c>
      <c r="R13">
        <v>6.7</v>
      </c>
      <c r="S13">
        <v>-1.3</v>
      </c>
      <c r="T13">
        <v>0</v>
      </c>
      <c r="V13">
        <f t="shared" si="0"/>
        <v>-37</v>
      </c>
    </row>
    <row r="14" spans="2:22" x14ac:dyDescent="0.2">
      <c r="B14" t="s">
        <v>243</v>
      </c>
      <c r="C14">
        <v>3</v>
      </c>
      <c r="D14">
        <v>2</v>
      </c>
      <c r="E14">
        <v>3</v>
      </c>
      <c r="F14">
        <v>2</v>
      </c>
      <c r="G14">
        <v>0</v>
      </c>
      <c r="H14">
        <v>8</v>
      </c>
      <c r="I14">
        <v>-5</v>
      </c>
      <c r="J14">
        <v>6</v>
      </c>
      <c r="K14">
        <v>-1.3</v>
      </c>
      <c r="L14">
        <v>4</v>
      </c>
      <c r="M14">
        <v>1</v>
      </c>
      <c r="N14">
        <v>2</v>
      </c>
      <c r="O14">
        <v>5.3</v>
      </c>
      <c r="P14">
        <v>0</v>
      </c>
      <c r="Q14">
        <v>9.3000000000000007</v>
      </c>
      <c r="R14">
        <v>-5</v>
      </c>
      <c r="S14">
        <v>-1.3</v>
      </c>
      <c r="T14">
        <v>0</v>
      </c>
      <c r="V14">
        <f t="shared" si="0"/>
        <v>33</v>
      </c>
    </row>
    <row r="15" spans="2:22" x14ac:dyDescent="0.2">
      <c r="C15">
        <f t="shared" ref="C15:T15" si="1">SUM(C8:C14)</f>
        <v>0</v>
      </c>
      <c r="D15">
        <f t="shared" si="1"/>
        <v>0</v>
      </c>
      <c r="E15">
        <f t="shared" si="1"/>
        <v>0</v>
      </c>
      <c r="F15">
        <f t="shared" si="1"/>
        <v>-0.10000000000000053</v>
      </c>
      <c r="G15">
        <f t="shared" si="1"/>
        <v>0</v>
      </c>
      <c r="H15">
        <f t="shared" si="1"/>
        <v>0</v>
      </c>
      <c r="I15">
        <f t="shared" si="1"/>
        <v>0.10000000000000142</v>
      </c>
      <c r="J15">
        <f t="shared" si="1"/>
        <v>0</v>
      </c>
      <c r="K15">
        <f t="shared" si="1"/>
        <v>9.9999999999999867E-2</v>
      </c>
      <c r="L15">
        <f t="shared" si="1"/>
        <v>0.10000000000000142</v>
      </c>
      <c r="M15">
        <f t="shared" si="1"/>
        <v>9.9999999999999867E-2</v>
      </c>
      <c r="N15">
        <f t="shared" si="1"/>
        <v>-0.10000000000000053</v>
      </c>
      <c r="O15">
        <f t="shared" si="1"/>
        <v>-0.10000000000000053</v>
      </c>
      <c r="P15">
        <f t="shared" si="1"/>
        <v>0</v>
      </c>
      <c r="Q15">
        <f t="shared" si="1"/>
        <v>-9.9999999999997868E-2</v>
      </c>
      <c r="R15">
        <f t="shared" si="1"/>
        <v>9.9999999999999645E-2</v>
      </c>
      <c r="S15">
        <f t="shared" si="1"/>
        <v>0.10000000000000009</v>
      </c>
      <c r="T15">
        <f t="shared" si="1"/>
        <v>0</v>
      </c>
      <c r="V15">
        <f>SUM(C15:T15)</f>
        <v>0.20000000000000284</v>
      </c>
    </row>
  </sheetData>
  <pageMargins left="0.7" right="0.7" top="0.75" bottom="0.75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46"/>
  <sheetViews>
    <sheetView zoomScaleNormal="100" zoomScalePageLayoutView="60" workbookViewId="0"/>
  </sheetViews>
  <sheetFormatPr defaultColWidth="8.88671875" defaultRowHeight="14.25" outlineLevelRow="1" x14ac:dyDescent="0.2"/>
  <cols>
    <col min="1" max="1" width="1.6640625" style="21" customWidth="1"/>
    <col min="2" max="2" width="12.109375" style="15" customWidth="1"/>
    <col min="3" max="3" width="6.109375" style="15" customWidth="1"/>
    <col min="4" max="4" width="3.77734375" style="15" customWidth="1"/>
    <col min="5" max="5" width="4.21875" style="15" customWidth="1"/>
    <col min="6" max="6" width="3.5546875" style="15" customWidth="1"/>
    <col min="7" max="7" width="4.21875" style="15" customWidth="1"/>
    <col min="8" max="8" width="6.21875" style="15" customWidth="1"/>
    <col min="9" max="9" width="2.77734375" style="15" customWidth="1"/>
    <col min="10" max="10" width="2" style="15" customWidth="1"/>
    <col min="11" max="11" width="12.109375" style="15" customWidth="1"/>
    <col min="12" max="12" width="6.44140625" style="15" customWidth="1"/>
    <col min="13" max="13" width="3.5546875" style="15" customWidth="1"/>
    <col min="14" max="14" width="4.21875" style="15" customWidth="1"/>
    <col min="15" max="15" width="3.5546875" style="15" customWidth="1"/>
    <col min="16" max="16" width="4.33203125" style="15" customWidth="1"/>
    <col min="17" max="17" width="6.21875" style="15" customWidth="1"/>
    <col min="18" max="1024" width="8.88671875" style="15"/>
  </cols>
  <sheetData>
    <row r="1" spans="1:17" s="59" customFormat="1" ht="14.25" customHeight="1" x14ac:dyDescent="0.2">
      <c r="A1" s="91"/>
      <c r="B1" s="17"/>
      <c r="D1" s="218" t="s">
        <v>281</v>
      </c>
      <c r="E1" s="218"/>
      <c r="F1" s="218" t="s">
        <v>281</v>
      </c>
      <c r="G1" s="218"/>
      <c r="H1" s="146" t="s">
        <v>20</v>
      </c>
      <c r="L1" s="146" t="s">
        <v>20</v>
      </c>
      <c r="M1" s="218" t="s">
        <v>281</v>
      </c>
      <c r="N1" s="218"/>
      <c r="O1" s="218" t="s">
        <v>281</v>
      </c>
      <c r="P1" s="218"/>
      <c r="Q1" s="146" t="s">
        <v>282</v>
      </c>
    </row>
    <row r="2" spans="1:17" x14ac:dyDescent="0.2">
      <c r="B2" s="20" t="s">
        <v>283</v>
      </c>
      <c r="C2" s="15" t="s">
        <v>20</v>
      </c>
      <c r="D2" s="13">
        <v>1</v>
      </c>
      <c r="E2" s="13"/>
      <c r="F2" s="13">
        <v>2</v>
      </c>
      <c r="G2" s="13"/>
      <c r="M2" s="13">
        <v>3</v>
      </c>
      <c r="N2" s="13"/>
      <c r="O2" s="13">
        <v>4</v>
      </c>
      <c r="P2" s="13"/>
    </row>
    <row r="3" spans="1:17" x14ac:dyDescent="0.2">
      <c r="A3" s="21">
        <v>1</v>
      </c>
      <c r="B3" s="29"/>
      <c r="C3" s="181"/>
      <c r="D3" s="150"/>
      <c r="E3" s="182"/>
      <c r="F3" s="150"/>
      <c r="G3" s="182"/>
      <c r="H3" s="181">
        <f>G3+E3+C3</f>
        <v>0</v>
      </c>
      <c r="J3" s="21">
        <v>1</v>
      </c>
      <c r="K3" s="29"/>
      <c r="L3" s="183"/>
      <c r="M3" s="150"/>
      <c r="N3" s="182"/>
      <c r="O3" s="150"/>
      <c r="P3" s="32"/>
      <c r="Q3" s="184">
        <f>P3+N3+L3</f>
        <v>0</v>
      </c>
    </row>
    <row r="4" spans="1:17" outlineLevel="1" x14ac:dyDescent="0.2">
      <c r="B4" s="35" t="s">
        <v>38</v>
      </c>
      <c r="C4" s="56"/>
      <c r="D4" s="150"/>
      <c r="E4" s="185"/>
      <c r="F4" s="150"/>
      <c r="G4" s="150"/>
      <c r="H4" s="56"/>
      <c r="J4" s="21"/>
      <c r="K4" s="35" t="s">
        <v>38</v>
      </c>
      <c r="L4" s="16"/>
      <c r="M4" s="150"/>
      <c r="N4" s="150"/>
      <c r="O4" s="150"/>
      <c r="P4" s="150"/>
    </row>
    <row r="5" spans="1:17" outlineLevel="1" x14ac:dyDescent="0.2">
      <c r="A5" s="186"/>
      <c r="B5" s="39" t="s">
        <v>39</v>
      </c>
      <c r="C5" s="56"/>
      <c r="D5" s="187"/>
      <c r="E5" s="188"/>
      <c r="F5" s="187"/>
      <c r="G5" s="161"/>
      <c r="H5" s="189"/>
      <c r="J5" s="186"/>
      <c r="K5" s="39" t="s">
        <v>39</v>
      </c>
      <c r="L5" s="16"/>
      <c r="M5" s="187"/>
      <c r="N5" s="161"/>
      <c r="O5" s="187"/>
      <c r="P5" s="161"/>
    </row>
    <row r="6" spans="1:17" x14ac:dyDescent="0.2">
      <c r="A6" s="21">
        <v>2</v>
      </c>
      <c r="B6" s="29"/>
      <c r="C6" s="181"/>
      <c r="D6" s="150"/>
      <c r="E6" s="182"/>
      <c r="F6" s="150"/>
      <c r="G6" s="182"/>
      <c r="H6" s="181">
        <f>G6+E6+C6</f>
        <v>0</v>
      </c>
      <c r="J6" s="21">
        <v>2</v>
      </c>
      <c r="K6" s="29"/>
      <c r="L6" s="183"/>
      <c r="M6" s="150"/>
      <c r="N6" s="32"/>
      <c r="O6" s="150"/>
      <c r="P6" s="32"/>
      <c r="Q6" s="184">
        <f>P6+N6+L6</f>
        <v>0</v>
      </c>
    </row>
    <row r="7" spans="1:17" outlineLevel="1" x14ac:dyDescent="0.2">
      <c r="B7" s="35" t="s">
        <v>38</v>
      </c>
      <c r="C7" s="56"/>
      <c r="D7" s="150"/>
      <c r="E7" s="185"/>
      <c r="F7" s="150"/>
      <c r="G7" s="150"/>
      <c r="H7" s="56"/>
      <c r="J7" s="21"/>
      <c r="K7" s="35" t="s">
        <v>38</v>
      </c>
      <c r="M7" s="150"/>
      <c r="N7" s="150"/>
      <c r="O7" s="150"/>
      <c r="P7" s="150"/>
    </row>
    <row r="8" spans="1:17" outlineLevel="1" x14ac:dyDescent="0.2">
      <c r="A8" s="186"/>
      <c r="B8" s="39" t="s">
        <v>39</v>
      </c>
      <c r="C8" s="56"/>
      <c r="D8" s="187"/>
      <c r="E8" s="188"/>
      <c r="F8" s="187"/>
      <c r="G8" s="161"/>
      <c r="H8" s="189"/>
      <c r="J8" s="186"/>
      <c r="K8" s="39" t="s">
        <v>39</v>
      </c>
      <c r="M8" s="187"/>
      <c r="N8" s="161"/>
      <c r="O8" s="187"/>
      <c r="P8" s="161"/>
    </row>
    <row r="9" spans="1:17" x14ac:dyDescent="0.2">
      <c r="A9" s="21">
        <v>3</v>
      </c>
      <c r="B9" s="29"/>
      <c r="C9" s="181"/>
      <c r="D9" s="150"/>
      <c r="E9" s="182"/>
      <c r="F9" s="150"/>
      <c r="G9" s="182"/>
      <c r="H9" s="181">
        <f>G9+E9+C9</f>
        <v>0</v>
      </c>
      <c r="J9" s="21">
        <v>3</v>
      </c>
      <c r="K9" s="29"/>
      <c r="L9" s="183"/>
      <c r="M9" s="150"/>
      <c r="N9" s="32"/>
      <c r="O9" s="150"/>
      <c r="P9" s="32"/>
      <c r="Q9" s="184">
        <f>P9+N9+L9</f>
        <v>0</v>
      </c>
    </row>
    <row r="10" spans="1:17" outlineLevel="1" x14ac:dyDescent="0.2">
      <c r="B10" s="35" t="s">
        <v>38</v>
      </c>
      <c r="D10" s="150"/>
      <c r="E10" s="185"/>
      <c r="F10" s="150"/>
      <c r="G10" s="150"/>
      <c r="J10" s="21"/>
      <c r="K10" s="20" t="s">
        <v>38</v>
      </c>
      <c r="L10" s="16"/>
      <c r="M10" s="150"/>
      <c r="N10" s="150"/>
      <c r="O10" s="150"/>
      <c r="P10" s="150"/>
      <c r="Q10" s="94"/>
    </row>
    <row r="11" spans="1:17" outlineLevel="1" x14ac:dyDescent="0.2">
      <c r="A11" s="186"/>
      <c r="B11" s="39" t="s">
        <v>39</v>
      </c>
      <c r="C11" s="56"/>
      <c r="D11" s="187"/>
      <c r="E11" s="188"/>
      <c r="F11" s="187"/>
      <c r="G11" s="161"/>
      <c r="H11" s="189"/>
      <c r="J11" s="186"/>
      <c r="K11" s="190" t="s">
        <v>39</v>
      </c>
      <c r="L11" s="16"/>
      <c r="M11" s="187"/>
      <c r="N11" s="161"/>
      <c r="O11" s="187"/>
      <c r="P11" s="161"/>
    </row>
    <row r="12" spans="1:17" x14ac:dyDescent="0.2">
      <c r="A12" s="21">
        <v>4</v>
      </c>
      <c r="B12" s="29"/>
      <c r="C12" s="181"/>
      <c r="D12" s="150"/>
      <c r="E12" s="182"/>
      <c r="F12" s="150"/>
      <c r="G12" s="182"/>
      <c r="H12" s="181">
        <f>G12+E12+C12</f>
        <v>0</v>
      </c>
      <c r="J12" s="21">
        <v>4</v>
      </c>
      <c r="K12" s="29"/>
      <c r="L12" s="183"/>
      <c r="M12" s="150"/>
      <c r="N12" s="32"/>
      <c r="O12" s="150"/>
      <c r="P12" s="32"/>
      <c r="Q12" s="184">
        <f>P12+N12+L12</f>
        <v>0</v>
      </c>
    </row>
    <row r="13" spans="1:17" outlineLevel="1" x14ac:dyDescent="0.2">
      <c r="B13" s="20" t="s">
        <v>38</v>
      </c>
      <c r="C13" s="56"/>
      <c r="D13" s="150"/>
      <c r="E13" s="185"/>
      <c r="F13" s="150"/>
      <c r="G13" s="150"/>
      <c r="K13" s="35" t="s">
        <v>38</v>
      </c>
      <c r="L13" s="16"/>
      <c r="M13" s="150"/>
      <c r="N13" s="150"/>
      <c r="O13" s="150"/>
      <c r="P13" s="150"/>
    </row>
    <row r="14" spans="1:17" outlineLevel="1" x14ac:dyDescent="0.2">
      <c r="A14" s="186"/>
      <c r="B14" s="190" t="s">
        <v>39</v>
      </c>
      <c r="C14" s="56"/>
      <c r="D14" s="187"/>
      <c r="E14" s="188"/>
      <c r="F14" s="187"/>
      <c r="G14" s="161"/>
      <c r="H14" s="106"/>
      <c r="J14" s="186"/>
      <c r="K14" s="39" t="s">
        <v>39</v>
      </c>
      <c r="L14" s="16"/>
      <c r="M14" s="191"/>
      <c r="N14" s="150"/>
      <c r="O14" s="191"/>
      <c r="P14" s="150"/>
    </row>
    <row r="15" spans="1:17" x14ac:dyDescent="0.2">
      <c r="A15" s="21">
        <v>5</v>
      </c>
      <c r="B15" s="29"/>
      <c r="C15" s="181"/>
      <c r="D15" s="150"/>
      <c r="E15" s="182"/>
      <c r="F15" s="150"/>
      <c r="G15" s="182"/>
      <c r="H15" s="181">
        <f>G15+E15+C15</f>
        <v>0</v>
      </c>
      <c r="L15" s="56"/>
      <c r="M15" s="150"/>
      <c r="N15" s="185"/>
      <c r="O15" s="150"/>
      <c r="P15" s="185"/>
    </row>
    <row r="16" spans="1:17" outlineLevel="1" x14ac:dyDescent="0.2">
      <c r="B16" s="35" t="s">
        <v>38</v>
      </c>
      <c r="D16" s="150"/>
      <c r="E16" s="185"/>
      <c r="F16" s="150"/>
      <c r="G16" s="150"/>
      <c r="M16" s="150"/>
      <c r="N16" s="150"/>
      <c r="O16" s="150"/>
      <c r="P16" s="150"/>
    </row>
    <row r="17" spans="1:16" outlineLevel="1" x14ac:dyDescent="0.2">
      <c r="A17" s="186"/>
      <c r="B17" s="39" t="s">
        <v>39</v>
      </c>
      <c r="D17" s="187"/>
      <c r="E17" s="188"/>
      <c r="F17" s="187"/>
      <c r="G17" s="161"/>
      <c r="H17" s="106"/>
      <c r="M17" s="191"/>
      <c r="N17" s="150"/>
      <c r="O17" s="191"/>
      <c r="P17" s="150"/>
    </row>
    <row r="18" spans="1:16" x14ac:dyDescent="0.2">
      <c r="A18" s="21">
        <v>6</v>
      </c>
      <c r="B18" s="29"/>
      <c r="C18" s="181"/>
      <c r="D18" s="150"/>
      <c r="E18" s="182"/>
      <c r="F18" s="150"/>
      <c r="G18" s="182"/>
      <c r="H18" s="181">
        <f>G18+E18+C18</f>
        <v>0</v>
      </c>
      <c r="L18" s="56"/>
      <c r="M18" s="150"/>
      <c r="N18" s="185"/>
      <c r="O18" s="150"/>
      <c r="P18" s="185"/>
    </row>
    <row r="19" spans="1:16" outlineLevel="1" x14ac:dyDescent="0.2">
      <c r="B19" s="35" t="s">
        <v>38</v>
      </c>
      <c r="C19" s="56"/>
      <c r="D19" s="150"/>
      <c r="E19" s="185"/>
      <c r="F19" s="150"/>
      <c r="G19" s="150"/>
      <c r="H19" s="56"/>
      <c r="M19" s="150"/>
      <c r="N19" s="150"/>
      <c r="O19" s="150"/>
      <c r="P19" s="150"/>
    </row>
    <row r="20" spans="1:16" outlineLevel="1" x14ac:dyDescent="0.2">
      <c r="A20" s="186"/>
      <c r="B20" s="39" t="s">
        <v>39</v>
      </c>
      <c r="C20" s="56"/>
      <c r="D20" s="187"/>
      <c r="E20" s="188"/>
      <c r="F20" s="187"/>
      <c r="G20" s="161"/>
      <c r="H20" s="189"/>
      <c r="M20" s="191"/>
      <c r="N20" s="150"/>
      <c r="O20" s="191"/>
      <c r="P20" s="150"/>
    </row>
    <row r="21" spans="1:16" x14ac:dyDescent="0.2">
      <c r="A21" s="21">
        <v>7</v>
      </c>
      <c r="B21" s="29"/>
      <c r="C21" s="181"/>
      <c r="D21" s="150"/>
      <c r="E21" s="182"/>
      <c r="F21" s="150"/>
      <c r="G21" s="182"/>
      <c r="H21" s="181">
        <f>G21+E21+C21</f>
        <v>0</v>
      </c>
      <c r="L21" s="56"/>
      <c r="M21" s="150"/>
      <c r="N21" s="185"/>
      <c r="O21" s="150"/>
      <c r="P21" s="185"/>
    </row>
    <row r="22" spans="1:16" outlineLevel="1" x14ac:dyDescent="0.2">
      <c r="B22" s="35" t="s">
        <v>38</v>
      </c>
      <c r="D22" s="150"/>
      <c r="E22" s="185"/>
      <c r="F22" s="150"/>
      <c r="G22" s="150"/>
      <c r="M22" s="150"/>
      <c r="N22" s="150"/>
      <c r="O22" s="150"/>
      <c r="P22" s="150"/>
    </row>
    <row r="23" spans="1:16" outlineLevel="1" x14ac:dyDescent="0.2">
      <c r="A23" s="186"/>
      <c r="B23" s="39" t="s">
        <v>39</v>
      </c>
      <c r="D23" s="187"/>
      <c r="E23" s="188"/>
      <c r="F23" s="187"/>
      <c r="G23" s="161"/>
      <c r="H23" s="106"/>
      <c r="M23" s="191"/>
      <c r="N23" s="150"/>
      <c r="O23" s="191"/>
      <c r="P23" s="150"/>
    </row>
    <row r="24" spans="1:16" x14ac:dyDescent="0.2">
      <c r="A24" s="21">
        <v>8</v>
      </c>
      <c r="B24" s="45"/>
      <c r="C24" s="181"/>
      <c r="D24" s="150"/>
      <c r="E24" s="182"/>
      <c r="F24" s="150"/>
      <c r="G24" s="182"/>
      <c r="H24" s="181">
        <f>G24+E24+C24</f>
        <v>0</v>
      </c>
      <c r="L24" s="56"/>
      <c r="M24" s="150"/>
      <c r="N24" s="185"/>
      <c r="O24" s="150"/>
      <c r="P24" s="185"/>
    </row>
    <row r="25" spans="1:16" outlineLevel="1" x14ac:dyDescent="0.2">
      <c r="B25" s="35" t="s">
        <v>38</v>
      </c>
      <c r="C25" s="56"/>
      <c r="D25" s="150"/>
      <c r="E25" s="185"/>
      <c r="F25" s="150"/>
      <c r="G25" s="150"/>
      <c r="H25" s="56"/>
      <c r="M25" s="150"/>
      <c r="N25" s="150"/>
      <c r="O25" s="150"/>
      <c r="P25" s="150"/>
    </row>
    <row r="26" spans="1:16" outlineLevel="1" x14ac:dyDescent="0.2">
      <c r="A26" s="186"/>
      <c r="B26" s="39" t="s">
        <v>39</v>
      </c>
      <c r="C26" s="56"/>
      <c r="D26" s="187"/>
      <c r="E26" s="188"/>
      <c r="F26" s="187"/>
      <c r="G26" s="161"/>
      <c r="H26" s="189"/>
      <c r="M26" s="191"/>
      <c r="N26" s="150"/>
      <c r="O26" s="191"/>
      <c r="P26" s="150"/>
    </row>
    <row r="27" spans="1:16" ht="5.25" customHeight="1" x14ac:dyDescent="0.2">
      <c r="B27" s="108"/>
      <c r="D27" s="53"/>
      <c r="E27" s="53"/>
      <c r="F27" s="53"/>
      <c r="G27" s="53"/>
      <c r="M27" s="53"/>
      <c r="N27" s="53"/>
      <c r="O27" s="53"/>
      <c r="P27" s="53"/>
    </row>
    <row r="28" spans="1:16" x14ac:dyDescent="0.2">
      <c r="B28" s="15" t="s">
        <v>58</v>
      </c>
      <c r="E28" s="54" t="e">
        <f>AVERAGE(E3,E6,E9,E12,E15,E18,E21,E24)</f>
        <v>#DIV/0!</v>
      </c>
      <c r="G28" s="54" t="e">
        <f>AVERAGE(G3,G6,G9,G12,G15,G18,G21,G24)</f>
        <v>#DIV/0!</v>
      </c>
      <c r="N28" s="54"/>
      <c r="P28" s="54"/>
    </row>
    <row r="29" spans="1:16" ht="6" customHeight="1" x14ac:dyDescent="0.2">
      <c r="D29" s="55"/>
    </row>
    <row r="30" spans="1:16" x14ac:dyDescent="0.2">
      <c r="B30" s="15" t="s">
        <v>20</v>
      </c>
      <c r="D30" s="55"/>
      <c r="E30" s="57">
        <f>E24+E21+E18+E15+E12+E9+E6+E3</f>
        <v>0</v>
      </c>
      <c r="F30" s="192"/>
      <c r="G30" s="57">
        <f>G24+G21+G18+G15+G12+G9+G6+G3</f>
        <v>0</v>
      </c>
      <c r="N30" s="57"/>
      <c r="P30" s="57"/>
    </row>
    <row r="31" spans="1:16" x14ac:dyDescent="0.2">
      <c r="D31" s="55"/>
    </row>
    <row r="46" spans="2:2" x14ac:dyDescent="0.2">
      <c r="B46" s="29"/>
    </row>
  </sheetData>
  <mergeCells count="8">
    <mergeCell ref="D1:E1"/>
    <mergeCell ref="F1:G1"/>
    <mergeCell ref="M1:N1"/>
    <mergeCell ref="O1:P1"/>
    <mergeCell ref="D2:E2"/>
    <mergeCell ref="F2:G2"/>
    <mergeCell ref="M2:N2"/>
    <mergeCell ref="O2:P2"/>
  </mergeCells>
  <pageMargins left="0.7" right="0.2" top="1.375" bottom="0.25" header="0.3" footer="0.511811023622047"/>
  <pageSetup pageOrder="overThenDown" orientation="landscape" horizontalDpi="300" verticalDpi="300"/>
  <headerFooter>
    <oddHeader>&amp;C&amp;20 2021 Wolf Cup Playoffs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23"/>
  <sheetViews>
    <sheetView zoomScaleNormal="100" zoomScalePageLayoutView="60" workbookViewId="0"/>
  </sheetViews>
  <sheetFormatPr defaultColWidth="8.5546875" defaultRowHeight="14.25" x14ac:dyDescent="0.2"/>
  <cols>
    <col min="2" max="2" width="11" customWidth="1"/>
    <col min="8" max="8" width="14.6640625" customWidth="1"/>
    <col min="9" max="9" width="10" customWidth="1"/>
  </cols>
  <sheetData>
    <row r="2" spans="1:12" x14ac:dyDescent="0.2">
      <c r="A2" t="s">
        <v>284</v>
      </c>
      <c r="K2" t="s">
        <v>285</v>
      </c>
      <c r="L2" s="193">
        <v>36</v>
      </c>
    </row>
    <row r="3" spans="1:12" x14ac:dyDescent="0.2">
      <c r="B3" s="194" t="s">
        <v>49</v>
      </c>
      <c r="C3" s="195">
        <v>100</v>
      </c>
      <c r="D3" s="195"/>
      <c r="E3" s="195"/>
      <c r="G3" t="s">
        <v>286</v>
      </c>
      <c r="I3" s="196">
        <f>C23</f>
        <v>1900</v>
      </c>
      <c r="K3" t="s">
        <v>287</v>
      </c>
      <c r="L3" s="193"/>
    </row>
    <row r="4" spans="1:12" x14ac:dyDescent="0.2">
      <c r="B4" s="29" t="s">
        <v>57</v>
      </c>
      <c r="C4" s="195">
        <v>100</v>
      </c>
      <c r="D4" s="195"/>
      <c r="E4" s="195"/>
      <c r="I4" s="193"/>
      <c r="K4" t="s">
        <v>288</v>
      </c>
      <c r="L4" s="193">
        <v>36</v>
      </c>
    </row>
    <row r="5" spans="1:12" x14ac:dyDescent="0.2">
      <c r="B5" s="194" t="s">
        <v>269</v>
      </c>
      <c r="C5" s="195">
        <v>100</v>
      </c>
      <c r="D5" s="195"/>
      <c r="E5" s="195"/>
      <c r="G5" t="s">
        <v>289</v>
      </c>
      <c r="I5" s="193"/>
      <c r="K5" t="s">
        <v>290</v>
      </c>
      <c r="L5" s="193">
        <v>40</v>
      </c>
    </row>
    <row r="6" spans="1:12" x14ac:dyDescent="0.2">
      <c r="A6" s="197"/>
      <c r="B6" s="194" t="s">
        <v>40</v>
      </c>
      <c r="C6" s="195">
        <v>100</v>
      </c>
      <c r="D6" s="198">
        <v>87.5</v>
      </c>
      <c r="E6" s="195"/>
      <c r="H6" t="s">
        <v>291</v>
      </c>
      <c r="I6" s="193">
        <f>L21</f>
        <v>148</v>
      </c>
      <c r="K6" t="s">
        <v>292</v>
      </c>
      <c r="L6" s="193">
        <v>36</v>
      </c>
    </row>
    <row r="7" spans="1:12" x14ac:dyDescent="0.2">
      <c r="B7" s="194" t="s">
        <v>47</v>
      </c>
      <c r="C7" s="195">
        <v>100</v>
      </c>
      <c r="D7" s="195"/>
      <c r="E7" s="195"/>
      <c r="H7" t="s">
        <v>293</v>
      </c>
      <c r="I7" s="193">
        <v>50</v>
      </c>
      <c r="K7" t="s">
        <v>294</v>
      </c>
      <c r="L7" s="193"/>
    </row>
    <row r="8" spans="1:12" x14ac:dyDescent="0.2">
      <c r="A8" s="197"/>
      <c r="B8" s="199" t="s">
        <v>51</v>
      </c>
      <c r="C8" s="195">
        <v>100</v>
      </c>
      <c r="D8" s="195"/>
      <c r="E8" s="195"/>
      <c r="H8" t="s">
        <v>295</v>
      </c>
      <c r="I8" s="193">
        <v>25</v>
      </c>
      <c r="K8" t="s">
        <v>296</v>
      </c>
      <c r="L8" s="193"/>
    </row>
    <row r="9" spans="1:12" x14ac:dyDescent="0.2">
      <c r="B9" s="194" t="s">
        <v>50</v>
      </c>
      <c r="C9" s="195">
        <v>100</v>
      </c>
      <c r="D9" s="195"/>
      <c r="E9" s="195"/>
      <c r="H9" t="s">
        <v>297</v>
      </c>
      <c r="I9" s="193">
        <v>31.12</v>
      </c>
      <c r="J9" t="s">
        <v>298</v>
      </c>
      <c r="K9" t="s">
        <v>299</v>
      </c>
      <c r="L9" s="193"/>
    </row>
    <row r="10" spans="1:12" x14ac:dyDescent="0.2">
      <c r="A10" s="197"/>
      <c r="B10" s="200" t="s">
        <v>52</v>
      </c>
      <c r="C10" s="195">
        <v>100</v>
      </c>
      <c r="D10" s="198">
        <v>87.5</v>
      </c>
      <c r="E10" s="195"/>
      <c r="H10" t="s">
        <v>300</v>
      </c>
      <c r="I10" s="193">
        <v>169</v>
      </c>
      <c r="J10" t="s">
        <v>298</v>
      </c>
      <c r="K10" t="s">
        <v>301</v>
      </c>
      <c r="L10" s="193"/>
    </row>
    <row r="11" spans="1:12" x14ac:dyDescent="0.2">
      <c r="A11" s="197"/>
      <c r="B11" s="194" t="s">
        <v>54</v>
      </c>
      <c r="C11" s="195">
        <v>100</v>
      </c>
      <c r="D11" s="195"/>
      <c r="E11" s="195"/>
      <c r="H11" t="s">
        <v>302</v>
      </c>
      <c r="I11" s="193">
        <v>16.05</v>
      </c>
      <c r="J11" t="s">
        <v>298</v>
      </c>
      <c r="K11" t="s">
        <v>303</v>
      </c>
      <c r="L11" s="193"/>
    </row>
    <row r="12" spans="1:12" x14ac:dyDescent="0.2">
      <c r="A12" s="197"/>
      <c r="B12" s="194" t="s">
        <v>41</v>
      </c>
      <c r="C12" s="195">
        <v>100</v>
      </c>
      <c r="D12" s="195"/>
      <c r="E12" s="195"/>
      <c r="I12" s="193"/>
      <c r="K12" t="s">
        <v>304</v>
      </c>
      <c r="L12" s="193"/>
    </row>
    <row r="13" spans="1:12" x14ac:dyDescent="0.2">
      <c r="A13" s="197"/>
      <c r="B13" s="194" t="s">
        <v>216</v>
      </c>
      <c r="C13" s="195">
        <v>100</v>
      </c>
      <c r="D13" s="195"/>
      <c r="E13" s="195"/>
      <c r="H13" t="s">
        <v>305</v>
      </c>
      <c r="I13" s="193">
        <v>90.699999999999903</v>
      </c>
      <c r="K13" t="s">
        <v>306</v>
      </c>
      <c r="L13" s="193"/>
    </row>
    <row r="14" spans="1:12" x14ac:dyDescent="0.2">
      <c r="A14" s="197"/>
      <c r="B14" s="194" t="s">
        <v>56</v>
      </c>
      <c r="C14" s="195">
        <v>100</v>
      </c>
      <c r="D14" s="195"/>
      <c r="E14" s="195"/>
      <c r="K14" t="s">
        <v>307</v>
      </c>
      <c r="L14" s="193"/>
    </row>
    <row r="15" spans="1:12" x14ac:dyDescent="0.2">
      <c r="B15" s="201" t="s">
        <v>42</v>
      </c>
      <c r="C15" s="195">
        <v>100</v>
      </c>
      <c r="D15" s="195"/>
      <c r="E15" s="195"/>
      <c r="H15" t="s">
        <v>308</v>
      </c>
      <c r="I15" s="193">
        <f>SUM(I6:I12)+I13</f>
        <v>529.86999999999989</v>
      </c>
      <c r="K15" t="s">
        <v>309</v>
      </c>
      <c r="L15" s="193"/>
    </row>
    <row r="16" spans="1:12" x14ac:dyDescent="0.2">
      <c r="B16" s="194" t="s">
        <v>53</v>
      </c>
      <c r="C16" s="195">
        <v>100</v>
      </c>
      <c r="D16" s="195"/>
      <c r="E16" s="195"/>
      <c r="I16" s="193"/>
      <c r="K16" t="s">
        <v>310</v>
      </c>
      <c r="L16" s="193"/>
    </row>
    <row r="17" spans="1:12" x14ac:dyDescent="0.2">
      <c r="B17" s="194" t="s">
        <v>46</v>
      </c>
      <c r="C17" s="195">
        <v>100</v>
      </c>
      <c r="D17" s="195"/>
      <c r="E17" s="195"/>
      <c r="G17" t="s">
        <v>311</v>
      </c>
      <c r="I17" s="193">
        <f>I3-I15</f>
        <v>1370.13</v>
      </c>
      <c r="K17" t="s">
        <v>312</v>
      </c>
      <c r="L17" s="193"/>
    </row>
    <row r="18" spans="1:12" x14ac:dyDescent="0.2">
      <c r="A18" s="197"/>
      <c r="B18" s="194" t="s">
        <v>48</v>
      </c>
      <c r="C18" s="195">
        <v>100</v>
      </c>
      <c r="D18" s="195"/>
      <c r="E18" s="195"/>
      <c r="I18" s="193"/>
      <c r="K18" t="s">
        <v>313</v>
      </c>
      <c r="L18" s="193"/>
    </row>
    <row r="19" spans="1:12" x14ac:dyDescent="0.2">
      <c r="B19" s="194" t="s">
        <v>314</v>
      </c>
      <c r="C19" s="202">
        <v>100</v>
      </c>
      <c r="D19" s="202"/>
      <c r="E19" s="202"/>
      <c r="K19" t="s">
        <v>315</v>
      </c>
      <c r="L19" s="193"/>
    </row>
    <row r="20" spans="1:12" x14ac:dyDescent="0.2">
      <c r="B20" s="194" t="s">
        <v>44</v>
      </c>
      <c r="C20" s="202">
        <v>100</v>
      </c>
      <c r="D20" s="202"/>
      <c r="E20" s="202"/>
      <c r="K20" t="s">
        <v>316</v>
      </c>
      <c r="L20" s="193"/>
    </row>
    <row r="21" spans="1:12" x14ac:dyDescent="0.2">
      <c r="B21" s="194" t="s">
        <v>43</v>
      </c>
      <c r="C21" s="202">
        <v>100</v>
      </c>
      <c r="L21" s="193">
        <f>SUM(L2:L20)</f>
        <v>148</v>
      </c>
    </row>
    <row r="23" spans="1:12" x14ac:dyDescent="0.2">
      <c r="B23" s="29" t="s">
        <v>286</v>
      </c>
      <c r="C23" s="202">
        <f>SUM(C3:C22)</f>
        <v>1900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4"/>
  <sheetViews>
    <sheetView zoomScaleNormal="100" zoomScalePageLayoutView="60" workbookViewId="0"/>
  </sheetViews>
  <sheetFormatPr defaultColWidth="8.5546875" defaultRowHeight="14.25" x14ac:dyDescent="0.2"/>
  <cols>
    <col min="1" max="1" width="11.44140625" customWidth="1"/>
    <col min="2" max="2" width="17.88671875" style="203" customWidth="1"/>
    <col min="3" max="3" width="12.77734375" style="204" customWidth="1"/>
    <col min="4" max="6" width="5" style="204" customWidth="1"/>
    <col min="7" max="10" width="5" style="55" customWidth="1"/>
    <col min="12" max="12" width="2.5546875" customWidth="1"/>
    <col min="13" max="13" width="11.21875" customWidth="1"/>
  </cols>
  <sheetData>
    <row r="1" spans="1:15" x14ac:dyDescent="0.2">
      <c r="B1" s="204"/>
      <c r="C1" s="204" t="s">
        <v>317</v>
      </c>
      <c r="D1" s="204">
        <v>2021</v>
      </c>
      <c r="E1" s="204">
        <v>2020</v>
      </c>
      <c r="F1" s="204">
        <v>2019</v>
      </c>
      <c r="G1" s="55">
        <v>2018</v>
      </c>
      <c r="H1" s="55">
        <v>2017</v>
      </c>
      <c r="I1" s="55">
        <v>2016</v>
      </c>
      <c r="J1" s="55">
        <v>2015</v>
      </c>
      <c r="K1" s="55" t="s">
        <v>20</v>
      </c>
    </row>
    <row r="2" spans="1:15" x14ac:dyDescent="0.2">
      <c r="B2" s="204"/>
      <c r="M2" s="29"/>
      <c r="N2" s="195"/>
      <c r="O2" s="195"/>
    </row>
    <row r="3" spans="1:15" x14ac:dyDescent="0.2">
      <c r="B3" s="203" t="s">
        <v>318</v>
      </c>
      <c r="C3" s="164">
        <v>4</v>
      </c>
      <c r="D3" s="205">
        <v>66.5</v>
      </c>
      <c r="K3" s="129">
        <f t="shared" ref="K3:K13" si="0">SUM(D3:J3)</f>
        <v>66.5</v>
      </c>
      <c r="M3" s="194"/>
      <c r="N3" s="195"/>
      <c r="O3" s="195"/>
    </row>
    <row r="4" spans="1:15" x14ac:dyDescent="0.2">
      <c r="B4" s="203" t="s">
        <v>319</v>
      </c>
      <c r="C4" s="164">
        <v>3</v>
      </c>
      <c r="D4" s="205">
        <v>25.5</v>
      </c>
      <c r="E4" s="204">
        <v>13</v>
      </c>
      <c r="F4" s="204">
        <v>6</v>
      </c>
      <c r="G4" s="206">
        <v>41.5</v>
      </c>
      <c r="H4" s="207"/>
      <c r="I4" s="207"/>
      <c r="J4" s="205"/>
      <c r="K4" s="129">
        <f t="shared" si="0"/>
        <v>86</v>
      </c>
      <c r="M4" s="29"/>
      <c r="N4" s="195"/>
      <c r="O4" s="198"/>
    </row>
    <row r="5" spans="1:15" x14ac:dyDescent="0.2">
      <c r="A5" s="204" t="s">
        <v>320</v>
      </c>
      <c r="B5" s="203" t="s">
        <v>321</v>
      </c>
      <c r="C5" s="164">
        <v>3</v>
      </c>
      <c r="D5" s="205">
        <v>21</v>
      </c>
      <c r="G5" s="207"/>
      <c r="H5" s="206">
        <v>5</v>
      </c>
      <c r="I5" s="207"/>
      <c r="K5" s="129">
        <f t="shared" si="0"/>
        <v>26</v>
      </c>
      <c r="M5" s="47"/>
      <c r="N5" s="195"/>
      <c r="O5" s="195"/>
    </row>
    <row r="6" spans="1:15" x14ac:dyDescent="0.2">
      <c r="B6" s="203" t="s">
        <v>322</v>
      </c>
      <c r="C6" s="164">
        <v>3</v>
      </c>
      <c r="D6" s="205">
        <v>24</v>
      </c>
      <c r="K6" s="129">
        <f t="shared" si="0"/>
        <v>24</v>
      </c>
      <c r="M6" s="29"/>
      <c r="N6" s="195"/>
      <c r="O6" s="195"/>
    </row>
    <row r="7" spans="1:15" x14ac:dyDescent="0.2">
      <c r="B7" s="203" t="s">
        <v>323</v>
      </c>
      <c r="C7" s="164">
        <v>2</v>
      </c>
      <c r="F7" s="204">
        <v>48.5</v>
      </c>
      <c r="G7" s="206">
        <v>25.5</v>
      </c>
      <c r="H7" s="206">
        <v>8</v>
      </c>
      <c r="I7" s="207"/>
      <c r="K7" s="129">
        <f t="shared" si="0"/>
        <v>82</v>
      </c>
      <c r="M7" s="45"/>
      <c r="N7" s="195"/>
      <c r="O7" s="198"/>
    </row>
    <row r="8" spans="1:15" x14ac:dyDescent="0.2">
      <c r="B8" s="203" t="s">
        <v>324</v>
      </c>
      <c r="C8" s="164">
        <v>2</v>
      </c>
      <c r="G8" s="207"/>
      <c r="H8" s="206">
        <v>48.5</v>
      </c>
      <c r="I8" s="206">
        <v>11</v>
      </c>
      <c r="K8" s="129">
        <f t="shared" si="0"/>
        <v>59.5</v>
      </c>
      <c r="M8" s="29"/>
      <c r="N8" s="195"/>
      <c r="O8" s="195"/>
    </row>
    <row r="9" spans="1:15" x14ac:dyDescent="0.2">
      <c r="B9" s="203" t="s">
        <v>141</v>
      </c>
      <c r="C9" s="164">
        <v>2</v>
      </c>
      <c r="D9" s="205">
        <v>13.5</v>
      </c>
      <c r="K9" s="129">
        <f t="shared" si="0"/>
        <v>13.5</v>
      </c>
      <c r="M9" s="29"/>
      <c r="N9" s="195"/>
      <c r="O9" s="195"/>
    </row>
    <row r="10" spans="1:15" x14ac:dyDescent="0.2">
      <c r="B10" s="204" t="s">
        <v>325</v>
      </c>
      <c r="C10" s="164">
        <v>2</v>
      </c>
      <c r="D10" s="205">
        <v>12.5</v>
      </c>
      <c r="K10" s="129">
        <f t="shared" si="0"/>
        <v>12.5</v>
      </c>
      <c r="M10" s="29"/>
      <c r="N10" s="195"/>
      <c r="O10" s="195"/>
    </row>
    <row r="11" spans="1:15" x14ac:dyDescent="0.2">
      <c r="B11" s="204" t="s">
        <v>326</v>
      </c>
      <c r="C11" s="164">
        <v>2</v>
      </c>
      <c r="G11" s="206">
        <v>9.5</v>
      </c>
      <c r="H11" s="207"/>
      <c r="I11" s="207"/>
      <c r="K11" s="129">
        <f t="shared" si="0"/>
        <v>9.5</v>
      </c>
      <c r="M11" s="29"/>
      <c r="N11" s="195"/>
      <c r="O11" s="195"/>
    </row>
    <row r="12" spans="1:15" x14ac:dyDescent="0.2">
      <c r="B12" s="203" t="s">
        <v>327</v>
      </c>
      <c r="C12" s="164">
        <v>2</v>
      </c>
      <c r="K12" s="129">
        <f t="shared" si="0"/>
        <v>0</v>
      </c>
      <c r="M12" s="51"/>
      <c r="N12" s="195"/>
      <c r="O12" s="195"/>
    </row>
    <row r="13" spans="1:15" x14ac:dyDescent="0.2">
      <c r="B13" s="204" t="s">
        <v>328</v>
      </c>
      <c r="C13" s="164">
        <v>2</v>
      </c>
      <c r="K13" s="129">
        <f t="shared" si="0"/>
        <v>0</v>
      </c>
      <c r="M13" s="29"/>
      <c r="N13" s="195"/>
      <c r="O13" s="195"/>
    </row>
    <row r="14" spans="1:15" x14ac:dyDescent="0.2">
      <c r="B14" s="204" t="s">
        <v>329</v>
      </c>
      <c r="C14" s="164">
        <v>2</v>
      </c>
      <c r="M14" s="29"/>
      <c r="N14" s="195"/>
      <c r="O14" s="195"/>
    </row>
    <row r="15" spans="1:15" x14ac:dyDescent="0.2">
      <c r="B15" s="204" t="s">
        <v>330</v>
      </c>
      <c r="C15" s="164">
        <v>1</v>
      </c>
      <c r="G15" s="207"/>
      <c r="H15" s="206">
        <v>27.5</v>
      </c>
      <c r="I15" s="208"/>
      <c r="J15" s="206"/>
      <c r="K15" s="129">
        <f>SUM(D15:J15)</f>
        <v>27.5</v>
      </c>
      <c r="M15" s="29"/>
      <c r="N15" s="195"/>
      <c r="O15" s="195"/>
    </row>
    <row r="16" spans="1:15" x14ac:dyDescent="0.2">
      <c r="B16" s="204" t="s">
        <v>331</v>
      </c>
      <c r="C16" s="164">
        <v>1</v>
      </c>
      <c r="G16" s="207"/>
      <c r="H16" s="206">
        <v>2</v>
      </c>
      <c r="I16" s="208"/>
      <c r="J16" s="206"/>
      <c r="K16" s="129">
        <f>SUM(D16:J16)</f>
        <v>2</v>
      </c>
    </row>
    <row r="17" spans="1:11" x14ac:dyDescent="0.2">
      <c r="A17" t="s">
        <v>241</v>
      </c>
      <c r="B17" s="204" t="s">
        <v>332</v>
      </c>
      <c r="C17" s="164"/>
      <c r="G17" s="207"/>
      <c r="H17" s="206"/>
      <c r="I17" s="208"/>
      <c r="J17" s="206"/>
      <c r="K17" s="129"/>
    </row>
    <row r="18" spans="1:11" x14ac:dyDescent="0.2">
      <c r="B18" s="204" t="s">
        <v>333</v>
      </c>
      <c r="C18" s="164">
        <v>0</v>
      </c>
      <c r="D18" s="205">
        <v>23</v>
      </c>
      <c r="K18" s="129">
        <f t="shared" ref="K18:K33" si="1">SUM(D18:J18)</f>
        <v>23</v>
      </c>
    </row>
    <row r="19" spans="1:11" x14ac:dyDescent="0.2">
      <c r="B19" s="204" t="s">
        <v>334</v>
      </c>
      <c r="C19" s="164">
        <v>0</v>
      </c>
      <c r="G19" s="206">
        <v>5.5</v>
      </c>
      <c r="H19" s="207"/>
      <c r="I19" s="206">
        <v>7.5</v>
      </c>
      <c r="K19" s="129">
        <f t="shared" si="1"/>
        <v>13</v>
      </c>
    </row>
    <row r="20" spans="1:11" x14ac:dyDescent="0.2">
      <c r="B20" s="203" t="s">
        <v>335</v>
      </c>
      <c r="C20" s="164"/>
      <c r="F20" s="204">
        <v>4</v>
      </c>
      <c r="K20" s="129">
        <f t="shared" si="1"/>
        <v>4</v>
      </c>
    </row>
    <row r="21" spans="1:11" x14ac:dyDescent="0.2">
      <c r="B21" s="204" t="s">
        <v>336</v>
      </c>
      <c r="C21" s="164"/>
      <c r="F21" s="204">
        <v>2</v>
      </c>
      <c r="K21" s="129">
        <f t="shared" si="1"/>
        <v>2</v>
      </c>
    </row>
    <row r="22" spans="1:11" x14ac:dyDescent="0.2">
      <c r="B22" s="204" t="s">
        <v>337</v>
      </c>
      <c r="C22" s="164"/>
      <c r="K22" s="129">
        <f t="shared" si="1"/>
        <v>0</v>
      </c>
    </row>
    <row r="23" spans="1:11" x14ac:dyDescent="0.2">
      <c r="B23" s="203" t="s">
        <v>338</v>
      </c>
      <c r="C23" s="164"/>
      <c r="K23" s="129">
        <f t="shared" si="1"/>
        <v>0</v>
      </c>
    </row>
    <row r="24" spans="1:11" x14ac:dyDescent="0.2">
      <c r="B24" s="204" t="s">
        <v>339</v>
      </c>
      <c r="C24" s="164"/>
      <c r="K24" s="129">
        <f t="shared" si="1"/>
        <v>0</v>
      </c>
    </row>
    <row r="25" spans="1:11" x14ac:dyDescent="0.2">
      <c r="B25" s="203" t="s">
        <v>340</v>
      </c>
      <c r="C25" s="164"/>
      <c r="K25" s="129">
        <f t="shared" si="1"/>
        <v>0</v>
      </c>
    </row>
    <row r="26" spans="1:11" x14ac:dyDescent="0.2">
      <c r="B26" s="203" t="s">
        <v>341</v>
      </c>
      <c r="C26" s="55"/>
      <c r="K26" s="129">
        <f t="shared" si="1"/>
        <v>0</v>
      </c>
    </row>
    <row r="27" spans="1:11" x14ac:dyDescent="0.2">
      <c r="B27" s="203" t="s">
        <v>342</v>
      </c>
      <c r="K27" s="129">
        <f t="shared" si="1"/>
        <v>0</v>
      </c>
    </row>
    <row r="28" spans="1:11" x14ac:dyDescent="0.2">
      <c r="B28" s="203" t="s">
        <v>343</v>
      </c>
      <c r="K28" s="129">
        <f t="shared" si="1"/>
        <v>0</v>
      </c>
    </row>
    <row r="29" spans="1:11" x14ac:dyDescent="0.2">
      <c r="B29" s="203" t="s">
        <v>344</v>
      </c>
      <c r="K29" s="129">
        <f t="shared" si="1"/>
        <v>0</v>
      </c>
    </row>
    <row r="30" spans="1:11" x14ac:dyDescent="0.2">
      <c r="B30" s="203" t="s">
        <v>345</v>
      </c>
      <c r="K30" s="129">
        <f t="shared" si="1"/>
        <v>0</v>
      </c>
    </row>
    <row r="31" spans="1:11" x14ac:dyDescent="0.2">
      <c r="B31" s="203" t="s">
        <v>346</v>
      </c>
      <c r="K31" s="129">
        <f t="shared" si="1"/>
        <v>0</v>
      </c>
    </row>
    <row r="32" spans="1:11" x14ac:dyDescent="0.2">
      <c r="B32" s="203" t="s">
        <v>347</v>
      </c>
      <c r="C32" s="164"/>
      <c r="D32" s="205">
        <v>22</v>
      </c>
      <c r="K32" s="129">
        <f t="shared" si="1"/>
        <v>22</v>
      </c>
    </row>
    <row r="33" spans="2:11" x14ac:dyDescent="0.2">
      <c r="B33" s="203" t="s">
        <v>348</v>
      </c>
      <c r="K33" s="129">
        <f t="shared" si="1"/>
        <v>0</v>
      </c>
    </row>
    <row r="34" spans="2:11" x14ac:dyDescent="0.2">
      <c r="B34" s="203" t="s">
        <v>349</v>
      </c>
    </row>
  </sheetData>
  <pageMargins left="0.45" right="0.45" top="0.75" bottom="0.75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P26"/>
  <sheetViews>
    <sheetView zoomScaleNormal="100" zoomScalePageLayoutView="60" workbookViewId="0"/>
  </sheetViews>
  <sheetFormatPr defaultColWidth="8.5546875" defaultRowHeight="14.25" x14ac:dyDescent="0.2"/>
  <sheetData>
    <row r="3" spans="2:16" x14ac:dyDescent="0.2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</row>
    <row r="5" spans="2:16" x14ac:dyDescent="0.2">
      <c r="B5" s="142">
        <v>93</v>
      </c>
      <c r="C5" s="209">
        <v>88</v>
      </c>
      <c r="D5" s="209">
        <v>87</v>
      </c>
      <c r="E5" s="142">
        <v>92</v>
      </c>
      <c r="F5" s="209">
        <v>87</v>
      </c>
      <c r="G5" s="142">
        <v>90</v>
      </c>
      <c r="H5" s="209">
        <v>83</v>
      </c>
      <c r="I5" s="142">
        <v>94</v>
      </c>
      <c r="J5" s="209">
        <v>90</v>
      </c>
      <c r="K5" s="209">
        <v>88</v>
      </c>
      <c r="L5" s="142">
        <v>92</v>
      </c>
      <c r="M5" s="209">
        <v>89</v>
      </c>
      <c r="N5" s="142">
        <v>93</v>
      </c>
    </row>
    <row r="7" spans="2:16" x14ac:dyDescent="0.2">
      <c r="C7">
        <v>88</v>
      </c>
      <c r="D7">
        <v>87</v>
      </c>
      <c r="F7">
        <v>87</v>
      </c>
      <c r="H7">
        <v>83</v>
      </c>
      <c r="J7">
        <v>90</v>
      </c>
      <c r="K7">
        <v>88</v>
      </c>
      <c r="M7">
        <v>89</v>
      </c>
      <c r="P7">
        <f>AVERAGE(C7:O7)</f>
        <v>87.428571428571431</v>
      </c>
    </row>
    <row r="11" spans="2:16" x14ac:dyDescent="0.2">
      <c r="G11" s="142">
        <v>93</v>
      </c>
    </row>
    <row r="12" spans="2:16" x14ac:dyDescent="0.2">
      <c r="G12" s="142">
        <v>88</v>
      </c>
    </row>
    <row r="13" spans="2:16" x14ac:dyDescent="0.2">
      <c r="G13" s="142">
        <v>87</v>
      </c>
    </row>
    <row r="14" spans="2:16" x14ac:dyDescent="0.2">
      <c r="G14" s="142">
        <v>92</v>
      </c>
    </row>
    <row r="15" spans="2:16" x14ac:dyDescent="0.2">
      <c r="G15" s="142">
        <v>95</v>
      </c>
    </row>
    <row r="16" spans="2:16" x14ac:dyDescent="0.2">
      <c r="G16" s="142">
        <v>97</v>
      </c>
    </row>
    <row r="17" spans="7:7" x14ac:dyDescent="0.2">
      <c r="G17" s="142">
        <v>87</v>
      </c>
    </row>
    <row r="18" spans="7:7" x14ac:dyDescent="0.2">
      <c r="G18" s="142">
        <v>90</v>
      </c>
    </row>
    <row r="19" spans="7:7" x14ac:dyDescent="0.2">
      <c r="G19" s="142">
        <v>83</v>
      </c>
    </row>
    <row r="20" spans="7:7" x14ac:dyDescent="0.2">
      <c r="G20" s="142">
        <v>94</v>
      </c>
    </row>
    <row r="21" spans="7:7" x14ac:dyDescent="0.2">
      <c r="G21" s="142">
        <v>90</v>
      </c>
    </row>
    <row r="22" spans="7:7" x14ac:dyDescent="0.2">
      <c r="G22" s="142">
        <v>89</v>
      </c>
    </row>
    <row r="23" spans="7:7" x14ac:dyDescent="0.2">
      <c r="G23" s="142">
        <v>88</v>
      </c>
    </row>
    <row r="24" spans="7:7" x14ac:dyDescent="0.2">
      <c r="G24" s="142">
        <v>93</v>
      </c>
    </row>
    <row r="25" spans="7:7" x14ac:dyDescent="0.2">
      <c r="G25" s="142">
        <v>92</v>
      </c>
    </row>
    <row r="26" spans="7:7" x14ac:dyDescent="0.2">
      <c r="G26">
        <f>AVERAGE(G11:G25)</f>
        <v>90.533333333333331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J4"/>
  <sheetViews>
    <sheetView zoomScaleNormal="100" zoomScalePageLayoutView="60" workbookViewId="0"/>
  </sheetViews>
  <sheetFormatPr defaultColWidth="8.88671875" defaultRowHeight="14.25" x14ac:dyDescent="0.2"/>
  <cols>
    <col min="1" max="1" width="2.109375" style="21" customWidth="1"/>
    <col min="2" max="2" width="10" style="15" customWidth="1"/>
    <col min="3" max="3" width="4.33203125" style="15" customWidth="1"/>
    <col min="4" max="4" width="4.6640625" style="15" customWidth="1"/>
    <col min="5" max="5" width="4.21875" style="15" customWidth="1"/>
    <col min="6" max="6" width="4.6640625" style="15" customWidth="1"/>
    <col min="7" max="7" width="4.21875" style="15" customWidth="1"/>
    <col min="8" max="8" width="4.6640625" style="15" customWidth="1"/>
    <col min="9" max="9" width="4.44140625" style="15" customWidth="1"/>
    <col min="10" max="10" width="4.33203125" style="15" customWidth="1"/>
    <col min="11" max="11" width="4.109375" style="15" customWidth="1"/>
    <col min="12" max="12" width="4.21875" style="15" customWidth="1"/>
    <col min="13" max="13" width="4.33203125" style="15" customWidth="1"/>
    <col min="14" max="14" width="4.21875" style="15" customWidth="1"/>
    <col min="15" max="15" width="4.109375" style="15" customWidth="1"/>
    <col min="16" max="16" width="4.77734375" style="15" customWidth="1"/>
    <col min="17" max="17" width="3.77734375" style="15" customWidth="1"/>
    <col min="18" max="18" width="4.21875" style="15" customWidth="1"/>
    <col min="19" max="19" width="3.77734375" style="15" customWidth="1"/>
    <col min="20" max="20" width="3.88671875" style="15" customWidth="1"/>
    <col min="21" max="21" width="3.77734375" style="15" customWidth="1"/>
    <col min="22" max="22" width="3.88671875" style="15" customWidth="1"/>
    <col min="23" max="23" width="3.77734375" style="15" customWidth="1"/>
    <col min="24" max="24" width="3.88671875" style="15" customWidth="1"/>
    <col min="25" max="25" width="3.77734375" style="15" customWidth="1"/>
    <col min="26" max="26" width="3.88671875" style="15" customWidth="1"/>
    <col min="27" max="27" width="3.77734375" style="15" customWidth="1"/>
    <col min="28" max="28" width="3.88671875" style="15" customWidth="1"/>
    <col min="29" max="29" width="3.77734375" style="15" customWidth="1"/>
    <col min="30" max="30" width="3.88671875" style="15" customWidth="1"/>
    <col min="31" max="31" width="3.77734375" style="15" customWidth="1"/>
    <col min="32" max="32" width="3.88671875" style="15" customWidth="1"/>
    <col min="33" max="33" width="3.77734375" style="15" customWidth="1"/>
    <col min="34" max="34" width="3.88671875" style="15" customWidth="1"/>
    <col min="35" max="35" width="3.77734375" style="15" customWidth="1"/>
    <col min="36" max="36" width="3.88671875" style="15" customWidth="1"/>
    <col min="37" max="37" width="3.77734375" style="15" customWidth="1"/>
    <col min="38" max="38" width="3.88671875" style="15" customWidth="1"/>
    <col min="39" max="39" width="5" style="15" customWidth="1"/>
    <col min="40" max="40" width="3.33203125" style="23" customWidth="1"/>
    <col min="41" max="1024" width="8.88671875" style="15"/>
  </cols>
  <sheetData>
    <row r="1" spans="1:40" s="59" customFormat="1" ht="14.25" customHeight="1" x14ac:dyDescent="0.2">
      <c r="A1" s="91"/>
      <c r="B1" s="17"/>
      <c r="C1" s="13">
        <v>1</v>
      </c>
      <c r="D1" s="13"/>
      <c r="E1" s="13">
        <v>2</v>
      </c>
      <c r="F1" s="13"/>
      <c r="G1" s="13">
        <v>3</v>
      </c>
      <c r="H1" s="13"/>
      <c r="I1" s="13">
        <v>4</v>
      </c>
      <c r="J1" s="13"/>
      <c r="K1" s="13">
        <v>5</v>
      </c>
      <c r="L1" s="13"/>
      <c r="M1" s="13">
        <v>6</v>
      </c>
      <c r="N1" s="13"/>
      <c r="O1" s="13">
        <v>7</v>
      </c>
      <c r="P1" s="13"/>
      <c r="Q1" s="13">
        <v>8</v>
      </c>
      <c r="R1" s="13"/>
      <c r="S1" s="13">
        <v>9</v>
      </c>
      <c r="T1" s="13"/>
      <c r="U1" s="13">
        <v>10</v>
      </c>
      <c r="V1" s="13"/>
      <c r="W1" s="13">
        <v>11</v>
      </c>
      <c r="X1" s="13"/>
      <c r="Y1" s="13">
        <v>12</v>
      </c>
      <c r="Z1" s="13"/>
      <c r="AA1" s="13">
        <v>13</v>
      </c>
      <c r="AB1" s="13"/>
      <c r="AC1" s="13">
        <v>14</v>
      </c>
      <c r="AD1" s="13"/>
      <c r="AE1" s="13">
        <v>15</v>
      </c>
      <c r="AF1" s="13"/>
      <c r="AG1" s="13">
        <v>16</v>
      </c>
      <c r="AH1" s="13"/>
      <c r="AI1" s="13">
        <v>17</v>
      </c>
      <c r="AJ1" s="13"/>
      <c r="AK1" s="13">
        <v>18</v>
      </c>
      <c r="AL1" s="13"/>
      <c r="AM1" s="17"/>
      <c r="AN1" s="19"/>
    </row>
    <row r="2" spans="1:40" x14ac:dyDescent="0.2">
      <c r="B2" s="20" t="s">
        <v>1</v>
      </c>
      <c r="C2" s="12" t="s">
        <v>350</v>
      </c>
      <c r="D2" s="12"/>
      <c r="E2" s="12" t="s">
        <v>351</v>
      </c>
      <c r="F2" s="12"/>
      <c r="G2" s="12" t="s">
        <v>352</v>
      </c>
      <c r="H2" s="12"/>
      <c r="I2" s="12" t="s">
        <v>353</v>
      </c>
      <c r="J2" s="12"/>
      <c r="K2" s="12" t="s">
        <v>354</v>
      </c>
      <c r="L2" s="12"/>
      <c r="M2" s="12" t="s">
        <v>355</v>
      </c>
      <c r="N2" s="12"/>
      <c r="O2" s="12" t="s">
        <v>356</v>
      </c>
      <c r="P2" s="12"/>
      <c r="Q2" s="12" t="s">
        <v>357</v>
      </c>
      <c r="R2" s="12"/>
      <c r="S2" s="12" t="s">
        <v>358</v>
      </c>
      <c r="T2" s="12"/>
      <c r="U2" s="12" t="s">
        <v>359</v>
      </c>
      <c r="V2" s="12"/>
      <c r="W2" s="12" t="s">
        <v>360</v>
      </c>
      <c r="X2" s="12"/>
      <c r="Y2" s="12" t="s">
        <v>361</v>
      </c>
      <c r="Z2" s="12"/>
      <c r="AA2" s="12" t="s">
        <v>362</v>
      </c>
      <c r="AB2" s="12"/>
      <c r="AC2" s="12" t="s">
        <v>363</v>
      </c>
      <c r="AD2" s="12"/>
      <c r="AE2" s="12" t="s">
        <v>364</v>
      </c>
      <c r="AF2" s="12"/>
      <c r="AG2" s="12" t="s">
        <v>60</v>
      </c>
      <c r="AH2" s="12"/>
      <c r="AI2" s="12" t="s">
        <v>365</v>
      </c>
      <c r="AJ2" s="12"/>
      <c r="AK2" s="12" t="s">
        <v>366</v>
      </c>
      <c r="AL2" s="12"/>
      <c r="AM2" s="22" t="s">
        <v>20</v>
      </c>
      <c r="AN2" s="23" t="s">
        <v>21</v>
      </c>
    </row>
    <row r="3" spans="1:40" s="23" customFormat="1" ht="14.25" customHeight="1" x14ac:dyDescent="0.2">
      <c r="A3" s="21"/>
      <c r="B3" s="27" t="s">
        <v>32</v>
      </c>
      <c r="C3" s="11" t="s">
        <v>33</v>
      </c>
      <c r="D3" s="11"/>
      <c r="E3" s="11" t="s">
        <v>35</v>
      </c>
      <c r="F3" s="11"/>
      <c r="G3" s="11" t="s">
        <v>36</v>
      </c>
      <c r="H3" s="11"/>
      <c r="I3" s="11" t="s">
        <v>33</v>
      </c>
      <c r="J3" s="11"/>
      <c r="K3" s="11" t="s">
        <v>35</v>
      </c>
      <c r="L3" s="11"/>
      <c r="M3" s="11" t="s">
        <v>36</v>
      </c>
      <c r="N3" s="11"/>
      <c r="O3" s="11" t="s">
        <v>33</v>
      </c>
      <c r="P3" s="11"/>
      <c r="Q3" s="11" t="s">
        <v>35</v>
      </c>
      <c r="R3" s="11"/>
      <c r="S3" s="11" t="s">
        <v>36</v>
      </c>
      <c r="T3" s="11"/>
      <c r="U3" s="11" t="s">
        <v>33</v>
      </c>
      <c r="V3" s="11"/>
      <c r="W3" s="11" t="s">
        <v>35</v>
      </c>
      <c r="X3" s="11"/>
      <c r="Y3" s="11" t="s">
        <v>36</v>
      </c>
      <c r="Z3" s="11"/>
      <c r="AA3" s="11" t="s">
        <v>33</v>
      </c>
      <c r="AB3" s="11"/>
      <c r="AC3" s="11" t="s">
        <v>35</v>
      </c>
      <c r="AD3" s="11"/>
      <c r="AE3" s="11" t="s">
        <v>36</v>
      </c>
      <c r="AF3" s="11"/>
      <c r="AG3" s="11" t="s">
        <v>33</v>
      </c>
      <c r="AH3" s="11"/>
      <c r="AI3" s="11" t="s">
        <v>35</v>
      </c>
      <c r="AJ3" s="11"/>
      <c r="AK3" s="11" t="s">
        <v>36</v>
      </c>
      <c r="AL3" s="11"/>
    </row>
    <row r="4" spans="1:40" x14ac:dyDescent="0.2">
      <c r="A4" s="21">
        <v>15</v>
      </c>
      <c r="B4" s="47" t="s">
        <v>51</v>
      </c>
      <c r="C4" s="48">
        <v>95</v>
      </c>
      <c r="D4" s="32" t="e">
        <f>#REF!+#REF!</f>
        <v>#REF!</v>
      </c>
      <c r="E4" s="48">
        <v>100</v>
      </c>
      <c r="F4" s="32" t="e">
        <f>#REF!+#REF!</f>
        <v>#REF!</v>
      </c>
      <c r="G4" s="48">
        <v>101</v>
      </c>
      <c r="H4" s="32" t="e">
        <f>#REF!+#REF!</f>
        <v>#REF!</v>
      </c>
      <c r="I4" s="48">
        <v>99</v>
      </c>
      <c r="J4" s="32" t="e">
        <f>#REF!+#REF!</f>
        <v>#REF!</v>
      </c>
      <c r="K4" s="48"/>
      <c r="L4" s="36"/>
      <c r="M4" s="48">
        <v>97</v>
      </c>
      <c r="N4" s="32" t="e">
        <f>#REF!+#REF!</f>
        <v>#REF!</v>
      </c>
      <c r="O4" s="48">
        <v>105</v>
      </c>
      <c r="P4" s="32" t="e">
        <f>#REF!+#REF!</f>
        <v>#REF!</v>
      </c>
      <c r="Q4" s="48"/>
      <c r="R4" s="36"/>
      <c r="S4" s="48"/>
      <c r="T4" s="36"/>
      <c r="U4" s="48">
        <v>103</v>
      </c>
      <c r="V4" s="32" t="e">
        <f>#REF!+#REF!</f>
        <v>#REF!</v>
      </c>
      <c r="W4" s="48">
        <v>107</v>
      </c>
      <c r="X4" s="32" t="e">
        <f>#REF!+#REF!</f>
        <v>#REF!</v>
      </c>
      <c r="Y4" s="48">
        <v>103</v>
      </c>
      <c r="Z4" s="32" t="e">
        <f>#REF!+#REF!</f>
        <v>#REF!</v>
      </c>
      <c r="AA4" s="48"/>
      <c r="AB4" s="36"/>
      <c r="AC4" s="48"/>
      <c r="AD4" s="36"/>
      <c r="AE4" s="48"/>
      <c r="AF4" s="36"/>
      <c r="AG4" s="48"/>
      <c r="AH4" s="36"/>
      <c r="AI4" s="48"/>
      <c r="AJ4" s="36"/>
      <c r="AK4" s="48"/>
      <c r="AL4" s="36"/>
      <c r="AM4" s="26" t="e">
        <f>D4+F4+H4+J4+L4+N4+Z4+AD4+AF4+AB4+P4+R4+T4+V4+AJ4+AL4+X4+AH4</f>
        <v>#REF!</v>
      </c>
      <c r="AN4" s="33" t="e">
        <f>AVERAGE(D4,F4,H4,J4,L4,N4,P4,R4,T4,V4,X4,Z4,AB4,AD4,AF4,AH4,AJ4)</f>
        <v>#REF!</v>
      </c>
    </row>
  </sheetData>
  <mergeCells count="54">
    <mergeCell ref="AG3:AH3"/>
    <mergeCell ref="AI3:AJ3"/>
    <mergeCell ref="AK3:AL3"/>
    <mergeCell ref="W3:X3"/>
    <mergeCell ref="Y3:Z3"/>
    <mergeCell ref="AA3:AB3"/>
    <mergeCell ref="AC3:AD3"/>
    <mergeCell ref="AE3:AF3"/>
    <mergeCell ref="M3:N3"/>
    <mergeCell ref="O3:P3"/>
    <mergeCell ref="Q3:R3"/>
    <mergeCell ref="S3:T3"/>
    <mergeCell ref="U3:V3"/>
    <mergeCell ref="C3:D3"/>
    <mergeCell ref="E3:F3"/>
    <mergeCell ref="G3:H3"/>
    <mergeCell ref="I3:J3"/>
    <mergeCell ref="K3:L3"/>
    <mergeCell ref="AC2:AD2"/>
    <mergeCell ref="AE2:AF2"/>
    <mergeCell ref="AG2:AH2"/>
    <mergeCell ref="AI2:AJ2"/>
    <mergeCell ref="AK2:AL2"/>
    <mergeCell ref="AG1:AH1"/>
    <mergeCell ref="AI1:AJ1"/>
    <mergeCell ref="AK1:AL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W1:X1"/>
    <mergeCell ref="Y1:Z1"/>
    <mergeCell ref="AA1:AB1"/>
    <mergeCell ref="AC1:AD1"/>
    <mergeCell ref="AE1:AF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3" right="0.2" top="0.25" bottom="0.25" header="0.511811023622047" footer="0.511811023622047"/>
  <pageSetup pageOrder="overThenDown" orientation="portrait" horizontalDpi="300" verticalDpi="300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Auto -  Printable</vt:lpstr>
      <vt:lpstr>Printable</vt:lpstr>
      <vt:lpstr>Standings</vt:lpstr>
      <vt:lpstr>Data - For Rank</vt:lpstr>
      <vt:lpstr>Stats</vt:lpstr>
      <vt:lpstr>Pairings</vt:lpstr>
      <vt:lpstr>Tee Sheet</vt:lpstr>
      <vt:lpstr>Gin &amp; Juice</vt:lpstr>
      <vt:lpstr>Playoffs</vt:lpstr>
      <vt:lpstr>Money</vt:lpstr>
      <vt:lpstr>sub list</vt:lpstr>
      <vt:lpstr>Jaquint's handicap</vt:lpstr>
      <vt:lpstr>Keaton's handicap</vt:lpstr>
      <vt:lpstr>Stats!Print_Area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Moses</dc:creator>
  <dc:description/>
  <cp:lastModifiedBy>Josh Stoll</cp:lastModifiedBy>
  <cp:revision>0</cp:revision>
  <cp:lastPrinted>2022-05-23T13:51:07Z</cp:lastPrinted>
  <dcterms:created xsi:type="dcterms:W3CDTF">2014-04-02T21:11:50Z</dcterms:created>
  <dcterms:modified xsi:type="dcterms:W3CDTF">2022-06-03T15:31:56Z</dcterms:modified>
  <dc:language>en-US</dc:language>
</cp:coreProperties>
</file>