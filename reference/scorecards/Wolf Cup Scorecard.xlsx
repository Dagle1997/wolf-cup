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toll.RICHWOOD\Documents\"/>
    </mc:Choice>
  </mc:AlternateContent>
  <xr:revisionPtr revIDLastSave="0" documentId="8_{13BE0DC5-D995-4E73-B014-13A22FA08737}" xr6:coauthVersionLast="47" xr6:coauthVersionMax="47" xr10:uidLastSave="{00000000-0000-0000-0000-000000000000}"/>
  <bookViews>
    <workbookView xWindow="840" yWindow="1470" windowWidth="27405" windowHeight="18990" xr2:uid="{BD21D7C7-7653-43DF-B8B1-DFB1C5B828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22" i="1" l="1"/>
  <c r="Y23" i="1"/>
  <c r="Y24" i="1"/>
  <c r="Y25" i="1"/>
  <c r="Y26" i="1"/>
  <c r="Y27" i="1"/>
  <c r="Y28" i="1"/>
  <c r="N20" i="1"/>
  <c r="C40" i="1"/>
</calcChain>
</file>

<file path=xl/sharedStrings.xml><?xml version="1.0" encoding="utf-8"?>
<sst xmlns="http://schemas.openxmlformats.org/spreadsheetml/2006/main" count="46" uniqueCount="37">
  <si>
    <t>Out</t>
  </si>
  <si>
    <t>In</t>
  </si>
  <si>
    <t>Total</t>
  </si>
  <si>
    <t>Batter</t>
  </si>
  <si>
    <t>Low Money</t>
  </si>
  <si>
    <t>Yards</t>
  </si>
  <si>
    <t>Handicap</t>
  </si>
  <si>
    <t>#1</t>
  </si>
  <si>
    <t>#2</t>
  </si>
  <si>
    <t>#3</t>
  </si>
  <si>
    <t>#4</t>
  </si>
  <si>
    <t>Money</t>
  </si>
  <si>
    <t>Orichalcum Ingot</t>
  </si>
  <si>
    <t>Qty</t>
  </si>
  <si>
    <t>Name</t>
  </si>
  <si>
    <t>AH Price</t>
  </si>
  <si>
    <t>Orichalcum Ore</t>
  </si>
  <si>
    <t>Starmetal Ingots</t>
  </si>
  <si>
    <t>Starmetal Ore</t>
  </si>
  <si>
    <t>Steel Ingot</t>
  </si>
  <si>
    <t>Iron Ore</t>
  </si>
  <si>
    <t>Flux</t>
  </si>
  <si>
    <t>Charcoal</t>
  </si>
  <si>
    <t>2x Green Wood</t>
  </si>
  <si>
    <t>Asmodeum</t>
  </si>
  <si>
    <t>Runic Leather</t>
  </si>
  <si>
    <t>Phoenix Weave</t>
  </si>
  <si>
    <t>Infused Fur</t>
  </si>
  <si>
    <t>Voidbent ingot</t>
  </si>
  <si>
    <t>Tolvium</t>
  </si>
  <si>
    <t>Cinnabar</t>
  </si>
  <si>
    <t>Helm</t>
  </si>
  <si>
    <t>Chest</t>
  </si>
  <si>
    <t>Gloves</t>
  </si>
  <si>
    <t>Pants</t>
  </si>
  <si>
    <t>Boots</t>
  </si>
  <si>
    <t>Voidbent - 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</si>
</sst>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09EB-5339-43C4-A4B4-A42842A03F7E}">
  <dimension ref="A4:Y40"/>
  <sheetViews>
    <sheetView tabSelected="1" workbookViewId="0">
      <selection activeCell="S20" sqref="S20:Y28"/>
    </sheetView>
  </sheetViews>
  <sheetFormatPr defaultRowHeight="15" x14ac:dyDescent="0.25"/>
  <cols>
    <col min="1" max="1" width="15.7109375" customWidth="1"/>
    <col min="2" max="2" width="16.140625" bestFit="1" customWidth="1"/>
    <col min="3" max="3" width="14.85546875" bestFit="1" customWidth="1"/>
    <col min="4" max="4" width="15.5703125" bestFit="1" customWidth="1"/>
    <col min="5" max="5" width="13.42578125" bestFit="1" customWidth="1"/>
    <col min="6" max="6" width="10.5703125" bestFit="1" customWidth="1"/>
    <col min="7" max="7" width="8.28515625" bestFit="1" customWidth="1"/>
    <col min="8" max="8" width="3" bestFit="1" customWidth="1"/>
    <col min="9" max="9" width="2" bestFit="1" customWidth="1"/>
    <col min="19" max="19" width="15" bestFit="1" customWidth="1"/>
    <col min="20" max="20" width="11.140625" bestFit="1" customWidth="1"/>
  </cols>
  <sheetData>
    <row r="4" spans="1:22" x14ac:dyDescent="0.25"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 t="s">
        <v>0</v>
      </c>
      <c r="L4" s="1">
        <v>10</v>
      </c>
      <c r="M4" s="1">
        <v>11</v>
      </c>
      <c r="N4" s="1">
        <v>12</v>
      </c>
      <c r="O4" s="1">
        <v>13</v>
      </c>
      <c r="P4" s="1">
        <v>14</v>
      </c>
      <c r="Q4" s="1">
        <v>15</v>
      </c>
      <c r="R4" s="1">
        <v>16</v>
      </c>
      <c r="S4" s="1">
        <v>17</v>
      </c>
      <c r="T4" s="1">
        <v>18</v>
      </c>
      <c r="U4" s="1" t="s">
        <v>1</v>
      </c>
      <c r="V4" s="1" t="s">
        <v>2</v>
      </c>
    </row>
    <row r="5" spans="1:22" x14ac:dyDescent="0.25">
      <c r="A5" t="s">
        <v>5</v>
      </c>
      <c r="T5" s="1"/>
      <c r="U5" s="1"/>
      <c r="V5" s="1"/>
    </row>
    <row r="6" spans="1:22" x14ac:dyDescent="0.25">
      <c r="A6" t="s">
        <v>6</v>
      </c>
      <c r="B6" s="1">
        <v>3</v>
      </c>
      <c r="C6" s="1">
        <v>1</v>
      </c>
      <c r="D6" s="1">
        <v>13</v>
      </c>
      <c r="E6" s="1">
        <v>5</v>
      </c>
      <c r="F6" s="1">
        <v>9</v>
      </c>
      <c r="G6" s="1">
        <v>17</v>
      </c>
      <c r="H6" s="1">
        <v>15</v>
      </c>
      <c r="I6" s="1">
        <v>7</v>
      </c>
      <c r="J6" s="1">
        <v>11</v>
      </c>
      <c r="K6" s="1"/>
      <c r="L6" s="1">
        <v>8</v>
      </c>
      <c r="M6" s="1">
        <v>2</v>
      </c>
      <c r="N6" s="1">
        <v>18</v>
      </c>
      <c r="O6" s="1">
        <v>6</v>
      </c>
      <c r="P6" s="1">
        <v>10</v>
      </c>
      <c r="Q6" s="1">
        <v>16</v>
      </c>
      <c r="R6" s="1">
        <v>4</v>
      </c>
      <c r="S6" s="1">
        <v>14</v>
      </c>
      <c r="T6" s="1">
        <v>12</v>
      </c>
    </row>
    <row r="7" spans="1:22" x14ac:dyDescent="0.25">
      <c r="A7" t="s">
        <v>3</v>
      </c>
      <c r="B7" s="1">
        <v>1</v>
      </c>
      <c r="C7" s="1">
        <v>2</v>
      </c>
      <c r="D7" s="1">
        <v>3</v>
      </c>
      <c r="E7" s="1">
        <v>4</v>
      </c>
      <c r="F7" s="1">
        <v>1</v>
      </c>
      <c r="G7" s="1">
        <v>1</v>
      </c>
      <c r="H7" s="1">
        <v>2</v>
      </c>
      <c r="I7" s="1">
        <v>2</v>
      </c>
      <c r="J7" s="1">
        <v>3</v>
      </c>
      <c r="K7" s="1"/>
      <c r="L7" s="1">
        <v>4</v>
      </c>
      <c r="M7" s="1">
        <v>1</v>
      </c>
      <c r="N7" s="1">
        <v>3</v>
      </c>
      <c r="O7" s="1">
        <v>2</v>
      </c>
      <c r="P7" s="1">
        <v>3</v>
      </c>
      <c r="Q7" s="1">
        <v>4</v>
      </c>
      <c r="R7" s="1">
        <v>4</v>
      </c>
      <c r="S7" s="1" t="s">
        <v>4</v>
      </c>
      <c r="T7" s="1" t="s">
        <v>4</v>
      </c>
    </row>
    <row r="8" spans="1:22" ht="15" customHeight="1" x14ac:dyDescent="0.25">
      <c r="A8" t="s">
        <v>11</v>
      </c>
    </row>
    <row r="9" spans="1:22" ht="15" customHeight="1" x14ac:dyDescent="0.25">
      <c r="A9" t="s">
        <v>7</v>
      </c>
    </row>
    <row r="10" spans="1:22" ht="15" customHeight="1" x14ac:dyDescent="0.25">
      <c r="A10" t="s">
        <v>11</v>
      </c>
    </row>
    <row r="11" spans="1:22" ht="15" customHeight="1" x14ac:dyDescent="0.25">
      <c r="A11" t="s">
        <v>8</v>
      </c>
    </row>
    <row r="12" spans="1:22" ht="15" customHeight="1" x14ac:dyDescent="0.25">
      <c r="A12" t="s">
        <v>11</v>
      </c>
    </row>
    <row r="13" spans="1:22" ht="15" customHeight="1" x14ac:dyDescent="0.25">
      <c r="A13" t="s">
        <v>9</v>
      </c>
    </row>
    <row r="14" spans="1:22" ht="15" customHeight="1" x14ac:dyDescent="0.25">
      <c r="A14" t="s">
        <v>11</v>
      </c>
    </row>
    <row r="15" spans="1:22" ht="15" customHeight="1" x14ac:dyDescent="0.25">
      <c r="A15" t="s">
        <v>10</v>
      </c>
    </row>
    <row r="20" spans="1:25" ht="15.75" thickBot="1" x14ac:dyDescent="0.3">
      <c r="N20">
        <f>1000/15</f>
        <v>66.666666666666671</v>
      </c>
      <c r="S20" t="s">
        <v>36</v>
      </c>
    </row>
    <row r="21" spans="1:25" ht="15.75" thickBot="1" x14ac:dyDescent="0.3">
      <c r="S21" s="10" t="s">
        <v>14</v>
      </c>
      <c r="T21" s="8" t="s">
        <v>31</v>
      </c>
      <c r="U21" s="8" t="s">
        <v>32</v>
      </c>
      <c r="V21" s="8" t="s">
        <v>33</v>
      </c>
      <c r="W21" s="8" t="s">
        <v>34</v>
      </c>
      <c r="X21" s="8" t="s">
        <v>35</v>
      </c>
      <c r="Y21" s="9" t="s">
        <v>13</v>
      </c>
    </row>
    <row r="22" spans="1:25" x14ac:dyDescent="0.25">
      <c r="A22" t="s">
        <v>13</v>
      </c>
      <c r="B22" t="s">
        <v>14</v>
      </c>
      <c r="J22" t="s">
        <v>15</v>
      </c>
      <c r="S22" s="2" t="s">
        <v>24</v>
      </c>
      <c r="T22" s="4">
        <v>10</v>
      </c>
      <c r="U22" s="4">
        <v>20</v>
      </c>
      <c r="V22" s="4">
        <v>6</v>
      </c>
      <c r="W22" s="4">
        <v>12</v>
      </c>
      <c r="X22" s="4">
        <v>6</v>
      </c>
      <c r="Y22" s="5">
        <f>SUM(T22:X22)</f>
        <v>54</v>
      </c>
    </row>
    <row r="23" spans="1:25" x14ac:dyDescent="0.25">
      <c r="A23">
        <v>1</v>
      </c>
      <c r="B23" t="s">
        <v>12</v>
      </c>
      <c r="J23">
        <v>10</v>
      </c>
      <c r="S23" s="2" t="s">
        <v>25</v>
      </c>
      <c r="T23" s="4">
        <v>4</v>
      </c>
      <c r="U23" s="4">
        <v>8</v>
      </c>
      <c r="V23" s="4">
        <v>2</v>
      </c>
      <c r="W23" s="4">
        <v>4</v>
      </c>
      <c r="X23" s="4">
        <v>2</v>
      </c>
      <c r="Y23" s="5">
        <f>SUM(T23:X23)</f>
        <v>20</v>
      </c>
    </row>
    <row r="24" spans="1:25" x14ac:dyDescent="0.25">
      <c r="A24">
        <v>8</v>
      </c>
      <c r="C24" t="s">
        <v>16</v>
      </c>
      <c r="J24">
        <v>0.03</v>
      </c>
      <c r="S24" s="2" t="s">
        <v>26</v>
      </c>
      <c r="T24" s="4">
        <v>4</v>
      </c>
      <c r="U24" s="4">
        <v>7</v>
      </c>
      <c r="V24" s="4">
        <v>1</v>
      </c>
      <c r="W24" s="4">
        <v>2</v>
      </c>
      <c r="X24" s="4">
        <v>1</v>
      </c>
      <c r="Y24" s="5">
        <f>SUM(T24:X24)</f>
        <v>15</v>
      </c>
    </row>
    <row r="25" spans="1:25" x14ac:dyDescent="0.25">
      <c r="A25">
        <v>2</v>
      </c>
      <c r="D25" t="s">
        <v>17</v>
      </c>
      <c r="J25">
        <v>4.3</v>
      </c>
      <c r="S25" s="2" t="s">
        <v>27</v>
      </c>
      <c r="T25" s="4">
        <v>2</v>
      </c>
      <c r="U25" s="4">
        <v>2</v>
      </c>
      <c r="V25" s="4">
        <v>2</v>
      </c>
      <c r="W25" s="4">
        <v>2</v>
      </c>
      <c r="X25" s="4">
        <v>2</v>
      </c>
      <c r="Y25" s="5">
        <f>SUM(T25:X25)</f>
        <v>10</v>
      </c>
    </row>
    <row r="26" spans="1:25" x14ac:dyDescent="0.25">
      <c r="A26">
        <v>12</v>
      </c>
      <c r="E26" t="s">
        <v>18</v>
      </c>
      <c r="J26">
        <v>0.4</v>
      </c>
      <c r="S26" s="2" t="s">
        <v>28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5">
        <f>SUM(T26:X26)</f>
        <v>5</v>
      </c>
    </row>
    <row r="27" spans="1:25" x14ac:dyDescent="0.25">
      <c r="A27">
        <v>2</v>
      </c>
      <c r="F27" t="s">
        <v>19</v>
      </c>
      <c r="J27">
        <v>2.7</v>
      </c>
      <c r="S27" s="2" t="s">
        <v>29</v>
      </c>
      <c r="T27" s="4">
        <v>4</v>
      </c>
      <c r="U27" s="4">
        <v>4</v>
      </c>
      <c r="V27" s="4">
        <v>4</v>
      </c>
      <c r="W27" s="4">
        <v>4</v>
      </c>
      <c r="X27" s="4">
        <v>4</v>
      </c>
      <c r="Y27" s="5">
        <f>SUM(T27:X27)</f>
        <v>20</v>
      </c>
    </row>
    <row r="28" spans="1:25" ht="15.75" thickBot="1" x14ac:dyDescent="0.3">
      <c r="A28">
        <v>4</v>
      </c>
      <c r="G28" t="s">
        <v>20</v>
      </c>
      <c r="J28">
        <v>0.09</v>
      </c>
      <c r="S28" s="3" t="s">
        <v>30</v>
      </c>
      <c r="T28" s="6">
        <v>2</v>
      </c>
      <c r="U28" s="6">
        <v>2</v>
      </c>
      <c r="V28" s="6">
        <v>2</v>
      </c>
      <c r="W28" s="6">
        <v>2</v>
      </c>
      <c r="X28" s="6">
        <v>2</v>
      </c>
      <c r="Y28" s="7">
        <f>SUM(T28:X28)</f>
        <v>10</v>
      </c>
    </row>
    <row r="33" spans="1:5" x14ac:dyDescent="0.25">
      <c r="A33">
        <v>8</v>
      </c>
      <c r="B33" t="s">
        <v>16</v>
      </c>
      <c r="C33">
        <v>0.03</v>
      </c>
    </row>
    <row r="34" spans="1:5" x14ac:dyDescent="0.25">
      <c r="A34">
        <v>24</v>
      </c>
      <c r="B34" t="s">
        <v>18</v>
      </c>
      <c r="C34">
        <v>0.4</v>
      </c>
    </row>
    <row r="35" spans="1:5" x14ac:dyDescent="0.25">
      <c r="A35">
        <v>3</v>
      </c>
      <c r="B35" t="s">
        <v>21</v>
      </c>
      <c r="C35">
        <v>2</v>
      </c>
    </row>
    <row r="36" spans="1:5" x14ac:dyDescent="0.25">
      <c r="A36">
        <v>6</v>
      </c>
      <c r="B36" t="s">
        <v>22</v>
      </c>
      <c r="C36">
        <v>0.14000000000000001</v>
      </c>
      <c r="D36" t="s">
        <v>23</v>
      </c>
      <c r="E36">
        <v>7.0000000000000007E-2</v>
      </c>
    </row>
    <row r="37" spans="1:5" x14ac:dyDescent="0.25">
      <c r="A37">
        <v>8</v>
      </c>
      <c r="B37" t="s">
        <v>20</v>
      </c>
      <c r="C37">
        <v>0.09</v>
      </c>
    </row>
    <row r="40" spans="1:5" x14ac:dyDescent="0.25">
      <c r="C40">
        <f>A33*C33+A34*C34+A35*C35+A36*C36+A37*C37</f>
        <v>17.400000000000002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Stoll</dc:creator>
  <cp:lastModifiedBy>Josh Stoll</cp:lastModifiedBy>
  <cp:lastPrinted>2021-11-24T21:23:58Z</cp:lastPrinted>
  <dcterms:created xsi:type="dcterms:W3CDTF">2021-11-24T18:52:53Z</dcterms:created>
  <dcterms:modified xsi:type="dcterms:W3CDTF">2021-11-24T21:24:35Z</dcterms:modified>
</cp:coreProperties>
</file>